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te 1" sheetId="1" state="visible" r:id="rId3"/>
    <sheet name="parte 2" sheetId="2" state="visible" r:id="rId4"/>
    <sheet name="pregun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<sst xmlns="http://schemas.openxmlformats.org/spreadsheetml/2006/main" count="335" uniqueCount="199">
  <si>
    <t xml:space="preserve">Inversion Incial (Año 0)</t>
  </si>
  <si>
    <t xml:space="preserve">Rubro</t>
  </si>
  <si>
    <t xml:space="preserve">Monto</t>
  </si>
  <si>
    <t xml:space="preserve">Adquisición De Terreno Para Planta (1.5 Has)</t>
  </si>
  <si>
    <t xml:space="preserve">Capacidad de producion mensual</t>
  </si>
  <si>
    <t xml:space="preserve">Contrucción De La Planta De Procesamiento</t>
  </si>
  <si>
    <t xml:space="preserve">Adquisión E Instalación De Maquinarias Y Equipos</t>
  </si>
  <si>
    <t xml:space="preserve">Equipo De Oficina Y Comunicación</t>
  </si>
  <si>
    <t xml:space="preserve">Camioneta De Reparto ( 3tn)</t>
  </si>
  <si>
    <t xml:space="preserve">Certificacion De Licencias</t>
  </si>
  <si>
    <t xml:space="preserve">Desarrollo De Proveedores Y Cadema De Frío</t>
  </si>
  <si>
    <t xml:space="preserve">Total Inversión Fija</t>
  </si>
  <si>
    <t xml:space="preserve">Capital De Trabajo</t>
  </si>
  <si>
    <t xml:space="preserve">Total De Capital De Trabajo</t>
  </si>
  <si>
    <t xml:space="preserve">Total De Inversión</t>
  </si>
  <si>
    <t xml:space="preserve">Costo variable Unitarios por kilogramos de pulpa procesada</t>
  </si>
  <si>
    <t xml:space="preserve">Unidad De Medida</t>
  </si>
  <si>
    <t xml:space="preserve">Valor Unitario</t>
  </si>
  <si>
    <t xml:space="preserve">Unidades utilizadas</t>
  </si>
  <si>
    <t xml:space="preserve">Costo Fijo</t>
  </si>
  <si>
    <t xml:space="preserve">Costo Variable</t>
  </si>
  <si>
    <t xml:space="preserve">Costo Total</t>
  </si>
  <si>
    <t xml:space="preserve">Fruta fresca (mango/maracuyá)</t>
  </si>
  <si>
    <t xml:space="preserve">Kg</t>
  </si>
  <si>
    <t xml:space="preserve">Lavado y selección</t>
  </si>
  <si>
    <t xml:space="preserve">Despulpado</t>
  </si>
  <si>
    <t xml:space="preserve">Pasteurización</t>
  </si>
  <si>
    <t xml:space="preserve">Empaquetado y sellado</t>
  </si>
  <si>
    <t xml:space="preserve">Costos De Producción Mes 1</t>
  </si>
  <si>
    <t xml:space="preserve">Costos Operativos Primer Mes En Nuevos Soles </t>
  </si>
  <si>
    <t xml:space="preserve">Monto Mensual</t>
  </si>
  <si>
    <t xml:space="preserve">Gastos De Administración</t>
  </si>
  <si>
    <t xml:space="preserve">Servicios Publicos (Agua, Luz, Desague, Internet)</t>
  </si>
  <si>
    <t xml:space="preserve">Mantenimiento De Instlaciones Y Equipos</t>
  </si>
  <si>
    <t xml:space="preserve">Personal Administrativo 2 Profesionales)</t>
  </si>
  <si>
    <t xml:space="preserve">Personal De Producción (6 Operarios)</t>
  </si>
  <si>
    <t xml:space="preserve">Marketin Y Publicidad Online</t>
  </si>
  <si>
    <t xml:space="preserve">Seguridad Y Vigilancia De Planta</t>
  </si>
  <si>
    <t xml:space="preserve">Gastos De Distribución De Flete Por Cliente</t>
  </si>
  <si>
    <t xml:space="preserve">Total Costos Operativos</t>
  </si>
  <si>
    <t xml:space="preserve">Costo Unitario</t>
  </si>
  <si>
    <t xml:space="preserve">Precio de venta</t>
  </si>
  <si>
    <t xml:space="preserve">Ventas en kilogramos</t>
  </si>
  <si>
    <t xml:space="preserve">Precio De Venta (Por Unidad)</t>
  </si>
  <si>
    <t xml:space="preserve">Tabla De Depreciaciones</t>
  </si>
  <si>
    <t xml:space="preserve">Activos</t>
  </si>
  <si>
    <t xml:space="preserve">Valor Compra</t>
  </si>
  <si>
    <t xml:space="preserve">Vida Util</t>
  </si>
  <si>
    <t xml:space="preserve">Dep Anual (1-6)</t>
  </si>
  <si>
    <t xml:space="preserve">Dep Anual (7-12)</t>
  </si>
  <si>
    <t xml:space="preserve">Dep Acumulada</t>
  </si>
  <si>
    <t xml:space="preserve">Valor De Recupero</t>
  </si>
  <si>
    <t xml:space="preserve">Total</t>
  </si>
  <si>
    <t xml:space="preserve">SOLUCIÓN</t>
  </si>
  <si>
    <t xml:space="preserve">a)</t>
  </si>
  <si>
    <t xml:space="preserve">COSTO TOTAL</t>
  </si>
  <si>
    <t xml:space="preserve">b)</t>
  </si>
  <si>
    <t xml:space="preserve">Año 1</t>
  </si>
  <si>
    <t xml:space="preserve">Ventas en soles</t>
  </si>
  <si>
    <t xml:space="preserve">c)</t>
  </si>
  <si>
    <t xml:space="preserve">CAPITAL DE TRABAJO </t>
  </si>
  <si>
    <t xml:space="preserve">RUBRO</t>
  </si>
  <si>
    <t xml:space="preserve">Años 1</t>
  </si>
  <si>
    <t xml:space="preserve">Año 2</t>
  </si>
  <si>
    <t xml:space="preserve">Año 3</t>
  </si>
  <si>
    <t xml:space="preserve">Año 4</t>
  </si>
  <si>
    <t xml:space="preserve">Caja mínima (dias de venta )</t>
  </si>
  <si>
    <t xml:space="preserve">CuentasXCobras (días promedio)</t>
  </si>
  <si>
    <t xml:space="preserve">Inventarios (dias promedio)</t>
  </si>
  <si>
    <t xml:space="preserve">Proveedores (Cuentas por pagar - dias promedio)</t>
  </si>
  <si>
    <t xml:space="preserve">INGRESOS Y EGRESOS DEL NEGOCIO</t>
  </si>
  <si>
    <t xml:space="preserve">Ventas proyectadas (S/.)</t>
  </si>
  <si>
    <t xml:space="preserve">Costos de venta (% sobre ventas)</t>
  </si>
  <si>
    <t xml:space="preserve">Gastos operativos (% sobre ventas)</t>
  </si>
  <si>
    <t xml:space="preserve">Depreciación anual</t>
  </si>
  <si>
    <t xml:space="preserve">KW = Caja + CxC + Inventario - Proveedores</t>
  </si>
  <si>
    <t xml:space="preserve">CAJA:</t>
  </si>
  <si>
    <t xml:space="preserve">Año 1 =</t>
  </si>
  <si>
    <t xml:space="preserve">Ventas año 1</t>
  </si>
  <si>
    <t xml:space="preserve">x 2</t>
  </si>
  <si>
    <t xml:space="preserve">soles</t>
  </si>
  <si>
    <t xml:space="preserve">Año 2=</t>
  </si>
  <si>
    <t xml:space="preserve">Año 3 =</t>
  </si>
  <si>
    <t xml:space="preserve">CUENTAS X COBRAR</t>
  </si>
  <si>
    <t xml:space="preserve">Rotación de CC =</t>
  </si>
  <si>
    <t xml:space="preserve">CxC</t>
  </si>
  <si>
    <t xml:space="preserve">x360</t>
  </si>
  <si>
    <t xml:space="preserve">Ventas</t>
  </si>
  <si>
    <t xml:space="preserve">CxC =</t>
  </si>
  <si>
    <t xml:space="preserve">Rotación de CC x Ventas </t>
  </si>
  <si>
    <t xml:space="preserve">INVENTARIOS</t>
  </si>
  <si>
    <t xml:space="preserve">Rotación Inventarios =</t>
  </si>
  <si>
    <t xml:space="preserve">Inventarios</t>
  </si>
  <si>
    <t xml:space="preserve">Costos Ventas</t>
  </si>
  <si>
    <t xml:space="preserve">Inventarios =</t>
  </si>
  <si>
    <t xml:space="preserve">Rotación Inventarios x Costos Ventas</t>
  </si>
  <si>
    <t xml:space="preserve">Año 1=</t>
  </si>
  <si>
    <t xml:space="preserve">Año 3=</t>
  </si>
  <si>
    <t xml:space="preserve">PROVEEDORES - Cuentas x Pagar</t>
  </si>
  <si>
    <t xml:space="preserve">Rotación CxP=</t>
  </si>
  <si>
    <t xml:space="preserve">CxP</t>
  </si>
  <si>
    <t xml:space="preserve">x 360</t>
  </si>
  <si>
    <t xml:space="preserve">CxP =</t>
  </si>
  <si>
    <t xml:space="preserve">Rotación CxP x Costos Ventas</t>
  </si>
  <si>
    <t xml:space="preserve">Situación Financiera Año 1</t>
  </si>
  <si>
    <t xml:space="preserve">Caja</t>
  </si>
  <si>
    <t xml:space="preserve">Proveedores</t>
  </si>
  <si>
    <t xml:space="preserve">Cuentas x Cobrar</t>
  </si>
  <si>
    <t xml:space="preserve">KWN año 1</t>
  </si>
  <si>
    <t xml:space="preserve">Situación Financiera Año 2</t>
  </si>
  <si>
    <t xml:space="preserve">KWN año 2</t>
  </si>
  <si>
    <t xml:space="preserve">Situación Financiera Año 3</t>
  </si>
  <si>
    <t xml:space="preserve">KWN año 3</t>
  </si>
  <si>
    <t xml:space="preserve">Requerimiento de Capital  de Trabajo durante el proyecto</t>
  </si>
  <si>
    <t xml:space="preserve">Año 0</t>
  </si>
  <si>
    <t xml:space="preserve">Stock KWN</t>
  </si>
  <si>
    <t xml:space="preserve">Incremento de capitral de trabajo</t>
  </si>
  <si>
    <t xml:space="preserve">*Nota.  En el FC debe incluir solo las necesidades incrementales</t>
  </si>
  <si>
    <t xml:space="preserve">d)</t>
  </si>
  <si>
    <t xml:space="preserve">ESTADOS DE RESULTADOS</t>
  </si>
  <si>
    <t xml:space="preserve">mes1 </t>
  </si>
  <si>
    <t xml:space="preserve">Costs de Ventas</t>
  </si>
  <si>
    <t xml:space="preserve">Depreciaciones</t>
  </si>
  <si>
    <t xml:space="preserve">Utilidad Bruta</t>
  </si>
  <si>
    <t xml:space="preserve">Gastos Operativos</t>
  </si>
  <si>
    <t xml:space="preserve">Utilidad Operativa</t>
  </si>
  <si>
    <t xml:space="preserve">Terreno</t>
  </si>
  <si>
    <t xml:space="preserve">Almacen</t>
  </si>
  <si>
    <t xml:space="preserve">Estado De Resultados Con Depreciaciones</t>
  </si>
  <si>
    <t xml:space="preserve">Ventas Netas</t>
  </si>
  <si>
    <t xml:space="preserve">Utilidad Imponible</t>
  </si>
  <si>
    <t xml:space="preserve">Impuetos</t>
  </si>
  <si>
    <t xml:space="preserve">Utilidad Neta</t>
  </si>
  <si>
    <t xml:space="preserve">Estado De Resultados Sin Depreciaciones</t>
  </si>
  <si>
    <t xml:space="preserve">Impuetos (Se Va Con El E°)</t>
  </si>
  <si>
    <t xml:space="preserve">5. Amortizacion De Deuda</t>
  </si>
  <si>
    <t xml:space="preserve">Monto Del Prestamos</t>
  </si>
  <si>
    <t xml:space="preserve">Endeudamiento</t>
  </si>
  <si>
    <t xml:space="preserve">Tea</t>
  </si>
  <si>
    <t xml:space="preserve">Fondo Propio</t>
  </si>
  <si>
    <t xml:space="preserve">N</t>
  </si>
  <si>
    <t xml:space="preserve">Pago</t>
  </si>
  <si>
    <t xml:space="preserve">Periodo</t>
  </si>
  <si>
    <t xml:space="preserve">Deuda Inicial</t>
  </si>
  <si>
    <t xml:space="preserve">Interes</t>
  </si>
  <si>
    <t xml:space="preserve">Amortizacion Del Capital</t>
  </si>
  <si>
    <t xml:space="preserve">Couta</t>
  </si>
  <si>
    <t xml:space="preserve">Deuda Final</t>
  </si>
  <si>
    <t xml:space="preserve">Flujo De Caja Económico Y Financiero</t>
  </si>
  <si>
    <t xml:space="preserve">Rubros</t>
  </si>
  <si>
    <t xml:space="preserve">-</t>
  </si>
  <si>
    <t xml:space="preserve">Activo Fijo</t>
  </si>
  <si>
    <t xml:space="preserve">+</t>
  </si>
  <si>
    <t xml:space="preserve">Ingreso Por Ventas De Maquinaria</t>
  </si>
  <si>
    <t xml:space="preserve">Valor Recupero Capital De Trabajo</t>
  </si>
  <si>
    <t xml:space="preserve">Valor De Recupero De Terreno</t>
  </si>
  <si>
    <t xml:space="preserve">Valor De Recupero De Activo Fijo (Vr)</t>
  </si>
  <si>
    <t xml:space="preserve">Flujo De Inversion  Y Liquidación</t>
  </si>
  <si>
    <t xml:space="preserve">Ingreso En Efectivo</t>
  </si>
  <si>
    <t xml:space="preserve">Costos Fijos</t>
  </si>
  <si>
    <t xml:space="preserve">Costos Variables</t>
  </si>
  <si>
    <t xml:space="preserve">Impuestos Y Tibutos</t>
  </si>
  <si>
    <t xml:space="preserve">Flujo De Caja Operativo</t>
  </si>
  <si>
    <t xml:space="preserve">Flujo De Caja Economico (Fce)</t>
  </si>
  <si>
    <t xml:space="preserve">Financiamiento Neto</t>
  </si>
  <si>
    <t xml:space="preserve">Prestamos</t>
  </si>
  <si>
    <t xml:space="preserve">Capital</t>
  </si>
  <si>
    <t xml:space="preserve">Intereses</t>
  </si>
  <si>
    <t xml:space="preserve">Escudo Fiscal O Tributario</t>
  </si>
  <si>
    <t xml:space="preserve">Flujo De Caja De Deuda</t>
  </si>
  <si>
    <t xml:space="preserve">Flujo De Caja Finaciero</t>
  </si>
  <si>
    <t xml:space="preserve">Cok: Costo De Opotunidad De Capital</t>
  </si>
  <si>
    <t xml:space="preserve">(Es El Mínima Rentabilidad Que Exige El Inversionista Por Su Participación)</t>
  </si>
  <si>
    <t xml:space="preserve">Wacc:  Costo Medio Ponderado Del Capital</t>
  </si>
  <si>
    <t xml:space="preserve">Proyecto A</t>
  </si>
  <si>
    <t xml:space="preserve">Proyecto B (De Nosotros)</t>
  </si>
  <si>
    <t xml:space="preserve">10 +</t>
  </si>
  <si>
    <t xml:space="preserve">Cok</t>
  </si>
  <si>
    <t xml:space="preserve">Cok=Rf+B*(Em-Rf)</t>
  </si>
  <si>
    <t xml:space="preserve">Rf: Tasa Libre De Riesgo</t>
  </si>
  <si>
    <t xml:space="preserve">Em: Rendimiento De Mercado</t>
  </si>
  <si>
    <t xml:space="preserve">B: Beta</t>
  </si>
  <si>
    <t xml:space="preserve">Cok=</t>
  </si>
  <si>
    <t xml:space="preserve">Wacc</t>
  </si>
  <si>
    <t xml:space="preserve">Wacc=Ke*(E/(E+D))+Kd*(1-T)*(D/(E+D))</t>
  </si>
  <si>
    <t xml:space="preserve">Ke: Cok</t>
  </si>
  <si>
    <t xml:space="preserve">E: Fondo Propio (Capital Propio)</t>
  </si>
  <si>
    <t xml:space="preserve">D: Endeudamiento</t>
  </si>
  <si>
    <t xml:space="preserve">Kd: Costo Financiero</t>
  </si>
  <si>
    <t xml:space="preserve">T: Impuesto</t>
  </si>
  <si>
    <t xml:space="preserve">Wacc=</t>
  </si>
  <si>
    <t xml:space="preserve">Indicadores De Evualuación Del Proyecto</t>
  </si>
  <si>
    <t xml:space="preserve">Vane</t>
  </si>
  <si>
    <t xml:space="preserve">Tire</t>
  </si>
  <si>
    <t xml:space="preserve">Si Van&gt;0: El Valor Actualizado De Los Cobros Y Pagos Futuros De La Inversion, A La Tasa De Descuento Elegida Generará Beneficios.</t>
  </si>
  <si>
    <t xml:space="preserve">Si Van=0: El Proyecto De Inversion No Generará Ni Beneficios Ni Perdidas, Siemdo Su Relización, En Principio, Indiferente.</t>
  </si>
  <si>
    <t xml:space="preserve">Si Van&lt;0: El Proyecto De Inversion Generará Pérdidas, Por Lo Que Deberá Ser Rechazado</t>
  </si>
  <si>
    <t xml:space="preserve">Si Tir &gt; Wacc Entonces Se Rechaza El Proyecto</t>
  </si>
  <si>
    <t xml:space="preserve">Si Tir &lt; Wacc Entonces Se Aprueba El Proyecto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</si>
</sst>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"/>
    <numFmt numFmtId="167" formatCode="0"/>
    <numFmt numFmtId="168" formatCode="0\ %"/>
    <numFmt numFmtId="169" formatCode="@"/>
    <numFmt numFmtId="170" formatCode="0.00\ %"/>
    <numFmt numFmtId="171" formatCode="\$#,##0.00_);[RED]&quot;($&quot;#,##0.00\)"/>
  </numFmts>
  <fonts count="1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theme="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2"/>
      <color theme="0"/>
      <name val="Times New Roman"/>
      <family val="1"/>
      <charset val="1"/>
    </font>
    <font>
      <b val="true"/>
      <sz val="11"/>
      <color theme="0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theme="0"/>
      <name val="Calibri"/>
      <family val="2"/>
    </font>
    <font>
      <b val="true"/>
      <sz val="11"/>
      <color theme="1"/>
      <name val="Calibri"/>
      <family val="2"/>
    </font>
    <font>
      <sz val="7"/>
      <color theme="1"/>
      <name val="Calibri"/>
      <family val="2"/>
    </font>
    <font>
      <sz val="11"/>
      <color theme="0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theme="8" tint="-0.5"/>
        <bgColor rgb="FF1F4E79"/>
      </patternFill>
    </fill>
    <fill>
      <patternFill patternType="solid">
        <fgColor theme="4" tint="-0.5"/>
        <bgColor rgb="FF1C6294"/>
      </patternFill>
    </fill>
    <fill>
      <patternFill patternType="solid">
        <fgColor rgb="FF1C6294"/>
        <bgColor rgb="FF1F4E79"/>
      </patternFill>
    </fill>
    <fill>
      <patternFill patternType="solid">
        <fgColor rgb="FFFFFFFF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1C62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1</xdr:row>
      <xdr:rowOff>97560</xdr:rowOff>
    </xdr:from>
    <xdr:to>
      <xdr:col>8</xdr:col>
      <xdr:colOff>306360</xdr:colOff>
      <xdr:row>63</xdr:row>
      <xdr:rowOff>75240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20520" y="260280"/>
          <a:ext cx="6788160" cy="1006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720360</xdr:colOff>
      <xdr:row>1</xdr:row>
      <xdr:rowOff>97200</xdr:rowOff>
    </xdr:from>
    <xdr:to>
      <xdr:col>17</xdr:col>
      <xdr:colOff>461160</xdr:colOff>
      <xdr:row>73</xdr:row>
      <xdr:rowOff>113040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7222680" y="259920"/>
          <a:ext cx="7056000" cy="11732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31" activeCellId="0" sqref="I3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.34"/>
    <col collapsed="false" customWidth="true" hidden="false" outlineLevel="0" max="2" min="2" style="1" width="45.22"/>
    <col collapsed="false" customWidth="true" hidden="false" outlineLevel="0" max="3" min="3" style="1" width="14.87"/>
    <col collapsed="false" customWidth="false" hidden="false" outlineLevel="0" max="16384" min="4" style="1" width="11.53"/>
  </cols>
  <sheetData>
    <row r="2" customFormat="false" ht="15" hidden="false" customHeight="false" outlineLevel="0" collapsed="false">
      <c r="B2" s="2" t="s">
        <v>0</v>
      </c>
      <c r="C2" s="2"/>
    </row>
    <row r="3" customFormat="false" ht="15" hidden="false" customHeight="false" outlineLevel="0" collapsed="false">
      <c r="B3" s="3" t="s">
        <v>1</v>
      </c>
      <c r="C3" s="3" t="s">
        <v>2</v>
      </c>
    </row>
    <row r="4" customFormat="false" ht="15" hidden="false" customHeight="false" outlineLevel="0" collapsed="false">
      <c r="B4" s="1" t="s">
        <v>3</v>
      </c>
      <c r="C4" s="4" t="n">
        <v>35000</v>
      </c>
      <c r="F4" s="1" t="s">
        <v>4</v>
      </c>
      <c r="I4" s="1" t="n">
        <v>23000</v>
      </c>
    </row>
    <row r="5" customFormat="false" ht="15" hidden="false" customHeight="false" outlineLevel="0" collapsed="false">
      <c r="B5" s="1" t="s">
        <v>5</v>
      </c>
      <c r="C5" s="4" t="n">
        <v>180000</v>
      </c>
    </row>
    <row r="6" customFormat="false" ht="15" hidden="false" customHeight="false" outlineLevel="0" collapsed="false">
      <c r="B6" s="1" t="s">
        <v>6</v>
      </c>
      <c r="C6" s="4" t="n">
        <v>90000</v>
      </c>
    </row>
    <row r="7" customFormat="false" ht="15" hidden="false" customHeight="false" outlineLevel="0" collapsed="false">
      <c r="B7" s="1" t="s">
        <v>7</v>
      </c>
      <c r="C7" s="4" t="n">
        <v>7000</v>
      </c>
    </row>
    <row r="8" customFormat="false" ht="15" hidden="false" customHeight="false" outlineLevel="0" collapsed="false">
      <c r="B8" s="1" t="s">
        <v>8</v>
      </c>
      <c r="C8" s="4" t="n">
        <v>150000</v>
      </c>
    </row>
    <row r="9" customFormat="false" ht="15" hidden="false" customHeight="false" outlineLevel="0" collapsed="false">
      <c r="B9" s="1" t="s">
        <v>9</v>
      </c>
      <c r="C9" s="4" t="n">
        <v>12000</v>
      </c>
    </row>
    <row r="10" customFormat="false" ht="15" hidden="false" customHeight="false" outlineLevel="0" collapsed="false">
      <c r="B10" s="1" t="s">
        <v>10</v>
      </c>
      <c r="C10" s="4" t="n">
        <v>45000</v>
      </c>
    </row>
    <row r="11" customFormat="false" ht="15" hidden="false" customHeight="false" outlineLevel="0" collapsed="false">
      <c r="B11" s="5" t="s">
        <v>11</v>
      </c>
      <c r="C11" s="6" t="n">
        <f aca="false">SUM(C4:C10)</f>
        <v>519000</v>
      </c>
    </row>
    <row r="12" customFormat="false" ht="15" hidden="false" customHeight="false" outlineLevel="0" collapsed="false">
      <c r="B12" s="1" t="s">
        <v>12</v>
      </c>
      <c r="C12" s="7" t="n">
        <f aca="false">C170</f>
        <v>468186.666666667</v>
      </c>
    </row>
    <row r="13" customFormat="false" ht="15" hidden="false" customHeight="false" outlineLevel="0" collapsed="false">
      <c r="B13" s="5" t="s">
        <v>13</v>
      </c>
      <c r="C13" s="8" t="n">
        <f aca="false">-C12</f>
        <v>-468186.666666667</v>
      </c>
    </row>
    <row r="14" customFormat="false" ht="15" hidden="false" customHeight="false" outlineLevel="0" collapsed="false">
      <c r="B14" s="9" t="s">
        <v>14</v>
      </c>
      <c r="C14" s="10" t="n">
        <f aca="false">C11+C13</f>
        <v>50813.3333333333</v>
      </c>
    </row>
    <row r="17" customFormat="false" ht="15" hidden="false" customHeight="false" outlineLevel="0" collapsed="false">
      <c r="B17" s="11" t="s">
        <v>15</v>
      </c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B18" s="12"/>
      <c r="C18" s="12"/>
      <c r="D18" s="12"/>
      <c r="E18" s="12"/>
      <c r="F18" s="12"/>
      <c r="G18" s="12"/>
      <c r="H18" s="12"/>
    </row>
    <row r="19" customFormat="false" ht="15" hidden="false" customHeight="true" outlineLevel="0" collapsed="false">
      <c r="B19" s="13" t="s">
        <v>1</v>
      </c>
      <c r="C19" s="14" t="s">
        <v>16</v>
      </c>
      <c r="D19" s="14" t="s">
        <v>17</v>
      </c>
      <c r="E19" s="14" t="s">
        <v>18</v>
      </c>
      <c r="F19" s="14" t="s">
        <v>19</v>
      </c>
      <c r="G19" s="14" t="s">
        <v>20</v>
      </c>
      <c r="H19" s="13" t="s">
        <v>21</v>
      </c>
    </row>
    <row r="20" customFormat="false" ht="15" hidden="false" customHeight="false" outlineLevel="0" collapsed="false"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B21" s="12" t="s">
        <v>22</v>
      </c>
      <c r="C21" s="15" t="s">
        <v>23</v>
      </c>
      <c r="D21" s="16" t="n">
        <v>5.5</v>
      </c>
      <c r="E21" s="17" t="n">
        <v>20</v>
      </c>
      <c r="F21" s="16"/>
      <c r="G21" s="16" t="n">
        <f aca="false">D21*E21</f>
        <v>110</v>
      </c>
      <c r="H21" s="16" t="n">
        <f aca="false">F21+G21</f>
        <v>110</v>
      </c>
    </row>
    <row r="22" customFormat="false" ht="15" hidden="false" customHeight="false" outlineLevel="0" collapsed="false">
      <c r="B22" s="12" t="s">
        <v>24</v>
      </c>
      <c r="C22" s="15" t="s">
        <v>23</v>
      </c>
      <c r="D22" s="16" t="n">
        <v>0.35</v>
      </c>
      <c r="E22" s="17" t="n">
        <v>1</v>
      </c>
      <c r="F22" s="16"/>
      <c r="G22" s="16" t="n">
        <f aca="false">D22*E22</f>
        <v>0.35</v>
      </c>
      <c r="H22" s="16" t="n">
        <f aca="false">F22+G22</f>
        <v>0.35</v>
      </c>
    </row>
    <row r="23" customFormat="false" ht="15" hidden="false" customHeight="false" outlineLevel="0" collapsed="false">
      <c r="B23" s="12" t="s">
        <v>25</v>
      </c>
      <c r="C23" s="15" t="s">
        <v>23</v>
      </c>
      <c r="D23" s="16" t="n">
        <v>0.55</v>
      </c>
      <c r="E23" s="17" t="n">
        <v>1</v>
      </c>
      <c r="F23" s="16"/>
      <c r="G23" s="16" t="n">
        <f aca="false">D23*E23</f>
        <v>0.55</v>
      </c>
      <c r="H23" s="16" t="n">
        <f aca="false">F23+G23</f>
        <v>0.55</v>
      </c>
    </row>
    <row r="24" customFormat="false" ht="15" hidden="false" customHeight="false" outlineLevel="0" collapsed="false">
      <c r="B24" s="12" t="s">
        <v>26</v>
      </c>
      <c r="C24" s="15" t="s">
        <v>23</v>
      </c>
      <c r="D24" s="16" t="n">
        <v>0.45</v>
      </c>
      <c r="E24" s="17" t="n">
        <v>1</v>
      </c>
      <c r="F24" s="16"/>
      <c r="G24" s="16" t="n">
        <f aca="false">D24*E24</f>
        <v>0.45</v>
      </c>
      <c r="H24" s="16" t="n">
        <f aca="false">F24+G24</f>
        <v>0.45</v>
      </c>
    </row>
    <row r="25" customFormat="false" ht="15" hidden="false" customHeight="false" outlineLevel="0" collapsed="false">
      <c r="B25" s="18" t="s">
        <v>27</v>
      </c>
      <c r="C25" s="19" t="s">
        <v>23</v>
      </c>
      <c r="D25" s="20" t="n">
        <v>0.35</v>
      </c>
      <c r="E25" s="21" t="n">
        <v>1</v>
      </c>
      <c r="F25" s="20"/>
      <c r="G25" s="20" t="n">
        <f aca="false">D25*E25</f>
        <v>0.35</v>
      </c>
      <c r="H25" s="20" t="n">
        <f aca="false">F25+G25</f>
        <v>0.35</v>
      </c>
    </row>
    <row r="26" customFormat="false" ht="15" hidden="false" customHeight="false" outlineLevel="0" collapsed="false">
      <c r="B26" s="22" t="s">
        <v>28</v>
      </c>
      <c r="C26" s="13"/>
      <c r="D26" s="23"/>
      <c r="E26" s="24"/>
      <c r="F26" s="23" t="n">
        <f aca="false">SUM(F21:F25)</f>
        <v>0</v>
      </c>
      <c r="G26" s="23" t="n">
        <f aca="false">SUM(G21:G25)</f>
        <v>111.7</v>
      </c>
      <c r="H26" s="23" t="n">
        <f aca="false">SUM(H21:H25)</f>
        <v>111.7</v>
      </c>
    </row>
    <row r="30" customFormat="false" ht="15" hidden="false" customHeight="false" outlineLevel="0" collapsed="false">
      <c r="B30" s="11" t="s">
        <v>29</v>
      </c>
      <c r="C30" s="11"/>
      <c r="D30" s="11"/>
      <c r="E30" s="11"/>
      <c r="F30" s="11"/>
      <c r="G30" s="12"/>
    </row>
    <row r="31" customFormat="false" ht="15" hidden="false" customHeight="false" outlineLevel="0" collapsed="false">
      <c r="B31" s="12"/>
      <c r="C31" s="12"/>
      <c r="D31" s="25"/>
      <c r="E31" s="12"/>
      <c r="F31" s="12"/>
      <c r="G31" s="12"/>
    </row>
    <row r="32" customFormat="false" ht="26.5" hidden="false" customHeight="false" outlineLevel="0" collapsed="false">
      <c r="B32" s="14" t="s">
        <v>1</v>
      </c>
      <c r="C32" s="14"/>
      <c r="D32" s="14"/>
      <c r="E32" s="14"/>
      <c r="F32" s="14" t="s">
        <v>30</v>
      </c>
      <c r="G32" s="12"/>
    </row>
    <row r="33" customFormat="false" ht="15" hidden="false" customHeight="false" outlineLevel="0" collapsed="false">
      <c r="B33" s="26" t="s">
        <v>31</v>
      </c>
      <c r="C33" s="26"/>
      <c r="D33" s="27"/>
      <c r="E33" s="28"/>
      <c r="F33" s="27"/>
      <c r="G33" s="12"/>
    </row>
    <row r="34" customFormat="false" ht="15" hidden="false" customHeight="false" outlineLevel="0" collapsed="false">
      <c r="B34" s="29" t="s">
        <v>32</v>
      </c>
      <c r="C34" s="30"/>
      <c r="D34" s="16"/>
      <c r="E34" s="17"/>
      <c r="F34" s="16" t="n">
        <v>1200</v>
      </c>
      <c r="G34" s="31"/>
    </row>
    <row r="35" customFormat="false" ht="15" hidden="false" customHeight="false" outlineLevel="0" collapsed="false">
      <c r="B35" s="29" t="s">
        <v>33</v>
      </c>
      <c r="C35" s="30"/>
      <c r="D35" s="16"/>
      <c r="E35" s="17"/>
      <c r="F35" s="16" t="n">
        <v>700</v>
      </c>
      <c r="G35" s="31"/>
    </row>
    <row r="36" customFormat="false" ht="15" hidden="false" customHeight="false" outlineLevel="0" collapsed="false">
      <c r="B36" s="32" t="s">
        <v>34</v>
      </c>
      <c r="C36" s="30"/>
      <c r="D36" s="16"/>
      <c r="E36" s="17"/>
      <c r="F36" s="16" t="n">
        <v>11000</v>
      </c>
      <c r="G36" s="31"/>
    </row>
    <row r="37" customFormat="false" ht="15" hidden="false" customHeight="false" outlineLevel="0" collapsed="false">
      <c r="B37" s="32" t="s">
        <v>35</v>
      </c>
      <c r="C37" s="30"/>
      <c r="D37" s="16"/>
      <c r="E37" s="17"/>
      <c r="F37" s="16" t="n">
        <v>9000</v>
      </c>
      <c r="G37" s="31"/>
    </row>
    <row r="38" customFormat="false" ht="15" hidden="false" customHeight="false" outlineLevel="0" collapsed="false">
      <c r="B38" s="32" t="s">
        <v>36</v>
      </c>
      <c r="C38" s="30"/>
      <c r="D38" s="16"/>
      <c r="E38" s="17"/>
      <c r="F38" s="16" t="n">
        <v>300</v>
      </c>
      <c r="G38" s="31"/>
    </row>
    <row r="39" customFormat="false" ht="15" hidden="false" customHeight="false" outlineLevel="0" collapsed="false">
      <c r="B39" s="32" t="s">
        <v>37</v>
      </c>
      <c r="C39" s="30"/>
      <c r="D39" s="16"/>
      <c r="E39" s="17"/>
      <c r="F39" s="16" t="n">
        <v>600</v>
      </c>
      <c r="G39" s="31"/>
    </row>
    <row r="40" customFormat="false" ht="15" hidden="false" customHeight="false" outlineLevel="0" collapsed="false">
      <c r="B40" s="32" t="s">
        <v>38</v>
      </c>
      <c r="C40" s="33"/>
      <c r="D40" s="16"/>
      <c r="E40" s="17"/>
      <c r="F40" s="34" t="n">
        <f aca="false">0.3*I4</f>
        <v>6900</v>
      </c>
      <c r="G40" s="31"/>
    </row>
    <row r="41" customFormat="false" ht="15" hidden="false" customHeight="false" outlineLevel="0" collapsed="false">
      <c r="B41" s="35" t="s">
        <v>39</v>
      </c>
      <c r="C41" s="36"/>
      <c r="D41" s="23"/>
      <c r="E41" s="24"/>
      <c r="F41" s="23" t="n">
        <f aca="false">SUM(F34:F40)</f>
        <v>29700</v>
      </c>
      <c r="G41" s="37"/>
    </row>
    <row r="42" customFormat="false" ht="15" hidden="false" customHeight="false" outlineLevel="0" collapsed="false">
      <c r="B42" s="38"/>
      <c r="C42" s="38"/>
      <c r="D42" s="12"/>
      <c r="E42" s="12"/>
      <c r="F42" s="12"/>
      <c r="G42" s="12"/>
    </row>
    <row r="46" customFormat="false" ht="15" hidden="false" customHeight="false" outlineLevel="0" collapsed="false">
      <c r="B46" s="11" t="s">
        <v>40</v>
      </c>
      <c r="C46" s="11"/>
    </row>
    <row r="48" customFormat="false" ht="15" hidden="false" customHeight="false" outlineLevel="0" collapsed="false">
      <c r="B48" s="1" t="s">
        <v>41</v>
      </c>
      <c r="C48" s="1" t="n">
        <v>32</v>
      </c>
    </row>
    <row r="54" customFormat="false" ht="15" hidden="false" customHeight="false" outlineLevel="0" collapsed="false">
      <c r="B54" s="3" t="s">
        <v>1</v>
      </c>
      <c r="C54" s="39" t="n">
        <v>0</v>
      </c>
      <c r="D54" s="39" t="n">
        <v>1</v>
      </c>
      <c r="E54" s="39" t="n">
        <v>2</v>
      </c>
      <c r="F54" s="39" t="n">
        <v>3</v>
      </c>
      <c r="G54" s="39" t="n">
        <v>4</v>
      </c>
      <c r="H54" s="39" t="n">
        <v>5</v>
      </c>
      <c r="I54" s="39" t="n">
        <v>6</v>
      </c>
      <c r="J54" s="39" t="n">
        <v>7</v>
      </c>
      <c r="K54" s="39" t="n">
        <v>8</v>
      </c>
      <c r="L54" s="39" t="n">
        <v>9</v>
      </c>
      <c r="M54" s="39" t="n">
        <v>10</v>
      </c>
      <c r="N54" s="39" t="n">
        <v>11</v>
      </c>
      <c r="O54" s="39" t="n">
        <v>12</v>
      </c>
    </row>
    <row r="55" customFormat="false" ht="15" hidden="false" customHeight="false" outlineLevel="0" collapsed="false">
      <c r="B55" s="1" t="s">
        <v>42</v>
      </c>
      <c r="C55" s="4"/>
      <c r="D55" s="4" t="n">
        <v>1200</v>
      </c>
      <c r="E55" s="4" t="n">
        <v>1400</v>
      </c>
      <c r="F55" s="4" t="n">
        <v>1500</v>
      </c>
      <c r="G55" s="4" t="n">
        <v>17000</v>
      </c>
      <c r="H55" s="4" t="n">
        <v>1800</v>
      </c>
      <c r="I55" s="4" t="n">
        <v>1800</v>
      </c>
      <c r="J55" s="4" t="n">
        <v>1700</v>
      </c>
      <c r="K55" s="4" t="n">
        <v>1600</v>
      </c>
      <c r="L55" s="4" t="n">
        <v>1900</v>
      </c>
      <c r="M55" s="4" t="n">
        <v>2000</v>
      </c>
      <c r="N55" s="4" t="n">
        <v>2100</v>
      </c>
      <c r="O55" s="4" t="n">
        <v>2200</v>
      </c>
    </row>
    <row r="56" customFormat="false" ht="15" hidden="false" customHeight="false" outlineLevel="0" collapsed="false">
      <c r="B56" s="40" t="s">
        <v>43</v>
      </c>
      <c r="C56" s="41"/>
      <c r="D56" s="41" t="n">
        <f aca="false">C48</f>
        <v>32</v>
      </c>
      <c r="E56" s="41" t="n">
        <f aca="false">D56</f>
        <v>32</v>
      </c>
      <c r="F56" s="41" t="n">
        <f aca="false">E56</f>
        <v>32</v>
      </c>
      <c r="G56" s="41" t="n">
        <f aca="false">F56</f>
        <v>32</v>
      </c>
      <c r="H56" s="41" t="n">
        <f aca="false">G56</f>
        <v>32</v>
      </c>
      <c r="I56" s="41" t="n">
        <f aca="false">H56</f>
        <v>32</v>
      </c>
      <c r="J56" s="41" t="n">
        <f aca="false">I56</f>
        <v>32</v>
      </c>
      <c r="K56" s="41" t="n">
        <f aca="false">J56</f>
        <v>32</v>
      </c>
      <c r="L56" s="41" t="n">
        <f aca="false">K56</f>
        <v>32</v>
      </c>
      <c r="M56" s="41" t="n">
        <f aca="false">L56</f>
        <v>32</v>
      </c>
      <c r="N56" s="41" t="n">
        <f aca="false">M56</f>
        <v>32</v>
      </c>
      <c r="O56" s="41" t="n">
        <f aca="false">N56</f>
        <v>32</v>
      </c>
    </row>
    <row r="59" customFormat="false" ht="15" hidden="false" customHeight="false" outlineLevel="0" collapsed="false">
      <c r="B59" s="42" t="s">
        <v>44</v>
      </c>
      <c r="C59" s="42"/>
      <c r="D59" s="42"/>
      <c r="E59" s="42"/>
      <c r="F59" s="42"/>
      <c r="G59" s="42"/>
      <c r="H59" s="42"/>
    </row>
    <row r="60" customFormat="false" ht="26.5" hidden="false" customHeight="false" outlineLevel="0" collapsed="false">
      <c r="B60" s="43" t="s">
        <v>45</v>
      </c>
      <c r="C60" s="44" t="s">
        <v>46</v>
      </c>
      <c r="D60" s="44" t="s">
        <v>47</v>
      </c>
      <c r="E60" s="44" t="s">
        <v>48</v>
      </c>
      <c r="F60" s="44" t="s">
        <v>49</v>
      </c>
      <c r="G60" s="44" t="s">
        <v>50</v>
      </c>
      <c r="H60" s="44" t="s">
        <v>51</v>
      </c>
    </row>
    <row r="61" customFormat="false" ht="15" hidden="false" customHeight="false" outlineLevel="0" collapsed="false">
      <c r="B61" s="45" t="str">
        <f aca="false">'parte 1'!B5</f>
        <v>Contrucción De La Planta De Procesamiento</v>
      </c>
      <c r="C61" s="46" t="n">
        <f aca="false">'parte 1'!C5</f>
        <v>180000</v>
      </c>
      <c r="D61" s="46" t="n">
        <v>30</v>
      </c>
      <c r="E61" s="46" t="n">
        <f aca="false">C61*(1/D61)</f>
        <v>6000</v>
      </c>
      <c r="F61" s="46" t="n">
        <f aca="false">E61</f>
        <v>6000</v>
      </c>
      <c r="G61" s="46" t="n">
        <f aca="false">E61*12</f>
        <v>72000</v>
      </c>
      <c r="H61" s="46" t="n">
        <f aca="false">C61-G61</f>
        <v>108000</v>
      </c>
    </row>
    <row r="62" customFormat="false" ht="15" hidden="false" customHeight="false" outlineLevel="0" collapsed="false">
      <c r="B62" s="45" t="str">
        <f aca="false">'parte 1'!B6</f>
        <v>Adquisión E Instalación De Maquinarias Y Equipos</v>
      </c>
      <c r="C62" s="46" t="n">
        <f aca="false">'parte 1'!C6</f>
        <v>90000</v>
      </c>
      <c r="D62" s="46" t="n">
        <v>8</v>
      </c>
      <c r="E62" s="46" t="n">
        <f aca="false">C62*(1/D62)</f>
        <v>11250</v>
      </c>
      <c r="F62" s="46" t="n">
        <f aca="false">E62</f>
        <v>11250</v>
      </c>
      <c r="G62" s="46" t="n">
        <f aca="false">E62*12</f>
        <v>135000</v>
      </c>
      <c r="H62" s="46" t="n">
        <f aca="false">C62-G62</f>
        <v>-45000</v>
      </c>
    </row>
    <row r="63" customFormat="false" ht="15" hidden="false" customHeight="false" outlineLevel="0" collapsed="false">
      <c r="B63" s="45" t="str">
        <f aca="false">B8</f>
        <v>Camioneta De Reparto ( 3tn)</v>
      </c>
      <c r="C63" s="46" t="n">
        <f aca="false">C8</f>
        <v>150000</v>
      </c>
      <c r="D63" s="46" t="n">
        <v>5</v>
      </c>
      <c r="E63" s="46" t="n">
        <f aca="false">C63*(1/D63)</f>
        <v>30000</v>
      </c>
      <c r="F63" s="46" t="n">
        <f aca="false">E63</f>
        <v>30000</v>
      </c>
      <c r="G63" s="46" t="n">
        <f aca="false">E63*12</f>
        <v>360000</v>
      </c>
      <c r="H63" s="46" t="n">
        <f aca="false">C63-G63</f>
        <v>-210000</v>
      </c>
    </row>
    <row r="64" customFormat="false" ht="15" hidden="false" customHeight="false" outlineLevel="0" collapsed="false">
      <c r="B64" s="45" t="str">
        <f aca="false">B7</f>
        <v>Equipo De Oficina Y Comunicación</v>
      </c>
      <c r="C64" s="46" t="n">
        <f aca="false">C7</f>
        <v>7000</v>
      </c>
      <c r="D64" s="46" t="n">
        <v>4</v>
      </c>
      <c r="E64" s="46" t="n">
        <f aca="false">C64*(1/D64)</f>
        <v>1750</v>
      </c>
      <c r="F64" s="46" t="n">
        <f aca="false">E64</f>
        <v>1750</v>
      </c>
      <c r="G64" s="46" t="n">
        <f aca="false">E64*12</f>
        <v>21000</v>
      </c>
      <c r="H64" s="46" t="n">
        <f aca="false">C64-G64</f>
        <v>-14000</v>
      </c>
    </row>
    <row r="65" customFormat="false" ht="15" hidden="false" customHeight="false" outlineLevel="0" collapsed="false">
      <c r="B65" s="47" t="s">
        <v>52</v>
      </c>
      <c r="C65" s="47"/>
      <c r="D65" s="48"/>
      <c r="E65" s="48" t="n">
        <f aca="false">SUM(E61:E64)</f>
        <v>49000</v>
      </c>
      <c r="F65" s="48" t="n">
        <f aca="false">SUM(F61:F64)</f>
        <v>49000</v>
      </c>
      <c r="G65" s="48" t="n">
        <f aca="false">SUM(G61:G64)</f>
        <v>588000</v>
      </c>
      <c r="H65" s="48" t="n">
        <f aca="false">SUM(H61:H64)</f>
        <v>-161000</v>
      </c>
    </row>
    <row r="69" customFormat="false" ht="15" hidden="false" customHeight="false" outlineLevel="0" collapsed="false">
      <c r="A69" s="45"/>
      <c r="B69" s="0" t="s">
        <v>53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1" customFormat="false" ht="15" hidden="false" customHeight="false" outlineLevel="0" collapsed="false">
      <c r="B71" s="1" t="s">
        <v>54</v>
      </c>
    </row>
    <row r="73" customFormat="false" ht="15" hidden="false" customHeight="false" outlineLevel="0" collapsed="false">
      <c r="B73" s="1" t="s">
        <v>55</v>
      </c>
      <c r="C73" s="1" t="n">
        <f aca="false">H26+F41</f>
        <v>29811.7</v>
      </c>
    </row>
    <row r="75" customFormat="false" ht="15" hidden="false" customHeight="false" outlineLevel="0" collapsed="false">
      <c r="B75" s="1" t="s">
        <v>56</v>
      </c>
    </row>
    <row r="77" customFormat="false" ht="15" hidden="false" customHeight="false" outlineLevel="0" collapsed="false">
      <c r="B77" s="3" t="s">
        <v>1</v>
      </c>
      <c r="C77" s="39" t="n">
        <v>0</v>
      </c>
      <c r="D77" s="39" t="n">
        <v>1</v>
      </c>
      <c r="E77" s="39" t="n">
        <v>2</v>
      </c>
      <c r="F77" s="39" t="n">
        <v>3</v>
      </c>
      <c r="G77" s="39" t="n">
        <v>4</v>
      </c>
      <c r="H77" s="39" t="n">
        <v>5</v>
      </c>
      <c r="I77" s="39" t="n">
        <v>6</v>
      </c>
      <c r="J77" s="39" t="n">
        <v>7</v>
      </c>
      <c r="K77" s="39" t="n">
        <v>8</v>
      </c>
      <c r="L77" s="39" t="n">
        <v>9</v>
      </c>
      <c r="M77" s="39" t="n">
        <v>10</v>
      </c>
      <c r="N77" s="39" t="n">
        <v>11</v>
      </c>
      <c r="O77" s="39" t="n">
        <v>12</v>
      </c>
      <c r="P77" s="1" t="s">
        <v>57</v>
      </c>
    </row>
    <row r="78" customFormat="false" ht="15" hidden="false" customHeight="false" outlineLevel="0" collapsed="false">
      <c r="B78" s="1" t="s">
        <v>58</v>
      </c>
      <c r="C78" s="4"/>
      <c r="D78" s="4" t="n">
        <f aca="false">D55*D56</f>
        <v>38400</v>
      </c>
      <c r="E78" s="4" t="n">
        <f aca="false">E55*E56</f>
        <v>44800</v>
      </c>
      <c r="F78" s="4" t="n">
        <f aca="false">F55*F56</f>
        <v>48000</v>
      </c>
      <c r="G78" s="4" t="n">
        <f aca="false">G55*G56</f>
        <v>544000</v>
      </c>
      <c r="H78" s="4" t="n">
        <f aca="false">H55*H56</f>
        <v>57600</v>
      </c>
      <c r="I78" s="4" t="n">
        <f aca="false">I55*I56</f>
        <v>57600</v>
      </c>
      <c r="J78" s="4" t="n">
        <f aca="false">J55*J56</f>
        <v>54400</v>
      </c>
      <c r="K78" s="4" t="n">
        <f aca="false">K55*K56</f>
        <v>51200</v>
      </c>
      <c r="L78" s="4" t="n">
        <f aca="false">L55*L56</f>
        <v>60800</v>
      </c>
      <c r="M78" s="4" t="n">
        <f aca="false">M55*M56</f>
        <v>64000</v>
      </c>
      <c r="N78" s="4" t="n">
        <f aca="false">N55*N56</f>
        <v>67200</v>
      </c>
      <c r="O78" s="4" t="n">
        <f aca="false">O55*O56</f>
        <v>70400</v>
      </c>
      <c r="P78" s="1" t="n">
        <f aca="false">SUM(D78:O78)</f>
        <v>1158400</v>
      </c>
    </row>
    <row r="80" customFormat="false" ht="15" hidden="false" customHeight="false" outlineLevel="0" collapsed="false">
      <c r="B80" s="1" t="s">
        <v>59</v>
      </c>
    </row>
    <row r="82" customFormat="false" ht="15" hidden="false" customHeight="false" outlineLevel="0" collapsed="false">
      <c r="B82" s="1" t="s">
        <v>60</v>
      </c>
    </row>
    <row r="85" customFormat="false" ht="15" hidden="false" customHeight="false" outlineLevel="0" collapsed="false">
      <c r="B85" s="49" t="s">
        <v>61</v>
      </c>
      <c r="C85" s="50" t="s">
        <v>62</v>
      </c>
      <c r="D85" s="50" t="s">
        <v>63</v>
      </c>
      <c r="E85" s="50" t="s">
        <v>64</v>
      </c>
      <c r="F85" s="50" t="s">
        <v>65</v>
      </c>
      <c r="G85" s="0"/>
    </row>
    <row r="86" customFormat="false" ht="15" hidden="false" customHeight="false" outlineLevel="0" collapsed="false">
      <c r="B86" s="51" t="s">
        <v>66</v>
      </c>
      <c r="C86" s="52" t="n">
        <v>15</v>
      </c>
      <c r="D86" s="52" t="n">
        <f aca="false">C86</f>
        <v>15</v>
      </c>
      <c r="E86" s="52" t="n">
        <f aca="false">D86</f>
        <v>15</v>
      </c>
      <c r="F86" s="52" t="n">
        <f aca="false">E86</f>
        <v>15</v>
      </c>
      <c r="G86" s="0"/>
    </row>
    <row r="87" customFormat="false" ht="15" hidden="false" customHeight="false" outlineLevel="0" collapsed="false">
      <c r="B87" s="51" t="s">
        <v>67</v>
      </c>
      <c r="C87" s="52" t="n">
        <v>150</v>
      </c>
      <c r="D87" s="52" t="n">
        <f aca="false">C87</f>
        <v>150</v>
      </c>
      <c r="E87" s="52" t="n">
        <f aca="false">D87</f>
        <v>150</v>
      </c>
      <c r="F87" s="52" t="n">
        <f aca="false">E87</f>
        <v>150</v>
      </c>
      <c r="G87" s="0"/>
    </row>
    <row r="88" customFormat="false" ht="15" hidden="false" customHeight="false" outlineLevel="0" collapsed="false">
      <c r="B88" s="51" t="s">
        <v>68</v>
      </c>
      <c r="C88" s="52" t="n">
        <v>60</v>
      </c>
      <c r="D88" s="52" t="n">
        <f aca="false">C88</f>
        <v>60</v>
      </c>
      <c r="E88" s="52" t="n">
        <f aca="false">D88</f>
        <v>60</v>
      </c>
      <c r="F88" s="52" t="n">
        <f aca="false">E88</f>
        <v>60</v>
      </c>
      <c r="G88" s="0"/>
    </row>
    <row r="89" customFormat="false" ht="15" hidden="false" customHeight="false" outlineLevel="0" collapsed="false">
      <c r="B89" s="53" t="s">
        <v>69</v>
      </c>
      <c r="C89" s="54" t="n">
        <v>90</v>
      </c>
      <c r="D89" s="52" t="n">
        <f aca="false">C89</f>
        <v>90</v>
      </c>
      <c r="E89" s="52" t="n">
        <f aca="false">D89</f>
        <v>90</v>
      </c>
      <c r="F89" s="52" t="n">
        <f aca="false">E89</f>
        <v>90</v>
      </c>
      <c r="G89" s="0"/>
    </row>
    <row r="90" customFormat="false" ht="15" hidden="false" customHeight="false" outlineLevel="0" collapsed="false">
      <c r="B90" s="0"/>
      <c r="C90" s="0"/>
      <c r="D90" s="0"/>
      <c r="E90" s="0"/>
      <c r="F90" s="0"/>
      <c r="G90" s="0"/>
    </row>
    <row r="91" customFormat="false" ht="15" hidden="false" customHeight="false" outlineLevel="0" collapsed="false">
      <c r="B91" s="55" t="s">
        <v>70</v>
      </c>
      <c r="C91" s="55"/>
      <c r="D91" s="0"/>
      <c r="E91" s="0"/>
      <c r="F91" s="0"/>
      <c r="G91" s="0"/>
    </row>
    <row r="92" customFormat="false" ht="15" hidden="false" customHeight="false" outlineLevel="0" collapsed="false">
      <c r="B92" s="0"/>
      <c r="C92" s="0"/>
      <c r="D92" s="0"/>
      <c r="E92" s="0"/>
      <c r="F92" s="0"/>
      <c r="G92" s="0"/>
    </row>
    <row r="93" customFormat="false" ht="15" hidden="false" customHeight="false" outlineLevel="0" collapsed="false">
      <c r="B93" s="56" t="s">
        <v>61</v>
      </c>
      <c r="C93" s="50" t="s">
        <v>62</v>
      </c>
      <c r="D93" s="50" t="s">
        <v>63</v>
      </c>
      <c r="E93" s="50" t="s">
        <v>64</v>
      </c>
      <c r="F93" s="50" t="s">
        <v>65</v>
      </c>
      <c r="G93" s="0"/>
    </row>
    <row r="94" customFormat="false" ht="15" hidden="false" customHeight="false" outlineLevel="0" collapsed="false">
      <c r="B94" s="51" t="s">
        <v>71</v>
      </c>
      <c r="C94" s="52" t="n">
        <f aca="false">P78</f>
        <v>1158400</v>
      </c>
      <c r="D94" s="52" t="n">
        <f aca="false">C94</f>
        <v>1158400</v>
      </c>
      <c r="E94" s="52" t="n">
        <f aca="false">D94</f>
        <v>1158400</v>
      </c>
      <c r="F94" s="52" t="n">
        <f aca="false">E94</f>
        <v>1158400</v>
      </c>
      <c r="G94" s="0"/>
    </row>
    <row r="95" customFormat="false" ht="15" hidden="false" customHeight="false" outlineLevel="0" collapsed="false">
      <c r="B95" s="51" t="s">
        <v>72</v>
      </c>
      <c r="C95" s="57" t="n">
        <v>0.65</v>
      </c>
      <c r="D95" s="57" t="n">
        <v>0.65</v>
      </c>
      <c r="E95" s="57" t="n">
        <v>0.65</v>
      </c>
      <c r="F95" s="57" t="n">
        <v>0.66</v>
      </c>
      <c r="G95" s="0"/>
    </row>
    <row r="96" customFormat="false" ht="15" hidden="false" customHeight="false" outlineLevel="0" collapsed="false">
      <c r="B96" s="51" t="s">
        <v>73</v>
      </c>
      <c r="C96" s="57" t="n">
        <v>0.15</v>
      </c>
      <c r="D96" s="57" t="n">
        <v>0.15</v>
      </c>
      <c r="E96" s="57" t="n">
        <v>0.15</v>
      </c>
      <c r="F96" s="57" t="n">
        <v>0.16</v>
      </c>
      <c r="G96" s="0"/>
    </row>
    <row r="97" customFormat="false" ht="15" hidden="false" customHeight="false" outlineLevel="0" collapsed="false">
      <c r="B97" s="53" t="s">
        <v>74</v>
      </c>
      <c r="C97" s="58" t="n">
        <f aca="false">G65</f>
        <v>588000</v>
      </c>
      <c r="D97" s="58" t="n">
        <f aca="false">C97</f>
        <v>588000</v>
      </c>
      <c r="E97" s="58" t="n">
        <f aca="false">D97</f>
        <v>588000</v>
      </c>
      <c r="F97" s="58" t="n">
        <f aca="false">E97</f>
        <v>588000</v>
      </c>
      <c r="G97" s="0"/>
    </row>
    <row r="98" customFormat="false" ht="15" hidden="false" customHeight="false" outlineLevel="0" collapsed="false">
      <c r="B98" s="0"/>
      <c r="C98" s="0"/>
      <c r="D98" s="0"/>
      <c r="E98" s="0"/>
      <c r="F98" s="0"/>
      <c r="G98" s="0"/>
    </row>
    <row r="99" customFormat="false" ht="15" hidden="false" customHeight="false" outlineLevel="0" collapsed="false">
      <c r="B99" s="59" t="s">
        <v>75</v>
      </c>
      <c r="C99" s="0"/>
      <c r="D99" s="0"/>
      <c r="E99" s="0"/>
      <c r="F99" s="0"/>
      <c r="G99" s="0"/>
    </row>
    <row r="100" customFormat="false" ht="15" hidden="false" customHeight="false" outlineLevel="0" collapsed="false">
      <c r="B100" s="0"/>
      <c r="C100" s="0"/>
      <c r="D100" s="0"/>
      <c r="E100" s="0"/>
      <c r="F100" s="0"/>
      <c r="G100" s="0"/>
    </row>
    <row r="101" customFormat="false" ht="15" hidden="false" customHeight="false" outlineLevel="0" collapsed="false">
      <c r="B101" s="60" t="s">
        <v>76</v>
      </c>
      <c r="C101" s="0"/>
      <c r="D101" s="0"/>
      <c r="E101" s="0"/>
      <c r="F101" s="0"/>
      <c r="G101" s="0"/>
    </row>
    <row r="102" customFormat="false" ht="15" hidden="false" customHeight="false" outlineLevel="0" collapsed="false">
      <c r="B102" s="0"/>
      <c r="C102" s="0"/>
      <c r="D102" s="0"/>
      <c r="E102" s="0"/>
      <c r="F102" s="0"/>
      <c r="G102" s="0"/>
    </row>
    <row r="103" customFormat="false" ht="15" hidden="false" customHeight="false" outlineLevel="0" collapsed="false">
      <c r="B103" s="61" t="s">
        <v>77</v>
      </c>
      <c r="C103" s="62" t="s">
        <v>78</v>
      </c>
      <c r="D103" s="59" t="s">
        <v>79</v>
      </c>
      <c r="E103" s="0"/>
      <c r="F103" s="0"/>
      <c r="G103" s="0"/>
    </row>
    <row r="104" customFormat="false" ht="15" hidden="false" customHeight="false" outlineLevel="0" collapsed="false">
      <c r="B104" s="59"/>
      <c r="C104" s="63" t="n">
        <v>360</v>
      </c>
      <c r="D104" s="59"/>
      <c r="E104" s="0"/>
      <c r="F104" s="0"/>
      <c r="G104" s="0"/>
    </row>
    <row r="105" customFormat="false" ht="15" hidden="false" customHeight="false" outlineLevel="0" collapsed="false">
      <c r="B105" s="0"/>
      <c r="C105" s="0"/>
      <c r="D105" s="0"/>
      <c r="E105" s="0"/>
      <c r="F105" s="0"/>
      <c r="G105" s="0"/>
    </row>
    <row r="106" customFormat="false" ht="15" hidden="false" customHeight="false" outlineLevel="0" collapsed="false">
      <c r="B106" s="64" t="s">
        <v>77</v>
      </c>
      <c r="C106" s="65" t="n">
        <f aca="false">C94*C86/360</f>
        <v>48266.6666666667</v>
      </c>
      <c r="D106" s="0" t="s">
        <v>80</v>
      </c>
      <c r="E106" s="0"/>
      <c r="F106" s="0"/>
      <c r="G106" s="0"/>
    </row>
    <row r="107" customFormat="false" ht="15" hidden="false" customHeight="false" outlineLevel="0" collapsed="false">
      <c r="B107" s="64" t="s">
        <v>81</v>
      </c>
      <c r="C107" s="66" t="n">
        <f aca="false">D94*D86/360</f>
        <v>48266.6666666667</v>
      </c>
      <c r="D107" s="0" t="s">
        <v>80</v>
      </c>
      <c r="E107" s="0"/>
      <c r="F107" s="0"/>
      <c r="G107" s="0"/>
    </row>
    <row r="108" customFormat="false" ht="15" hidden="false" customHeight="false" outlineLevel="0" collapsed="false">
      <c r="B108" s="64" t="s">
        <v>82</v>
      </c>
      <c r="C108" s="65" t="n">
        <f aca="false">E94*E86/360</f>
        <v>48266.6666666667</v>
      </c>
      <c r="D108" s="0" t="s">
        <v>80</v>
      </c>
      <c r="E108" s="0"/>
      <c r="F108" s="0"/>
      <c r="G108" s="0"/>
    </row>
    <row r="109" customFormat="false" ht="15" hidden="false" customHeight="false" outlineLevel="0" collapsed="false">
      <c r="B109" s="0"/>
      <c r="C109" s="0"/>
      <c r="D109" s="0"/>
      <c r="E109" s="0"/>
      <c r="F109" s="0"/>
      <c r="G109" s="0"/>
    </row>
    <row r="110" customFormat="false" ht="15" hidden="false" customHeight="false" outlineLevel="0" collapsed="false">
      <c r="B110" s="60" t="s">
        <v>83</v>
      </c>
      <c r="C110" s="0"/>
      <c r="D110" s="0"/>
      <c r="E110" s="0"/>
      <c r="F110" s="0"/>
      <c r="G110" s="0"/>
    </row>
    <row r="111" customFormat="false" ht="15" hidden="false" customHeight="false" outlineLevel="0" collapsed="false">
      <c r="B111" s="0"/>
      <c r="C111" s="0"/>
      <c r="D111" s="0"/>
      <c r="E111" s="0"/>
      <c r="F111" s="0"/>
      <c r="G111" s="0"/>
    </row>
    <row r="112" customFormat="false" ht="15" hidden="false" customHeight="false" outlineLevel="0" collapsed="false">
      <c r="B112" s="64" t="s">
        <v>84</v>
      </c>
      <c r="C112" s="67" t="s">
        <v>85</v>
      </c>
      <c r="D112" s="0" t="s">
        <v>86</v>
      </c>
      <c r="E112" s="0"/>
      <c r="F112" s="0"/>
      <c r="G112" s="0"/>
    </row>
    <row r="113" customFormat="false" ht="15" hidden="false" customHeight="false" outlineLevel="0" collapsed="false">
      <c r="B113" s="0"/>
      <c r="C113" s="0" t="s">
        <v>87</v>
      </c>
      <c r="D113" s="0"/>
      <c r="E113" s="0"/>
      <c r="F113" s="0"/>
      <c r="G113" s="0"/>
    </row>
    <row r="114" customFormat="false" ht="15" hidden="false" customHeight="false" outlineLevel="0" collapsed="false">
      <c r="B114" s="0"/>
      <c r="C114" s="0"/>
      <c r="D114" s="0"/>
      <c r="E114" s="0"/>
      <c r="F114" s="0"/>
      <c r="G114" s="0"/>
    </row>
    <row r="115" customFormat="false" ht="15" hidden="false" customHeight="false" outlineLevel="0" collapsed="false">
      <c r="B115" s="61" t="s">
        <v>88</v>
      </c>
      <c r="C115" s="68" t="s">
        <v>89</v>
      </c>
      <c r="D115" s="0"/>
      <c r="E115" s="0"/>
      <c r="F115" s="0"/>
      <c r="G115" s="0"/>
    </row>
    <row r="116" customFormat="false" ht="15" hidden="false" customHeight="false" outlineLevel="0" collapsed="false">
      <c r="B116" s="59"/>
      <c r="C116" s="69" t="n">
        <v>360</v>
      </c>
      <c r="D116" s="0"/>
      <c r="E116" s="0"/>
      <c r="F116" s="0"/>
      <c r="G116" s="0"/>
    </row>
    <row r="117" customFormat="false" ht="15" hidden="false" customHeight="false" outlineLevel="0" collapsed="false">
      <c r="B117" s="0"/>
      <c r="C117" s="0"/>
      <c r="D117" s="0"/>
      <c r="E117" s="0"/>
      <c r="F117" s="0"/>
      <c r="G117" s="0"/>
    </row>
    <row r="118" customFormat="false" ht="15" hidden="false" customHeight="false" outlineLevel="0" collapsed="false">
      <c r="B118" s="64" t="s">
        <v>57</v>
      </c>
      <c r="C118" s="65" t="n">
        <f aca="false">C87*C94/360</f>
        <v>482666.666666667</v>
      </c>
      <c r="D118" s="0" t="s">
        <v>80</v>
      </c>
      <c r="E118" s="0"/>
      <c r="F118" s="0"/>
      <c r="G118" s="0"/>
    </row>
    <row r="119" customFormat="false" ht="15" hidden="false" customHeight="false" outlineLevel="0" collapsed="false">
      <c r="B119" s="64" t="s">
        <v>63</v>
      </c>
      <c r="C119" s="66" t="n">
        <f aca="false">D87*D94/360</f>
        <v>482666.666666667</v>
      </c>
      <c r="D119" s="0" t="s">
        <v>80</v>
      </c>
      <c r="E119" s="0"/>
      <c r="F119" s="0"/>
      <c r="G119" s="0"/>
    </row>
    <row r="120" customFormat="false" ht="15" hidden="false" customHeight="false" outlineLevel="0" collapsed="false">
      <c r="B120" s="64" t="s">
        <v>64</v>
      </c>
      <c r="C120" s="65" t="n">
        <f aca="false">E87*E94/360</f>
        <v>482666.666666667</v>
      </c>
      <c r="D120" s="0" t="s">
        <v>80</v>
      </c>
      <c r="E120" s="0"/>
      <c r="F120" s="0"/>
      <c r="G120" s="0"/>
    </row>
    <row r="121" customFormat="false" ht="15" hidden="false" customHeight="false" outlineLevel="0" collapsed="false">
      <c r="B121" s="0"/>
      <c r="C121" s="0"/>
      <c r="D121" s="0"/>
      <c r="E121" s="0"/>
      <c r="F121" s="0"/>
      <c r="G121" s="0"/>
    </row>
    <row r="122" customFormat="false" ht="15" hidden="false" customHeight="false" outlineLevel="0" collapsed="false">
      <c r="B122" s="60" t="s">
        <v>90</v>
      </c>
      <c r="C122" s="0"/>
      <c r="D122" s="0"/>
      <c r="E122" s="0"/>
      <c r="F122" s="0"/>
      <c r="G122" s="0"/>
    </row>
    <row r="123" customFormat="false" ht="15" hidden="false" customHeight="false" outlineLevel="0" collapsed="false">
      <c r="B123" s="0"/>
      <c r="C123" s="0"/>
      <c r="D123" s="0"/>
      <c r="E123" s="0"/>
      <c r="F123" s="0"/>
      <c r="G123" s="0"/>
    </row>
    <row r="124" customFormat="false" ht="15" hidden="false" customHeight="false" outlineLevel="0" collapsed="false">
      <c r="B124" s="64" t="s">
        <v>91</v>
      </c>
      <c r="C124" s="67" t="s">
        <v>92</v>
      </c>
      <c r="D124" s="0" t="s">
        <v>86</v>
      </c>
      <c r="E124" s="0"/>
      <c r="F124" s="0"/>
      <c r="G124" s="0"/>
    </row>
    <row r="125" customFormat="false" ht="15" hidden="false" customHeight="false" outlineLevel="0" collapsed="false">
      <c r="B125" s="0"/>
      <c r="C125" s="0" t="s">
        <v>93</v>
      </c>
      <c r="D125" s="0"/>
      <c r="E125" s="0"/>
      <c r="F125" s="0"/>
      <c r="G125" s="0"/>
    </row>
    <row r="126" customFormat="false" ht="15" hidden="false" customHeight="false" outlineLevel="0" collapsed="false">
      <c r="B126" s="0"/>
      <c r="C126" s="0"/>
      <c r="D126" s="0"/>
      <c r="E126" s="0"/>
      <c r="F126" s="0"/>
      <c r="G126" s="0"/>
    </row>
    <row r="127" customFormat="false" ht="15" hidden="false" customHeight="false" outlineLevel="0" collapsed="false">
      <c r="B127" s="61" t="s">
        <v>94</v>
      </c>
      <c r="C127" s="68" t="s">
        <v>95</v>
      </c>
      <c r="D127" s="0"/>
      <c r="E127" s="0"/>
      <c r="F127" s="0"/>
      <c r="G127" s="0"/>
    </row>
    <row r="128" customFormat="false" ht="15" hidden="false" customHeight="false" outlineLevel="0" collapsed="false">
      <c r="B128" s="59"/>
      <c r="C128" s="69" t="n">
        <v>360</v>
      </c>
      <c r="D128" s="0"/>
      <c r="E128" s="0"/>
      <c r="F128" s="0"/>
      <c r="G128" s="0"/>
    </row>
    <row r="129" customFormat="false" ht="15" hidden="false" customHeight="false" outlineLevel="0" collapsed="false">
      <c r="B129" s="0"/>
      <c r="C129" s="0"/>
      <c r="D129" s="0"/>
      <c r="E129" s="0"/>
      <c r="F129" s="0"/>
      <c r="G129" s="0"/>
    </row>
    <row r="130" customFormat="false" ht="15" hidden="false" customHeight="false" outlineLevel="0" collapsed="false">
      <c r="B130" s="64" t="s">
        <v>96</v>
      </c>
      <c r="C130" s="66" t="n">
        <f aca="false">C88*C94*C95/360</f>
        <v>125493.333333333</v>
      </c>
      <c r="D130" s="0" t="s">
        <v>80</v>
      </c>
      <c r="E130" s="0"/>
      <c r="F130" s="0"/>
      <c r="G130" s="0"/>
    </row>
    <row r="131" customFormat="false" ht="15" hidden="false" customHeight="false" outlineLevel="0" collapsed="false">
      <c r="B131" s="64" t="s">
        <v>81</v>
      </c>
      <c r="C131" s="65" t="n">
        <f aca="false">D88*D94*D95/360</f>
        <v>125493.333333333</v>
      </c>
      <c r="D131" s="0" t="s">
        <v>80</v>
      </c>
      <c r="E131" s="0"/>
      <c r="F131" s="0"/>
      <c r="G131" s="0"/>
    </row>
    <row r="132" customFormat="false" ht="15" hidden="false" customHeight="false" outlineLevel="0" collapsed="false">
      <c r="B132" s="64" t="s">
        <v>97</v>
      </c>
      <c r="C132" s="65" t="n">
        <f aca="false">E88*E94*E95/360</f>
        <v>125493.333333333</v>
      </c>
      <c r="D132" s="0" t="s">
        <v>80</v>
      </c>
      <c r="E132" s="0"/>
      <c r="F132" s="0"/>
      <c r="G132" s="0"/>
    </row>
    <row r="133" customFormat="false" ht="15" hidden="false" customHeight="false" outlineLevel="0" collapsed="false">
      <c r="B133" s="0"/>
      <c r="C133" s="0"/>
      <c r="D133" s="0"/>
      <c r="E133" s="0"/>
      <c r="F133" s="0"/>
      <c r="G133" s="0"/>
    </row>
    <row r="134" customFormat="false" ht="15" hidden="false" customHeight="false" outlineLevel="0" collapsed="false">
      <c r="B134" s="60" t="s">
        <v>98</v>
      </c>
      <c r="C134" s="0"/>
      <c r="D134" s="0"/>
      <c r="E134" s="0"/>
      <c r="F134" s="0"/>
      <c r="G134" s="0"/>
    </row>
    <row r="135" customFormat="false" ht="15" hidden="false" customHeight="false" outlineLevel="0" collapsed="false">
      <c r="B135" s="0"/>
      <c r="C135" s="0"/>
      <c r="D135" s="0"/>
      <c r="E135" s="0"/>
      <c r="F135" s="0"/>
      <c r="G135" s="0"/>
    </row>
    <row r="136" customFormat="false" ht="15" hidden="false" customHeight="false" outlineLevel="0" collapsed="false">
      <c r="B136" s="64" t="s">
        <v>99</v>
      </c>
      <c r="C136" s="67" t="s">
        <v>100</v>
      </c>
      <c r="D136" s="0" t="s">
        <v>101</v>
      </c>
      <c r="E136" s="0"/>
      <c r="F136" s="0"/>
      <c r="G136" s="0"/>
    </row>
    <row r="137" customFormat="false" ht="15" hidden="false" customHeight="false" outlineLevel="0" collapsed="false">
      <c r="B137" s="0"/>
      <c r="C137" s="0" t="s">
        <v>93</v>
      </c>
      <c r="D137" s="0"/>
      <c r="E137" s="0"/>
      <c r="F137" s="0"/>
      <c r="G137" s="0"/>
    </row>
    <row r="138" customFormat="false" ht="15" hidden="false" customHeight="false" outlineLevel="0" collapsed="false">
      <c r="B138" s="0"/>
      <c r="C138" s="0"/>
      <c r="D138" s="0"/>
      <c r="E138" s="0"/>
      <c r="F138" s="0"/>
      <c r="G138" s="0"/>
    </row>
    <row r="139" customFormat="false" ht="15" hidden="false" customHeight="false" outlineLevel="0" collapsed="false">
      <c r="B139" s="61" t="s">
        <v>102</v>
      </c>
      <c r="C139" s="68" t="s">
        <v>103</v>
      </c>
      <c r="D139" s="0"/>
      <c r="E139" s="0"/>
      <c r="F139" s="0"/>
      <c r="G139" s="0"/>
    </row>
    <row r="140" customFormat="false" ht="15" hidden="false" customHeight="false" outlineLevel="0" collapsed="false">
      <c r="B140" s="69"/>
      <c r="C140" s="69" t="n">
        <v>360</v>
      </c>
      <c r="D140" s="0"/>
      <c r="E140" s="0"/>
      <c r="F140" s="0"/>
      <c r="G140" s="0"/>
    </row>
    <row r="141" customFormat="false" ht="15" hidden="false" customHeight="false" outlineLevel="0" collapsed="false">
      <c r="B141" s="0"/>
      <c r="C141" s="0"/>
      <c r="D141" s="0"/>
      <c r="E141" s="0"/>
      <c r="F141" s="0"/>
      <c r="G141" s="0"/>
    </row>
    <row r="142" customFormat="false" ht="15" hidden="false" customHeight="false" outlineLevel="0" collapsed="false">
      <c r="B142" s="64" t="s">
        <v>96</v>
      </c>
      <c r="C142" s="65" t="n">
        <f aca="false">C89*C94*C95/360</f>
        <v>188240</v>
      </c>
      <c r="D142" s="0" t="s">
        <v>80</v>
      </c>
      <c r="E142" s="0"/>
      <c r="F142" s="0"/>
      <c r="G142" s="0"/>
    </row>
    <row r="143" customFormat="false" ht="15" hidden="false" customHeight="false" outlineLevel="0" collapsed="false">
      <c r="B143" s="64" t="s">
        <v>81</v>
      </c>
      <c r="C143" s="65" t="n">
        <f aca="false">D89*D94*D95/360</f>
        <v>188240</v>
      </c>
      <c r="D143" s="0" t="s">
        <v>80</v>
      </c>
      <c r="E143" s="0"/>
      <c r="F143" s="0"/>
      <c r="G143" s="0"/>
    </row>
    <row r="144" customFormat="false" ht="15" hidden="false" customHeight="false" outlineLevel="0" collapsed="false">
      <c r="B144" s="64" t="s">
        <v>97</v>
      </c>
      <c r="C144" s="65" t="n">
        <f aca="false">E89*E94*E95/360</f>
        <v>188240</v>
      </c>
      <c r="D144" s="0" t="s">
        <v>80</v>
      </c>
      <c r="E144" s="0"/>
      <c r="F144" s="0"/>
      <c r="G144" s="0"/>
    </row>
    <row r="145" customFormat="false" ht="15" hidden="false" customHeight="false" outlineLevel="0" collapsed="false">
      <c r="B145" s="0"/>
      <c r="C145" s="0"/>
      <c r="D145" s="0"/>
      <c r="E145" s="0"/>
      <c r="F145" s="0"/>
      <c r="G145" s="0"/>
    </row>
    <row r="146" customFormat="false" ht="15" hidden="false" customHeight="false" outlineLevel="0" collapsed="false">
      <c r="B146" s="0"/>
      <c r="C146" s="0"/>
      <c r="D146" s="0"/>
      <c r="E146" s="0"/>
      <c r="F146" s="0"/>
      <c r="G146" s="0"/>
    </row>
    <row r="147" customFormat="false" ht="15" hidden="false" customHeight="false" outlineLevel="0" collapsed="false">
      <c r="B147" s="70" t="s">
        <v>104</v>
      </c>
      <c r="C147" s="0"/>
      <c r="D147" s="0"/>
      <c r="E147" s="0"/>
      <c r="F147" s="0"/>
      <c r="G147" s="0"/>
    </row>
    <row r="148" customFormat="false" ht="15" hidden="false" customHeight="false" outlineLevel="0" collapsed="false">
      <c r="B148" s="71" t="s">
        <v>105</v>
      </c>
      <c r="C148" s="72" t="n">
        <f aca="false">C106</f>
        <v>48266.6666666667</v>
      </c>
      <c r="D148" s="73" t="s">
        <v>106</v>
      </c>
      <c r="E148" s="74" t="n">
        <f aca="false">C142</f>
        <v>188240</v>
      </c>
      <c r="F148" s="0"/>
      <c r="G148" s="0"/>
    </row>
    <row r="149" customFormat="false" ht="15" hidden="false" customHeight="false" outlineLevel="0" collapsed="false">
      <c r="B149" s="75" t="s">
        <v>107</v>
      </c>
      <c r="C149" s="76" t="n">
        <f aca="false">C118</f>
        <v>482666.666666667</v>
      </c>
      <c r="D149" s="51"/>
      <c r="E149" s="51"/>
      <c r="F149" s="0"/>
      <c r="G149" s="0"/>
    </row>
    <row r="150" customFormat="false" ht="15" hidden="false" customHeight="false" outlineLevel="0" collapsed="false">
      <c r="B150" s="75" t="s">
        <v>92</v>
      </c>
      <c r="C150" s="77" t="n">
        <f aca="false">C130</f>
        <v>125493.333333333</v>
      </c>
      <c r="D150" s="51"/>
      <c r="E150" s="51"/>
      <c r="F150" s="0"/>
      <c r="G150" s="0"/>
    </row>
    <row r="151" customFormat="false" ht="15" hidden="false" customHeight="false" outlineLevel="0" collapsed="false">
      <c r="B151" s="78" t="s">
        <v>108</v>
      </c>
      <c r="C151" s="79" t="n">
        <f aca="false">C148+C149+C150-E148</f>
        <v>468186.666666667</v>
      </c>
      <c r="D151" s="0"/>
      <c r="E151" s="0"/>
      <c r="F151" s="0"/>
      <c r="G151" s="0"/>
    </row>
    <row r="152" customFormat="false" ht="15" hidden="false" customHeight="false" outlineLevel="0" collapsed="false">
      <c r="B152" s="0"/>
      <c r="C152" s="0"/>
      <c r="D152" s="0"/>
      <c r="E152" s="0"/>
      <c r="F152" s="0"/>
      <c r="G152" s="0"/>
    </row>
    <row r="153" customFormat="false" ht="15" hidden="false" customHeight="false" outlineLevel="0" collapsed="false">
      <c r="B153" s="80" t="s">
        <v>109</v>
      </c>
      <c r="C153" s="0"/>
      <c r="D153" s="0"/>
      <c r="E153" s="0"/>
      <c r="F153" s="0"/>
      <c r="G153" s="0"/>
    </row>
    <row r="154" customFormat="false" ht="15" hidden="false" customHeight="false" outlineLevel="0" collapsed="false">
      <c r="B154" s="81" t="s">
        <v>105</v>
      </c>
      <c r="C154" s="66" t="n">
        <f aca="false">C107</f>
        <v>48266.6666666667</v>
      </c>
      <c r="D154" s="0" t="s">
        <v>106</v>
      </c>
      <c r="E154" s="65" t="n">
        <f aca="false">C143</f>
        <v>188240</v>
      </c>
      <c r="F154" s="0"/>
      <c r="G154" s="0"/>
    </row>
    <row r="155" customFormat="false" ht="15" hidden="false" customHeight="false" outlineLevel="0" collapsed="false">
      <c r="B155" s="81" t="s">
        <v>107</v>
      </c>
      <c r="C155" s="66" t="n">
        <f aca="false">C119</f>
        <v>482666.666666667</v>
      </c>
      <c r="D155" s="0"/>
      <c r="E155" s="0"/>
      <c r="F155" s="0"/>
      <c r="G155" s="0"/>
    </row>
    <row r="156" customFormat="false" ht="15" hidden="false" customHeight="false" outlineLevel="0" collapsed="false">
      <c r="B156" s="81" t="s">
        <v>92</v>
      </c>
      <c r="C156" s="65" t="n">
        <f aca="false">C131</f>
        <v>125493.333333333</v>
      </c>
      <c r="D156" s="0"/>
      <c r="E156" s="0"/>
      <c r="F156" s="0"/>
      <c r="G156" s="0"/>
    </row>
    <row r="157" customFormat="false" ht="15" hidden="false" customHeight="false" outlineLevel="0" collapsed="false">
      <c r="B157" s="78" t="s">
        <v>110</v>
      </c>
      <c r="C157" s="79" t="n">
        <f aca="false">C154+C155+C156-E154</f>
        <v>468186.666666667</v>
      </c>
      <c r="D157" s="0"/>
      <c r="E157" s="0"/>
      <c r="F157" s="0"/>
      <c r="G157" s="0"/>
    </row>
    <row r="158" customFormat="false" ht="15" hidden="false" customHeight="false" outlineLevel="0" collapsed="false">
      <c r="B158" s="0"/>
      <c r="C158" s="0"/>
      <c r="D158" s="0"/>
      <c r="E158" s="0"/>
      <c r="F158" s="0"/>
      <c r="G158" s="0"/>
    </row>
    <row r="159" customFormat="false" ht="15" hidden="false" customHeight="false" outlineLevel="0" collapsed="false">
      <c r="B159" s="80" t="s">
        <v>111</v>
      </c>
      <c r="C159" s="0"/>
      <c r="D159" s="0"/>
      <c r="E159" s="0"/>
      <c r="F159" s="0"/>
      <c r="G159" s="0"/>
    </row>
    <row r="160" customFormat="false" ht="15" hidden="false" customHeight="false" outlineLevel="0" collapsed="false">
      <c r="B160" s="81" t="s">
        <v>105</v>
      </c>
      <c r="C160" s="65" t="n">
        <f aca="false">C108</f>
        <v>48266.6666666667</v>
      </c>
      <c r="D160" s="0" t="s">
        <v>106</v>
      </c>
      <c r="E160" s="65" t="n">
        <f aca="false">C144</f>
        <v>188240</v>
      </c>
      <c r="F160" s="0"/>
      <c r="G160" s="0"/>
    </row>
    <row r="161" customFormat="false" ht="15" hidden="false" customHeight="false" outlineLevel="0" collapsed="false">
      <c r="B161" s="81" t="s">
        <v>107</v>
      </c>
      <c r="C161" s="65" t="n">
        <f aca="false">C120</f>
        <v>482666.666666667</v>
      </c>
      <c r="D161" s="0"/>
      <c r="E161" s="0"/>
      <c r="F161" s="0"/>
      <c r="G161" s="0"/>
    </row>
    <row r="162" customFormat="false" ht="15" hidden="false" customHeight="false" outlineLevel="0" collapsed="false">
      <c r="B162" s="81" t="s">
        <v>92</v>
      </c>
      <c r="C162" s="65" t="n">
        <f aca="false">C132</f>
        <v>125493.333333333</v>
      </c>
      <c r="D162" s="0"/>
      <c r="E162" s="0"/>
      <c r="F162" s="0"/>
      <c r="G162" s="0"/>
    </row>
    <row r="163" customFormat="false" ht="15" hidden="false" customHeight="false" outlineLevel="0" collapsed="false">
      <c r="B163" s="78" t="s">
        <v>112</v>
      </c>
      <c r="C163" s="79" t="n">
        <f aca="false">C160+C161+C162-E160</f>
        <v>468186.666666667</v>
      </c>
      <c r="D163" s="0"/>
      <c r="E163" s="0"/>
      <c r="F163" s="0"/>
      <c r="G163" s="0"/>
    </row>
    <row r="164" customFormat="false" ht="15" hidden="false" customHeight="false" outlineLevel="0" collapsed="false">
      <c r="B164" s="0"/>
      <c r="C164" s="0"/>
      <c r="D164" s="0"/>
      <c r="E164" s="0"/>
      <c r="F164" s="0"/>
      <c r="G164" s="0"/>
    </row>
    <row r="165" customFormat="false" ht="15" hidden="false" customHeight="false" outlineLevel="0" collapsed="false">
      <c r="B165" s="0"/>
      <c r="C165" s="0"/>
      <c r="D165" s="0"/>
      <c r="E165" s="0"/>
      <c r="F165" s="0"/>
      <c r="G165" s="0"/>
    </row>
    <row r="166" customFormat="false" ht="15" hidden="false" customHeight="false" outlineLevel="0" collapsed="false">
      <c r="B166" s="82" t="s">
        <v>113</v>
      </c>
      <c r="C166" s="82"/>
      <c r="D166" s="82"/>
      <c r="E166" s="82"/>
      <c r="F166" s="82"/>
      <c r="G166" s="0"/>
    </row>
    <row r="167" customFormat="false" ht="15" hidden="false" customHeight="false" outlineLevel="0" collapsed="false">
      <c r="B167" s="0"/>
      <c r="C167" s="0"/>
      <c r="D167" s="0"/>
      <c r="E167" s="0"/>
      <c r="F167" s="0"/>
      <c r="G167" s="0"/>
    </row>
    <row r="168" customFormat="false" ht="15" hidden="false" customHeight="false" outlineLevel="0" collapsed="false">
      <c r="B168" s="51" t="s">
        <v>61</v>
      </c>
      <c r="C168" s="83" t="s">
        <v>114</v>
      </c>
      <c r="D168" s="83" t="s">
        <v>57</v>
      </c>
      <c r="E168" s="83" t="s">
        <v>63</v>
      </c>
      <c r="F168" s="83" t="s">
        <v>64</v>
      </c>
      <c r="G168" s="83" t="s">
        <v>65</v>
      </c>
    </row>
    <row r="169" customFormat="false" ht="15" hidden="false" customHeight="false" outlineLevel="0" collapsed="false">
      <c r="B169" s="51" t="s">
        <v>115</v>
      </c>
      <c r="C169" s="83"/>
      <c r="D169" s="84" t="n">
        <f aca="false">C151</f>
        <v>468186.666666667</v>
      </c>
      <c r="E169" s="84" t="n">
        <f aca="false">C157</f>
        <v>468186.666666667</v>
      </c>
      <c r="F169" s="84" t="n">
        <f aca="false">C163</f>
        <v>468186.666666667</v>
      </c>
      <c r="G169" s="84" t="n">
        <f aca="false">D163</f>
        <v>0</v>
      </c>
    </row>
    <row r="170" customFormat="false" ht="15" hidden="false" customHeight="false" outlineLevel="0" collapsed="false">
      <c r="B170" s="53" t="s">
        <v>116</v>
      </c>
      <c r="C170" s="85" t="n">
        <f aca="false">D169-C169</f>
        <v>468186.666666667</v>
      </c>
      <c r="D170" s="85" t="n">
        <f aca="false">E169-D169</f>
        <v>0</v>
      </c>
      <c r="E170" s="85" t="n">
        <f aca="false">F169-E169</f>
        <v>0</v>
      </c>
      <c r="F170" s="85" t="n">
        <f aca="false">G169-F169</f>
        <v>-468186.666666667</v>
      </c>
      <c r="G170" s="0"/>
    </row>
    <row r="171" customFormat="false" ht="15" hidden="false" customHeight="false" outlineLevel="0" collapsed="false">
      <c r="B171" s="86" t="s">
        <v>117</v>
      </c>
      <c r="C171" s="0"/>
      <c r="D171" s="0"/>
      <c r="E171" s="0"/>
      <c r="F171" s="0"/>
      <c r="G171" s="0"/>
    </row>
    <row r="172" customFormat="false" ht="15" hidden="false" customHeight="false" outlineLevel="0" collapsed="false">
      <c r="B172" s="0"/>
      <c r="C172" s="0"/>
      <c r="D172" s="0"/>
      <c r="E172" s="0"/>
      <c r="F172" s="0"/>
      <c r="G172" s="0"/>
    </row>
    <row r="173" customFormat="false" ht="15" hidden="false" customHeight="false" outlineLevel="0" collapsed="false">
      <c r="B173" s="0"/>
      <c r="C173" s="0"/>
      <c r="D173" s="0"/>
      <c r="E173" s="0"/>
      <c r="F173" s="0"/>
      <c r="G173" s="0"/>
    </row>
    <row r="174" customFormat="false" ht="15" hidden="false" customHeight="false" outlineLevel="0" collapsed="false">
      <c r="B174" s="0" t="s">
        <v>118</v>
      </c>
      <c r="C174" s="0"/>
      <c r="D174" s="0"/>
      <c r="E174" s="0"/>
      <c r="F174" s="0"/>
      <c r="G174" s="0"/>
    </row>
    <row r="176" customFormat="false" ht="15" hidden="false" customHeight="false" outlineLevel="0" collapsed="false">
      <c r="B176" s="87" t="s">
        <v>119</v>
      </c>
      <c r="C176" s="87"/>
      <c r="D176" s="87"/>
      <c r="E176" s="87"/>
    </row>
    <row r="177" customFormat="false" ht="15" hidden="false" customHeight="false" outlineLevel="0" collapsed="false">
      <c r="B177" s="0" t="s">
        <v>61</v>
      </c>
      <c r="C177" s="66" t="s">
        <v>120</v>
      </c>
      <c r="D177" s="66" t="s">
        <v>120</v>
      </c>
      <c r="E177" s="66" t="s">
        <v>120</v>
      </c>
    </row>
    <row r="178" customFormat="false" ht="15" hidden="false" customHeight="false" outlineLevel="0" collapsed="false">
      <c r="B178" s="0" t="s">
        <v>87</v>
      </c>
      <c r="C178" s="66" t="n">
        <f aca="false">D78</f>
        <v>38400</v>
      </c>
      <c r="D178" s="66" t="n">
        <f aca="false">E78</f>
        <v>44800</v>
      </c>
      <c r="E178" s="66" t="n">
        <f aca="false">F78</f>
        <v>48000</v>
      </c>
    </row>
    <row r="179" customFormat="false" ht="15" hidden="false" customHeight="false" outlineLevel="0" collapsed="false">
      <c r="B179" s="0" t="s">
        <v>121</v>
      </c>
      <c r="C179" s="66" t="n">
        <f aca="false">H26</f>
        <v>111.7</v>
      </c>
      <c r="D179" s="66" t="n">
        <f aca="false">C179</f>
        <v>111.7</v>
      </c>
      <c r="E179" s="66" t="n">
        <f aca="false">D179</f>
        <v>111.7</v>
      </c>
    </row>
    <row r="180" customFormat="false" ht="15" hidden="false" customHeight="false" outlineLevel="0" collapsed="false">
      <c r="B180" s="0" t="s">
        <v>122</v>
      </c>
      <c r="C180" s="66" t="n">
        <f aca="false">G65</f>
        <v>588000</v>
      </c>
      <c r="D180" s="66" t="n">
        <f aca="false">C180</f>
        <v>588000</v>
      </c>
      <c r="E180" s="66" t="n">
        <f aca="false">D180</f>
        <v>588000</v>
      </c>
    </row>
    <row r="181" customFormat="false" ht="15" hidden="false" customHeight="false" outlineLevel="0" collapsed="false">
      <c r="B181" s="59" t="s">
        <v>123</v>
      </c>
      <c r="C181" s="69" t="n">
        <f aca="false">C178-C179-C180</f>
        <v>-549711.7</v>
      </c>
      <c r="D181" s="69" t="n">
        <f aca="false">D178-D179-D180</f>
        <v>-543311.7</v>
      </c>
      <c r="E181" s="69" t="n">
        <f aca="false">E178-E179-E180</f>
        <v>-540111.7</v>
      </c>
    </row>
    <row r="182" customFormat="false" ht="15" hidden="false" customHeight="false" outlineLevel="0" collapsed="false">
      <c r="B182" s="0" t="s">
        <v>124</v>
      </c>
      <c r="C182" s="66" t="n">
        <f aca="false">F41</f>
        <v>29700</v>
      </c>
      <c r="D182" s="66" t="n">
        <f aca="false">C182</f>
        <v>29700</v>
      </c>
      <c r="E182" s="66" t="n">
        <f aca="false">D182</f>
        <v>29700</v>
      </c>
    </row>
    <row r="183" customFormat="false" ht="15" hidden="false" customHeight="false" outlineLevel="0" collapsed="false">
      <c r="B183" s="59" t="s">
        <v>125</v>
      </c>
      <c r="C183" s="69" t="n">
        <f aca="false">C181-C182</f>
        <v>-579411.7</v>
      </c>
      <c r="D183" s="69" t="n">
        <f aca="false">D181-D182</f>
        <v>-573011.7</v>
      </c>
      <c r="E183" s="69" t="n">
        <f aca="false">E181-E182</f>
        <v>-569811.7</v>
      </c>
    </row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B2:C2"/>
    <mergeCell ref="B17:H17"/>
    <mergeCell ref="B19:B20"/>
    <mergeCell ref="C19:C20"/>
    <mergeCell ref="D19:D20"/>
    <mergeCell ref="E19:E20"/>
    <mergeCell ref="F19:F20"/>
    <mergeCell ref="G19:G20"/>
    <mergeCell ref="H19:H20"/>
    <mergeCell ref="B30:F30"/>
    <mergeCell ref="B46:C46"/>
    <mergeCell ref="B59:H59"/>
    <mergeCell ref="B91:C91"/>
    <mergeCell ref="B176:E17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145" activeCellId="0" sqref="J14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.34"/>
    <col collapsed="false" customWidth="true" hidden="false" outlineLevel="0" max="2" min="2" style="1" width="45.22"/>
    <col collapsed="false" customWidth="true" hidden="false" outlineLevel="0" max="3" min="3" style="1" width="14.87"/>
    <col collapsed="false" customWidth="false" hidden="false" outlineLevel="0" max="16384" min="4" style="1" width="11.53"/>
  </cols>
  <sheetData>
    <row r="2" customFormat="false" ht="15" hidden="false" customHeight="false" outlineLevel="0" collapsed="false">
      <c r="B2" s="2" t="s">
        <v>0</v>
      </c>
      <c r="C2" s="2"/>
    </row>
    <row r="3" customFormat="false" ht="15" hidden="false" customHeight="false" outlineLevel="0" collapsed="false">
      <c r="B3" s="3" t="s">
        <v>1</v>
      </c>
      <c r="C3" s="3" t="s">
        <v>2</v>
      </c>
    </row>
    <row r="4" customFormat="false" ht="15" hidden="false" customHeight="false" outlineLevel="0" collapsed="false">
      <c r="B4" s="1" t="s">
        <v>3</v>
      </c>
      <c r="C4" s="4" t="n">
        <v>35000</v>
      </c>
      <c r="F4" s="1" t="s">
        <v>4</v>
      </c>
      <c r="I4" s="1" t="n">
        <v>23000</v>
      </c>
    </row>
    <row r="5" customFormat="false" ht="15" hidden="false" customHeight="false" outlineLevel="0" collapsed="false">
      <c r="B5" s="1" t="s">
        <v>5</v>
      </c>
      <c r="C5" s="4" t="n">
        <v>180000</v>
      </c>
    </row>
    <row r="6" customFormat="false" ht="15" hidden="false" customHeight="false" outlineLevel="0" collapsed="false">
      <c r="B6" s="1" t="s">
        <v>6</v>
      </c>
      <c r="C6" s="4" t="n">
        <v>90000</v>
      </c>
    </row>
    <row r="7" customFormat="false" ht="15" hidden="false" customHeight="false" outlineLevel="0" collapsed="false">
      <c r="B7" s="1" t="s">
        <v>7</v>
      </c>
      <c r="C7" s="4" t="n">
        <v>7000</v>
      </c>
    </row>
    <row r="8" customFormat="false" ht="15" hidden="false" customHeight="false" outlineLevel="0" collapsed="false">
      <c r="B8" s="1" t="s">
        <v>8</v>
      </c>
      <c r="C8" s="4" t="n">
        <v>150000</v>
      </c>
    </row>
    <row r="9" customFormat="false" ht="15" hidden="false" customHeight="false" outlineLevel="0" collapsed="false">
      <c r="B9" s="1" t="s">
        <v>9</v>
      </c>
      <c r="C9" s="4" t="n">
        <v>12000</v>
      </c>
    </row>
    <row r="10" customFormat="false" ht="15" hidden="false" customHeight="false" outlineLevel="0" collapsed="false">
      <c r="B10" s="1" t="s">
        <v>10</v>
      </c>
      <c r="C10" s="4" t="n">
        <v>45000</v>
      </c>
    </row>
    <row r="11" customFormat="false" ht="15" hidden="false" customHeight="false" outlineLevel="0" collapsed="false">
      <c r="B11" s="1" t="s">
        <v>126</v>
      </c>
      <c r="C11" s="4" t="n">
        <v>30000</v>
      </c>
    </row>
    <row r="12" customFormat="false" ht="15" hidden="false" customHeight="false" outlineLevel="0" collapsed="false">
      <c r="B12" s="1" t="s">
        <v>127</v>
      </c>
      <c r="C12" s="4" t="n">
        <v>80000</v>
      </c>
    </row>
    <row r="13" customFormat="false" ht="15" hidden="false" customHeight="false" outlineLevel="0" collapsed="false">
      <c r="B13" s="5" t="s">
        <v>11</v>
      </c>
      <c r="C13" s="6" t="n">
        <f aca="false">SUM(C4:C10)</f>
        <v>519000</v>
      </c>
    </row>
    <row r="14" customFormat="false" ht="15" hidden="false" customHeight="false" outlineLevel="0" collapsed="false">
      <c r="B14" s="1" t="s">
        <v>12</v>
      </c>
      <c r="C14" s="7" t="n">
        <f aca="false">'parte 2'!C112</f>
        <v>-28000</v>
      </c>
    </row>
    <row r="15" customFormat="false" ht="15" hidden="false" customHeight="false" outlineLevel="0" collapsed="false">
      <c r="B15" s="5" t="s">
        <v>13</v>
      </c>
      <c r="C15" s="8" t="n">
        <f aca="false">-C14</f>
        <v>28000</v>
      </c>
    </row>
    <row r="16" customFormat="false" ht="15" hidden="false" customHeight="false" outlineLevel="0" collapsed="false">
      <c r="B16" s="9" t="s">
        <v>14</v>
      </c>
      <c r="C16" s="88" t="n">
        <f aca="false">C13+C15</f>
        <v>547000</v>
      </c>
    </row>
    <row r="19" customFormat="false" ht="15" hidden="false" customHeight="false" outlineLevel="0" collapsed="false">
      <c r="B19" s="11" t="s">
        <v>15</v>
      </c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B20" s="12"/>
      <c r="C20" s="12"/>
      <c r="D20" s="12"/>
      <c r="E20" s="12"/>
      <c r="F20" s="12"/>
      <c r="G20" s="12"/>
      <c r="H20" s="12"/>
    </row>
    <row r="21" customFormat="false" ht="15" hidden="false" customHeight="true" outlineLevel="0" collapsed="false">
      <c r="B21" s="13" t="s">
        <v>1</v>
      </c>
      <c r="C21" s="14" t="s">
        <v>16</v>
      </c>
      <c r="D21" s="14" t="s">
        <v>17</v>
      </c>
      <c r="E21" s="14" t="s">
        <v>18</v>
      </c>
      <c r="F21" s="14" t="s">
        <v>19</v>
      </c>
      <c r="G21" s="14" t="s">
        <v>20</v>
      </c>
      <c r="H21" s="13" t="s">
        <v>21</v>
      </c>
    </row>
    <row r="22" customFormat="false" ht="15" hidden="false" customHeight="false" outlineLevel="0" collapsed="false"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B23" s="12" t="s">
        <v>22</v>
      </c>
      <c r="C23" s="15" t="s">
        <v>23</v>
      </c>
      <c r="D23" s="16" t="n">
        <v>5.5</v>
      </c>
      <c r="E23" s="17" t="n">
        <v>20</v>
      </c>
      <c r="F23" s="16"/>
      <c r="G23" s="16" t="n">
        <f aca="false">D23*E23</f>
        <v>110</v>
      </c>
      <c r="H23" s="16" t="n">
        <f aca="false">F23+G23</f>
        <v>110</v>
      </c>
    </row>
    <row r="24" customFormat="false" ht="15" hidden="false" customHeight="false" outlineLevel="0" collapsed="false">
      <c r="B24" s="12" t="s">
        <v>24</v>
      </c>
      <c r="C24" s="15" t="s">
        <v>23</v>
      </c>
      <c r="D24" s="16" t="n">
        <v>0.35</v>
      </c>
      <c r="E24" s="17" t="n">
        <v>1</v>
      </c>
      <c r="F24" s="16"/>
      <c r="G24" s="16" t="n">
        <f aca="false">D24*E24</f>
        <v>0.35</v>
      </c>
      <c r="H24" s="16" t="n">
        <f aca="false">F24+G24</f>
        <v>0.35</v>
      </c>
    </row>
    <row r="25" customFormat="false" ht="15" hidden="false" customHeight="false" outlineLevel="0" collapsed="false">
      <c r="B25" s="12" t="s">
        <v>25</v>
      </c>
      <c r="C25" s="15" t="s">
        <v>23</v>
      </c>
      <c r="D25" s="16" t="n">
        <v>0.55</v>
      </c>
      <c r="E25" s="17" t="n">
        <v>1</v>
      </c>
      <c r="F25" s="16"/>
      <c r="G25" s="16" t="n">
        <f aca="false">D25*E25</f>
        <v>0.55</v>
      </c>
      <c r="H25" s="16" t="n">
        <f aca="false">F25+G25</f>
        <v>0.55</v>
      </c>
    </row>
    <row r="26" customFormat="false" ht="15" hidden="false" customHeight="false" outlineLevel="0" collapsed="false">
      <c r="B26" s="12" t="s">
        <v>26</v>
      </c>
      <c r="C26" s="15" t="s">
        <v>23</v>
      </c>
      <c r="D26" s="16" t="n">
        <v>0.45</v>
      </c>
      <c r="E26" s="17" t="n">
        <v>1</v>
      </c>
      <c r="F26" s="16"/>
      <c r="G26" s="16" t="n">
        <f aca="false">D26*E26</f>
        <v>0.45</v>
      </c>
      <c r="H26" s="16" t="n">
        <f aca="false">F26+G26</f>
        <v>0.45</v>
      </c>
    </row>
    <row r="27" customFormat="false" ht="15" hidden="false" customHeight="false" outlineLevel="0" collapsed="false">
      <c r="B27" s="18" t="s">
        <v>27</v>
      </c>
      <c r="C27" s="19" t="s">
        <v>23</v>
      </c>
      <c r="D27" s="20" t="n">
        <v>0.35</v>
      </c>
      <c r="E27" s="21" t="n">
        <v>1</v>
      </c>
      <c r="F27" s="20"/>
      <c r="G27" s="20" t="n">
        <f aca="false">D27*E27</f>
        <v>0.35</v>
      </c>
      <c r="H27" s="20" t="n">
        <f aca="false">F27+G27</f>
        <v>0.35</v>
      </c>
    </row>
    <row r="28" customFormat="false" ht="15" hidden="false" customHeight="false" outlineLevel="0" collapsed="false">
      <c r="B28" s="22" t="s">
        <v>28</v>
      </c>
      <c r="C28" s="13"/>
      <c r="D28" s="23"/>
      <c r="E28" s="24"/>
      <c r="F28" s="23" t="n">
        <f aca="false">SUM(F23:F27)</f>
        <v>0</v>
      </c>
      <c r="G28" s="23" t="n">
        <f aca="false">SUM(G23:G27)</f>
        <v>111.7</v>
      </c>
      <c r="H28" s="23" t="n">
        <f aca="false">SUM(H23:H27)</f>
        <v>111.7</v>
      </c>
    </row>
    <row r="32" customFormat="false" ht="15" hidden="false" customHeight="false" outlineLevel="0" collapsed="false">
      <c r="B32" s="11" t="s">
        <v>29</v>
      </c>
      <c r="C32" s="11"/>
      <c r="D32" s="11"/>
      <c r="E32" s="11"/>
      <c r="F32" s="11"/>
      <c r="G32" s="12"/>
    </row>
    <row r="33" customFormat="false" ht="15" hidden="false" customHeight="false" outlineLevel="0" collapsed="false">
      <c r="B33" s="12"/>
      <c r="C33" s="12"/>
      <c r="D33" s="25"/>
      <c r="E33" s="12"/>
      <c r="F33" s="12"/>
      <c r="G33" s="12"/>
    </row>
    <row r="34" customFormat="false" ht="26.5" hidden="false" customHeight="false" outlineLevel="0" collapsed="false">
      <c r="B34" s="14" t="s">
        <v>1</v>
      </c>
      <c r="C34" s="14"/>
      <c r="D34" s="14"/>
      <c r="E34" s="14"/>
      <c r="F34" s="14" t="s">
        <v>30</v>
      </c>
      <c r="G34" s="12"/>
    </row>
    <row r="35" customFormat="false" ht="15" hidden="false" customHeight="false" outlineLevel="0" collapsed="false">
      <c r="B35" s="26" t="s">
        <v>31</v>
      </c>
      <c r="C35" s="26"/>
      <c r="D35" s="27"/>
      <c r="E35" s="28"/>
      <c r="F35" s="27"/>
      <c r="G35" s="12"/>
    </row>
    <row r="36" customFormat="false" ht="15" hidden="false" customHeight="false" outlineLevel="0" collapsed="false">
      <c r="B36" s="29" t="s">
        <v>32</v>
      </c>
      <c r="C36" s="30"/>
      <c r="D36" s="16"/>
      <c r="E36" s="17"/>
      <c r="F36" s="16" t="n">
        <v>1200</v>
      </c>
      <c r="G36" s="31"/>
    </row>
    <row r="37" customFormat="false" ht="15" hidden="false" customHeight="false" outlineLevel="0" collapsed="false">
      <c r="B37" s="29" t="s">
        <v>33</v>
      </c>
      <c r="C37" s="30"/>
      <c r="D37" s="16"/>
      <c r="E37" s="17"/>
      <c r="F37" s="16" t="n">
        <v>700</v>
      </c>
      <c r="G37" s="31"/>
    </row>
    <row r="38" customFormat="false" ht="15" hidden="false" customHeight="false" outlineLevel="0" collapsed="false">
      <c r="B38" s="32" t="s">
        <v>34</v>
      </c>
      <c r="C38" s="30"/>
      <c r="D38" s="16"/>
      <c r="E38" s="17"/>
      <c r="F38" s="16" t="n">
        <v>11000</v>
      </c>
      <c r="G38" s="31"/>
    </row>
    <row r="39" customFormat="false" ht="15" hidden="false" customHeight="false" outlineLevel="0" collapsed="false">
      <c r="B39" s="32" t="s">
        <v>35</v>
      </c>
      <c r="C39" s="30"/>
      <c r="D39" s="16"/>
      <c r="E39" s="17"/>
      <c r="F39" s="16" t="n">
        <v>9000</v>
      </c>
      <c r="G39" s="31"/>
    </row>
    <row r="40" customFormat="false" ht="15" hidden="false" customHeight="false" outlineLevel="0" collapsed="false">
      <c r="B40" s="32" t="s">
        <v>36</v>
      </c>
      <c r="C40" s="30"/>
      <c r="D40" s="16"/>
      <c r="E40" s="17"/>
      <c r="F40" s="16" t="n">
        <v>300</v>
      </c>
      <c r="G40" s="31"/>
    </row>
    <row r="41" customFormat="false" ht="15" hidden="false" customHeight="false" outlineLevel="0" collapsed="false">
      <c r="B41" s="32" t="s">
        <v>37</v>
      </c>
      <c r="C41" s="30"/>
      <c r="D41" s="16"/>
      <c r="E41" s="17"/>
      <c r="F41" s="16" t="n">
        <v>600</v>
      </c>
      <c r="G41" s="31"/>
    </row>
    <row r="42" customFormat="false" ht="15" hidden="false" customHeight="false" outlineLevel="0" collapsed="false">
      <c r="B42" s="32" t="s">
        <v>38</v>
      </c>
      <c r="C42" s="33"/>
      <c r="D42" s="16"/>
      <c r="E42" s="17"/>
      <c r="F42" s="34" t="n">
        <f aca="false">0.3*I4</f>
        <v>6900</v>
      </c>
      <c r="G42" s="31"/>
    </row>
    <row r="43" customFormat="false" ht="15" hidden="false" customHeight="false" outlineLevel="0" collapsed="false">
      <c r="B43" s="35" t="s">
        <v>39</v>
      </c>
      <c r="C43" s="36"/>
      <c r="D43" s="23"/>
      <c r="E43" s="24"/>
      <c r="F43" s="23" t="n">
        <f aca="false">SUM(F36:F42)</f>
        <v>29700</v>
      </c>
      <c r="G43" s="37"/>
    </row>
    <row r="44" customFormat="false" ht="15" hidden="false" customHeight="false" outlineLevel="0" collapsed="false">
      <c r="B44" s="38"/>
      <c r="C44" s="38"/>
      <c r="D44" s="12"/>
      <c r="E44" s="12"/>
      <c r="F44" s="12"/>
      <c r="G44" s="12"/>
    </row>
    <row r="48" customFormat="false" ht="15" hidden="false" customHeight="false" outlineLevel="0" collapsed="false">
      <c r="B48" s="11" t="s">
        <v>40</v>
      </c>
      <c r="C48" s="11"/>
    </row>
    <row r="50" customFormat="false" ht="15" hidden="false" customHeight="false" outlineLevel="0" collapsed="false">
      <c r="B50" s="1" t="s">
        <v>41</v>
      </c>
      <c r="C50" s="1" t="n">
        <v>32</v>
      </c>
    </row>
    <row r="56" customFormat="false" ht="15" hidden="false" customHeight="false" outlineLevel="0" collapsed="false">
      <c r="B56" s="3" t="s">
        <v>1</v>
      </c>
      <c r="C56" s="39" t="n">
        <v>0</v>
      </c>
      <c r="D56" s="39" t="n">
        <v>1</v>
      </c>
      <c r="E56" s="39" t="n">
        <v>2</v>
      </c>
      <c r="F56" s="39" t="n">
        <v>3</v>
      </c>
      <c r="G56" s="39" t="n">
        <v>4</v>
      </c>
      <c r="H56" s="39" t="n">
        <v>5</v>
      </c>
      <c r="I56" s="39" t="n">
        <v>6</v>
      </c>
      <c r="J56" s="39" t="n">
        <v>7</v>
      </c>
      <c r="K56" s="39" t="n">
        <v>8</v>
      </c>
      <c r="L56" s="39" t="n">
        <v>9</v>
      </c>
      <c r="M56" s="39" t="n">
        <v>10</v>
      </c>
      <c r="N56" s="39" t="n">
        <v>11</v>
      </c>
      <c r="O56" s="39" t="n">
        <v>12</v>
      </c>
    </row>
    <row r="57" customFormat="false" ht="15" hidden="false" customHeight="false" outlineLevel="0" collapsed="false">
      <c r="B57" s="1" t="s">
        <v>42</v>
      </c>
      <c r="C57" s="4"/>
      <c r="D57" s="4" t="n">
        <v>1200</v>
      </c>
      <c r="E57" s="4" t="n">
        <v>1400</v>
      </c>
      <c r="F57" s="4" t="n">
        <v>1500</v>
      </c>
      <c r="G57" s="4" t="n">
        <v>17000</v>
      </c>
      <c r="H57" s="4" t="n">
        <v>1800</v>
      </c>
      <c r="I57" s="4" t="n">
        <v>1800</v>
      </c>
      <c r="J57" s="4" t="n">
        <v>1700</v>
      </c>
      <c r="K57" s="4" t="n">
        <v>1600</v>
      </c>
      <c r="L57" s="4" t="n">
        <v>1900</v>
      </c>
      <c r="M57" s="4" t="n">
        <v>2000</v>
      </c>
      <c r="N57" s="4" t="n">
        <v>2100</v>
      </c>
      <c r="O57" s="4" t="n">
        <v>2200</v>
      </c>
    </row>
    <row r="58" customFormat="false" ht="15" hidden="false" customHeight="false" outlineLevel="0" collapsed="false">
      <c r="B58" s="40" t="s">
        <v>43</v>
      </c>
      <c r="C58" s="41"/>
      <c r="D58" s="41" t="n">
        <f aca="false">C50</f>
        <v>32</v>
      </c>
      <c r="E58" s="41" t="n">
        <f aca="false">D58</f>
        <v>32</v>
      </c>
      <c r="F58" s="41" t="n">
        <f aca="false">E58</f>
        <v>32</v>
      </c>
      <c r="G58" s="41" t="n">
        <f aca="false">F58</f>
        <v>32</v>
      </c>
      <c r="H58" s="41" t="n">
        <f aca="false">G58</f>
        <v>32</v>
      </c>
      <c r="I58" s="41" t="n">
        <f aca="false">H58</f>
        <v>32</v>
      </c>
      <c r="J58" s="41" t="n">
        <f aca="false">I58</f>
        <v>32</v>
      </c>
      <c r="K58" s="41" t="n">
        <f aca="false">J58</f>
        <v>32</v>
      </c>
      <c r="L58" s="41" t="n">
        <f aca="false">K58</f>
        <v>32</v>
      </c>
      <c r="M58" s="41" t="n">
        <f aca="false">L58</f>
        <v>32</v>
      </c>
      <c r="N58" s="41" t="n">
        <f aca="false">M58</f>
        <v>32</v>
      </c>
      <c r="O58" s="41" t="n">
        <f aca="false">N58</f>
        <v>32</v>
      </c>
    </row>
    <row r="61" customFormat="false" ht="15" hidden="false" customHeight="false" outlineLevel="0" collapsed="false">
      <c r="B61" s="42" t="s">
        <v>44</v>
      </c>
      <c r="C61" s="42"/>
      <c r="D61" s="42"/>
      <c r="E61" s="42"/>
      <c r="F61" s="42"/>
      <c r="G61" s="42"/>
      <c r="H61" s="42"/>
    </row>
    <row r="62" customFormat="false" ht="26.5" hidden="false" customHeight="false" outlineLevel="0" collapsed="false">
      <c r="B62" s="43" t="s">
        <v>45</v>
      </c>
      <c r="C62" s="44" t="s">
        <v>46</v>
      </c>
      <c r="D62" s="44" t="s">
        <v>47</v>
      </c>
      <c r="E62" s="44" t="s">
        <v>48</v>
      </c>
      <c r="F62" s="44" t="s">
        <v>49</v>
      </c>
      <c r="G62" s="44" t="s">
        <v>50</v>
      </c>
      <c r="H62" s="44" t="s">
        <v>51</v>
      </c>
    </row>
    <row r="63" customFormat="false" ht="15" hidden="false" customHeight="false" outlineLevel="0" collapsed="false">
      <c r="B63" s="45" t="str">
        <f aca="false">'parte 2'!B5</f>
        <v>Contrucción De La Planta De Procesamiento</v>
      </c>
      <c r="C63" s="46" t="n">
        <f aca="false">'parte 2'!C5</f>
        <v>180000</v>
      </c>
      <c r="D63" s="46" t="n">
        <v>30</v>
      </c>
      <c r="E63" s="46" t="n">
        <f aca="false">C63*(1/D63)</f>
        <v>6000</v>
      </c>
      <c r="F63" s="46" t="n">
        <f aca="false">E63</f>
        <v>6000</v>
      </c>
      <c r="G63" s="46" t="n">
        <f aca="false">E63*12</f>
        <v>72000</v>
      </c>
      <c r="H63" s="46" t="n">
        <f aca="false">C63-G63</f>
        <v>108000</v>
      </c>
    </row>
    <row r="64" customFormat="false" ht="15" hidden="false" customHeight="false" outlineLevel="0" collapsed="false">
      <c r="B64" s="45" t="str">
        <f aca="false">'parte 2'!B6</f>
        <v>Adquisión E Instalación De Maquinarias Y Equipos</v>
      </c>
      <c r="C64" s="46" t="n">
        <f aca="false">'parte 2'!C6</f>
        <v>90000</v>
      </c>
      <c r="D64" s="46" t="n">
        <v>8</v>
      </c>
      <c r="E64" s="46" t="n">
        <f aca="false">C64*(1/D64)</f>
        <v>11250</v>
      </c>
      <c r="F64" s="46" t="n">
        <f aca="false">E64</f>
        <v>11250</v>
      </c>
      <c r="G64" s="46" t="n">
        <f aca="false">E64*12</f>
        <v>135000</v>
      </c>
      <c r="H64" s="46" t="n">
        <f aca="false">C64-G64</f>
        <v>-45000</v>
      </c>
    </row>
    <row r="65" customFormat="false" ht="15" hidden="false" customHeight="false" outlineLevel="0" collapsed="false">
      <c r="B65" s="45" t="str">
        <f aca="false">B8</f>
        <v>Camioneta De Reparto ( 3tn)</v>
      </c>
      <c r="C65" s="46" t="n">
        <f aca="false">C8</f>
        <v>150000</v>
      </c>
      <c r="D65" s="46" t="n">
        <v>5</v>
      </c>
      <c r="E65" s="46" t="n">
        <f aca="false">C65*(1/D65)</f>
        <v>30000</v>
      </c>
      <c r="F65" s="46" t="n">
        <f aca="false">E65</f>
        <v>30000</v>
      </c>
      <c r="G65" s="46" t="n">
        <f aca="false">E65*12</f>
        <v>360000</v>
      </c>
      <c r="H65" s="46" t="n">
        <f aca="false">C65-G65</f>
        <v>-210000</v>
      </c>
    </row>
    <row r="66" customFormat="false" ht="15" hidden="false" customHeight="false" outlineLevel="0" collapsed="false">
      <c r="B66" s="45" t="str">
        <f aca="false">B7</f>
        <v>Equipo De Oficina Y Comunicación</v>
      </c>
      <c r="C66" s="46" t="n">
        <f aca="false">C7</f>
        <v>7000</v>
      </c>
      <c r="D66" s="46" t="n">
        <v>4</v>
      </c>
      <c r="E66" s="46" t="n">
        <f aca="false">C66*(1/D66)</f>
        <v>1750</v>
      </c>
      <c r="F66" s="46" t="n">
        <f aca="false">E66</f>
        <v>1750</v>
      </c>
      <c r="G66" s="46" t="n">
        <f aca="false">E66*12</f>
        <v>21000</v>
      </c>
      <c r="H66" s="46" t="n">
        <f aca="false">C66-G66</f>
        <v>-14000</v>
      </c>
    </row>
    <row r="67" customFormat="false" ht="15" hidden="false" customHeight="false" outlineLevel="0" collapsed="false">
      <c r="B67" s="45" t="str">
        <f aca="false">B12</f>
        <v>Almacen</v>
      </c>
      <c r="C67" s="46" t="n">
        <f aca="false">C12</f>
        <v>80000</v>
      </c>
      <c r="D67" s="46" t="n">
        <v>30</v>
      </c>
      <c r="E67" s="89" t="n">
        <f aca="false">C67*(1/D67)</f>
        <v>2666.66666666667</v>
      </c>
      <c r="F67" s="89" t="n">
        <f aca="false">E67</f>
        <v>2666.66666666667</v>
      </c>
      <c r="G67" s="46" t="n">
        <f aca="false">E67*12</f>
        <v>32000</v>
      </c>
      <c r="H67" s="46" t="n">
        <f aca="false">C67-G67</f>
        <v>48000</v>
      </c>
    </row>
    <row r="68" customFormat="false" ht="15" hidden="false" customHeight="false" outlineLevel="0" collapsed="false">
      <c r="B68" s="47" t="s">
        <v>52</v>
      </c>
      <c r="C68" s="47"/>
      <c r="D68" s="48"/>
      <c r="E68" s="48" t="n">
        <f aca="false">SUM(E63:E66)</f>
        <v>49000</v>
      </c>
      <c r="F68" s="48" t="n">
        <f aca="false">SUM(F63:F66)</f>
        <v>49000</v>
      </c>
      <c r="G68" s="48" t="n">
        <f aca="false">SUM(G63:G66)</f>
        <v>588000</v>
      </c>
      <c r="H68" s="48" t="n">
        <f aca="false">SUM(H63:H66)</f>
        <v>-161000</v>
      </c>
    </row>
    <row r="72" customFormat="false" ht="15" hidden="false" customHeight="false" outlineLevel="0" collapsed="false">
      <c r="A72" s="45"/>
      <c r="B72" s="0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customFormat="false" ht="15" hidden="false" customHeight="false" outlineLevel="0" collapsed="false">
      <c r="A73" s="45"/>
      <c r="B73" s="42" t="s">
        <v>128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5"/>
      <c r="O73" s="0"/>
      <c r="P73" s="45"/>
    </row>
    <row r="74" customFormat="false" ht="15" hidden="false" customHeight="false" outlineLevel="0" collapsed="false">
      <c r="A74" s="45"/>
      <c r="B74" s="90" t="s">
        <v>1</v>
      </c>
      <c r="C74" s="90" t="n">
        <v>0</v>
      </c>
      <c r="D74" s="90" t="n">
        <v>1</v>
      </c>
      <c r="E74" s="90" t="n">
        <v>2</v>
      </c>
      <c r="F74" s="90" t="n">
        <v>3</v>
      </c>
      <c r="G74" s="90" t="n">
        <v>4</v>
      </c>
      <c r="H74" s="90" t="n">
        <v>5</v>
      </c>
      <c r="I74" s="90" t="n">
        <v>6</v>
      </c>
      <c r="J74" s="90" t="n">
        <v>7</v>
      </c>
      <c r="K74" s="90" t="n">
        <v>8</v>
      </c>
      <c r="L74" s="90" t="n">
        <v>9</v>
      </c>
      <c r="M74" s="90" t="n">
        <v>10</v>
      </c>
      <c r="N74" s="45"/>
      <c r="O74" s="0"/>
      <c r="P74" s="45"/>
    </row>
    <row r="75" customFormat="false" ht="15" hidden="false" customHeight="false" outlineLevel="0" collapsed="false">
      <c r="A75" s="45"/>
      <c r="B75" s="45" t="s">
        <v>129</v>
      </c>
      <c r="C75" s="91"/>
      <c r="D75" s="92" t="n">
        <f aca="false">'parte 2'!D57*'parte 2'!D58</f>
        <v>38400</v>
      </c>
      <c r="E75" s="92" t="n">
        <f aca="false">'parte 2'!E57*'parte 2'!E58</f>
        <v>44800</v>
      </c>
      <c r="F75" s="92" t="n">
        <f aca="false">'parte 2'!F57*'parte 2'!F58</f>
        <v>48000</v>
      </c>
      <c r="G75" s="92" t="n">
        <f aca="false">'parte 2'!G57*'parte 2'!G58</f>
        <v>544000</v>
      </c>
      <c r="H75" s="92" t="n">
        <f aca="false">'parte 2'!H57*'parte 2'!H58</f>
        <v>57600</v>
      </c>
      <c r="I75" s="92" t="n">
        <f aca="false">'parte 2'!I57*'parte 2'!I58</f>
        <v>57600</v>
      </c>
      <c r="J75" s="92" t="n">
        <f aca="false">'parte 2'!J57*'parte 2'!J58</f>
        <v>54400</v>
      </c>
      <c r="K75" s="92" t="n">
        <f aca="false">'parte 2'!K57*'parte 2'!K58</f>
        <v>51200</v>
      </c>
      <c r="L75" s="92" t="n">
        <f aca="false">'parte 2'!L57*'parte 2'!L58</f>
        <v>60800</v>
      </c>
      <c r="M75" s="92" t="n">
        <f aca="false">'parte 2'!M57*'parte 2'!M58</f>
        <v>64000</v>
      </c>
      <c r="N75" s="45"/>
      <c r="O75" s="0"/>
      <c r="P75" s="45"/>
    </row>
    <row r="76" customFormat="false" ht="15" hidden="false" customHeight="false" outlineLevel="0" collapsed="false">
      <c r="A76" s="45"/>
      <c r="B76" s="45" t="s">
        <v>20</v>
      </c>
      <c r="C76" s="45"/>
      <c r="D76" s="92" t="n">
        <f aca="false">'parte 2'!D57*30</f>
        <v>36000</v>
      </c>
      <c r="E76" s="92" t="n">
        <f aca="false">'parte 2'!E57*30</f>
        <v>42000</v>
      </c>
      <c r="F76" s="92" t="n">
        <f aca="false">'parte 2'!F57*30</f>
        <v>45000</v>
      </c>
      <c r="G76" s="92" t="n">
        <f aca="false">'parte 2'!G57*30</f>
        <v>510000</v>
      </c>
      <c r="H76" s="92" t="n">
        <f aca="false">'parte 2'!H57*30</f>
        <v>54000</v>
      </c>
      <c r="I76" s="92" t="n">
        <f aca="false">'parte 2'!I57*30</f>
        <v>54000</v>
      </c>
      <c r="J76" s="92" t="n">
        <f aca="false">'parte 2'!J57*30</f>
        <v>51000</v>
      </c>
      <c r="K76" s="92" t="n">
        <f aca="false">'parte 2'!K57*30</f>
        <v>48000</v>
      </c>
      <c r="L76" s="92" t="n">
        <f aca="false">'parte 2'!L57*30</f>
        <v>57000</v>
      </c>
      <c r="M76" s="92" t="n">
        <f aca="false">'parte 2'!M57*30</f>
        <v>60000</v>
      </c>
      <c r="N76" s="45"/>
      <c r="O76" s="0"/>
      <c r="P76" s="45"/>
    </row>
    <row r="77" customFormat="false" ht="15" hidden="false" customHeight="false" outlineLevel="0" collapsed="false">
      <c r="A77" s="45"/>
      <c r="B77" s="45" t="s">
        <v>19</v>
      </c>
      <c r="C77" s="45"/>
      <c r="D77" s="92" t="n">
        <v>20000</v>
      </c>
      <c r="E77" s="92" t="n">
        <v>20000</v>
      </c>
      <c r="F77" s="92" t="n">
        <v>20000</v>
      </c>
      <c r="G77" s="92" t="n">
        <v>20000</v>
      </c>
      <c r="H77" s="92" t="n">
        <v>20000</v>
      </c>
      <c r="I77" s="92" t="n">
        <v>20000</v>
      </c>
      <c r="J77" s="92" t="n">
        <v>20000</v>
      </c>
      <c r="K77" s="92" t="n">
        <v>20000</v>
      </c>
      <c r="L77" s="92" t="n">
        <v>20000</v>
      </c>
      <c r="M77" s="92" t="n">
        <v>20000</v>
      </c>
      <c r="N77" s="45"/>
      <c r="O77" s="0"/>
      <c r="P77" s="45"/>
    </row>
    <row r="78" customFormat="false" ht="15" hidden="false" customHeight="false" outlineLevel="0" collapsed="false">
      <c r="A78" s="45"/>
      <c r="B78" s="45" t="s">
        <v>122</v>
      </c>
      <c r="C78" s="45"/>
      <c r="D78" s="92" t="n">
        <f aca="false">'parte 2'!E68</f>
        <v>49000</v>
      </c>
      <c r="E78" s="92" t="n">
        <f aca="false">D78</f>
        <v>49000</v>
      </c>
      <c r="F78" s="92" t="n">
        <f aca="false">E78</f>
        <v>49000</v>
      </c>
      <c r="G78" s="92" t="n">
        <f aca="false">F78</f>
        <v>49000</v>
      </c>
      <c r="H78" s="92" t="n">
        <f aca="false">G78</f>
        <v>49000</v>
      </c>
      <c r="I78" s="92" t="n">
        <f aca="false">H78</f>
        <v>49000</v>
      </c>
      <c r="J78" s="92" t="n">
        <f aca="false">I78</f>
        <v>49000</v>
      </c>
      <c r="K78" s="92" t="n">
        <f aca="false">J78</f>
        <v>49000</v>
      </c>
      <c r="L78" s="92" t="n">
        <f aca="false">K78</f>
        <v>49000</v>
      </c>
      <c r="M78" s="92" t="n">
        <f aca="false">L78</f>
        <v>49000</v>
      </c>
      <c r="N78" s="45"/>
      <c r="O78" s="0"/>
      <c r="P78" s="45"/>
    </row>
    <row r="79" customFormat="false" ht="15" hidden="false" customHeight="false" outlineLevel="0" collapsed="false">
      <c r="A79" s="45"/>
      <c r="B79" s="45"/>
      <c r="C79" s="45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45"/>
      <c r="O79" s="0"/>
      <c r="P79" s="45"/>
    </row>
    <row r="80" customFormat="false" ht="15" hidden="false" customHeight="false" outlineLevel="0" collapsed="false">
      <c r="A80" s="45"/>
      <c r="B80" s="93" t="s">
        <v>130</v>
      </c>
      <c r="C80" s="93"/>
      <c r="D80" s="94" t="n">
        <f aca="false">D75-D76-D77-D78</f>
        <v>-66600</v>
      </c>
      <c r="E80" s="94" t="n">
        <f aca="false">E75-E76-E77-E78</f>
        <v>-66200</v>
      </c>
      <c r="F80" s="94" t="n">
        <f aca="false">F75-F76-F77-F78</f>
        <v>-66000</v>
      </c>
      <c r="G80" s="94" t="n">
        <f aca="false">G75-G76-G77-G78</f>
        <v>-35000</v>
      </c>
      <c r="H80" s="94" t="n">
        <f aca="false">H75-H76-H77-H78</f>
        <v>-65400</v>
      </c>
      <c r="I80" s="94" t="n">
        <f aca="false">I75-I76-I77-I78</f>
        <v>-65400</v>
      </c>
      <c r="J80" s="94" t="n">
        <f aca="false">J75-J76-J77-J78</f>
        <v>-65600</v>
      </c>
      <c r="K80" s="94" t="n">
        <f aca="false">K75-K76-K77-K78</f>
        <v>-65800</v>
      </c>
      <c r="L80" s="94" t="n">
        <f aca="false">L75-L76-L77-L78</f>
        <v>-65200</v>
      </c>
      <c r="M80" s="94" t="n">
        <f aca="false">M75-M76-M77-M78</f>
        <v>-65000</v>
      </c>
      <c r="N80" s="45"/>
      <c r="O80" s="0"/>
      <c r="P80" s="45"/>
    </row>
    <row r="81" customFormat="false" ht="15" hidden="false" customHeight="false" outlineLevel="0" collapsed="false">
      <c r="A81" s="45"/>
      <c r="B81" s="45" t="s">
        <v>131</v>
      </c>
      <c r="C81" s="45"/>
      <c r="D81" s="92" t="n">
        <f aca="false">D80*17%</f>
        <v>-11322</v>
      </c>
      <c r="E81" s="92" t="n">
        <f aca="false">E80*17%</f>
        <v>-11254</v>
      </c>
      <c r="F81" s="92" t="n">
        <f aca="false">F80*17%</f>
        <v>-11220</v>
      </c>
      <c r="G81" s="92" t="n">
        <f aca="false">G80*17%</f>
        <v>-5950</v>
      </c>
      <c r="H81" s="92" t="n">
        <f aca="false">H80*17%</f>
        <v>-11118</v>
      </c>
      <c r="I81" s="92" t="n">
        <f aca="false">I80*17%</f>
        <v>-11118</v>
      </c>
      <c r="J81" s="92" t="n">
        <f aca="false">J80*17%</f>
        <v>-11152</v>
      </c>
      <c r="K81" s="92" t="n">
        <f aca="false">K80*17%</f>
        <v>-11186</v>
      </c>
      <c r="L81" s="92" t="n">
        <f aca="false">L80*17%</f>
        <v>-11084</v>
      </c>
      <c r="M81" s="92" t="n">
        <f aca="false">M80*17%</f>
        <v>-11050</v>
      </c>
      <c r="N81" s="45"/>
      <c r="O81" s="0"/>
      <c r="P81" s="45"/>
    </row>
    <row r="82" customFormat="false" ht="15" hidden="false" customHeight="false" outlineLevel="0" collapsed="false">
      <c r="A82" s="45"/>
      <c r="B82" s="47" t="s">
        <v>132</v>
      </c>
      <c r="C82" s="47"/>
      <c r="D82" s="95" t="n">
        <f aca="false">D80-D81</f>
        <v>-55278</v>
      </c>
      <c r="E82" s="95" t="n">
        <f aca="false">E80-E81</f>
        <v>-54946</v>
      </c>
      <c r="F82" s="95" t="n">
        <f aca="false">F80-F81</f>
        <v>-54780</v>
      </c>
      <c r="G82" s="95" t="n">
        <f aca="false">G80-G81</f>
        <v>-29050</v>
      </c>
      <c r="H82" s="95" t="n">
        <f aca="false">H80-H81</f>
        <v>-54282</v>
      </c>
      <c r="I82" s="95" t="n">
        <f aca="false">I80-I81</f>
        <v>-54282</v>
      </c>
      <c r="J82" s="95" t="n">
        <f aca="false">J80-J81</f>
        <v>-54448</v>
      </c>
      <c r="K82" s="95" t="n">
        <f aca="false">K80-K81</f>
        <v>-54614</v>
      </c>
      <c r="L82" s="95" t="n">
        <f aca="false">L80-L81</f>
        <v>-54116</v>
      </c>
      <c r="M82" s="95" t="n">
        <f aca="false">M80-M81</f>
        <v>-53950</v>
      </c>
      <c r="N82" s="45"/>
      <c r="O82" s="0"/>
      <c r="P82" s="45"/>
    </row>
    <row r="83" customFormat="false" ht="15" hidden="false" customHeight="false" outlineLevel="0" collapsed="false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0"/>
      <c r="P83" s="45"/>
    </row>
    <row r="84" customFormat="false" ht="15" hidden="false" customHeight="false" outlineLevel="0" collapsed="false">
      <c r="A84" s="45"/>
      <c r="B84" s="42" t="s">
        <v>133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5"/>
      <c r="O84" s="0"/>
      <c r="P84" s="45"/>
    </row>
    <row r="85" customFormat="false" ht="15" hidden="false" customHeight="false" outlineLevel="0" collapsed="false">
      <c r="A85" s="45"/>
      <c r="B85" s="90" t="s">
        <v>1</v>
      </c>
      <c r="C85" s="90" t="n">
        <v>0</v>
      </c>
      <c r="D85" s="90" t="n">
        <v>1</v>
      </c>
      <c r="E85" s="90" t="n">
        <v>2</v>
      </c>
      <c r="F85" s="90" t="n">
        <v>3</v>
      </c>
      <c r="G85" s="90" t="n">
        <v>4</v>
      </c>
      <c r="H85" s="90" t="n">
        <v>5</v>
      </c>
      <c r="I85" s="90" t="n">
        <v>6</v>
      </c>
      <c r="J85" s="90" t="n">
        <v>7</v>
      </c>
      <c r="K85" s="90" t="n">
        <v>8</v>
      </c>
      <c r="L85" s="90" t="n">
        <v>9</v>
      </c>
      <c r="M85" s="90" t="n">
        <v>10</v>
      </c>
      <c r="N85" s="45"/>
      <c r="O85" s="0"/>
      <c r="P85" s="45"/>
    </row>
    <row r="86" customFormat="false" ht="15" hidden="false" customHeight="false" outlineLevel="0" collapsed="false">
      <c r="A86" s="45"/>
      <c r="B86" s="45" t="s">
        <v>129</v>
      </c>
      <c r="C86" s="91"/>
      <c r="D86" s="92" t="n">
        <f aca="false">D75</f>
        <v>38400</v>
      </c>
      <c r="E86" s="92" t="n">
        <f aca="false">E75</f>
        <v>44800</v>
      </c>
      <c r="F86" s="92" t="n">
        <f aca="false">F75</f>
        <v>48000</v>
      </c>
      <c r="G86" s="92" t="n">
        <f aca="false">G75</f>
        <v>544000</v>
      </c>
      <c r="H86" s="92" t="n">
        <f aca="false">H75</f>
        <v>57600</v>
      </c>
      <c r="I86" s="92" t="n">
        <f aca="false">I75</f>
        <v>57600</v>
      </c>
      <c r="J86" s="92" t="n">
        <f aca="false">J75</f>
        <v>54400</v>
      </c>
      <c r="K86" s="92" t="n">
        <f aca="false">K75</f>
        <v>51200</v>
      </c>
      <c r="L86" s="92" t="n">
        <f aca="false">L75</f>
        <v>60800</v>
      </c>
      <c r="M86" s="92" t="n">
        <f aca="false">M75</f>
        <v>64000</v>
      </c>
      <c r="N86" s="45"/>
      <c r="O86" s="0"/>
      <c r="P86" s="45"/>
    </row>
    <row r="87" customFormat="false" ht="15" hidden="false" customHeight="false" outlineLevel="0" collapsed="false">
      <c r="A87" s="45"/>
      <c r="B87" s="45" t="s">
        <v>20</v>
      </c>
      <c r="C87" s="45"/>
      <c r="D87" s="92" t="n">
        <f aca="false">D76</f>
        <v>36000</v>
      </c>
      <c r="E87" s="92" t="n">
        <f aca="false">E76</f>
        <v>42000</v>
      </c>
      <c r="F87" s="92" t="n">
        <f aca="false">F76</f>
        <v>45000</v>
      </c>
      <c r="G87" s="92" t="n">
        <f aca="false">G76</f>
        <v>510000</v>
      </c>
      <c r="H87" s="92" t="n">
        <f aca="false">H76</f>
        <v>54000</v>
      </c>
      <c r="I87" s="92" t="n">
        <f aca="false">I76</f>
        <v>54000</v>
      </c>
      <c r="J87" s="92" t="n">
        <f aca="false">J76</f>
        <v>51000</v>
      </c>
      <c r="K87" s="92" t="n">
        <f aca="false">K76</f>
        <v>48000</v>
      </c>
      <c r="L87" s="92" t="n">
        <f aca="false">L76</f>
        <v>57000</v>
      </c>
      <c r="M87" s="92" t="n">
        <f aca="false">M76</f>
        <v>60000</v>
      </c>
      <c r="N87" s="45"/>
      <c r="O87" s="0"/>
      <c r="P87" s="45"/>
    </row>
    <row r="88" customFormat="false" ht="15" hidden="false" customHeight="false" outlineLevel="0" collapsed="false">
      <c r="A88" s="45"/>
      <c r="B88" s="45" t="s">
        <v>19</v>
      </c>
      <c r="C88" s="45"/>
      <c r="D88" s="92" t="n">
        <f aca="false">D77</f>
        <v>20000</v>
      </c>
      <c r="E88" s="92" t="n">
        <f aca="false">E77</f>
        <v>20000</v>
      </c>
      <c r="F88" s="92" t="n">
        <f aca="false">F77</f>
        <v>20000</v>
      </c>
      <c r="G88" s="92" t="n">
        <f aca="false">G77</f>
        <v>20000</v>
      </c>
      <c r="H88" s="92" t="n">
        <f aca="false">H77</f>
        <v>20000</v>
      </c>
      <c r="I88" s="92" t="n">
        <f aca="false">I77</f>
        <v>20000</v>
      </c>
      <c r="J88" s="92" t="n">
        <f aca="false">J77</f>
        <v>20000</v>
      </c>
      <c r="K88" s="92" t="n">
        <f aca="false">K77</f>
        <v>20000</v>
      </c>
      <c r="L88" s="92" t="n">
        <f aca="false">L77</f>
        <v>20000</v>
      </c>
      <c r="M88" s="92" t="n">
        <f aca="false">M77</f>
        <v>20000</v>
      </c>
      <c r="N88" s="45"/>
      <c r="O88" s="0"/>
      <c r="P88" s="45"/>
    </row>
    <row r="89" customFormat="false" ht="15" hidden="false" customHeight="false" outlineLevel="0" collapsed="false">
      <c r="A89" s="45"/>
      <c r="B89" s="45" t="s">
        <v>122</v>
      </c>
      <c r="C89" s="45"/>
      <c r="D89" s="92"/>
      <c r="E89" s="92" t="n">
        <f aca="false">D89</f>
        <v>0</v>
      </c>
      <c r="F89" s="92" t="n">
        <f aca="false">E89</f>
        <v>0</v>
      </c>
      <c r="G89" s="92" t="n">
        <f aca="false">F89</f>
        <v>0</v>
      </c>
      <c r="H89" s="92" t="n">
        <f aca="false">G89</f>
        <v>0</v>
      </c>
      <c r="I89" s="92" t="n">
        <f aca="false">H89</f>
        <v>0</v>
      </c>
      <c r="J89" s="92" t="n">
        <f aca="false">I89</f>
        <v>0</v>
      </c>
      <c r="K89" s="92" t="n">
        <f aca="false">J89</f>
        <v>0</v>
      </c>
      <c r="L89" s="92" t="n">
        <f aca="false">K89</f>
        <v>0</v>
      </c>
      <c r="M89" s="92" t="n">
        <f aca="false">L89</f>
        <v>0</v>
      </c>
      <c r="N89" s="45"/>
      <c r="O89" s="0"/>
      <c r="P89" s="45"/>
    </row>
    <row r="90" customFormat="false" ht="15" hidden="false" customHeight="false" outlineLevel="0" collapsed="false">
      <c r="A90" s="45"/>
      <c r="B90" s="45"/>
      <c r="C90" s="45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45"/>
      <c r="O90" s="0"/>
      <c r="P90" s="45"/>
    </row>
    <row r="91" customFormat="false" ht="15" hidden="false" customHeight="false" outlineLevel="0" collapsed="false">
      <c r="A91" s="45"/>
      <c r="B91" s="93" t="s">
        <v>130</v>
      </c>
      <c r="C91" s="93"/>
      <c r="D91" s="94" t="n">
        <f aca="false">D86-D87-D88-D89</f>
        <v>-17600</v>
      </c>
      <c r="E91" s="94" t="n">
        <f aca="false">E86-E87-E88-E89</f>
        <v>-17200</v>
      </c>
      <c r="F91" s="94" t="n">
        <f aca="false">F86-F87-F88-F89</f>
        <v>-17000</v>
      </c>
      <c r="G91" s="94" t="n">
        <f aca="false">G86-G87-G88-G89</f>
        <v>14000</v>
      </c>
      <c r="H91" s="94" t="n">
        <f aca="false">H86-H87-H88-H89</f>
        <v>-16400</v>
      </c>
      <c r="I91" s="94" t="n">
        <f aca="false">I86-I87-I88-I89</f>
        <v>-16400</v>
      </c>
      <c r="J91" s="94" t="n">
        <f aca="false">J86-J87-J88-J89</f>
        <v>-16600</v>
      </c>
      <c r="K91" s="94" t="n">
        <f aca="false">K86-K87-K88-K89</f>
        <v>-16800</v>
      </c>
      <c r="L91" s="94" t="n">
        <f aca="false">L86-L87-L88-L89</f>
        <v>-16200</v>
      </c>
      <c r="M91" s="94" t="n">
        <f aca="false">M86-M87-M88-M89</f>
        <v>-16000</v>
      </c>
      <c r="N91" s="45"/>
      <c r="O91" s="0"/>
      <c r="P91" s="45"/>
    </row>
    <row r="92" customFormat="false" ht="15" hidden="false" customHeight="false" outlineLevel="0" collapsed="false">
      <c r="A92" s="45"/>
      <c r="B92" s="45" t="s">
        <v>134</v>
      </c>
      <c r="C92" s="45"/>
      <c r="D92" s="92" t="n">
        <f aca="false">D91*17%</f>
        <v>-2992</v>
      </c>
      <c r="E92" s="92" t="n">
        <f aca="false">E91*17%</f>
        <v>-2924</v>
      </c>
      <c r="F92" s="92" t="n">
        <f aca="false">F91*17%</f>
        <v>-2890</v>
      </c>
      <c r="G92" s="92" t="n">
        <f aca="false">G91*17%</f>
        <v>2380</v>
      </c>
      <c r="H92" s="92" t="n">
        <f aca="false">H91*17%</f>
        <v>-2788</v>
      </c>
      <c r="I92" s="92" t="n">
        <f aca="false">I91*17%</f>
        <v>-2788</v>
      </c>
      <c r="J92" s="92" t="n">
        <f aca="false">J91*17%</f>
        <v>-2822</v>
      </c>
      <c r="K92" s="92" t="n">
        <f aca="false">K91*17%</f>
        <v>-2856</v>
      </c>
      <c r="L92" s="92" t="n">
        <f aca="false">L91*17%</f>
        <v>-2754</v>
      </c>
      <c r="M92" s="92" t="n">
        <f aca="false">M91*17%</f>
        <v>-2720</v>
      </c>
      <c r="N92" s="45"/>
      <c r="O92" s="0"/>
      <c r="P92" s="45"/>
    </row>
    <row r="93" customFormat="false" ht="15" hidden="false" customHeight="false" outlineLevel="0" collapsed="false">
      <c r="A93" s="45"/>
      <c r="B93" s="47" t="s">
        <v>132</v>
      </c>
      <c r="C93" s="47"/>
      <c r="D93" s="95" t="n">
        <f aca="false">D91-D92</f>
        <v>-14608</v>
      </c>
      <c r="E93" s="95" t="n">
        <f aca="false">E91-E92</f>
        <v>-14276</v>
      </c>
      <c r="F93" s="95" t="n">
        <f aca="false">F91-F92</f>
        <v>-14110</v>
      </c>
      <c r="G93" s="95" t="n">
        <f aca="false">G91-G92</f>
        <v>11620</v>
      </c>
      <c r="H93" s="95" t="n">
        <f aca="false">H91-H92</f>
        <v>-13612</v>
      </c>
      <c r="I93" s="95" t="n">
        <f aca="false">I91-I92</f>
        <v>-13612</v>
      </c>
      <c r="J93" s="95" t="n">
        <f aca="false">J91-J92</f>
        <v>-13778</v>
      </c>
      <c r="K93" s="95" t="n">
        <f aca="false">K91-K92</f>
        <v>-13944</v>
      </c>
      <c r="L93" s="95" t="n">
        <f aca="false">L91-L92</f>
        <v>-13446</v>
      </c>
      <c r="M93" s="95" t="n">
        <f aca="false">M91-M92</f>
        <v>-13280</v>
      </c>
      <c r="N93" s="45"/>
      <c r="O93" s="0"/>
      <c r="P93" s="45"/>
    </row>
    <row r="94" customFormat="false" ht="15" hidden="false" customHeight="false" outlineLevel="0" collapsed="false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0"/>
      <c r="P94" s="45"/>
    </row>
    <row r="95" customFormat="false" ht="15" hidden="false" customHeight="false" outlineLevel="0" collapsed="false">
      <c r="A95" s="45"/>
      <c r="B95" s="42" t="s">
        <v>135</v>
      </c>
      <c r="C95" s="42"/>
      <c r="D95" s="42"/>
      <c r="E95" s="42"/>
      <c r="F95" s="42"/>
      <c r="G95" s="42"/>
      <c r="H95" s="42"/>
      <c r="I95" s="42"/>
      <c r="J95" s="42"/>
      <c r="K95" s="42"/>
      <c r="L95" s="45"/>
      <c r="M95" s="45"/>
      <c r="N95" s="45"/>
      <c r="O95" s="0"/>
      <c r="P95" s="45"/>
    </row>
    <row r="96" customFormat="false" ht="15" hidden="false" customHeight="false" outlineLevel="0" collapsed="false">
      <c r="A96" s="45"/>
      <c r="B96" s="96" t="s">
        <v>136</v>
      </c>
      <c r="C96" s="89" t="n">
        <v>0</v>
      </c>
      <c r="D96" s="45" t="s">
        <v>137</v>
      </c>
      <c r="E96" s="97" t="n">
        <v>0</v>
      </c>
      <c r="F96" s="45"/>
      <c r="G96" s="45"/>
      <c r="H96" s="45"/>
      <c r="I96" s="45"/>
      <c r="J96" s="45"/>
      <c r="K96" s="45"/>
      <c r="L96" s="45"/>
      <c r="M96" s="45"/>
      <c r="N96" s="45"/>
      <c r="O96" s="0"/>
      <c r="P96" s="45"/>
    </row>
    <row r="97" customFormat="false" ht="15" hidden="false" customHeight="false" outlineLevel="0" collapsed="false">
      <c r="A97" s="45"/>
      <c r="B97" s="96" t="s">
        <v>138</v>
      </c>
      <c r="C97" s="98" t="n">
        <v>0.09</v>
      </c>
      <c r="D97" s="45" t="s">
        <v>139</v>
      </c>
      <c r="E97" s="97" t="n">
        <v>10</v>
      </c>
      <c r="F97" s="45"/>
      <c r="G97" s="45"/>
      <c r="H97" s="45"/>
      <c r="I97" s="45"/>
      <c r="J97" s="45"/>
      <c r="K97" s="45"/>
      <c r="L97" s="45"/>
      <c r="M97" s="45"/>
      <c r="N97" s="45"/>
      <c r="O97" s="0"/>
      <c r="P97" s="45"/>
    </row>
    <row r="98" customFormat="false" ht="15" hidden="false" customHeight="false" outlineLevel="0" collapsed="false">
      <c r="A98" s="45"/>
      <c r="B98" s="96" t="s">
        <v>140</v>
      </c>
      <c r="C98" s="89" t="n">
        <v>8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0"/>
      <c r="P98" s="45"/>
    </row>
    <row r="99" customFormat="false" ht="15" hidden="false" customHeight="false" outlineLevel="0" collapsed="false">
      <c r="A99" s="45"/>
      <c r="B99" s="96" t="s">
        <v>141</v>
      </c>
      <c r="C99" s="89" t="n">
        <f aca="false">-PMT(C97,C98,C96)</f>
        <v>0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0"/>
      <c r="P99" s="45"/>
    </row>
    <row r="100" customFormat="false" ht="15" hidden="false" customHeight="false" outlineLevel="0" collapsed="false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0"/>
      <c r="P100" s="45"/>
    </row>
    <row r="101" customFormat="false" ht="15" hidden="false" customHeight="false" outlineLevel="0" collapsed="false">
      <c r="A101" s="45"/>
      <c r="B101" s="90" t="s">
        <v>142</v>
      </c>
      <c r="C101" s="99" t="n">
        <v>0</v>
      </c>
      <c r="D101" s="99" t="n">
        <v>1</v>
      </c>
      <c r="E101" s="99" t="n">
        <v>2</v>
      </c>
      <c r="F101" s="99" t="n">
        <v>3</v>
      </c>
      <c r="G101" s="99" t="n">
        <v>4</v>
      </c>
      <c r="H101" s="99" t="n">
        <v>5</v>
      </c>
      <c r="I101" s="99" t="n">
        <v>6</v>
      </c>
      <c r="J101" s="99" t="n">
        <v>7</v>
      </c>
      <c r="K101" s="99" t="n">
        <v>8</v>
      </c>
      <c r="L101" s="45"/>
      <c r="M101" s="45"/>
      <c r="N101" s="45"/>
      <c r="O101" s="0"/>
      <c r="P101" s="45"/>
    </row>
    <row r="102" customFormat="false" ht="15" hidden="false" customHeight="false" outlineLevel="0" collapsed="false">
      <c r="A102" s="45"/>
      <c r="B102" s="93" t="s">
        <v>143</v>
      </c>
      <c r="C102" s="91" t="n">
        <f aca="false">C96</f>
        <v>0</v>
      </c>
      <c r="D102" s="91" t="n">
        <f aca="false">C106</f>
        <v>0</v>
      </c>
      <c r="E102" s="91" t="n">
        <f aca="false">D106</f>
        <v>0</v>
      </c>
      <c r="F102" s="91" t="n">
        <f aca="false">E106</f>
        <v>0</v>
      </c>
      <c r="G102" s="91" t="n">
        <f aca="false">F106</f>
        <v>0</v>
      </c>
      <c r="H102" s="91" t="n">
        <f aca="false">G106</f>
        <v>0</v>
      </c>
      <c r="I102" s="91" t="n">
        <f aca="false">H106</f>
        <v>0</v>
      </c>
      <c r="J102" s="91" t="n">
        <f aca="false">I106</f>
        <v>0</v>
      </c>
      <c r="K102" s="91" t="n">
        <f aca="false">J106</f>
        <v>0</v>
      </c>
      <c r="L102" s="45"/>
      <c r="M102" s="45"/>
      <c r="N102" s="45"/>
      <c r="O102" s="0"/>
      <c r="P102" s="45"/>
    </row>
    <row r="103" customFormat="false" ht="15" hidden="false" customHeight="false" outlineLevel="0" collapsed="false">
      <c r="A103" s="45"/>
      <c r="B103" s="93" t="s">
        <v>144</v>
      </c>
      <c r="C103" s="91" t="n">
        <v>0</v>
      </c>
      <c r="D103" s="91" t="n">
        <f aca="false">D102*$C$97</f>
        <v>0</v>
      </c>
      <c r="E103" s="91" t="n">
        <f aca="false">E102*$C$97</f>
        <v>0</v>
      </c>
      <c r="F103" s="91" t="n">
        <f aca="false">F102*$C$97</f>
        <v>0</v>
      </c>
      <c r="G103" s="91" t="n">
        <f aca="false">G102*$C$97</f>
        <v>0</v>
      </c>
      <c r="H103" s="91" t="n">
        <f aca="false">H102*$C$97</f>
        <v>0</v>
      </c>
      <c r="I103" s="91" t="n">
        <f aca="false">I102*$C$97</f>
        <v>0</v>
      </c>
      <c r="J103" s="91" t="n">
        <f aca="false">J102*$C$97</f>
        <v>0</v>
      </c>
      <c r="K103" s="91" t="n">
        <f aca="false">K102*$C$97</f>
        <v>0</v>
      </c>
      <c r="L103" s="45"/>
      <c r="M103" s="45"/>
      <c r="N103" s="45"/>
      <c r="O103" s="0"/>
      <c r="P103" s="45"/>
    </row>
    <row r="104" customFormat="false" ht="15" hidden="false" customHeight="false" outlineLevel="0" collapsed="false">
      <c r="A104" s="45"/>
      <c r="B104" s="93" t="s">
        <v>145</v>
      </c>
      <c r="C104" s="91" t="n">
        <v>0</v>
      </c>
      <c r="D104" s="91" t="n">
        <f aca="false">D105-D103</f>
        <v>0</v>
      </c>
      <c r="E104" s="91" t="n">
        <f aca="false">E105-E103</f>
        <v>0</v>
      </c>
      <c r="F104" s="91" t="n">
        <f aca="false">F105-F103</f>
        <v>0</v>
      </c>
      <c r="G104" s="91" t="n">
        <f aca="false">G105-G103</f>
        <v>0</v>
      </c>
      <c r="H104" s="91" t="n">
        <f aca="false">H105-H103</f>
        <v>0</v>
      </c>
      <c r="I104" s="91" t="n">
        <f aca="false">I105-I103</f>
        <v>0</v>
      </c>
      <c r="J104" s="91" t="n">
        <f aca="false">J105-J103</f>
        <v>0</v>
      </c>
      <c r="K104" s="91" t="n">
        <f aca="false">K105-K103</f>
        <v>0</v>
      </c>
      <c r="L104" s="45"/>
      <c r="M104" s="45"/>
      <c r="N104" s="45"/>
      <c r="O104" s="0"/>
      <c r="P104" s="45"/>
    </row>
    <row r="105" customFormat="false" ht="15" hidden="false" customHeight="false" outlineLevel="0" collapsed="false">
      <c r="A105" s="45"/>
      <c r="B105" s="93" t="s">
        <v>146</v>
      </c>
      <c r="C105" s="91" t="n">
        <v>0</v>
      </c>
      <c r="D105" s="91" t="n">
        <f aca="false">$C$99</f>
        <v>0</v>
      </c>
      <c r="E105" s="91" t="n">
        <f aca="false">$C$99</f>
        <v>0</v>
      </c>
      <c r="F105" s="91" t="n">
        <f aca="false">$C$99</f>
        <v>0</v>
      </c>
      <c r="G105" s="91" t="n">
        <f aca="false">$C$99</f>
        <v>0</v>
      </c>
      <c r="H105" s="91" t="n">
        <f aca="false">$C$99</f>
        <v>0</v>
      </c>
      <c r="I105" s="91" t="n">
        <f aca="false">$C$99</f>
        <v>0</v>
      </c>
      <c r="J105" s="91" t="n">
        <f aca="false">$C$99</f>
        <v>0</v>
      </c>
      <c r="K105" s="91" t="n">
        <f aca="false">$C$99</f>
        <v>0</v>
      </c>
      <c r="L105" s="45"/>
      <c r="M105" s="45"/>
      <c r="N105" s="45"/>
      <c r="O105" s="0"/>
      <c r="P105" s="45"/>
    </row>
    <row r="106" customFormat="false" ht="15" hidden="false" customHeight="false" outlineLevel="0" collapsed="false">
      <c r="A106" s="45"/>
      <c r="B106" s="93" t="s">
        <v>147</v>
      </c>
      <c r="C106" s="91" t="n">
        <f aca="false">C102</f>
        <v>0</v>
      </c>
      <c r="D106" s="91" t="n">
        <f aca="false">D102-D104</f>
        <v>0</v>
      </c>
      <c r="E106" s="91" t="n">
        <f aca="false">E102-E104</f>
        <v>0</v>
      </c>
      <c r="F106" s="91" t="n">
        <f aca="false">F102-F104</f>
        <v>0</v>
      </c>
      <c r="G106" s="91" t="n">
        <f aca="false">G102-G104</f>
        <v>0</v>
      </c>
      <c r="H106" s="91" t="n">
        <f aca="false">H102-H104</f>
        <v>0</v>
      </c>
      <c r="I106" s="91" t="n">
        <f aca="false">I102-I104</f>
        <v>0</v>
      </c>
      <c r="J106" s="91" t="n">
        <f aca="false">J102-J104</f>
        <v>0</v>
      </c>
      <c r="K106" s="100" t="n">
        <f aca="false">K102-K104</f>
        <v>0</v>
      </c>
      <c r="L106" s="45"/>
      <c r="M106" s="45"/>
      <c r="N106" s="45"/>
      <c r="O106" s="0"/>
      <c r="P106" s="45"/>
    </row>
    <row r="107" customFormat="false" ht="15" hidden="false" customHeight="false" outlineLevel="0" collapsed="false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0"/>
      <c r="P107" s="45"/>
    </row>
    <row r="108" customFormat="false" ht="15" hidden="false" customHeight="false" outlineLevel="0" collapsed="false">
      <c r="A108" s="45"/>
      <c r="B108" s="42" t="s">
        <v>148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5"/>
      <c r="O108" s="0"/>
      <c r="P108" s="45"/>
    </row>
    <row r="109" customFormat="false" ht="15" hidden="false" customHeight="false" outlineLevel="0" collapsed="false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0"/>
      <c r="P109" s="45"/>
    </row>
    <row r="110" customFormat="false" ht="15" hidden="false" customHeight="false" outlineLevel="0" collapsed="false">
      <c r="A110" s="45"/>
      <c r="B110" s="90" t="s">
        <v>149</v>
      </c>
      <c r="C110" s="99" t="n">
        <v>0</v>
      </c>
      <c r="D110" s="99" t="n">
        <v>1</v>
      </c>
      <c r="E110" s="99" t="n">
        <v>2</v>
      </c>
      <c r="F110" s="99" t="n">
        <v>3</v>
      </c>
      <c r="G110" s="99" t="n">
        <v>4</v>
      </c>
      <c r="H110" s="99" t="n">
        <v>5</v>
      </c>
      <c r="I110" s="99" t="n">
        <v>6</v>
      </c>
      <c r="J110" s="99" t="n">
        <v>7</v>
      </c>
      <c r="K110" s="99" t="n">
        <v>8</v>
      </c>
      <c r="L110" s="99" t="n">
        <v>9</v>
      </c>
      <c r="M110" s="99" t="n">
        <v>10</v>
      </c>
      <c r="N110" s="45"/>
      <c r="O110" s="0"/>
      <c r="P110" s="45"/>
    </row>
    <row r="111" customFormat="false" ht="15" hidden="false" customHeight="false" outlineLevel="0" collapsed="false">
      <c r="A111" s="45" t="s">
        <v>150</v>
      </c>
      <c r="B111" s="45" t="s">
        <v>151</v>
      </c>
      <c r="C111" s="89" t="n">
        <f aca="false">-'parte 2'!C13</f>
        <v>-519000</v>
      </c>
      <c r="D111" s="89"/>
      <c r="E111" s="89"/>
      <c r="F111" s="89"/>
      <c r="G111" s="89"/>
      <c r="H111" s="89"/>
      <c r="I111" s="89" t="n">
        <f aca="false">-'parte 2'!C6</f>
        <v>-90000</v>
      </c>
      <c r="J111" s="89"/>
      <c r="K111" s="89"/>
      <c r="L111" s="89"/>
      <c r="M111" s="89"/>
      <c r="N111" s="45"/>
      <c r="O111" s="0"/>
      <c r="P111" s="45"/>
    </row>
    <row r="112" customFormat="false" ht="15" hidden="false" customHeight="false" outlineLevel="0" collapsed="false">
      <c r="A112" s="45" t="s">
        <v>150</v>
      </c>
      <c r="B112" s="45" t="s">
        <v>12</v>
      </c>
      <c r="C112" s="89" t="n">
        <f aca="false">((-D87-D88)/2)</f>
        <v>-28000</v>
      </c>
      <c r="D112" s="89" t="n">
        <f aca="false">((-E87-E88)/2-C112)</f>
        <v>-3000</v>
      </c>
      <c r="E112" s="89" t="n">
        <f aca="false">((-F87-F88)/2-D112-C112)</f>
        <v>-1500</v>
      </c>
      <c r="F112" s="89" t="n">
        <f aca="false">((-G87-G88)/2-E112-D112-C112)</f>
        <v>-232500</v>
      </c>
      <c r="G112" s="89" t="n">
        <f aca="false">((-H87-H88)/2-F112-E112-D112-C112)</f>
        <v>228000</v>
      </c>
      <c r="H112" s="89" t="n">
        <f aca="false">((-I87-I88)/2-G112-F112-E112-D112-C112)</f>
        <v>0</v>
      </c>
      <c r="I112" s="89" t="n">
        <f aca="false">((-J87-J88)/2-H112-G112-F112-E112-D112-C112)</f>
        <v>1500</v>
      </c>
      <c r="J112" s="89" t="n">
        <f aca="false">((-K87-K88)/2-I112-H112-G112-F112-E112-D112-C112)</f>
        <v>1500</v>
      </c>
      <c r="K112" s="89" t="n">
        <f aca="false">((-L87-L88)/2-J112-I112-H112-G112-F112-E112-D112-C112)</f>
        <v>-4500</v>
      </c>
      <c r="L112" s="89" t="n">
        <f aca="false">((-M87-M88)/2-K112-J112-I112-H112-G112-F112-E112-D112-C112)</f>
        <v>-1500</v>
      </c>
      <c r="M112" s="89"/>
      <c r="N112" s="45"/>
      <c r="O112" s="0"/>
      <c r="P112" s="45"/>
    </row>
    <row r="113" customFormat="false" ht="15" hidden="false" customHeight="false" outlineLevel="0" collapsed="false">
      <c r="A113" s="45" t="s">
        <v>152</v>
      </c>
      <c r="B113" s="45" t="s">
        <v>153</v>
      </c>
      <c r="C113" s="89"/>
      <c r="D113" s="89"/>
      <c r="E113" s="89"/>
      <c r="F113" s="89"/>
      <c r="G113" s="89"/>
      <c r="H113" s="89"/>
      <c r="I113" s="89" t="n">
        <f aca="false">'parte 2'!C6/2</f>
        <v>45000</v>
      </c>
      <c r="J113" s="89"/>
      <c r="K113" s="89"/>
      <c r="L113" s="89"/>
      <c r="M113" s="89"/>
      <c r="N113" s="45"/>
      <c r="O113" s="0"/>
      <c r="P113" s="45"/>
    </row>
    <row r="114" customFormat="false" ht="15" hidden="false" customHeight="false" outlineLevel="0" collapsed="false">
      <c r="A114" s="45" t="s">
        <v>152</v>
      </c>
      <c r="B114" s="45" t="s">
        <v>154</v>
      </c>
      <c r="C114" s="45"/>
      <c r="D114" s="89"/>
      <c r="E114" s="89"/>
      <c r="F114" s="89"/>
      <c r="G114" s="89"/>
      <c r="H114" s="89"/>
      <c r="I114" s="89"/>
      <c r="J114" s="89"/>
      <c r="K114" s="89"/>
      <c r="L114" s="89"/>
      <c r="M114" s="89" t="n">
        <f aca="false">-SUM(C112:M112)</f>
        <v>40000</v>
      </c>
      <c r="N114" s="45"/>
      <c r="O114" s="0"/>
      <c r="P114" s="45"/>
    </row>
    <row r="115" customFormat="false" ht="15" hidden="false" customHeight="false" outlineLevel="0" collapsed="false">
      <c r="A115" s="45" t="s">
        <v>152</v>
      </c>
      <c r="B115" s="45" t="s">
        <v>155</v>
      </c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 t="n">
        <f aca="false">'parte 2'!C4</f>
        <v>35000</v>
      </c>
      <c r="N115" s="45"/>
      <c r="O115" s="0"/>
      <c r="P115" s="45"/>
    </row>
    <row r="116" customFormat="false" ht="15" hidden="false" customHeight="false" outlineLevel="0" collapsed="false">
      <c r="A116" s="45" t="s">
        <v>152</v>
      </c>
      <c r="B116" s="45" t="s">
        <v>156</v>
      </c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 t="n">
        <f aca="false">'parte 2'!H68</f>
        <v>-161000</v>
      </c>
      <c r="N116" s="45"/>
      <c r="O116" s="0"/>
      <c r="P116" s="45"/>
    </row>
    <row r="117" customFormat="false" ht="15" hidden="false" customHeight="false" outlineLevel="0" collapsed="false">
      <c r="A117" s="45"/>
      <c r="B117" s="93" t="s">
        <v>157</v>
      </c>
      <c r="C117" s="101" t="n">
        <f aca="false">SUM(C111:C116)</f>
        <v>-547000</v>
      </c>
      <c r="D117" s="101" t="n">
        <f aca="false">SUM(D111:D116)</f>
        <v>-3000</v>
      </c>
      <c r="E117" s="101" t="n">
        <f aca="false">SUM(E111:E116)</f>
        <v>-1500</v>
      </c>
      <c r="F117" s="101" t="n">
        <f aca="false">SUM(F111:F116)</f>
        <v>-232500</v>
      </c>
      <c r="G117" s="101" t="n">
        <f aca="false">SUM(G111:G116)</f>
        <v>228000</v>
      </c>
      <c r="H117" s="101" t="n">
        <f aca="false">SUM(H111:H116)</f>
        <v>0</v>
      </c>
      <c r="I117" s="101" t="n">
        <f aca="false">SUM(I111:I116)</f>
        <v>-43500</v>
      </c>
      <c r="J117" s="101" t="n">
        <f aca="false">SUM(J111:J116)</f>
        <v>1500</v>
      </c>
      <c r="K117" s="101" t="n">
        <f aca="false">SUM(K111:K116)</f>
        <v>-4500</v>
      </c>
      <c r="L117" s="101" t="n">
        <f aca="false">SUM(L111:L116)</f>
        <v>-1500</v>
      </c>
      <c r="M117" s="101" t="n">
        <f aca="false">SUM(M111:M116)</f>
        <v>-86000</v>
      </c>
      <c r="N117" s="45"/>
      <c r="O117" s="0"/>
      <c r="P117" s="45"/>
    </row>
    <row r="118" customFormat="false" ht="15" hidden="false" customHeight="false" outlineLevel="0" collapsed="false">
      <c r="A118" s="45" t="s">
        <v>152</v>
      </c>
      <c r="B118" s="45" t="s">
        <v>158</v>
      </c>
      <c r="C118" s="89"/>
      <c r="D118" s="89" t="n">
        <f aca="false">D75</f>
        <v>38400</v>
      </c>
      <c r="E118" s="89" t="n">
        <f aca="false">E75</f>
        <v>44800</v>
      </c>
      <c r="F118" s="89" t="n">
        <f aca="false">F75</f>
        <v>48000</v>
      </c>
      <c r="G118" s="89" t="n">
        <f aca="false">G75</f>
        <v>544000</v>
      </c>
      <c r="H118" s="89" t="n">
        <f aca="false">H75</f>
        <v>57600</v>
      </c>
      <c r="I118" s="89" t="n">
        <f aca="false">I75</f>
        <v>57600</v>
      </c>
      <c r="J118" s="89" t="n">
        <f aca="false">J75</f>
        <v>54400</v>
      </c>
      <c r="K118" s="89" t="n">
        <f aca="false">K75</f>
        <v>51200</v>
      </c>
      <c r="L118" s="89" t="n">
        <f aca="false">L75</f>
        <v>60800</v>
      </c>
      <c r="M118" s="89" t="n">
        <f aca="false">M75</f>
        <v>64000</v>
      </c>
      <c r="N118" s="45"/>
      <c r="O118" s="0"/>
      <c r="P118" s="45"/>
    </row>
    <row r="119" customFormat="false" ht="15" hidden="false" customHeight="false" outlineLevel="0" collapsed="false">
      <c r="A119" s="45" t="s">
        <v>150</v>
      </c>
      <c r="B119" s="45" t="s">
        <v>159</v>
      </c>
      <c r="C119" s="89"/>
      <c r="D119" s="89" t="n">
        <f aca="false">-D77</f>
        <v>-20000</v>
      </c>
      <c r="E119" s="89" t="n">
        <f aca="false">-E77</f>
        <v>-20000</v>
      </c>
      <c r="F119" s="89" t="n">
        <f aca="false">-F77</f>
        <v>-20000</v>
      </c>
      <c r="G119" s="89" t="n">
        <f aca="false">-G77</f>
        <v>-20000</v>
      </c>
      <c r="H119" s="89" t="n">
        <f aca="false">-H77</f>
        <v>-20000</v>
      </c>
      <c r="I119" s="89" t="n">
        <f aca="false">-I77</f>
        <v>-20000</v>
      </c>
      <c r="J119" s="89" t="n">
        <f aca="false">-J77</f>
        <v>-20000</v>
      </c>
      <c r="K119" s="89" t="n">
        <f aca="false">-K77</f>
        <v>-20000</v>
      </c>
      <c r="L119" s="89" t="n">
        <f aca="false">-L77</f>
        <v>-20000</v>
      </c>
      <c r="M119" s="89" t="n">
        <f aca="false">-M77</f>
        <v>-20000</v>
      </c>
      <c r="N119" s="45"/>
      <c r="O119" s="0"/>
      <c r="P119" s="45"/>
    </row>
    <row r="120" customFormat="false" ht="15" hidden="false" customHeight="false" outlineLevel="0" collapsed="false">
      <c r="A120" s="45" t="s">
        <v>150</v>
      </c>
      <c r="B120" s="45" t="s">
        <v>160</v>
      </c>
      <c r="C120" s="89"/>
      <c r="D120" s="89" t="n">
        <f aca="false">-D76</f>
        <v>-36000</v>
      </c>
      <c r="E120" s="89" t="n">
        <f aca="false">-E76</f>
        <v>-42000</v>
      </c>
      <c r="F120" s="89" t="n">
        <f aca="false">-F76</f>
        <v>-45000</v>
      </c>
      <c r="G120" s="89" t="n">
        <f aca="false">-G76</f>
        <v>-510000</v>
      </c>
      <c r="H120" s="89" t="n">
        <f aca="false">-H76</f>
        <v>-54000</v>
      </c>
      <c r="I120" s="89" t="n">
        <f aca="false">-I76</f>
        <v>-54000</v>
      </c>
      <c r="J120" s="89" t="n">
        <f aca="false">-J76</f>
        <v>-51000</v>
      </c>
      <c r="K120" s="89" t="n">
        <f aca="false">-K76</f>
        <v>-48000</v>
      </c>
      <c r="L120" s="89" t="n">
        <f aca="false">-L76</f>
        <v>-57000</v>
      </c>
      <c r="M120" s="89" t="n">
        <f aca="false">-M76</f>
        <v>-60000</v>
      </c>
      <c r="N120" s="45"/>
      <c r="O120" s="0"/>
      <c r="P120" s="45"/>
    </row>
    <row r="121" customFormat="false" ht="15" hidden="false" customHeight="false" outlineLevel="0" collapsed="false">
      <c r="A121" s="45" t="s">
        <v>150</v>
      </c>
      <c r="B121" s="45" t="s">
        <v>161</v>
      </c>
      <c r="C121" s="89"/>
      <c r="D121" s="89" t="n">
        <f aca="false">-D81</f>
        <v>11322</v>
      </c>
      <c r="E121" s="89" t="n">
        <f aca="false">-E81</f>
        <v>11254</v>
      </c>
      <c r="F121" s="89" t="n">
        <f aca="false">-F81</f>
        <v>11220</v>
      </c>
      <c r="G121" s="89" t="n">
        <f aca="false">-G81</f>
        <v>5950</v>
      </c>
      <c r="H121" s="89" t="n">
        <f aca="false">-H81</f>
        <v>11118</v>
      </c>
      <c r="I121" s="89" t="n">
        <f aca="false">-I81</f>
        <v>11118</v>
      </c>
      <c r="J121" s="89" t="n">
        <f aca="false">-J81</f>
        <v>11152</v>
      </c>
      <c r="K121" s="89" t="n">
        <f aca="false">-K81</f>
        <v>11186</v>
      </c>
      <c r="L121" s="89" t="n">
        <f aca="false">-L81</f>
        <v>11084</v>
      </c>
      <c r="M121" s="89" t="n">
        <f aca="false">-M81</f>
        <v>11050</v>
      </c>
      <c r="N121" s="45"/>
      <c r="O121" s="0"/>
      <c r="P121" s="45"/>
    </row>
    <row r="122" customFormat="false" ht="15" hidden="false" customHeight="false" outlineLevel="0" collapsed="false">
      <c r="A122" s="45"/>
      <c r="B122" s="93" t="s">
        <v>162</v>
      </c>
      <c r="C122" s="101"/>
      <c r="D122" s="101" t="n">
        <f aca="false">SUM(D118:D121)</f>
        <v>-6278</v>
      </c>
      <c r="E122" s="101" t="n">
        <f aca="false">SUM(E118:E121)</f>
        <v>-5946</v>
      </c>
      <c r="F122" s="101" t="n">
        <f aca="false">SUM(F118:F121)</f>
        <v>-5780</v>
      </c>
      <c r="G122" s="101" t="n">
        <f aca="false">SUM(G118:G121)</f>
        <v>19950</v>
      </c>
      <c r="H122" s="101" t="n">
        <f aca="false">SUM(H118:H121)</f>
        <v>-5282</v>
      </c>
      <c r="I122" s="101" t="n">
        <f aca="false">SUM(I118:I121)</f>
        <v>-5282</v>
      </c>
      <c r="J122" s="101" t="n">
        <f aca="false">SUM(J118:J121)</f>
        <v>-5448</v>
      </c>
      <c r="K122" s="101" t="n">
        <f aca="false">SUM(K118:K121)</f>
        <v>-5614</v>
      </c>
      <c r="L122" s="101" t="n">
        <f aca="false">SUM(L118:L121)</f>
        <v>-5116</v>
      </c>
      <c r="M122" s="101" t="n">
        <f aca="false">SUM(M118:M121)</f>
        <v>-4950</v>
      </c>
      <c r="N122" s="45"/>
      <c r="O122" s="0"/>
      <c r="P122" s="45"/>
    </row>
    <row r="123" customFormat="false" ht="15" hidden="false" customHeight="false" outlineLevel="0" collapsed="false">
      <c r="A123" s="45"/>
      <c r="B123" s="102" t="s">
        <v>163</v>
      </c>
      <c r="C123" s="103" t="n">
        <f aca="false">C117+C122</f>
        <v>-547000</v>
      </c>
      <c r="D123" s="103" t="n">
        <f aca="false">D117+D122</f>
        <v>-9278</v>
      </c>
      <c r="E123" s="103" t="n">
        <f aca="false">E117+E122</f>
        <v>-7446</v>
      </c>
      <c r="F123" s="103" t="n">
        <f aca="false">F117+F122</f>
        <v>-238280</v>
      </c>
      <c r="G123" s="103" t="n">
        <f aca="false">G117+G122</f>
        <v>247950</v>
      </c>
      <c r="H123" s="103" t="n">
        <f aca="false">H117+H122</f>
        <v>-5282</v>
      </c>
      <c r="I123" s="103" t="n">
        <f aca="false">I117+I122</f>
        <v>-48782</v>
      </c>
      <c r="J123" s="103" t="n">
        <f aca="false">J117+J122</f>
        <v>-3948</v>
      </c>
      <c r="K123" s="103" t="n">
        <f aca="false">K117+K122</f>
        <v>-10114</v>
      </c>
      <c r="L123" s="103" t="n">
        <f aca="false">L117+L122</f>
        <v>-6616</v>
      </c>
      <c r="M123" s="103" t="n">
        <f aca="false">M117+M122</f>
        <v>-90950</v>
      </c>
      <c r="N123" s="45"/>
      <c r="O123" s="0"/>
      <c r="P123" s="45"/>
    </row>
    <row r="124" customFormat="false" ht="15" hidden="false" customHeight="false" outlineLevel="0" collapsed="false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0"/>
      <c r="P124" s="45"/>
    </row>
    <row r="125" customFormat="false" ht="15" hidden="false" customHeight="false" outlineLevel="0" collapsed="false">
      <c r="A125" s="45"/>
      <c r="B125" s="45" t="s">
        <v>164</v>
      </c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0"/>
      <c r="P125" s="45"/>
    </row>
    <row r="126" customFormat="false" ht="15" hidden="false" customHeight="false" outlineLevel="0" collapsed="false">
      <c r="A126" s="45" t="s">
        <v>152</v>
      </c>
      <c r="B126" s="45" t="s">
        <v>165</v>
      </c>
      <c r="C126" s="92" t="n">
        <f aca="false">C96</f>
        <v>0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0"/>
      <c r="P126" s="45"/>
    </row>
    <row r="127" customFormat="false" ht="15" hidden="false" customHeight="false" outlineLevel="0" collapsed="false">
      <c r="A127" s="45" t="s">
        <v>150</v>
      </c>
      <c r="B127" s="45" t="s">
        <v>166</v>
      </c>
      <c r="C127" s="45"/>
      <c r="D127" s="91" t="n">
        <f aca="false">-D104</f>
        <v>-0</v>
      </c>
      <c r="E127" s="91" t="n">
        <f aca="false">-E104</f>
        <v>-0</v>
      </c>
      <c r="F127" s="91" t="n">
        <f aca="false">-F104</f>
        <v>-0</v>
      </c>
      <c r="G127" s="91" t="n">
        <f aca="false">-G104</f>
        <v>-0</v>
      </c>
      <c r="H127" s="91" t="n">
        <f aca="false">-H104</f>
        <v>-0</v>
      </c>
      <c r="I127" s="91" t="n">
        <f aca="false">-I104</f>
        <v>-0</v>
      </c>
      <c r="J127" s="91" t="n">
        <f aca="false">-J104</f>
        <v>-0</v>
      </c>
      <c r="K127" s="91" t="n">
        <f aca="false">-K104</f>
        <v>-0</v>
      </c>
      <c r="L127" s="45"/>
      <c r="M127" s="45"/>
      <c r="N127" s="45"/>
      <c r="O127" s="0"/>
      <c r="P127" s="45"/>
    </row>
    <row r="128" customFormat="false" ht="15" hidden="false" customHeight="false" outlineLevel="0" collapsed="false">
      <c r="A128" s="45" t="s">
        <v>150</v>
      </c>
      <c r="B128" s="45" t="s">
        <v>167</v>
      </c>
      <c r="C128" s="45"/>
      <c r="D128" s="91" t="n">
        <f aca="false">-D103</f>
        <v>-0</v>
      </c>
      <c r="E128" s="91" t="n">
        <f aca="false">-E103</f>
        <v>-0</v>
      </c>
      <c r="F128" s="91" t="n">
        <f aca="false">-F103</f>
        <v>-0</v>
      </c>
      <c r="G128" s="91" t="n">
        <f aca="false">-G103</f>
        <v>-0</v>
      </c>
      <c r="H128" s="91" t="n">
        <f aca="false">-H103</f>
        <v>-0</v>
      </c>
      <c r="I128" s="91" t="n">
        <f aca="false">-I103</f>
        <v>-0</v>
      </c>
      <c r="J128" s="91" t="n">
        <f aca="false">-J103</f>
        <v>-0</v>
      </c>
      <c r="K128" s="91" t="n">
        <f aca="false">-K103</f>
        <v>-0</v>
      </c>
      <c r="L128" s="45"/>
      <c r="M128" s="45"/>
      <c r="N128" s="45"/>
      <c r="O128" s="0"/>
      <c r="P128" s="45"/>
    </row>
    <row r="129" customFormat="false" ht="15" hidden="false" customHeight="false" outlineLevel="0" collapsed="false">
      <c r="A129" s="45" t="s">
        <v>152</v>
      </c>
      <c r="B129" s="45" t="s">
        <v>168</v>
      </c>
      <c r="C129" s="45"/>
      <c r="D129" s="45" t="n">
        <f aca="false">-17%*D128</f>
        <v>0</v>
      </c>
      <c r="E129" s="45" t="n">
        <f aca="false">-17%*E128</f>
        <v>0</v>
      </c>
      <c r="F129" s="45" t="n">
        <f aca="false">-17%*F128</f>
        <v>0</v>
      </c>
      <c r="G129" s="45" t="n">
        <f aca="false">-17%*G128</f>
        <v>0</v>
      </c>
      <c r="H129" s="45" t="n">
        <f aca="false">-17%*H128</f>
        <v>0</v>
      </c>
      <c r="I129" s="45" t="n">
        <f aca="false">-17%*I128</f>
        <v>0</v>
      </c>
      <c r="J129" s="45" t="n">
        <f aca="false">-17%*J128</f>
        <v>0</v>
      </c>
      <c r="K129" s="45" t="n">
        <f aca="false">-17%*K128</f>
        <v>0</v>
      </c>
      <c r="L129" s="45"/>
      <c r="M129" s="45"/>
      <c r="N129" s="45"/>
      <c r="O129" s="0"/>
      <c r="P129" s="45"/>
    </row>
    <row r="130" customFormat="false" ht="15" hidden="false" customHeight="false" outlineLevel="0" collapsed="false">
      <c r="A130" s="45"/>
      <c r="B130" s="102" t="s">
        <v>169</v>
      </c>
      <c r="C130" s="104" t="n">
        <f aca="false">SUM(C126:C129)</f>
        <v>0</v>
      </c>
      <c r="D130" s="104" t="n">
        <f aca="false">SUM(D126:D129)</f>
        <v>0</v>
      </c>
      <c r="E130" s="104" t="n">
        <f aca="false">SUM(E126:E129)</f>
        <v>0</v>
      </c>
      <c r="F130" s="104" t="n">
        <f aca="false">SUM(F126:F129)</f>
        <v>0</v>
      </c>
      <c r="G130" s="104" t="n">
        <f aca="false">SUM(G126:G129)</f>
        <v>0</v>
      </c>
      <c r="H130" s="104" t="n">
        <f aca="false">SUM(H126:H129)</f>
        <v>0</v>
      </c>
      <c r="I130" s="104" t="n">
        <f aca="false">SUM(I126:I129)</f>
        <v>0</v>
      </c>
      <c r="J130" s="104" t="n">
        <f aca="false">SUM(J126:J129)</f>
        <v>0</v>
      </c>
      <c r="K130" s="104" t="n">
        <f aca="false">SUM(K126:K129)</f>
        <v>0</v>
      </c>
      <c r="L130" s="104" t="n">
        <f aca="false">SUM(L126:L129)</f>
        <v>0</v>
      </c>
      <c r="M130" s="104" t="n">
        <f aca="false">SUM(M126:M129)</f>
        <v>0</v>
      </c>
      <c r="N130" s="45"/>
      <c r="O130" s="0"/>
      <c r="P130" s="45"/>
    </row>
    <row r="131" customFormat="false" ht="15" hidden="false" customHeight="false" outlineLevel="0" collapsed="false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0"/>
      <c r="P131" s="45"/>
    </row>
    <row r="132" customFormat="false" ht="15" hidden="false" customHeight="false" outlineLevel="0" collapsed="false">
      <c r="A132" s="45"/>
      <c r="B132" s="99" t="s">
        <v>170</v>
      </c>
      <c r="C132" s="105" t="n">
        <f aca="false">C123+C130</f>
        <v>-547000</v>
      </c>
      <c r="D132" s="105" t="n">
        <f aca="false">D123+D130</f>
        <v>-9278</v>
      </c>
      <c r="E132" s="105" t="n">
        <f aca="false">E123+E130</f>
        <v>-7446</v>
      </c>
      <c r="F132" s="105" t="n">
        <f aca="false">F123+F130</f>
        <v>-238280</v>
      </c>
      <c r="G132" s="105" t="n">
        <f aca="false">G123+G130</f>
        <v>247950</v>
      </c>
      <c r="H132" s="105" t="n">
        <f aca="false">H123+H130</f>
        <v>-5282</v>
      </c>
      <c r="I132" s="105" t="n">
        <f aca="false">I123+I130</f>
        <v>-48782</v>
      </c>
      <c r="J132" s="105" t="n">
        <f aca="false">J123+J130</f>
        <v>-3948</v>
      </c>
      <c r="K132" s="105" t="n">
        <f aca="false">K123+K130</f>
        <v>-10114</v>
      </c>
      <c r="L132" s="105" t="n">
        <f aca="false">L123+L130</f>
        <v>-6616</v>
      </c>
      <c r="M132" s="105" t="n">
        <f aca="false">M123+M130</f>
        <v>-90950</v>
      </c>
      <c r="N132" s="45"/>
      <c r="O132" s="0"/>
      <c r="P132" s="45"/>
    </row>
    <row r="133" customFormat="false" ht="15" hidden="false" customHeight="false" outlineLevel="0" collapsed="false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0"/>
      <c r="P133" s="45"/>
    </row>
    <row r="134" customFormat="false" ht="15" hidden="false" customHeight="false" outlineLevel="0" collapsed="false">
      <c r="A134" s="45"/>
      <c r="B134" s="45" t="s">
        <v>171</v>
      </c>
      <c r="C134" s="45" t="s">
        <v>172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0"/>
      <c r="P134" s="45"/>
    </row>
    <row r="135" customFormat="false" ht="15" hidden="false" customHeight="false" outlineLevel="0" collapsed="false">
      <c r="A135" s="45"/>
      <c r="B135" s="45" t="s">
        <v>173</v>
      </c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0"/>
      <c r="P135" s="45"/>
    </row>
    <row r="136" customFormat="false" ht="15" hidden="false" customHeight="false" outlineLevel="0" collapsed="false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0"/>
      <c r="P136" s="45"/>
    </row>
    <row r="137" customFormat="false" ht="15" hidden="false" customHeight="false" outlineLevel="0" collapsed="false">
      <c r="A137" s="45"/>
      <c r="B137" s="45"/>
      <c r="C137" s="45" t="s">
        <v>174</v>
      </c>
      <c r="D137" s="45"/>
      <c r="E137" s="46" t="n">
        <v>10</v>
      </c>
      <c r="F137" s="45"/>
      <c r="G137" s="45"/>
      <c r="H137" s="45"/>
      <c r="I137" s="45"/>
      <c r="J137" s="45"/>
      <c r="K137" s="45"/>
      <c r="L137" s="45"/>
      <c r="M137" s="45"/>
      <c r="N137" s="45"/>
      <c r="O137" s="0"/>
      <c r="P137" s="45"/>
    </row>
    <row r="138" customFormat="false" ht="15" hidden="false" customHeight="false" outlineLevel="0" collapsed="false">
      <c r="A138" s="45"/>
      <c r="B138" s="45"/>
      <c r="C138" s="45" t="s">
        <v>175</v>
      </c>
      <c r="D138" s="45"/>
      <c r="E138" s="106" t="s">
        <v>176</v>
      </c>
      <c r="F138" s="45"/>
      <c r="G138" s="45"/>
      <c r="H138" s="45"/>
      <c r="I138" s="45"/>
      <c r="J138" s="45"/>
      <c r="K138" s="45"/>
      <c r="L138" s="45"/>
      <c r="M138" s="45"/>
      <c r="N138" s="45"/>
      <c r="O138" s="0"/>
      <c r="P138" s="45"/>
    </row>
    <row r="139" customFormat="false" ht="15" hidden="false" customHeight="false" outlineLevel="0" collapsed="false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0"/>
      <c r="P139" s="45"/>
    </row>
    <row r="140" customFormat="false" ht="15" hidden="false" customHeight="false" outlineLevel="0" collapsed="false">
      <c r="A140" s="45"/>
      <c r="B140" s="107" t="s">
        <v>177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0"/>
      <c r="P140" s="45"/>
    </row>
    <row r="141" customFormat="false" ht="15" hidden="false" customHeight="false" outlineLevel="0" collapsed="false">
      <c r="A141" s="45"/>
      <c r="B141" s="107" t="s">
        <v>178</v>
      </c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0"/>
      <c r="P141" s="45"/>
    </row>
    <row r="142" customFormat="false" ht="15" hidden="false" customHeight="false" outlineLevel="0" collapsed="false">
      <c r="A142" s="45"/>
      <c r="B142" s="45" t="s">
        <v>179</v>
      </c>
      <c r="C142" s="108" t="n">
        <v>0.01767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0"/>
      <c r="P142" s="45"/>
    </row>
    <row r="143" customFormat="false" ht="15" hidden="false" customHeight="false" outlineLevel="0" collapsed="false">
      <c r="A143" s="45"/>
      <c r="B143" s="45" t="s">
        <v>180</v>
      </c>
      <c r="C143" s="108" t="n">
        <v>0.0481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0"/>
      <c r="P143" s="45"/>
    </row>
    <row r="144" customFormat="false" ht="15" hidden="false" customHeight="false" outlineLevel="0" collapsed="false">
      <c r="A144" s="45"/>
      <c r="B144" s="45" t="s">
        <v>181</v>
      </c>
      <c r="C144" s="46" t="n">
        <v>0.5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0"/>
      <c r="P144" s="45"/>
    </row>
    <row r="145" customFormat="false" ht="15" hidden="false" customHeight="false" outlineLevel="0" collapsed="false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0"/>
      <c r="P145" s="45"/>
    </row>
    <row r="146" customFormat="false" ht="15" hidden="false" customHeight="false" outlineLevel="0" collapsed="false">
      <c r="A146" s="45"/>
      <c r="B146" s="109" t="s">
        <v>182</v>
      </c>
      <c r="C146" s="110" t="n">
        <f aca="false">C142+C144*(C143-C142)</f>
        <v>0.032885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0"/>
      <c r="P146" s="45"/>
    </row>
    <row r="147" customFormat="false" ht="15" hidden="false" customHeight="false" outlineLevel="0" collapsed="false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0"/>
      <c r="P147" s="45"/>
    </row>
    <row r="148" customFormat="false" ht="15" hidden="false" customHeight="false" outlineLevel="0" collapsed="false">
      <c r="A148" s="45"/>
      <c r="B148" s="107" t="s">
        <v>183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0"/>
      <c r="P148" s="45"/>
    </row>
    <row r="149" customFormat="false" ht="15" hidden="false" customHeight="false" outlineLevel="0" collapsed="false">
      <c r="A149" s="45"/>
      <c r="B149" s="45" t="s">
        <v>184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0"/>
      <c r="P149" s="45"/>
    </row>
    <row r="150" customFormat="false" ht="15" hidden="false" customHeight="false" outlineLevel="0" collapsed="false">
      <c r="A150" s="45"/>
      <c r="B150" s="45" t="s">
        <v>185</v>
      </c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0"/>
      <c r="P150" s="45"/>
    </row>
    <row r="151" customFormat="false" ht="15" hidden="false" customHeight="false" outlineLevel="0" collapsed="false">
      <c r="A151" s="45"/>
      <c r="B151" s="45" t="s">
        <v>186</v>
      </c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0"/>
      <c r="P151" s="45"/>
    </row>
    <row r="152" customFormat="false" ht="15" hidden="false" customHeight="false" outlineLevel="0" collapsed="false">
      <c r="A152" s="45"/>
      <c r="B152" s="45" t="s">
        <v>187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0"/>
      <c r="P152" s="45"/>
    </row>
    <row r="153" customFormat="false" ht="15" hidden="false" customHeight="false" outlineLevel="0" collapsed="false">
      <c r="A153" s="45"/>
      <c r="B153" s="45" t="s">
        <v>188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0"/>
      <c r="P153" s="45"/>
    </row>
    <row r="154" customFormat="false" ht="15" hidden="false" customHeight="false" outlineLevel="0" collapsed="false">
      <c r="A154" s="45"/>
      <c r="B154" s="45" t="s">
        <v>189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0"/>
      <c r="P154" s="45"/>
    </row>
    <row r="155" customFormat="false" ht="15" hidden="false" customHeight="false" outlineLevel="0" collapsed="false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0"/>
      <c r="P155" s="45"/>
    </row>
    <row r="156" customFormat="false" ht="15" hidden="false" customHeight="false" outlineLevel="0" collapsed="false">
      <c r="A156" s="45"/>
      <c r="B156" s="109" t="s">
        <v>190</v>
      </c>
      <c r="C156" s="110" t="n">
        <f aca="false">C146*(E97/(E97+E96)+C97*(1-17%)*(E96/(E97+E96)))</f>
        <v>0.032885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0"/>
      <c r="P156" s="45"/>
    </row>
    <row r="157" customFormat="false" ht="15" hidden="false" customHeight="false" outlineLevel="0" collapsed="false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0"/>
      <c r="P157" s="45"/>
    </row>
    <row r="158" customFormat="false" ht="15" hidden="false" customHeight="false" outlineLevel="0" collapsed="false">
      <c r="A158" s="45"/>
      <c r="B158" s="45"/>
      <c r="C158" s="45" t="s">
        <v>191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0"/>
      <c r="P158" s="45"/>
    </row>
    <row r="159" customFormat="false" ht="15" hidden="false" customHeight="false" outlineLevel="0" collapsed="false">
      <c r="A159" s="45"/>
      <c r="B159" s="96" t="s">
        <v>192</v>
      </c>
      <c r="C159" s="111" t="n">
        <f aca="false">NPV(C146,D123:M123)+C123</f>
        <v>-687726.269373377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0"/>
      <c r="P159" s="45"/>
    </row>
    <row r="160" customFormat="false" ht="15" hidden="false" customHeight="false" outlineLevel="0" collapsed="false">
      <c r="A160" s="45"/>
      <c r="B160" s="96" t="s">
        <v>193</v>
      </c>
      <c r="C160" s="112" t="e">
        <f aca="false">IRR(C123:M123)</f>
        <v>#N/A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0"/>
      <c r="P160" s="45"/>
    </row>
    <row r="161" customFormat="false" ht="15" hidden="false" customHeight="false" outlineLevel="0" collapsed="false">
      <c r="A161" s="45"/>
      <c r="B161" s="45"/>
      <c r="C161" s="45"/>
      <c r="D161" s="45" t="s">
        <v>194</v>
      </c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0"/>
      <c r="P161" s="45"/>
    </row>
    <row r="162" customFormat="false" ht="15" hidden="false" customHeight="false" outlineLevel="0" collapsed="false">
      <c r="A162" s="45"/>
      <c r="B162" s="45"/>
      <c r="C162" s="45"/>
      <c r="D162" s="45" t="s">
        <v>195</v>
      </c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0"/>
      <c r="P162" s="45"/>
    </row>
    <row r="163" customFormat="false" ht="15" hidden="false" customHeight="false" outlineLevel="0" collapsed="false">
      <c r="A163" s="45"/>
      <c r="B163" s="45"/>
      <c r="C163" s="45"/>
      <c r="D163" s="45" t="s">
        <v>196</v>
      </c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0"/>
      <c r="P163" s="45"/>
    </row>
    <row r="164" customFormat="false" ht="15" hidden="false" customHeight="false" outlineLevel="0" collapsed="false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0"/>
      <c r="P164" s="45"/>
    </row>
    <row r="165" customFormat="false" ht="15" hidden="false" customHeight="false" outlineLevel="0" collapsed="false">
      <c r="A165" s="45"/>
      <c r="B165" s="45"/>
      <c r="C165" s="45"/>
      <c r="D165" s="45" t="s">
        <v>197</v>
      </c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0"/>
      <c r="P165" s="45"/>
    </row>
    <row r="166" customFormat="false" ht="15" hidden="false" customHeight="false" outlineLevel="0" collapsed="false">
      <c r="A166" s="45"/>
      <c r="B166" s="45"/>
      <c r="C166" s="45"/>
      <c r="D166" s="45" t="s">
        <v>198</v>
      </c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0"/>
      <c r="P166" s="45"/>
    </row>
    <row r="167" customFormat="false" ht="15" hidden="false" customHeight="false" outlineLevel="0" collapsed="false">
      <c r="A167" s="45"/>
      <c r="B167" s="0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</row>
    <row r="168" customFormat="false" ht="15" hidden="false" customHeight="false" outlineLevel="0" collapsed="false">
      <c r="A168" s="45"/>
      <c r="B168" s="0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</row>
    <row r="169" customFormat="false" ht="15" hidden="false" customHeight="false" outlineLevel="0" collapsed="false"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</row>
    <row r="170" customFormat="false" ht="15" hidden="false" customHeight="false" outlineLevel="0" collapsed="false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</row>
  </sheetData>
  <mergeCells count="16">
    <mergeCell ref="B2:C2"/>
    <mergeCell ref="B19:H19"/>
    <mergeCell ref="B21:B22"/>
    <mergeCell ref="C21:C22"/>
    <mergeCell ref="D21:D22"/>
    <mergeCell ref="E21:E22"/>
    <mergeCell ref="F21:F22"/>
    <mergeCell ref="G21:G22"/>
    <mergeCell ref="H21:H22"/>
    <mergeCell ref="B32:F32"/>
    <mergeCell ref="B48:C48"/>
    <mergeCell ref="B61:H61"/>
    <mergeCell ref="B73:M73"/>
    <mergeCell ref="B84:M84"/>
    <mergeCell ref="B95:K95"/>
    <mergeCell ref="B108:M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T16" activeCellId="0" sqref="T16"/>
    </sheetView>
  </sheetViews>
  <sheetFormatPr defaultColWidth="11.53515625" defaultRowHeight="12.8" customHeight="true" zeroHeight="false" outlineLevelRow="0" outlineLevelCol="0"/>
  <sheetData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E. Edison Achalma Mendoza</dc:creator>
  <dc:description/>
  <dc:language>es-PE</dc:language>
  <cp:lastModifiedBy>Edison Achalma</cp:lastModifiedBy>
  <dcterms:modified xsi:type="dcterms:W3CDTF">2025-05-23T17:58:03Z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