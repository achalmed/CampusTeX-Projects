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24226"/>
  <xr:revisionPtr revIDLastSave="0" documentId="13_ncr:1_{C1AC051A-C8D8-49EF-9601-2D2AB220972A}" xr6:coauthVersionLast="47" xr6:coauthVersionMax="47" xr10:uidLastSave="{00000000-0000-0000-0000-000000000000}"/>
  <bookViews>
    <workbookView xWindow="-108" yWindow="-108" windowWidth="23256" windowHeight="12456" activeTab="1" xr2:uid="{00000000-000D-0000-FFFF-FFFF00000000}"/>
  </bookViews>
  <sheets>
    <sheet name="Hoja2" sheetId="3" r:id="rId1"/>
    <sheet name="Hoja3" sheetId="4" r:id="rId2"/>
    <sheet name="Veritrade" sheetId="1" r:id="rId3"/>
    <sheet name="Hoja1" sheetId="2" r:id="rId4"/>
  </sheets>
  <definedNames>
    <definedName name="_xlnm._FilterDatabase" localSheetId="2" hidden="1">Veritrade!$A$6:$AI$295</definedName>
  </definedNames>
  <calcPr calcId="191029"/>
  <pivotCaches>
    <pivotCache cacheId="14"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1" l="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7" i="1"/>
  <c r="P6" i="3"/>
  <c r="P7" i="3"/>
  <c r="P9" i="3"/>
  <c r="P10" i="3"/>
  <c r="P11" i="3"/>
  <c r="O8" i="3"/>
  <c r="O9" i="3"/>
  <c r="O10" i="3"/>
  <c r="O11" i="3"/>
  <c r="O6" i="3"/>
  <c r="N7" i="3"/>
  <c r="N8" i="3"/>
  <c r="L12" i="3"/>
  <c r="M12" i="3"/>
  <c r="N9" i="3" s="1"/>
  <c r="K12" i="3"/>
  <c r="N6" i="3" l="1"/>
  <c r="N11" i="3"/>
  <c r="N10" i="3"/>
</calcChain>
</file>

<file path=xl/sharedStrings.xml><?xml version="1.0" encoding="utf-8"?>
<sst xmlns="http://schemas.openxmlformats.org/spreadsheetml/2006/main" count="6742" uniqueCount="956">
  <si>
    <t>PERU - EXPORTACIONES</t>
  </si>
  <si>
    <t>[Partida] 071390 [TODOS 6] LEGUMBRES LEGUMINOSAS, NESOI, CON CÁSCARA SECA, INCLUIDA LA SEMILLA</t>
  </si>
  <si>
    <t>Período: DE ENE.-2022 A DIC.-2024</t>
  </si>
  <si>
    <t>Registros: 289</t>
  </si>
  <si>
    <t>Partida Aduanera</t>
  </si>
  <si>
    <t>Descripcion de la Partida Aduanera</t>
  </si>
  <si>
    <t>Aduana</t>
  </si>
  <si>
    <t>DUA / DAM</t>
  </si>
  <si>
    <t>Fecha</t>
  </si>
  <si>
    <t>Cod. Tributario</t>
  </si>
  <si>
    <t>Exportador</t>
  </si>
  <si>
    <t>Importador</t>
  </si>
  <si>
    <t>Kg Bruto</t>
  </si>
  <si>
    <t>Kg Neto</t>
  </si>
  <si>
    <t>Qty 1</t>
  </si>
  <si>
    <t>Und 1</t>
  </si>
  <si>
    <t>Qty 2</t>
  </si>
  <si>
    <t>Und 2</t>
  </si>
  <si>
    <t>U$ FOB Tot</t>
  </si>
  <si>
    <t>U$ FOB Und 1</t>
  </si>
  <si>
    <t>U$ FOB Und 2</t>
  </si>
  <si>
    <t>Pais de Destino</t>
  </si>
  <si>
    <t>Puerto de destino</t>
  </si>
  <si>
    <t>Último Puerto Embarque</t>
  </si>
  <si>
    <t>Via</t>
  </si>
  <si>
    <t>Agente Portuario</t>
  </si>
  <si>
    <t>Agente de Aduana</t>
  </si>
  <si>
    <t>Descripcion Comercial</t>
  </si>
  <si>
    <t>Descripcion1</t>
  </si>
  <si>
    <t>Descripcion2</t>
  </si>
  <si>
    <t>Descripcion3</t>
  </si>
  <si>
    <t>Descripcion4</t>
  </si>
  <si>
    <t>Descripcion5</t>
  </si>
  <si>
    <t>Naviera</t>
  </si>
  <si>
    <t>Agente Carga(Origen)</t>
  </si>
  <si>
    <t>Agente Carga(Destino)</t>
  </si>
  <si>
    <t>Canal</t>
  </si>
  <si>
    <t>DEMAS HORTALIZAS DE VAINAS SECAS DESVAINADAS,MONDADAS O PARTIDAS EXCEPTO PARA SIEMBRA</t>
  </si>
  <si>
    <t>TUMBES</t>
  </si>
  <si>
    <t>008150 | 2</t>
  </si>
  <si>
    <t>N/A</t>
  </si>
  <si>
    <t>JUMBO ORDINOLA JAMES MARTIN</t>
  </si>
  <si>
    <t>KG</t>
  </si>
  <si>
    <t>ECUADOR</t>
  </si>
  <si>
    <t>HUAQUILLAS</t>
  </si>
  <si>
    <t>CARRETERO</t>
  </si>
  <si>
    <t>VEGA AGENTES AFIANZADOS DE ADUANAS S.A.C.</t>
  </si>
  <si>
    <t>HABAS SECASEMBALAJE :  100 SACOSX 50 KILOS CADA SACOPARA SU COMERCIALIZACION HABAS SECASEMBALAJE :  100 SACOSX 50 KILOS CADA SACOPARA SU COMERCIALIZACION HABAS SECASEMBALAJE :  100 SACOSX 50 KILOS CADA SACOPARA SU COMERCIALIZACION HABAS SECASEMBALAJE :  100 SACOSX 50 KILOS CADA SACOPARA SU COMERCIALIZACION HABAS SECASEMBALAJE :  100 SACOSX 50 KILOS CADA SACOPARA SU COMERCIALIZACION</t>
  </si>
  <si>
    <t>HABAS SECASEMBALAJE :  100 SACOSX 50 KILOS CADA SACOPARA SU COMERCIALIZACION</t>
  </si>
  <si>
    <t/>
  </si>
  <si>
    <t>VERDE</t>
  </si>
  <si>
    <t>008150 | 3</t>
  </si>
  <si>
    <t>CHOCHOSEMBALAJE :  260 SACOSX 50 KILOS CADA SACOPARA SU COMERCIALIZACION CHOCHOSEMBALAJE :  260 SACOSX 50 KILOS CADA SACOPARA SU COMERCIALIZACION CHOCHOSEMBALAJE :  260 SACOSX 50 KILOS CADA SACOPARA SU COMERCIALIZACION CHOCHOSEMBALAJE :  260 SACOSX 50 KILOS CADA SACOPARA SU COMERCIALIZACION CHOCHOSEMBALAJE :  260 SACOSX 50 KILOS CADA SACOPARA SU COMERCIALIZACION</t>
  </si>
  <si>
    <t>CHOCHOSEMBALAJE :  260 SACOSX 50 KILOS CADA SACOPARA SU COMERCIALIZACION</t>
  </si>
  <si>
    <t>007735 | 2</t>
  </si>
  <si>
    <t>CHOCHOSEMBALAJE :  179 SACOSX 50 KILOS CADA SACOPARA SU COMERCIALIZACION CHOCHOSEMBALAJE :  179 SACOSX 50 KILOS CADA SACOPARA SU COMERCIALIZACION CHOCHOSEMBALAJE :  179 SACOSX 50 KILOS CADA SACOPARA SU COMERCIALIZACION CHOCHOSEMBALAJE :  179 SACOSX 50 KILOS CADA SACOPARA SU COMERCIALIZACION CHOCHOSEMBALAJE :  179 SACOSX 50 KILOS CADA SACOPARA SU COMERCIALIZACION</t>
  </si>
  <si>
    <t>CHOCHOSEMBALAJE :  179 SACOSX 50 KILOS CADA SACOPARA SU COMERCIALIZACION</t>
  </si>
  <si>
    <t>007735 | 3</t>
  </si>
  <si>
    <t>HABAS SECASEMBALAJE :  140 SACOSX 50 KILOS CADA SACOPARA SU COMERCIALIZACION HABAS SECASEMBALAJE :  140 SACOSX 50 KILOS CADA SACOPARA SU COMERCIALIZACION HABAS SECASEMBALAJE :  140 SACOSX 50 KILOS CADA SACOPARA SU COMERCIALIZACION HABAS SECASEMBALAJE :  140 SACOSX 50 KILOS CADA SACOPARA SU COMERCIALIZACION HABAS SECASEMBALAJE :  140 SACOSX 50 KILOS CADA SACOPARA SU COMERCIALIZACION</t>
  </si>
  <si>
    <t>HABAS SECASEMBALAJE :  140 SACOSX 50 KILOS CADA SACOPARA SU COMERCIALIZACION</t>
  </si>
  <si>
    <t>007505 | 2</t>
  </si>
  <si>
    <t>CHOCHOSEMBALAJE :  65 SACOSX 50 KILOS CADA SACOPARA SU COMERCIALIZACION CHOCHOSEMBALAJE :  65 SACOSX 50 KILOS CADA SACOPARA SU COMERCIALIZACION CHOCHOSEMBALAJE :  65 SACOSX 50 KILOS CADA SACOPARA SU COMERCIALIZACION CHOCHOSEMBALAJE :  65 SACOSX 50 KILOS CADA SACOPARA SU COMERCIALIZACION CHOCHOSEMBALAJE :  65 SACOSX 50 KILOS CADA SACOPARA SU COMERCIALIZACION</t>
  </si>
  <si>
    <t>CHOCHOSEMBALAJE :  65 SACOSX 50 KILOS CADA SACOPARA SU COMERCIALIZACION</t>
  </si>
  <si>
    <t>MARITIMA DEL CALLAO</t>
  </si>
  <si>
    <t>042477 | 8</t>
  </si>
  <si>
    <t>MIRANDA - LANGA AGRO EXPORT S.A.C - MIRANDA - LANGA S.A.C</t>
  </si>
  <si>
    <t>JP TRADING AND GLOBAL IMPORTS LLC</t>
  </si>
  <si>
    <t>CAJ</t>
  </si>
  <si>
    <t>ESTADOS UNIDOS</t>
  </si>
  <si>
    <t>MIAMI</t>
  </si>
  <si>
    <t>MARÍTIMO</t>
  </si>
  <si>
    <t>CITIKOLD DEL PERU S.A.C.</t>
  </si>
  <si>
    <t>DESPACHOS ADUANEROS CHAVIMOCHIC SAC</t>
  </si>
  <si>
    <t>CHOCHOS VALLES ANDINOS EN CAJAS PARA CONSUMO HUMANO CHOCHOS VALLES ANDINOS EN CAJAS PARA CONSUMO HUMANO CHOCHOS VALLES ANDINOS EN CAJAS PARA CONSUMO HUMANO CHOCHOS VALLES ANDINOS EN CAJAS PARA CONSUMO HUMANO CHOCHOS VALLES ANDINOS EN CAJAS PARA CONSUMO HUMANO</t>
  </si>
  <si>
    <t>CHOCHOS VALLES ANDINOS EN CAJAS PARA CONSUMO HUMANO</t>
  </si>
  <si>
    <t>SEABOARD MARINE LTD</t>
  </si>
  <si>
    <t>_x0000_</t>
  </si>
  <si>
    <t>026965 | 12</t>
  </si>
  <si>
    <t>IMEX FUTURA S.A.C.</t>
  </si>
  <si>
    <t>FAMILY FOOD DISTRIBUTORS. INC 969 NEWARK</t>
  </si>
  <si>
    <t>U</t>
  </si>
  <si>
    <t>BALBOA</t>
  </si>
  <si>
    <t>MAERSK LINE PERU S.A.C.</t>
  </si>
  <si>
    <t>ADM ADUANAS S.A.C.</t>
  </si>
  <si>
    <t>CHOCHO / LUPINI BEANS 24 X 14OZ (397GR) IN EACH BOX MAMA TERE LOT CH030824MT CHOCHO / LUPINI BEANS 24 X 14OZ (397GR) IN EACH BOX MAMA TERE LOT CH030824MT CHOCHO / LUPINI BEANS 24 X 14OZ (397GR) IN EACH BOX MAMA TERE LOT CH030824MT CHOCHO / LUPINI BEANS 24 X 14OZ (397GR) IN EACH BOX MAMA TERE LOT CH030824MT CHOCHO / LUPINI BEANS 24 X 14OZ (397GR) IN EACH BOX MAMA TERE LOT CH030824MT</t>
  </si>
  <si>
    <t>CHOCHO / LUPINI BEANS 24 X 14OZ (397GR) IN EACH BOX MAMA TERE LOT CH030824MT</t>
  </si>
  <si>
    <t>MAERSK LINES, INC.</t>
  </si>
  <si>
    <t>ANDES LOGISTICS DEL PERU S.A.C</t>
  </si>
  <si>
    <t>ALL-WAYS FORWARDING INT'L INC</t>
  </si>
  <si>
    <t>016330 | 18</t>
  </si>
  <si>
    <t>FAMILY FOOD DISTRIBUTORS. INC</t>
  </si>
  <si>
    <t>CHOCHOS / LUPINI BEANS 24/14OZ (397GR) MARCA: MAMA TERE LOT CH020924MT CHOCHOS / LUPINI BEANS 24/14OZ (397GR) MARCA: MAMA TERE LOT CH020924MT CHOCHOS / LUPINI BEANS 24/14OZ (397GR) MARCA: MAMA TERE LOT CH020924MT CHOCHOS / LUPINI BEANS 24/14OZ (397GR) MARCA: MAMA TERE LOT CH020924MT CHOCHOS / LUPINI BEANS 24/14OZ (397GR) MARCA: MAMA TERE LOT CH020924MT</t>
  </si>
  <si>
    <t>CHOCHOS / LUPINI BEANS 24/14OZ (397GR) MARCA: MAMA TERE LOT CH020924MT</t>
  </si>
  <si>
    <t>006453 | 3</t>
  </si>
  <si>
    <t>GUAYAQUIL</t>
  </si>
  <si>
    <t>COSMOS AGENCIA MARITIMA S.A.</t>
  </si>
  <si>
    <t>CHOCHOS MAMA TERE 24/14OZ CHOCHOS MAMA TERE 24/14OZ CHOCHOS MAMA TERE 24/14OZ CHOCHOS MAMA TERE 24/14OZ CHOCHOS MAMA TERE 24/14OZ</t>
  </si>
  <si>
    <t>CHOCHOS MAMA TERE 24/14OZ</t>
  </si>
  <si>
    <t>ZIM ISRAEL NAVIGATION CO</t>
  </si>
  <si>
    <t>ALL WAYS FORWARDING INT'L INC</t>
  </si>
  <si>
    <t>027861 | 13</t>
  </si>
  <si>
    <t>025546 | 4</t>
  </si>
  <si>
    <t>OVALLEY FARMS LLC</t>
  </si>
  <si>
    <t>SAC</t>
  </si>
  <si>
    <t>TARWI EN SACOS PARA CONSUMO HUMANO TARWI EN SACOS PARA CONSUMO HUMANO TARWI EN SACOS PARA CONSUMO HUMANO TARWI EN SACOS PARA CONSUMO HUMANO TARWI EN SACOS PARA CONSUMO HUMANO</t>
  </si>
  <si>
    <t>TARWI EN SACOS PARA CONSUMO HUMANO</t>
  </si>
  <si>
    <t>INTERNATIONAL FREIGHT SHIPPING S.A.C.</t>
  </si>
  <si>
    <t>GLOBAL LOGISTICAL CONNECTIONS  INC.</t>
  </si>
  <si>
    <t>106446 | 7</t>
  </si>
  <si>
    <t>IAN TAYLOR AGENCIAS S.A.C.</t>
  </si>
  <si>
    <t>CHOCHOS MAMA TERE 24/14OZ (397GR) LOT CH082823MT CHOCHOS MAMA TERE 24/14OZ (397GR) LOT CH082823MT CHOCHOS MAMA TERE 24/14OZ (397GR) LOT CH082823MT CHOCHOS MAMA TERE 24/14OZ (397GR) LOT CH082823MT CHOCHOS MAMA TERE 24/14OZ (397GR) LOT CH082823MT</t>
  </si>
  <si>
    <t>CHOCHOS MAMA TERE 24/14OZ (397GR) LOT CH082823MT</t>
  </si>
  <si>
    <t>CMA-CGM</t>
  </si>
  <si>
    <t>ALLWAYS FORWARDING INTL INC</t>
  </si>
  <si>
    <t>074245 | 12</t>
  </si>
  <si>
    <t>TO ORDER</t>
  </si>
  <si>
    <t>POSORJA</t>
  </si>
  <si>
    <t>TRAMARSA - TRABAJOS MARITIMOS S.A.</t>
  </si>
  <si>
    <t>CONCRETEC LOGISTIC S.A.C.</t>
  </si>
  <si>
    <t>CHOCHO, MAMA TERE, S/M LUPINI BEANS  / CHOCHO  24 X 14OZ (397GR) IN EACH LUPINI BEANS  / CHOCHO  24 CHOCHO, MAMA TERE, S/M LUPINI BEANS  / CHOCHO  24 X 14OZ (397GR) IN EACH LUPINI BEANS  / CHOCHO  24 CHOCHO, MAMA TERE, S/M LUPINI BEANS  / CHOCHO  24 X 14OZ (397GR) IN EACH LUPINI BEANS  / CHOCHO  24 CHOCHO, MAMA TERE, S/M LUPINI BEANS  / CHOCHO  24 X 14OZ (397GR) IN EACH LUPINI BEANS  / CHOCHO  24 CHOCHO, MAMA TERE, S/M LUPINI BEANS  / CHOCHO  24 X 14OZ (397GR) IN EACH LUPINI BEANS  / CHOCHO  24</t>
  </si>
  <si>
    <t>CHOCHO, MAMA TERE, S/M LUPINI BEANS  / CHOCHO  24 X 14OZ (397GR) IN EACH LUPINI BEANS  / CHOCHO  24</t>
  </si>
  <si>
    <t>HAPAG-LLOYD A G</t>
  </si>
  <si>
    <t>TTSA S.A.C</t>
  </si>
  <si>
    <t>TT OCEAN LOGISTICS</t>
  </si>
  <si>
    <t>063781 | 9</t>
  </si>
  <si>
    <t>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t>
  </si>
  <si>
    <t>CHOCHO, MAMA TERE, S/M LUPINI BEANS / CHOCHO 24 X 14OZ (397GR) IN EACH BO LUPINI BEANS / CHOCHO 24 X</t>
  </si>
  <si>
    <t>TRAFFIC TECH INTERNATIONAL US LLC</t>
  </si>
  <si>
    <t>051078 | 10</t>
  </si>
  <si>
    <t>006535 | 1</t>
  </si>
  <si>
    <t>COPROIMPEX SOCIEDAD ANONIMA CERRADA</t>
  </si>
  <si>
    <t>MEJIA ZAMORA LIGIA YOLANDA</t>
  </si>
  <si>
    <t>MOCAYAS LOGISTICA ADUANERA S.A.C.</t>
  </si>
  <si>
    <t>200 SACOS CONTENIENDO CHOCOS SECOSX50 KG C/SPARA SU COMERCIALIZACIÓN 200 SACOS CONTENIENDO CHOCOS SECOSX50 KG C/SPARA SU COMERCIALIZACIÓN 200 SACOS CONTENIENDO CHOCOS SECOSX50 KG C/SPARA SU COMERCIALIZACIÓN 200 SACOS CONTENIENDO CHOCOS SECOSX50 KG C/SPARA SU COMERCIALIZACIÓN 200 SACOS CONTENIENDO CHOCOS SECOSX50 KG C/SPARA SU COMERCIALIZACIÓN</t>
  </si>
  <si>
    <t>200 SACOS CONTENIENDO CHOCOS SECOSX50 KG C/SPARA SU COMERCIALIZACIÓN</t>
  </si>
  <si>
    <t>027505 | 6</t>
  </si>
  <si>
    <t>BUSTAMANTE RODOLFO S.A.</t>
  </si>
  <si>
    <t>CHOCHO 24 X 14OZ (397GR) LUPINI BEANS - MAMA TERE CHOCHO 24 X 14OZ (397GR) LUPINI BEANS - MAMA TERE CHOCHO 24 X 14OZ (397GR) LUPINI BEANS - MAMA TERE CHOCHO 24 X 14OZ (397GR) LUPINI BEANS - MAMA TERE CHOCHO 24 X 14OZ (397GR) LUPINI BEANS - MAMA TERE</t>
  </si>
  <si>
    <t>CHOCHO 24 X 14OZ (397GR) LUPINI BEANS - MAMA TERE</t>
  </si>
  <si>
    <t>QUALITY PREMIUM LOGISTICS S.A.C.</t>
  </si>
  <si>
    <t>TAGGART INTERNATIONAL LTD INC</t>
  </si>
  <si>
    <t>008728 | 13</t>
  </si>
  <si>
    <t>048213 | 7</t>
  </si>
  <si>
    <t>FUSION FOODS S.A.C.</t>
  </si>
  <si>
    <t>MI TIERRA FOOD LLC</t>
  </si>
  <si>
    <t>CHOCHO ( 1 X 50 LB) EN CAJAS CHOCHO ( 1 X 50 LB) EN CAJAS CHOCHO ( 1 X 50 LB) EN CAJAS CHOCHO ( 1 X 50 LB) EN CAJAS CHOCHO ( 1 X 50 LB) EN CAJAS</t>
  </si>
  <si>
    <t>CHOCHO ( 1 X 50 LB) EN CAJAS</t>
  </si>
  <si>
    <t>131310 | 7</t>
  </si>
  <si>
    <t>CHOCHO 24 X 14OZ (397GR) IN LUPINI BEANS - MAMA TERE CHOCHO 24 X 14OZ (397GR) IN LUPINI BEANS - MAMA TERE CHOCHO 24 X 14OZ (397GR) IN LUPINI BEANS - MAMA TERE CHOCHO 24 X 14OZ (397GR) IN LUPINI BEANS - MAMA TERE CHOCHO 24 X 14OZ (397GR) IN LUPINI BEANS - MAMA TERE</t>
  </si>
  <si>
    <t>CHOCHO 24 X 14OZ (397GR) IN LUPINI BEANS - MAMA TERE</t>
  </si>
  <si>
    <t>004456 | 1</t>
  </si>
  <si>
    <t>200 SACOS CONTENIENDO CHOCHOS SECOSX50 KG C/SPARA SU COMERCIALIZACION 200 SACOS CONTENIENDO CHOCHOS SECOSX50 KG C/SPARA SU COMERCIALIZACION 200 SACOS CONTENIENDO CHOCHOS SECOSX50 KG C/SPARA SU COMERCIALIZACION 200 SACOS CONTENIENDO CHOCHOS SECOSX50 KG C/SPARA SU COMERCIALIZACION 200 SACOS CONTENIENDO CHOCHOS SECOSX50 KG C/SPARA SU COMERCIALIZACION</t>
  </si>
  <si>
    <t>200 SACOS CONTENIENDO CHOCHOS SECOSX50 KG C/SPARA SU COMERCIALIZACION</t>
  </si>
  <si>
    <t>004692 | 1</t>
  </si>
  <si>
    <t>300 SACOS CONTENIENDO CHOCHOS SECOSX50 KG C/SPARA SU COMERCIALIZACION 300 SACOS CONTENIENDO CHOCHOS SECOSX50 KG C/SPARA SU COMERCIALIZACION 300 SACOS CONTENIENDO CHOCHOS SECOSX50 KG C/SPARA SU COMERCIALIZACION 300 SACOS CONTENIENDO CHOCHOS SECOSX50 KG C/SPARA SU COMERCIALIZACION 300 SACOS CONTENIENDO CHOCHOS SECOSX50 KG C/SPARA SU COMERCIALIZACION</t>
  </si>
  <si>
    <t>300 SACOS CONTENIENDO CHOCHOS SECOSX50 KG C/SPARA SU COMERCIALIZACION</t>
  </si>
  <si>
    <t>003772 | 1</t>
  </si>
  <si>
    <t>SUAREZ MORENO SEGUNDO ESTUARDO</t>
  </si>
  <si>
    <t>PAZLEY ADUANA SOCIEDAD ANONIMA CERRADA - PAZLEY ADUANA S</t>
  </si>
  <si>
    <t>CHOCOS SECOS X 50KG.C/SEMBALADOS EN 233  SACOSPARA SU COMERCIALIZACION CHOCOS SECOS X 50KG.C/SEMBALADOS EN 233  SACOSPARA SU COMERCIALIZACION CHOCOS SECOS X 50KG.C/SEMBALADOS EN 233  SACOSPARA SU COMERCIALIZACION CHOCOS SECOS X 50KG.C/SEMBALADOS EN 233  SACOSPARA SU COMERCIALIZACION CHOCOS SECOS X 50KG.C/SEMBALADOS EN 233  SACOSPARA SU COMERCIALIZACION</t>
  </si>
  <si>
    <t>CHOCOS SECOS X 50KG.C/SEMBALADOS EN 233  SACOSPARA SU COMERCIALIZACION</t>
  </si>
  <si>
    <t>083136 | 6</t>
  </si>
  <si>
    <t>TERMINALES PORTUARIOS PERUANOS S.A.C.</t>
  </si>
  <si>
    <t>CHOCHO 24 X 14OZ (397GR) MAMA TERE CHOCHO 24 X 14OZ (397GR) MAMA TERE CHOCHO 24 X 14OZ (397GR) MAMA TERE CHOCHO 24 X 14OZ (397GR) MAMA TERE CHOCHO 24 X 14OZ (397GR) MAMA TERE</t>
  </si>
  <si>
    <t>CHOCHO 24 X 14OZ (397GR) MAMA TERE</t>
  </si>
  <si>
    <t>070795 | 4</t>
  </si>
  <si>
    <t>CHOCHO 24 X 14OZ (397GR) LUPINI BEANS CHOCHO 24 X 14OZ (397GR) LUPINI BEANS CHOCHO 24 X 14OZ (397GR) LUPINI BEANS CHOCHO 24 X 14OZ (397GR) LUPINI BEANS CHOCHO 24 X 14OZ (397GR) LUPINI BEANS</t>
  </si>
  <si>
    <t>CHOCHO 24 X 14OZ (397GR) LUPINI BEANS</t>
  </si>
  <si>
    <t>040450 | 12</t>
  </si>
  <si>
    <t>CHOCHO 24 X 14OZ (397GR) LUPINI BEANS  IN EACH BOX MAMA TERE CHOCHO 24 X 14OZ (397GR) LUPINI BEANS  IN EACH BOX MAMA TERE CHOCHO 24 X 14OZ (397GR) LUPINI BEANS  IN EACH BOX MAMA TERE CHOCHO 24 X 14OZ (397GR) LUPINI BEANS  IN EACH BOX MAMA TERE CHOCHO 24 X 14OZ (397GR) LUPINI BEANS  IN EACH BOX MAMA TERE</t>
  </si>
  <si>
    <t>CHOCHO 24 X 14OZ (397GR) LUPINI BEANS  IN EACH BOX MAMA TERE</t>
  </si>
  <si>
    <t>003555 | 1</t>
  </si>
  <si>
    <t>390 SACOS CONTENIENDO CHOCHOS SECOSX50 KG C/SPARA SU COMERCIALIZACION 390 SACOS CONTENIENDO CHOCHOS SECOSX50 KG C/SPARA SU COMERCIALIZACION 390 SACOS CONTENIENDO CHOCHOS SECOSX50 KG C/SPARA SU COMERCIALIZACION 390 SACOS CONTENIENDO CHOCHOS SECOSX50 KG C/SPARA SU COMERCIALIZACION 390 SACOS CONTENIENDO CHOCHOS SECOSX50 KG C/SPARA SU COMERCIALIZACION</t>
  </si>
  <si>
    <t>390 SACOS CONTENIENDO CHOCHOS SECOSX50 KG C/SPARA SU COMERCIALIZACION</t>
  </si>
  <si>
    <t>003134 | 1</t>
  </si>
  <si>
    <t>CHOCOS SECOS X 50KG.C/SEMBALADOS EN 370  SACOSPARA SU COMERCIALIZACION CHOCOS SECOS X 50KG.C/SEMBALADOS EN 370  SACOSPARA SU COMERCIALIZACION CHOCOS SECOS X 50KG.C/SEMBALADOS EN 370  SACOSPARA SU COMERCIALIZACION CHOCOS SECOS X 50KG.C/SEMBALADOS EN 370  SACOSPARA SU COMERCIALIZACION CHOCOS SECOS X 50KG.C/SEMBALADOS EN 370  SACOSPARA SU COMERCIALIZACION</t>
  </si>
  <si>
    <t>CHOCOS SECOS X 50KG.C/SEMBALADOS EN 370  SACOSPARA SU COMERCIALIZACION</t>
  </si>
  <si>
    <t>002918 | 4</t>
  </si>
  <si>
    <t>CHOCOS SECOS X 50KG.C/SEMBALADOS EN 115 SACOSPARA SU COMERCIALIZACION CHOCOS SECOS X 50KG.C/SEMBALADOS EN 115 SACOSPARA SU COMERCIALIZACION CHOCOS SECOS X 50KG.C/SEMBALADOS EN 115 SACOSPARA SU COMERCIALIZACION CHOCOS SECOS X 50KG.C/SEMBALADOS EN 115 SACOSPARA SU COMERCIALIZACION CHOCOS SECOS X 50KG.C/SEMBALADOS EN 115 SACOSPARA SU COMERCIALIZACION</t>
  </si>
  <si>
    <t>CHOCOS SECOS X 50KG.C/SEMBALADOS EN 115 SACOSPARA SU COMERCIALIZACION</t>
  </si>
  <si>
    <t>002110 | 1</t>
  </si>
  <si>
    <t>500 SACOS CONTENIENDO CHOCHOS SECOSX50 KG C/SPARA SU COMERCIALIZACION 500 SACOS CONTENIENDO CHOCHOS SECOSX50 KG C/SPARA SU COMERCIALIZACION 500 SACOS CONTENIENDO CHOCHOS SECOSX50 KG C/SPARA SU COMERCIALIZACION 500 SACOS CONTENIENDO CHOCHOS SECOSX50 KG C/SPARA SU COMERCIALIZACION 500 SACOS CONTENIENDO CHOCHOS SECOSX50 KG C/SPARA SU COMERCIALIZACION</t>
  </si>
  <si>
    <t>500 SACOS CONTENIENDO CHOCHOS SECOSX50 KG C/SPARA SU COMERCIALIZACION</t>
  </si>
  <si>
    <t>002719 | 1</t>
  </si>
  <si>
    <t>450 SACOS CONTENIENDO CHOCHOS SECOSX50 KG C/SPARA SU COMERCIALIZACION 450 SACOS CONTENIENDO CHOCHOS SECOSX50 KG C/SPARA SU COMERCIALIZACION 450 SACOS CONTENIENDO CHOCHOS SECOSX50 KG C/SPARA SU COMERCIALIZACION 450 SACOS CONTENIENDO CHOCHOS SECOSX50 KG C/SPARA SU COMERCIALIZACION 450 SACOS CONTENIENDO CHOCHOS SECOSX50 KG C/SPARA SU COMERCIALIZACION</t>
  </si>
  <si>
    <t>450 SACOS CONTENIENDO CHOCHOS SECOSX50 KG C/SPARA SU COMERCIALIZACION</t>
  </si>
  <si>
    <t>001785 | 2</t>
  </si>
  <si>
    <t>CEVALLOS MEJIA PATRICIAELIZABETH</t>
  </si>
  <si>
    <t>100 SACOS CONTENIENDO CHOCHOS SECOSX50 KG C/SPARA SU COMERCIALIZACION 100 SACOS CONTENIENDO CHOCHOS SECOSX50 KG C/SPARA SU COMERCIALIZACION 100 SACOS CONTENIENDO CHOCHOS SECOSX50 KG C/SPARA SU COMERCIALIZACION 100 SACOS CONTENIENDO CHOCHOS SECOSX50 KG C/SPARA SU COMERCIALIZACION 100 SACOS CONTENIENDO CHOCHOS SECOSX50 KG C/SPARA SU COMERCIALIZACION</t>
  </si>
  <si>
    <t>100 SACOS CONTENIENDO CHOCHOS SECOSX50 KG C/SPARA SU COMERCIALIZACION</t>
  </si>
  <si>
    <t>113702 | 6</t>
  </si>
  <si>
    <t>019820 | 8</t>
  </si>
  <si>
    <t>CHOCHO  24 X 14OZ (397GR) IN EACH BOX MAMA TERE USO: CONSUMO CHOCHO  24 X 14OZ (397GR) IN EACH BOX MAMA TERE USO: CONSUMO CHOCHO  24 X 14OZ (397GR) IN EACH BOX MAMA TERE USO: CONSUMO CHOCHO  24 X 14OZ (397GR) IN EACH BOX MAMA TERE USO: CONSUMO CHOCHO  24 X 14OZ (397GR) IN EACH BOX MAMA TERE USO: CONSUMO</t>
  </si>
  <si>
    <t>CHOCHO  24 X 14OZ (397GR) IN EACH BOX MAMA TERE USO: CONSUMO</t>
  </si>
  <si>
    <t>059921 | 3</t>
  </si>
  <si>
    <t>KALLPA FOODS S.A.C.</t>
  </si>
  <si>
    <t>GOYA EUROPA SLU</t>
  </si>
  <si>
    <t>ESPAÑA</t>
  </si>
  <si>
    <t>JG ADUANAS LOGISTIC SOCIEDAD ANONIMA CERRADA</t>
  </si>
  <si>
    <t>CHOCHOS 24 X 500 GRS - NATIVO MARCA: NATIVO PARA CONSUMO HUMANO CHOCHOS 24 X 500 GRS - NATIVO MARCA: NATIVO PARA CONSUMO HUMANO CHOCHOS 24 X 500 GRS - NATIVO MARCA: NATIVO PARA CONSUMO HUMANO CHOCHOS 24 X 500 GRS - NATIVO MARCA: NATIVO PARA CONSUMO HUMANO CHOCHOS 24 X 500 GRS - NATIVO MARCA: NATIVO PARA CONSUMO HUMANO</t>
  </si>
  <si>
    <t>CHOCHOS 24 X 500 GRS - NATIVO MARCA: NATIVO PARA CONSUMO HUMANO</t>
  </si>
  <si>
    <t>044207 | 8</t>
  </si>
  <si>
    <t>027162 | 7</t>
  </si>
  <si>
    <t>CHOCHOS MARCA: NATIVO 24 X 500 GR PARA CONSUMO HUMANO CHOCHOS MARCA: NATIVO 24 X 500 GR PARA CONSUMO HUMANO CHOCHOS MARCA: NATIVO 24 X 500 GR PARA CONSUMO HUMANO CHOCHOS MARCA: NATIVO 24 X 500 GR PARA CONSUMO HUMANO CHOCHOS MARCA: NATIVO 24 X 500 GR PARA CONSUMO HUMANO</t>
  </si>
  <si>
    <t>CHOCHOS MARCA: NATIVO 24 X 500 GR PARA CONSUMO HUMANO</t>
  </si>
  <si>
    <t>001204 | 3</t>
  </si>
  <si>
    <t>MAJIA ZAMORA LIGIA YOLANDA</t>
  </si>
  <si>
    <t>130 SACOS CONTENIENDO CHOCHOS SECOSX50 KG C/SPARA SU COMERCIALIZACION 130 SACOS CONTENIENDO CHOCHOS SECOSX50 KG C/SPARA SU COMERCIALIZACION 130 SACOS CONTENIENDO CHOCHOS SECOSX50 KG C/SPARA SU COMERCIALIZACION 130 SACOS CONTENIENDO CHOCHOS SECOSX50 KG C/SPARA SU COMERCIALIZACION 130 SACOS CONTENIENDO CHOCHOS SECOSX50 KG C/SPARA SU COMERCIALIZACION</t>
  </si>
  <si>
    <t>130 SACOS CONTENIENDO CHOCHOS SECOSX50 KG C/SPARA SU COMERCIALIZACION</t>
  </si>
  <si>
    <t>001407 | 2</t>
  </si>
  <si>
    <t>SEGUNDO ESTUARDO SUAREZ MORENO</t>
  </si>
  <si>
    <t>CHOCOS SECOS X 50KG.C/SEMBALADOS EN 260 SACOSPARA SU COMERCIALIZACION CHOCOS SECOS X 50KG.C/SEMBALADOS EN 260 SACOSPARA SU COMERCIALIZACION CHOCOS SECOS X 50KG.C/SEMBALADOS EN 260 SACOSPARA SU COMERCIALIZACION CHOCOS SECOS X 50KG.C/SEMBALADOS EN 260 SACOSPARA SU COMERCIALIZACION CHOCOS SECOS X 50KG.C/SEMBALADOS EN 260 SACOSPARA SU COMERCIALIZACION</t>
  </si>
  <si>
    <t>CHOCOS SECOS X 50KG.C/SEMBALADOS EN 260 SACOSPARA SU COMERCIALIZACION</t>
  </si>
  <si>
    <t>000821 | 3</t>
  </si>
  <si>
    <t>CHOCHOS SECOS X 50 KG, C/SACOEMBALADOS EN 100 SACOSPARA SU COMERCIALIZACION CHOCHOS SECOS X 50 KG, C/SACOEMBALADOS EN 100 SACOSPARA SU COMERCIALIZACION CHOCHOS SECOS X 50 KG, C/SACOEMBALADOS EN 100 SACOSPARA SU COMERCIALIZACION CHOCHOS SECOS X 50 KG, C/SACOEMBALADOS EN 100 SACOSPARA SU COMERCIALIZACION CHOCHOS SECOS X 50 KG, C/SACOEMBALADOS EN 100 SACOSPARA SU COMERCIALIZACION</t>
  </si>
  <si>
    <t>CHOCHOS SECOS X 50 KG, C/SACOEMBALADOS EN 100 SACOSPARA SU COMERCIALIZACION</t>
  </si>
  <si>
    <t>000384 | 2</t>
  </si>
  <si>
    <t>MAJIA ZAMORA YOLANDA MARIA</t>
  </si>
  <si>
    <t>150 SACOS CONTENIENDO CHOCHOS SECOSX50 KG C/SPARA SU COMERCIALIZACION 150 SACOS CONTENIENDO CHOCHOS SECOSX50 KG C/SPARA SU COMERCIALIZACION 150 SACOS CONTENIENDO CHOCHOS SECOSX50 KG C/SPARA SU COMERCIALIZACION 150 SACOS CONTENIENDO CHOCHOS SECOSX50 KG C/SPARA SU COMERCIALIZACION 150 SACOS CONTENIENDO CHOCHOS SECOSX50 KG C/SPARA SU COMERCIALIZACION</t>
  </si>
  <si>
    <t>150 SACOS CONTENIENDO CHOCHOS SECOSX50 KG C/SPARA SU COMERCIALIZACION</t>
  </si>
  <si>
    <t>000402 | 1</t>
  </si>
  <si>
    <t>CHOCHOS SECOS X 50 KG, C/SACOEMBALADOS EN 360 SACOSPARA SU COMERCIALIZACION CHOCHOS SECOS X 50 KG, C/SACOEMBALADOS EN 360 SACOSPARA SU COMERCIALIZACION CHOCHOS SECOS X 50 KG, C/SACOEMBALADOS EN 360 SACOSPARA SU COMERCIALIZACION CHOCHOS SECOS X 50 KG, C/SACOEMBALADOS EN 360 SACOSPARA SU COMERCIALIZACION CHOCHOS SECOS X 50 KG, C/SACOEMBALADOS EN 360 SACOSPARA SU COMERCIALIZACION</t>
  </si>
  <si>
    <t>CHOCHOS SECOS X 50 KG, C/SACOEMBALADOS EN 360 SACOSPARA SU COMERCIALIZACION</t>
  </si>
  <si>
    <t>011975 | 1</t>
  </si>
  <si>
    <t>570 SACOS CONTENIENDO CHOCHOS SECOSX50 KG C/SPARA SU COMERCIALIZACION 570 SACOS CONTENIENDO CHOCHOS SECOSX50 KG C/SPARA SU COMERCIALIZACION 570 SACOS CONTENIENDO CHOCHOS SECOSX50 KG C/SPARA SU COMERCIALIZACION 570 SACOS CONTENIENDO CHOCHOS SECOSX50 KG C/SPARA SU COMERCIALIZACION 570 SACOS CONTENIENDO CHOCHOS SECOSX50 KG C/SPARA SU COMERCIALIZACION</t>
  </si>
  <si>
    <t>570 SACOS CONTENIENDO CHOCHOS SECOSX50 KG C/SPARA SU COMERCIALIZACION</t>
  </si>
  <si>
    <t>011992 | 2</t>
  </si>
  <si>
    <t>CHOCHOS SECOS X 50 KG, C/SACOEMBALADOS EN 235 SACOSPARA SU COMERCIALIZACION CHOCHOS SECOS X 50 KG, C/SACOEMBALADOS EN 235 SACOSPARA SU COMERCIALIZACION CHOCHOS SECOS X 50 KG, C/SACOEMBALADOS EN 235 SACOSPARA SU COMERCIALIZACION CHOCHOS SECOS X 50 KG, C/SACOEMBALADOS EN 235 SACOSPARA SU COMERCIALIZACION CHOCHOS SECOS X 50 KG, C/SACOEMBALADOS EN 235 SACOSPARA SU COMERCIALIZACION</t>
  </si>
  <si>
    <t>CHOCHOS SECOS X 50 KG, C/SACOEMBALADOS EN 235 SACOSPARA SU COMERCIALIZACION</t>
  </si>
  <si>
    <t>011709 | 1</t>
  </si>
  <si>
    <t>MEJIA ZAMORA FABIOLA MARIA</t>
  </si>
  <si>
    <t>800 SACOS CONTENIENDO CHOCHOS SECOSX50 KG C/SPARA SU COMERCIALIZACION 800 SACOS CONTENIENDO CHOCHOS SECOSX50 KG C/SPARA SU COMERCIALIZACION 800 SACOS CONTENIENDO CHOCHOS SECOSX50 KG C/SPARA SU COMERCIALIZACION 800 SACOS CONTENIENDO CHOCHOS SECOSX50 KG C/SPARA SU COMERCIALIZACION 800 SACOS CONTENIENDO CHOCHOS SECOSX50 KG C/SPARA SU COMERCIALIZACION</t>
  </si>
  <si>
    <t>800 SACOS CONTENIENDO CHOCHOS SECOSX50 KG C/SPARA SU COMERCIALIZACION</t>
  </si>
  <si>
    <t>AEREA DEL CALLAO</t>
  </si>
  <si>
    <t>050016 | 4</t>
  </si>
  <si>
    <t>MAPA LOGISTICA INTERNACIONAL SAC</t>
  </si>
  <si>
    <t>PERU ALIMENTA DI MANZO QUISPE ANTONIO GILBERTO</t>
  </si>
  <si>
    <t>ITALIA</t>
  </si>
  <si>
    <t>MADRID</t>
  </si>
  <si>
    <t>AÉREO</t>
  </si>
  <si>
    <t>AIR EUROPA LINEAS AÉREAS S.A. SUCURSAL DEL PERU</t>
  </si>
  <si>
    <t>FRIJOL BLANCO FRIJOL BLANCO FRIJOL BLANCO FRIJOL BLANCO FRIJOL BLANCO</t>
  </si>
  <si>
    <t>FRIJOL BLANCO</t>
  </si>
  <si>
    <t>AIR EUROPA LINEAS AEREAS S.A. SUCURSAL DEL PERU</t>
  </si>
  <si>
    <t>043130 | 20</t>
  </si>
  <si>
    <t>129203 | 3</t>
  </si>
  <si>
    <t>AGRO COSECHA PAZ S.A.C.</t>
  </si>
  <si>
    <t>RODMAN</t>
  </si>
  <si>
    <t>MEDITERRANEAN SHIPPING CO.PERU S.A.C.</t>
  </si>
  <si>
    <t>A. HARTRODT ADUANAS S.A.C.</t>
  </si>
  <si>
    <t>FREJOL CHOCHO EN 80 SACOS X 25 KG C/U PARA CONSUMO HUMANO FREJOL CHOCHO EN 80 SACOS X 25 KG C/U PARA CONSUMO HUMANO FREJOL CHOCHO EN 80 SACOS X 25 KG C/U PARA CONSUMO HUMANO FREJOL CHOCHO EN 80 SACOS X 25 KG C/U PARA CONSUMO HUMANO FREJOL CHOCHO EN 80 SACOS X 25 KG C/U PARA CONSUMO HUMANO</t>
  </si>
  <si>
    <t>FREJOL CHOCHO EN 80 SACOS X 25 KG C/U PARA CONSUMO HUMANO</t>
  </si>
  <si>
    <t>MEDITERRANEAN SHIPPING COMPANY</t>
  </si>
  <si>
    <t>011485 | 1</t>
  </si>
  <si>
    <t>705 SACOS CONTENIENDO CHOCHOS SECOSX50 KG C/SPARA SU COMERCIALIZACION 705 SACOS CONTENIENDO CHOCHOS SECOSX50 KG C/SPARA SU COMERCIALIZACION 705 SACOS CONTENIENDO CHOCHOS SECOSX50 KG C/SPARA SU COMERCIALIZACION 705 SACOS CONTENIENDO CHOCHOS SECOSX50 KG C/SPARA SU COMERCIALIZACION 705 SACOS CONTENIENDO CHOCHOS SECOSX50 KG C/SPARA SU COMERCIALIZACION</t>
  </si>
  <si>
    <t>705 SACOS CONTENIENDO CHOCHOS SECOSX50 KG C/SPARA SU COMERCIALIZACION</t>
  </si>
  <si>
    <t>011223 | 2</t>
  </si>
  <si>
    <t>MORENO SANTOS DRAUCIN</t>
  </si>
  <si>
    <t>CHOCHOS SECOS X 50 KG, C/SACOEMBALADOS EN 340 SACOSPARA SU COMERCIALIZACION CHOCHOS SECOS X 50 KG, C/SACOEMBALADOS EN 340 SACOSPARA SU COMERCIALIZACION CHOCHOS SECOS X 50 KG, C/SACOEMBALADOS EN 340 SACOSPARA SU COMERCIALIZACION CHOCHOS SECOS X 50 KG, C/SACOEMBALADOS EN 340 SACOSPARA SU COMERCIALIZACION CHOCHOS SECOS X 50 KG, C/SACOEMBALADOS EN 340 SACOSPARA SU COMERCIALIZACION</t>
  </si>
  <si>
    <t>CHOCHOS SECOS X 50 KG, C/SACOEMBALADOS EN 340 SACOSPARA SU COMERCIALIZACION</t>
  </si>
  <si>
    <t>010904 | 1</t>
  </si>
  <si>
    <t>550 SACOS CONTENIENDO CHOCHOS SECOSX50 KG C/SPARA SU COMERCIALIZACION 550 SACOS CONTENIENDO CHOCHOS SECOSX50 KG C/SPARA SU COMERCIALIZACION 550 SACOS CONTENIENDO CHOCHOS SECOSX50 KG C/SPARA SU COMERCIALIZACION 550 SACOS CONTENIENDO CHOCHOS SECOSX50 KG C/SPARA SU COMERCIALIZACION 550 SACOS CONTENIENDO CHOCHOS SECOSX50 KG C/SPARA SU COMERCIALIZACION</t>
  </si>
  <si>
    <t>550 SACOS CONTENIENDO CHOCHOS SECOSX50 KG C/SPARA SU COMERCIALIZACION</t>
  </si>
  <si>
    <t>010659 | 1</t>
  </si>
  <si>
    <t>700 SACOS CONTENIENDO CHOCHOS SECOSX50 KG C/SPARA SU COMERCIALIZACION 700 SACOS CONTENIENDO CHOCHOS SECOSX50 KG C/SPARA SU COMERCIALIZACION 700 SACOS CONTENIENDO CHOCHOS SECOSX50 KG C/SPARA SU COMERCIALIZACION 700 SACOS CONTENIENDO CHOCHOS SECOSX50 KG C/SPARA SU COMERCIALIZACION 700 SACOS CONTENIENDO CHOCHOS SECOSX50 KG C/SPARA SU COMERCIALIZACION</t>
  </si>
  <si>
    <t>700 SACOS CONTENIENDO CHOCHOS SECOSX50 KG C/SPARA SU COMERCIALIZACION</t>
  </si>
  <si>
    <t>010434 | 1</t>
  </si>
  <si>
    <t>CHOCHOS SECOS X 50 KG, C/SACOEMBALADOS EN 620 SACOSPARA SU COMERCIALIZACION CHOCHOS SECOS X 50 KG, C/SACOEMBALADOS EN 620 SACOSPARA SU COMERCIALIZACION CHOCHOS SECOS X 50 KG, C/SACOEMBALADOS EN 620 SACOSPARA SU COMERCIALIZACION CHOCHOS SECOS X 50 KG, C/SACOEMBALADOS EN 620 SACOSPARA SU COMERCIALIZACION CHOCHOS SECOS X 50 KG, C/SACOEMBALADOS EN 620 SACOSPARA SU COMERCIALIZACION</t>
  </si>
  <si>
    <t>CHOCHOS SECOS X 50 KG, C/SACOEMBALADOS EN 620 SACOSPARA SU COMERCIALIZACION</t>
  </si>
  <si>
    <t>009760 | 1</t>
  </si>
  <si>
    <t>CHOCHOS SECOS X 50 KG, C/SACOEMBALADOS EN 200 SACOSPARA SU COMERCIALIZACION CHOCHOS SECOS X 50 KG, C/SACOEMBALADOS EN 200 SACOSPARA SU COMERCIALIZACION CHOCHOS SECOS X 50 KG, C/SACOEMBALADOS EN 200 SACOSPARA SU COMERCIALIZACION CHOCHOS SECOS X 50 KG, C/SACOEMBALADOS EN 200 SACOSPARA SU COMERCIALIZACION CHOCHOS SECOS X 50 KG, C/SACOEMBALADOS EN 200 SACOSPARA SU COMERCIALIZACION</t>
  </si>
  <si>
    <t>CHOCHOS SECOS X 50 KG, C/SACOEMBALADOS EN 200 SACOSPARA SU COMERCIALIZACION</t>
  </si>
  <si>
    <t>009484 | 1</t>
  </si>
  <si>
    <t>CEVALLOS MEJIA PATRICIA ELIZABETH</t>
  </si>
  <si>
    <t>600 SACOS CONTENIENDO CHOCHOS SECOSX50 KG C/SPARA SU COMERCIALIZACION 600 SACOS CONTENIENDO CHOCHOS SECOSX50 KG C/SPARA SU COMERCIALIZACION 600 SACOS CONTENIENDO CHOCHOS SECOSX50 KG C/SPARA SU COMERCIALIZACION 600 SACOS CONTENIENDO CHOCHOS SECOSX50 KG C/SPARA SU COMERCIALIZACION 600 SACOS CONTENIENDO CHOCHOS SECOSX50 KG C/SPARA SU COMERCIALIZACION</t>
  </si>
  <si>
    <t>600 SACOS CONTENIENDO CHOCHOS SECOSX50 KG C/SPARA SU COMERCIALIZACION</t>
  </si>
  <si>
    <t>008574 | 3</t>
  </si>
  <si>
    <t>330 SACOS CONTENIENDO CHOCHOS SECOSX50 KG C/SPARA SU COMERCIALIZACION 330 SACOS CONTENIENDO CHOCHOS SECOSX50 KG C/SPARA SU COMERCIALIZACION 330 SACOS CONTENIENDO CHOCHOS SECOSX50 KG C/SPARA SU COMERCIALIZACION 330 SACOS CONTENIENDO CHOCHOS SECOSX50 KG C/SPARA SU COMERCIALIZACION 330 SACOS CONTENIENDO CHOCHOS SECOSX50 KG C/SPARA SU COMERCIALIZACION</t>
  </si>
  <si>
    <t>330 SACOS CONTENIENDO CHOCHOS SECOSX50 KG C/SPARA SU COMERCIALIZACION</t>
  </si>
  <si>
    <t>005361 | 7</t>
  </si>
  <si>
    <t>008322 | 2</t>
  </si>
  <si>
    <t>CHOCHOS SECOS X 50 KG, C/SACOEMBALADOS EN 220 SACOSPARA SU COMERCIALIZACION CHOCHOS SECOS X 50 KG, C/SACOEMBALADOS EN 220 SACOSPARA SU COMERCIALIZACION CHOCHOS SECOS X 50 KG, C/SACOEMBALADOS EN 220 SACOSPARA SU COMERCIALIZACION CHOCHOS SECOS X 50 KG, C/SACOEMBALADOS EN 220 SACOSPARA SU COMERCIALIZACION CHOCHOS SECOS X 50 KG, C/SACOEMBALADOS EN 220 SACOSPARA SU COMERCIALIZACION</t>
  </si>
  <si>
    <t>CHOCHOS SECOS X 50 KG, C/SACOEMBALADOS EN 220 SACOSPARA SU COMERCIALIZACION</t>
  </si>
  <si>
    <t>098329 | 5</t>
  </si>
  <si>
    <t>CHOCHO (1 BLS X 10 KG) EN CAJAS PARA CONSUMO HUMANO CHOCHO (1 BLS X 10 KG) EN CAJAS PARA CONSUMO HUMANO CHOCHO (1 BLS X 10 KG) EN CAJAS PARA CONSUMO HUMANO CHOCHO (1 BLS X 10 KG) EN CAJAS PARA CONSUMO HUMANO CHOCHO (1 BLS X 10 KG) EN CAJAS PARA CONSUMO HUMANO</t>
  </si>
  <si>
    <t>CHOCHO (1 BLS X 10 KG) EN CAJAS PARA CONSUMO HUMANO</t>
  </si>
  <si>
    <t>014522 | 2</t>
  </si>
  <si>
    <t>LIP ADUANAS S.A.</t>
  </si>
  <si>
    <t>FREJOL CHOCHO (TARWI) EN SACOS DRAWBACK FREJOL CHOCHO (TARWI) EN SACOS DRAWBACK FREJOL CHOCHO (TARWI) EN SACOS DRAWBACK FREJOL CHOCHO (TARWI) EN SACOS DRAWBACK FREJOL CHOCHO (TARWI) EN SACOS DRAWBACK</t>
  </si>
  <si>
    <t>FREJOL CHOCHO (TARWI) EN SACOS DRAWBACK</t>
  </si>
  <si>
    <t>013028 | 9</t>
  </si>
  <si>
    <t>CHOCHOS VALLES ANDINOS EN CAJAS CHOCHOS VALLES ANDINOS EN CAJAS CHOCHOS VALLES ANDINOS EN CAJAS CHOCHOS VALLES ANDINOS EN CAJAS CHOCHOS VALLES ANDINOS EN CAJAS</t>
  </si>
  <si>
    <t>CHOCHOS VALLES ANDINOS EN CAJAS</t>
  </si>
  <si>
    <t>004195 | 2</t>
  </si>
  <si>
    <t>AMBATO</t>
  </si>
  <si>
    <t>CHOCHOSEMBALAJE : 120 SACOSX 50 KG CADA SACOPARA SU COMERCIALIZACION CHOCHOSEMBALAJE : 120 SACOSX 50 KG CADA SACOPARA SU COMERCIALIZACION CHOCHOSEMBALAJE : 120 SACOSX 50 KG CADA SACOPARA SU COMERCIALIZACION CHOCHOSEMBALAJE : 120 SACOSX 50 KG CADA SACOPARA SU COMERCIALIZACION CHOCHOSEMBALAJE : 120 SACOSX 50 KG CADA SACOPARA SU COMERCIALIZACION</t>
  </si>
  <si>
    <t>CHOCHOSEMBALAJE : 120 SACOSX 50 KG CADA SACOPARA SU COMERCIALIZACION</t>
  </si>
  <si>
    <t>017906 | 6</t>
  </si>
  <si>
    <t>FRIJOL CHOCHO FRIJOL CHOCHO FRIJOL CHOCHO FRIJOL CHOCHO FRIJOL CHOCHO</t>
  </si>
  <si>
    <t>FRIJOL CHOCHO</t>
  </si>
  <si>
    <t>007518 | 4</t>
  </si>
  <si>
    <t>007121 | 2</t>
  </si>
  <si>
    <t>007299 | 2</t>
  </si>
  <si>
    <t>170 SACOS CONTENIENDO CHOCHOS SECOSX50 KG C/SPARA SU COMERCIALIZACION 170 SACOS CONTENIENDO CHOCHOS SECOSX50 KG C/SPARA SU COMERCIALIZACION 170 SACOS CONTENIENDO CHOCHOS SECOSX50 KG C/SPARA SU COMERCIALIZACION 170 SACOS CONTENIENDO CHOCHOS SECOSX50 KG C/SPARA SU COMERCIALIZACION 170 SACOS CONTENIENDO CHOCHOS SECOSX50 KG C/SPARA SU COMERCIALIZACION</t>
  </si>
  <si>
    <t>170 SACOS CONTENIENDO CHOCHOS SECOSX50 KG C/SPARA SU COMERCIALIZACION</t>
  </si>
  <si>
    <t>006900 | 4</t>
  </si>
  <si>
    <t>120 SACOS CONTENIENDO CHOCHOS SECOSX50 KG C/SPARA SU COMERCIALIZACION 120 SACOS CONTENIENDO CHOCHOS SECOSX50 KG C/SPARA SU COMERCIALIZACION 120 SACOS CONTENIENDO CHOCHOS SECOSX50 KG C/SPARA SU COMERCIALIZACION 120 SACOS CONTENIENDO CHOCHOS SECOSX50 KG C/SPARA SU COMERCIALIZACION 120 SACOS CONTENIENDO CHOCHOS SECOSX50 KG C/SPARA SU COMERCIALIZACION</t>
  </si>
  <si>
    <t>120 SACOS CONTENIENDO CHOCHOS SECOSX50 KG C/SPARA SU COMERCIALIZACION</t>
  </si>
  <si>
    <t>006915 | 2</t>
  </si>
  <si>
    <t>CHOCHOS SECOS X 50 KG, C/SACOEMBALADOS EN 325 SACOSPARA SU COMERCIALIZACION CHOCHOS SECOS X 50 KG, C/SACOEMBALADOS EN 325 SACOSPARA SU COMERCIALIZACION CHOCHOS SECOS X 50 KG, C/SACOEMBALADOS EN 325 SACOSPARA SU COMERCIALIZACION CHOCHOS SECOS X 50 KG, C/SACOEMBALADOS EN 325 SACOSPARA SU COMERCIALIZACION CHOCHOS SECOS X 50 KG, C/SACOEMBALADOS EN 325 SACOSPARA SU COMERCIALIZACION</t>
  </si>
  <si>
    <t>CHOCHOS SECOS X 50 KG, C/SACOEMBALADOS EN 325 SACOSPARA SU COMERCIALIZACION</t>
  </si>
  <si>
    <t>006687 | 3</t>
  </si>
  <si>
    <t>CHOCHOS SECOS X 50 KG, C/SACOEMBALADOS EN 50 SACOSPARA SU COMERCIALIZACION CHOCHOS SECOS X 50 KG, C/SACOEMBALADOS EN 50 SACOSPARA SU COMERCIALIZACION CHOCHOS SECOS X 50 KG, C/SACOEMBALADOS EN 50 SACOSPARA SU COMERCIALIZACION CHOCHOS SECOS X 50 KG, C/SACOEMBALADOS EN 50 SACOSPARA SU COMERCIALIZACION CHOCHOS SECOS X 50 KG, C/SACOEMBALADOS EN 50 SACOSPARA SU COMERCIALIZACION</t>
  </si>
  <si>
    <t>CHOCHOS SECOS X 50 KG, C/SACOEMBALADOS EN 50 SACOSPARA SU COMERCIALIZACION</t>
  </si>
  <si>
    <t>005818 | 2</t>
  </si>
  <si>
    <t>ESCOBEDO LALANGUI JONATHAN ISRAEL</t>
  </si>
  <si>
    <t>52 SACOS CONTENIENDO CHOCHOS SECOSX50 KG C/SPARA SU COMERCIALIZACIÓN 52 SACOS CONTENIENDO CHOCHOS SECOSX50 KG C/SPARA SU COMERCIALIZACIÓN 52 SACOS CONTENIENDO CHOCHOS SECOSX50 KG C/SPARA SU COMERCIALIZACIÓN 52 SACOS CONTENIENDO CHOCHOS SECOSX50 KG C/SPARA SU COMERCIALIZACIÓN 52 SACOS CONTENIENDO CHOCHOS SECOSX50 KG C/SPARA SU COMERCIALIZACIÓN</t>
  </si>
  <si>
    <t>52 SACOS CONTENIENDO CHOCHOS SECOSX50 KG C/SPARA SU COMERCIALIZACIÓN</t>
  </si>
  <si>
    <t>005800 | 2</t>
  </si>
  <si>
    <t>006013 | 2</t>
  </si>
  <si>
    <t>CHOCHOS SECOS X 50 KG, C/SACOEMBALADOS EN 60 SACOSPARA SU COMERCIALIZACION CHOCHOS SECOS X 50 KG, C/SACOEMBALADOS EN 60 SACOSPARA SU COMERCIALIZACION CHOCHOS SECOS X 50 KG, C/SACOEMBALADOS EN 60 SACOSPARA SU COMERCIALIZACION CHOCHOS SECOS X 50 KG, C/SACOEMBALADOS EN 60 SACOSPARA SU COMERCIALIZACION CHOCHOS SECOS X 50 KG, C/SACOEMBALADOS EN 60 SACOSPARA SU COMERCIALIZACION</t>
  </si>
  <si>
    <t>CHOCHOS SECOS X 50 KG, C/SACOEMBALADOS EN 60 SACOSPARA SU COMERCIALIZACION</t>
  </si>
  <si>
    <t>005360 | 2</t>
  </si>
  <si>
    <t>131091 | 8</t>
  </si>
  <si>
    <t>CHOCHO 24 X 500 GRS NATIVO PARA CONSUMO HUMANO CHOCHO 24 X 500 GRS NATIVO PARA CONSUMO HUMANO CHOCHO 24 X 500 GRS NATIVO PARA CONSUMO HUMANO CHOCHO 24 X 500 GRS NATIVO PARA CONSUMO HUMANO CHOCHO 24 X 500 GRS NATIVO PARA CONSUMO HUMANO</t>
  </si>
  <si>
    <t>CHOCHO 24 X 500 GRS NATIVO PARA CONSUMO HUMANO</t>
  </si>
  <si>
    <t>113022 | 7</t>
  </si>
  <si>
    <t>COSCO PERU S.A.</t>
  </si>
  <si>
    <t>CHOCHOS 24 X 500 GRS NATIVO PARA CONSUMO HUMANO CHOCHOS 24 X 500 GRS NATIVO PARA CONSUMO HUMANO CHOCHOS 24 X 500 GRS NATIVO PARA CONSUMO HUMANO CHOCHOS 24 X 500 GRS NATIVO PARA CONSUMO HUMANO CHOCHOS 24 X 500 GRS NATIVO PARA CONSUMO HUMANO</t>
  </si>
  <si>
    <t>CHOCHOS 24 X 500 GRS NATIVO PARA CONSUMO HUMANO</t>
  </si>
  <si>
    <t>004852 | 3</t>
  </si>
  <si>
    <t>CHOCHOS SECOS X 50 KG, C/SACOEMBALADOS EN 230 SACOSPARA SU COMERCIALIZACION CHOCHOS SECOS X 50 KG, C/SACOEMBALADOS EN 230 SACOSPARA SU COMERCIALIZACION CHOCHOS SECOS X 50 KG, C/SACOEMBALADOS EN 230 SACOSPARA SU COMERCIALIZACION CHOCHOS SECOS X 50 KG, C/SACOEMBALADOS EN 230 SACOSPARA SU COMERCIALIZACION CHOCHOS SECOS X 50 KG, C/SACOEMBALADOS EN 230 SACOSPARA SU COMERCIALIZACION</t>
  </si>
  <si>
    <t>CHOCHOS SECOS X 50 KG, C/SACOEMBALADOS EN 230 SACOSPARA SU COMERCIALIZACION</t>
  </si>
  <si>
    <t>004389 | 1</t>
  </si>
  <si>
    <t>CHOCHOS SECOS X 50 KG, C/SACOEMBALADOS EN 320 SACOSPARA SU COMERCIALIZACION CHOCHOS SECOS X 50 KG, C/SACOEMBALADOS EN 320 SACOSPARA SU COMERCIALIZACION CHOCHOS SECOS X 50 KG, C/SACOEMBALADOS EN 320 SACOSPARA SU COMERCIALIZACION CHOCHOS SECOS X 50 KG, C/SACOEMBALADOS EN 320 SACOSPARA SU COMERCIALIZACION CHOCHOS SECOS X 50 KG, C/SACOEMBALADOS EN 320 SACOSPARA SU COMERCIALIZACION</t>
  </si>
  <si>
    <t>CHOCHOS SECOS X 50 KG, C/SACOEMBALADOS EN 320 SACOSPARA SU COMERCIALIZACION</t>
  </si>
  <si>
    <t>117268 | 17</t>
  </si>
  <si>
    <t>IMPORTS SOL ANDINO UK LTD.</t>
  </si>
  <si>
    <t>REINO UNIDO</t>
  </si>
  <si>
    <t>TRANSOCEANIC S.A.</t>
  </si>
  <si>
    <t>CHOCHO LA FAVORITA 20 X 500 G CHOCHO LA FAVORITA 20 X 500 G CHOCHO LA FAVORITA 20 X 500 G CHOCHO LA FAVORITA 20 X 500 G CHOCHO LA FAVORITA 20 X 500 G</t>
  </si>
  <si>
    <t>CHOCHO LA FAVORITA 20 X 500 G</t>
  </si>
  <si>
    <t>003798 | 3</t>
  </si>
  <si>
    <t>CHOCHOS SECOS X 50 KG C/SUSO: COMERCIALIZACION CHOCHOS SECOS X 50 KG C/SUSO: COMERCIALIZACION CHOCHOS SECOS X 50 KG C/SUSO: COMERCIALIZACION CHOCHOS SECOS X 50 KG C/SUSO: COMERCIALIZACION CHOCHOS SECOS X 50 KG C/SUSO: COMERCIALIZACION</t>
  </si>
  <si>
    <t>CHOCHOS SECOS X 50 KG C/SUSO: COMERCIALIZACION</t>
  </si>
  <si>
    <t>003211 | 5</t>
  </si>
  <si>
    <t>003011 | 3</t>
  </si>
  <si>
    <t>CHOCHOS SECOS X 50 KG, C/SACOEMBALADOS EN 150 SACOSPARA SU COMERCIALIZACION CHOCHOS SECOS X 50 KG, C/SACOEMBALADOS EN 150 SACOSPARA SU COMERCIALIZACION CHOCHOS SECOS X 50 KG, C/SACOEMBALADOS EN 150 SACOSPARA SU COMERCIALIZACION CHOCHOS SECOS X 50 KG, C/SACOEMBALADOS EN 150 SACOSPARA SU COMERCIALIZACION CHOCHOS SECOS X 50 KG, C/SACOEMBALADOS EN 150 SACOSPARA SU COMERCIALIZACION</t>
  </si>
  <si>
    <t>CHOCHOS SECOS X 50 KG, C/SACOEMBALADOS EN 150 SACOSPARA SU COMERCIALIZACION</t>
  </si>
  <si>
    <t>002322 | 1</t>
  </si>
  <si>
    <t>CHOCHOS SECOS X 50 KG, C/SACOEMBALADOS EN 270 SACOSPARA SU COMERCIALIZACION CHOCHOS SECOS X 50 KG, C/SACOEMBALADOS EN 270 SACOSPARA SU COMERCIALIZACION CHOCHOS SECOS X 50 KG, C/SACOEMBALADOS EN 270 SACOSPARA SU COMERCIALIZACION CHOCHOS SECOS X 50 KG, C/SACOEMBALADOS EN 270 SACOSPARA SU COMERCIALIZACION CHOCHOS SECOS X 50 KG, C/SACOEMBALADOS EN 270 SACOSPARA SU COMERCIALIZACION</t>
  </si>
  <si>
    <t>CHOCHOS SECOS X 50 KG, C/SACOEMBALADOS EN 270 SACOSPARA SU COMERCIALIZACION</t>
  </si>
  <si>
    <t>076825 | 9</t>
  </si>
  <si>
    <t>CHOCHOS VALLES ANDINOS CHOCHOS VALLES ANDINOS CHOCHOS VALLES ANDINOS CHOCHOS VALLES ANDINOS CHOCHOS VALLES ANDINOS</t>
  </si>
  <si>
    <t>CHOCHOS VALLES ANDINOS</t>
  </si>
  <si>
    <t>073270 | 5</t>
  </si>
  <si>
    <t>CASA AMERICAN CORP</t>
  </si>
  <si>
    <t>CHOCHOS SECOS CHOCHOS SECOS CHOCHOS SECOS CHOCHOS SECOS CHOCHOS SECOS</t>
  </si>
  <si>
    <t>CHOCHOS SECOS</t>
  </si>
  <si>
    <t>061866 | 8</t>
  </si>
  <si>
    <t>065069 | 5</t>
  </si>
  <si>
    <t>001083 | 2</t>
  </si>
  <si>
    <t>PERU CUSTOMS ADVISER S.A.C.</t>
  </si>
  <si>
    <t>CHOCHOS SECOS X 50KG C/S. CHOCHOS SECOS X 50KG C/S. CHOCHOS SECOS X 50KG C/S. CHOCHOS SECOS X 50KG C/S. CHOCHOS SECOS X 50KG C/S.</t>
  </si>
  <si>
    <t>CHOCHOS SECOS X 50KG C/S.</t>
  </si>
  <si>
    <t>001462 | 3</t>
  </si>
  <si>
    <t>ANDREA TATIANA SUING LABANDA</t>
  </si>
  <si>
    <t>CHOCHOS SECOS X 50 KG, C/SACOEMBALADOS EN 180 SACOSPARA SU COMERCIALIZACION CHOCHOS SECOS X 50 KG, C/SACOEMBALADOS EN 180 SACOSPARA SU COMERCIALIZACION CHOCHOS SECOS X 50 KG, C/SACOEMBALADOS EN 180 SACOSPARA SU COMERCIALIZACION CHOCHOS SECOS X 50 KG, C/SACOEMBALADOS EN 180 SACOSPARA SU COMERCIALIZACION CHOCHOS SECOS X 50 KG, C/SACOEMBALADOS EN 180 SACOSPARA SU COMERCIALIZACION</t>
  </si>
  <si>
    <t>CHOCHOS SECOS X 50 KG, C/SACOEMBALADOS EN 180 SACOSPARA SU COMERCIALIZACION</t>
  </si>
  <si>
    <t>057173 | 11</t>
  </si>
  <si>
    <t>046562 | 10</t>
  </si>
  <si>
    <t>001137 | 2</t>
  </si>
  <si>
    <t>CHOCHOS SECOS X 50 KG, C/SACOEMBALADOS EN 310 SACOSPARA SU COMERCIALIZACION CHOCHOS SECOS X 50 KG, C/SACOEMBALADOS EN 310 SACOSPARA SU COMERCIALIZACION CHOCHOS SECOS X 50 KG, C/SACOEMBALADOS EN 310 SACOSPARA SU COMERCIALIZACION CHOCHOS SECOS X 50 KG, C/SACOEMBALADOS EN 310 SACOSPARA SU COMERCIALIZACION CHOCHOS SECOS X 50 KG, C/SACOEMBALADOS EN 310 SACOSPARA SU COMERCIALIZACION</t>
  </si>
  <si>
    <t>CHOCHOS SECOS X 50 KG, C/SACOEMBALADOS EN 310 SACOSPARA SU COMERCIALIZACION</t>
  </si>
  <si>
    <t>014985 | 3</t>
  </si>
  <si>
    <t>CHOCHOS SECOS X 50 KG, C/SACOEMBALADOS EN 430 SACOSPARA SU COMERCIALIZACION CHOCHOS SECOS X 50 KG, C/SACOEMBALADOS EN 430 SACOSPARA SU COMERCIALIZACION CHOCHOS SECOS X 50 KG, C/SACOEMBALADOS EN 430 SACOSPARA SU COMERCIALIZACION CHOCHOS SECOS X 50 KG, C/SACOEMBALADOS EN 430 SACOSPARA SU COMERCIALIZACION CHOCHOS SECOS X 50 KG, C/SACOEMBALADOS EN 430 SACOSPARA SU COMERCIALIZACION</t>
  </si>
  <si>
    <t>CHOCHOS SECOS X 50 KG, C/SACOEMBALADOS EN 430 SACOSPARA SU COMERCIALIZACION</t>
  </si>
  <si>
    <t>ROJO</t>
  </si>
  <si>
    <t>013767 | 3</t>
  </si>
  <si>
    <t>014532 | 3</t>
  </si>
  <si>
    <t>CHOCHOS SECOS X 50 KG, C/SACOEMBALADOS EN 305 SACOSPARA SU COMERCIALIZACION CHOCHOS SECOS X 50 KG, C/SACOEMBALADOS EN 305 SACOSPARA SU COMERCIALIZACION CHOCHOS SECOS X 50 KG, C/SACOEMBALADOS EN 305 SACOSPARA SU COMERCIALIZACION CHOCHOS SECOS X 50 KG, C/SACOEMBALADOS EN 305 SACOSPARA SU COMERCIALIZACION CHOCHOS SECOS X 50 KG, C/SACOEMBALADOS EN 305 SACOSPARA SU COMERCIALIZACION</t>
  </si>
  <si>
    <t>CHOCHOS SECOS X 50 KG, C/SACOEMBALADOS EN 305 SACOSPARA SU COMERCIALIZACION</t>
  </si>
  <si>
    <t>019864 | 1</t>
  </si>
  <si>
    <t>CL ADUANA S.A.C.</t>
  </si>
  <si>
    <t>CHOCHO (  18 BLS X 14 OZ) CHOCHO ( 18 BAGS X 14 OZ) CHOCHO (  18 BLS X 14 OZ) CHOCHO ( 18 BAGS X 14 OZ) CHOCHO (  18 BLS X 14 OZ) CHOCHO ( 18 BAGS X 14 OZ) CHOCHO (  18 BLS X 14 OZ) CHOCHO ( 18 BAGS X 14 OZ) CHOCHO (  18 BLS X 14 OZ) CHOCHO ( 18 BAGS X 14 OZ)</t>
  </si>
  <si>
    <t>CHOCHO (  18 BLS X 14 OZ) CHOCHO ( 18 BAGS X 14 OZ)</t>
  </si>
  <si>
    <t>013140 | 3</t>
  </si>
  <si>
    <t>CHOCHOS SECOS X 50 KG, C/SACOEMBALADOS EN 192 SACOSPARA SU COMERCIALIZACION CHOCHOS SECOS X 50 KG, C/SACOEMBALADOS EN 192 SACOSPARA SU COMERCIALIZACION CHOCHOS SECOS X 50 KG, C/SACOEMBALADOS EN 192 SACOSPARA SU COMERCIALIZACION CHOCHOS SECOS X 50 KG, C/SACOEMBALADOS EN 192 SACOSPARA SU COMERCIALIZACION CHOCHOS SECOS X 50 KG, C/SACOEMBALADOS EN 192 SACOSPARA SU COMERCIALIZACION</t>
  </si>
  <si>
    <t>CHOCHOS SECOS X 50 KG, C/SACOEMBALADOS EN 192 SACOSPARA SU COMERCIALIZACION</t>
  </si>
  <si>
    <t>012737 | 3</t>
  </si>
  <si>
    <t>CHOCHOS SECOS X 50 KG, C/SACOEMBALADOS EN 249 SACOSPARA SU COMERCIALIZACION CHOCHOS SECOS X 50 KG, C/SACOEMBALADOS EN 249 SACOSPARA SU COMERCIALIZACION CHOCHOS SECOS X 50 KG, C/SACOEMBALADOS EN 249 SACOSPARA SU COMERCIALIZACION CHOCHOS SECOS X 50 KG, C/SACOEMBALADOS EN 249 SACOSPARA SU COMERCIALIZACION CHOCHOS SECOS X 50 KG, C/SACOEMBALADOS EN 249 SACOSPARA SU COMERCIALIZACION</t>
  </si>
  <si>
    <t>CHOCHOS SECOS X 50 KG, C/SACOEMBALADOS EN 249 SACOSPARA SU COMERCIALIZACION</t>
  </si>
  <si>
    <t>012148 | 3</t>
  </si>
  <si>
    <t>CHOCHOS SECOS X 50 KG, C/SACOEMBALADOS EN 120 SACOSPARA SU COMERCIALIZACION CHOCHOS SECOS X 50 KG, C/SACOEMBALADOS EN 120 SACOSPARA SU COMERCIALIZACION CHOCHOS SECOS X 50 KG, C/SACOEMBALADOS EN 120 SACOSPARA SU COMERCIALIZACION CHOCHOS SECOS X 50 KG, C/SACOEMBALADOS EN 120 SACOSPARA SU COMERCIALIZACION CHOCHOS SECOS X 50 KG, C/SACOEMBALADOS EN 120 SACOSPARA SU COMERCIALIZACION</t>
  </si>
  <si>
    <t>CHOCHOS SECOS X 50 KG, C/SACOEMBALADOS EN 120 SACOSPARA SU COMERCIALIZACION</t>
  </si>
  <si>
    <t>011536 | 2</t>
  </si>
  <si>
    <t>CHOCHOS SECOS X 50 KG, C/SACOEMBALADOS EN SACOSPARA SU COMERCIALIZACION CHOCHOS SECOS X 50 KG, C/SACOEMBALADOS EN SACOSPARA SU COMERCIALIZACION CHOCHOS SECOS X 50 KG, C/SACOEMBALADOS EN SACOSPARA SU COMERCIALIZACION CHOCHOS SECOS X 50 KG, C/SACOEMBALADOS EN SACOSPARA SU COMERCIALIZACION CHOCHOS SECOS X 50 KG, C/SACOEMBALADOS EN SACOSPARA SU COMERCIALIZACION</t>
  </si>
  <si>
    <t>CHOCHOS SECOS X 50 KG, C/SACOEMBALADOS EN SACOSPARA SU COMERCIALIZACION</t>
  </si>
  <si>
    <t>011845 | 4</t>
  </si>
  <si>
    <t>011601 | 6</t>
  </si>
  <si>
    <t>GOYA EUROPA SLUAV CONSTITUCION 115 45950CASARRUBIOS DEL MON</t>
  </si>
  <si>
    <t>011211 | 4</t>
  </si>
  <si>
    <t>010899 | 3</t>
  </si>
  <si>
    <t>089669 | 9</t>
  </si>
  <si>
    <t>CHOCHO (1 SACO X 50 LB) EN CAJAS PARA CONSUMO HUMANO CHOCHO (1 SACO X 50 LB) EN CAJAS PARA CONSUMO HUMANO CHOCHO (1 SACO X 50 LB) EN CAJAS PARA CONSUMO HUMANO CHOCHO (1 SACO X 50 LB) EN CAJAS PARA CONSUMO HUMANO CHOCHO (1 SACO X 50 LB) EN CAJAS PARA CONSUMO HUMANO</t>
  </si>
  <si>
    <t>CHOCHO (1 SACO X 50 LB) EN CAJAS PARA CONSUMO HUMANO</t>
  </si>
  <si>
    <t>010562 | 3</t>
  </si>
  <si>
    <t>009904 | 3</t>
  </si>
  <si>
    <t>122943 | 4</t>
  </si>
  <si>
    <t>CMC LOGISTIC´S S.A.C.</t>
  </si>
  <si>
    <t>HABAS SECA X 500GR X 14GR HABAS SECA X 500GR X 14GR HABAS SECA X 500GR X 14GR HABAS SECA X 500GR X 14GR HABAS SECA X 500GR X 14GR</t>
  </si>
  <si>
    <t>HABAS SECA X 500GR X 14GR</t>
  </si>
  <si>
    <t>SAVINO DEL BENE DEL PERU S.A.C.</t>
  </si>
  <si>
    <t>SAVINO DEL BENE S.P.A.</t>
  </si>
  <si>
    <t>087033 | 3</t>
  </si>
  <si>
    <t>GOYA EUROPA SLUAV CONSTITUCION 115 45950CASARRUBIOS DEL MONT</t>
  </si>
  <si>
    <t>CHOCHOS 24 X 500 GRS EL SABOR DE CASA PARA CONSUMO HUMANO CHOCHOS 24 X 500 GRS EL SABOR DE CASA PARA CONSUMO HUMANO CHOCHOS 24 X 500 GRS EL SABOR DE CASA PARA CONSUMO HUMANO CHOCHOS 24 X 500 GRS EL SABOR DE CASA PARA CONSUMO HUMANO CHOCHOS 24 X 500 GRS EL SABOR DE CASA PARA CONSUMO HUMANO</t>
  </si>
  <si>
    <t>CHOCHOS 24 X 500 GRS EL SABOR DE CASA PARA CONSUMO HUMANO</t>
  </si>
  <si>
    <t>010202 | 3</t>
  </si>
  <si>
    <t>009628 | 3</t>
  </si>
  <si>
    <t>009336 | 3</t>
  </si>
  <si>
    <t>ZUKI GARCIA JORGE CARLOS</t>
  </si>
  <si>
    <t>008687 | 5</t>
  </si>
  <si>
    <t>008397 | 5</t>
  </si>
  <si>
    <t>008127 | 2</t>
  </si>
  <si>
    <t>007862 | 4</t>
  </si>
  <si>
    <t>007576 | 3</t>
  </si>
  <si>
    <t>007297 | 5</t>
  </si>
  <si>
    <t>007109 | 3</t>
  </si>
  <si>
    <t>005831 | 4</t>
  </si>
  <si>
    <t>006095 | 3</t>
  </si>
  <si>
    <t>006369 | 3</t>
  </si>
  <si>
    <t>005587 | 5</t>
  </si>
  <si>
    <t>005316 | 5</t>
  </si>
  <si>
    <t>004751 | 5</t>
  </si>
  <si>
    <t>064622 | 5</t>
  </si>
  <si>
    <t>CHOCHO ( 18 BAGS X 14 OZ) EN CAJAS PARA CONSUMO HUMANO CHOCHO ( 18 BAGS X 14 OZ) EN CAJAS PARA CONSUMO HUMANO CHOCHO ( 18 BAGS X 14 OZ) EN CAJAS PARA CONSUMO HUMANO CHOCHO ( 18 BAGS X 14 OZ) EN CAJAS PARA CONSUMO HUMANO CHOCHO ( 18 BAGS X 14 OZ) EN CAJAS PARA CONSUMO HUMANO</t>
  </si>
  <si>
    <t>CHOCHO ( 18 BAGS X 14 OZ) EN CAJAS PARA CONSUMO HUMANO</t>
  </si>
  <si>
    <t>004215 | 2</t>
  </si>
  <si>
    <t>BLOG ADUANAS S.A.C</t>
  </si>
  <si>
    <t>CHOCHOSEN SACOS X 50 KGCHOCHOS SECOSPARA SU COMERCIALIZACION CHOCHOSEN SACOS X 50 KGCHOCHOS SECOSPARA SU COMERCIALIZACION CHOCHOSEN SACOS X 50 KGCHOCHOS SECOSPARA SU COMERCIALIZACION CHOCHOSEN SACOS X 50 KGCHOCHOS SECOSPARA SU COMERCIALIZACION CHOCHOSEN SACOS X 50 KGCHOCHOS SECOSPARA SU COMERCIALIZACION</t>
  </si>
  <si>
    <t>CHOCHOSEN SACOS X 50 KGCHOCHOS SECOSPARA SU COMERCIALIZACION</t>
  </si>
  <si>
    <t>003549 | 3</t>
  </si>
  <si>
    <t>003280 | 3</t>
  </si>
  <si>
    <t>055938 | 2</t>
  </si>
  <si>
    <t>003962 | 2</t>
  </si>
  <si>
    <t>002749 | 4</t>
  </si>
  <si>
    <t>077328 | 135</t>
  </si>
  <si>
    <t>LAMAS IMPORT EXPORT S.A.C.</t>
  </si>
  <si>
    <t>VAPER FOODS. S.L.</t>
  </si>
  <si>
    <t>JS PERU AGENCIA DE ADUANA S.A.C.</t>
  </si>
  <si>
    <t>CHOCHOS BOLSA 500 GR. 18 BOLSAS X CAJA CHOCHOS BOLSA 500 GR. 18 BOLSAS X CAJA CHOCHOS BOLSA 500 GR. 18 BOLSAS X CAJA CHOCHOS BOLSA 500 GR. 18 BOLSAS X CAJA CHOCHOS BOLSA 500 GR. 18 BOLSAS X CAJA</t>
  </si>
  <si>
    <t>CHOCHOS BOLSA 500 GR. 18 BOLSAS X CAJA</t>
  </si>
  <si>
    <t>059747 | 8</t>
  </si>
  <si>
    <t>TO THE ORDER OF SHIPPER</t>
  </si>
  <si>
    <t>077328 | 55</t>
  </si>
  <si>
    <t>CHOCHOS BOLSA 500 GR. 4 BOLSAS X CAJA CHOCHOS BOLSA 500 GR. 4 BOLSAS X CAJA CHOCHOS BOLSA 500 GR. 4 BOLSAS X CAJA CHOCHOS BOLSA 500 GR. 4 BOLSAS X CAJA CHOCHOS BOLSA 500 GR. 4 BOLSAS X CAJA</t>
  </si>
  <si>
    <t>CHOCHOS BOLSA 500 GR. 4 BOLSAS X CAJA</t>
  </si>
  <si>
    <t>019201 | 6</t>
  </si>
  <si>
    <t>GOYA EUROPA SL</t>
  </si>
  <si>
    <t>042565 | 6</t>
  </si>
  <si>
    <t>CHOCHO (18 BLS X 14 OZ) EN CAJAS CHOCHO (18 BLS X 14 OZ) EN CAJAS CHOCHO (18 BLS X 14 OZ) EN CAJAS CHOCHO (18 BLS X 14 OZ) EN CAJAS CHOCHO (18 BLS X 14 OZ) EN CAJAS</t>
  </si>
  <si>
    <t>CHOCHO (18 BLS X 14 OZ) EN CAJAS</t>
  </si>
  <si>
    <t>001596 | 1</t>
  </si>
  <si>
    <t>ARPUSA INVERSIONES S.A.C.</t>
  </si>
  <si>
    <t>MARIO BLADIMIR LAVERDE JIBAJA</t>
  </si>
  <si>
    <t>QUITO</t>
  </si>
  <si>
    <t>CHOCHOSEN SACOS X 45 KGCHOCHOS SECOSPARA SU COMERCIALIZACION CHOCHOSEN SACOS X 45 KGCHOCHOS SECOSPARA SU COMERCIALIZACION CHOCHOSEN SACOS X 45 KGCHOCHOS SECOSPARA SU COMERCIALIZACION CHOCHOSEN SACOS X 45 KGCHOCHOS SECOSPARA SU COMERCIALIZACION CHOCHOSEN SACOS X 45 KGCHOCHOS SECOSPARA SU COMERCIALIZACION</t>
  </si>
  <si>
    <t>CHOCHOSEN SACOS X 45 KGCHOCHOS SECOSPARA SU COMERCIALIZACION</t>
  </si>
  <si>
    <t>003221 | 1</t>
  </si>
  <si>
    <t>005195 | 1</t>
  </si>
  <si>
    <t>007794 | 1</t>
  </si>
  <si>
    <t>010347 | 1</t>
  </si>
  <si>
    <t>011672 | 1</t>
  </si>
  <si>
    <t>001321 | 1</t>
  </si>
  <si>
    <t>003684 | 1</t>
  </si>
  <si>
    <t>005461 | 1</t>
  </si>
  <si>
    <t>007584 | 1</t>
  </si>
  <si>
    <t>009362 | 1</t>
  </si>
  <si>
    <t>CHOCHOS POR 45 KGRSEN SACOS X 45 KGCHOCHOS SECOSPARA SU COMERCIALIZACION CHOCHOS POR 45 KGRSEN SACOS X 45 KGCHOCHOS SECOSPARA SU COMERCIALIZACION CHOCHOS POR 45 KGRSEN SACOS X 45 KGCHOCHOS SECOSPARA SU COMERCIALIZACION CHOCHOS POR 45 KGRSEN SACOS X 45 KGCHOCHOS SECOSPARA SU COMERCIALIZACION CHOCHOS POR 45 KGRSEN SACOS X 45 KGCHOCHOS SECOSPARA SU COMERCIALIZACION</t>
  </si>
  <si>
    <t>CHOCHOS POR 45 KGRSEN SACOS X 45 KGCHOCHOS SECOSPARA SU COMERCIALIZACION</t>
  </si>
  <si>
    <t>000760 | 1</t>
  </si>
  <si>
    <t>057386 | 4</t>
  </si>
  <si>
    <t>CHOCHO ( 1 SACO X 50 LB) EN SACOS PARA CONSUMO HUMANO CHOCHO ( 1 SACO X 50 LB) EN SACOS PARA CONSUMO HUMANO CHOCHO ( 1 SACO X 50 LB) EN SACOS PARA CONSUMO HUMANO CHOCHO ( 1 SACO X 50 LB) EN SACOS PARA CONSUMO HUMANO CHOCHO ( 1 SACO X 50 LB) EN SACOS PARA CONSUMO HUMANO</t>
  </si>
  <si>
    <t>CHOCHO ( 1 SACO X 50 LB) EN SACOS PARA CONSUMO HUMANO</t>
  </si>
  <si>
    <t>095386 | 9</t>
  </si>
  <si>
    <t>THE GREEN FARMER S.A.C.</t>
  </si>
  <si>
    <t>MI PERU TRADING INC</t>
  </si>
  <si>
    <t>MANZANILLO</t>
  </si>
  <si>
    <t>SAN MIGUEL ADUANAS S.A.C.</t>
  </si>
  <si>
    <t>PAPA SECA X 15 OZEN CAJAS DE 24 BOLSASPARA CONSUMO HUMANOCODIGO Nº13 RESTITUCION DE DERECHOS ARANCEL PAPA SECA X 15 OZEN CAJAS DE 24 BOLSASPARA CONSUMO HUMANOCODIGO Nº13 RESTITUCION DE DERECHOS ARANCEL PAPA SECA X 15 OZEN CAJAS DE 24 BOLSASPARA CONSUMO HUMANOCODIGO Nº13 RESTITUCION DE DERECHOS ARANCEL PAPA SECA X 15 OZEN CAJAS DE 24 BOLSASPARA CONSUMO HUMANOCODIGO Nº13 RESTITUCION DE DERECHOS ARANCEL PAPA SECA X 15 OZEN CAJAS DE 24 BOLSASPARA CONSUMO HUMANOCODIGO Nº13 RESTITUCION DE DERECHOS ARANCEL</t>
  </si>
  <si>
    <t>PAPA SECA X 15 OZEN CAJAS DE 24 BOLSASPARA CONSUMO HUMANOCODIGO Nº13 RESTITUCION DE DERECHOS ARANCEL</t>
  </si>
  <si>
    <t>051847 | 13</t>
  </si>
  <si>
    <t>CHOCHO ( 1 SACO X 50 LB) CHOCHO ( 1 SACK X 50 LB) CHOCHO ( 1 SACO X 50 LB) CHOCHO ( 1 SACK X 50 LB) CHOCHO ( 1 SACO X 50 LB) CHOCHO ( 1 SACK X 50 LB) CHOCHO ( 1 SACO X 50 LB) CHOCHO ( 1 SACK X 50 LB) CHOCHO ( 1 SACO X 50 LB) CHOCHO ( 1 SACK X 50 LB)</t>
  </si>
  <si>
    <t>CHOCHO ( 1 SACO X 50 LB) CHOCHO ( 1 SACK X 50 LB)</t>
  </si>
  <si>
    <t>039764 | 3</t>
  </si>
  <si>
    <t>NATURAL ANDINO E.I.R.L.</t>
  </si>
  <si>
    <t>HECTOR RODOLFO MALDONADO VEGA</t>
  </si>
  <si>
    <t>PANAMÁ</t>
  </si>
  <si>
    <t>PANAMA CITY</t>
  </si>
  <si>
    <t>COPA-COMPAYIA PANAMEYA</t>
  </si>
  <si>
    <t>CHOCHO SIN MARCA CHOCHO SIN MARCA CHOCHO SIN MARCA CHOCHO SIN MARCA CHOCHO SIN MARCA</t>
  </si>
  <si>
    <t>CHOCHO SIN MARCA</t>
  </si>
  <si>
    <t>COMPAñIA PANAMEñA DE AVIACION SOCIEDAD ANONIMA (COPA) S</t>
  </si>
  <si>
    <t>080520 | 118</t>
  </si>
  <si>
    <t>VAPER FOODS S.L.</t>
  </si>
  <si>
    <t>GRUPO PML S.A.C AGENTES DE ADUANAS</t>
  </si>
  <si>
    <t>CHOCHO 500 GR X 18 BOLSAS X CAJA CONSUMO HUMANO CHOCHO 500 GR X 18 BOLSAS X CAJA CONSUMO HUMANO CHOCHO 500 GR X 18 BOLSAS X CAJA CONSUMO HUMANO CHOCHO 500 GR X 18 BOLSAS X CAJA CONSUMO HUMANO CHOCHO 500 GR X 18 BOLSAS X CAJA CONSUMO HUMANO</t>
  </si>
  <si>
    <t>CHOCHO 500 GR X 18 BOLSAS X CAJA CONSUMO HUMANO</t>
  </si>
  <si>
    <t>YACZ CARGO SAC</t>
  </si>
  <si>
    <t>ERHARDT TRANSITARIOS S.L.</t>
  </si>
  <si>
    <t>080520 | 54</t>
  </si>
  <si>
    <t>051847 | 5</t>
  </si>
  <si>
    <t>CHOCHO ( 18 BLS X 14 OZ) CHOCHO ( 18 BAGS X 14 OZ) CHOCHO ( 18 BLS X 14 OZ) CHOCHO ( 18 BAGS X 14 OZ) CHOCHO ( 18 BLS X 14 OZ) CHOCHO ( 18 BAGS X 14 OZ) CHOCHO ( 18 BLS X 14 OZ) CHOCHO ( 18 BAGS X 14 OZ) CHOCHO ( 18 BLS X 14 OZ) CHOCHO ( 18 BAGS X 14 OZ)</t>
  </si>
  <si>
    <t>CHOCHO ( 18 BLS X 14 OZ) CHOCHO ( 18 BAGS X 14 OZ)</t>
  </si>
  <si>
    <t>013604 | 15</t>
  </si>
  <si>
    <t>CHOCHO (18 BLS X 14 OZ) CHOCHO (18 BAGS X 14 OZ ) CHOCHO (18 BLS X 14 OZ) CHOCHO (18 BAGS X 14 OZ ) CHOCHO (18 BLS X 14 OZ) CHOCHO (18 BAGS X 14 OZ ) CHOCHO (18 BLS X 14 OZ) CHOCHO (18 BAGS X 14 OZ ) CHOCHO (18 BLS X 14 OZ) CHOCHO (18 BAGS X 14 OZ )</t>
  </si>
  <si>
    <t>CHOCHO (18 BLS X 14 OZ) CHOCHO (18 BAGS X 14 OZ )</t>
  </si>
  <si>
    <t>063165 | 2</t>
  </si>
  <si>
    <t>PERU BEAN S.A.C.</t>
  </si>
  <si>
    <t>GONI DISTRIBUTION NETWORK. INC</t>
  </si>
  <si>
    <t>CHOCHO 15 OZ. 426 GR X 40 UNITS. EN CAJAS CHOCHO 15 OZ. 426 GR X 40 UNITS. EN CAJAS CHOCHO 15 OZ. 426 GR X 40 UNITS. EN CAJAS CHOCHO 15 OZ. 426 GR X 40 UNITS. EN CAJAS CHOCHO 15 OZ. 426 GR X 40 UNITS. EN CAJAS</t>
  </si>
  <si>
    <t>CHOCHO 15 OZ. 426 GR X 40 UNITS. EN CAJAS</t>
  </si>
  <si>
    <t>OCEAN NETWORK EXPRESS PTE. LTD.</t>
  </si>
  <si>
    <t>TRANSBER S.A.C.</t>
  </si>
  <si>
    <t>FLEISCHER FREIGHT SERVICES. INC</t>
  </si>
  <si>
    <t>085882 | 19</t>
  </si>
  <si>
    <t>DANPER TRUJILLO S.A.C.</t>
  </si>
  <si>
    <t>SALUD FOODGROUP EUROPE B.V.</t>
  </si>
  <si>
    <t>PAÍSES BAJOS</t>
  </si>
  <si>
    <t>BOWL DE PROTEÍNAS GARBANZO, FARRO Y LENTEJAS BOWL DE PROTEÍNAS GARBANZO, FARRO Y LENTEJAS BOWL DE PROTEÍNAS GARBANZO, FARRO Y LENTEJAS BOWL DE PROTEÍNAS GARBANZO, FARRO Y LENTEJAS BOWL DE PROTEÍNAS GARBANZO, FARRO Y LENTEJAS</t>
  </si>
  <si>
    <t>BOWL DE PROTEÍNAS GARBANZO, FARRO Y LENTEJAS</t>
  </si>
  <si>
    <t>KUEHNE + NAGEL S.A.</t>
  </si>
  <si>
    <t>KUEHNE  NAGEL N.V.</t>
  </si>
  <si>
    <t>002409 | 1</t>
  </si>
  <si>
    <t>CHOCHOSEMBALAJE : 300 SACOSX 50 KG CADA SACOPARA SU COMERCIALIZACION CHOCHOSEMBALAJE : 300 SACOSX 50 KG CADA SACOPARA SU COMERCIALIZACION CHOCHOSEMBALAJE : 300 SACOSX 50 KG CADA SACOPARA SU COMERCIALIZACION CHOCHOSEMBALAJE : 300 SACOSX 50 KG CADA SACOPARA SU COMERCIALIZACION CHOCHOSEMBALAJE : 300 SACOSX 50 KG CADA SACOPARA SU COMERCIALIZACION</t>
  </si>
  <si>
    <t>CHOCHOSEMBALAJE : 300 SACOSX 50 KG CADA SACOPARA SU COMERCIALIZACION</t>
  </si>
  <si>
    <t>TACNA</t>
  </si>
  <si>
    <t>000017 | 3</t>
  </si>
  <si>
    <t>MATFAL GLOBAL EXPORT E.I.R.L.</t>
  </si>
  <si>
    <t>MATFAL FOODS COMPANY LIMITADA</t>
  </si>
  <si>
    <t>CHILE</t>
  </si>
  <si>
    <t>ARICA</t>
  </si>
  <si>
    <t>AGENCIA DE ADUANA DEL SUR SOCIEDAD ANONIMA CERRADA - AGE</t>
  </si>
  <si>
    <t>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t>
  </si>
  <si>
    <t>FREJOL TARWI EN GRANO SECOEN SACOS X 25 KG C/UCODIGO Nº13 RESTITUCION DE DERECHOS ARANCELARIOS</t>
  </si>
  <si>
    <t>001680 | 1</t>
  </si>
  <si>
    <t>TURPO GUDIEL DE SAITO UNDINA MARLENY</t>
  </si>
  <si>
    <t>359 SACOS CONTENIENDO CHOCHOS SECOSX50 KG C/SPARA SU COMERCIALIZACION 359 SACOS CONTENIENDO CHOCHOS SECOSX50 KG C/SPARA SU COMERCIALIZACION 359 SACOS CONTENIENDO CHOCHOS SECOSX50 KG C/SPARA SU COMERCIALIZACION 359 SACOS CONTENIENDO CHOCHOS SECOSX50 KG C/SPARA SU COMERCIALIZACION 359 SACOS CONTENIENDO CHOCHOS SECOSX50 KG C/SPARA SU COMERCIALIZACION</t>
  </si>
  <si>
    <t>359 SACOS CONTENIENDO CHOCHOS SECOSX50 KG C/SPARA SU COMERCIALIZACION</t>
  </si>
  <si>
    <t>001418 | 2</t>
  </si>
  <si>
    <t>CHOCHOSEMBALAJE : 100 SACOSX 50 KG CADA SACOPARA SU COMERCIALIZACION CHOCHOSEMBALAJE : 100 SACOSX 50 KG CADA SACOPARA SU COMERCIALIZACION CHOCHOSEMBALAJE : 100 SACOSX 50 KG CADA SACOPARA SU COMERCIALIZACION CHOCHOSEMBALAJE : 100 SACOSX 50 KG CADA SACOPARA SU COMERCIALIZACION CHOCHOSEMBALAJE : 100 SACOSX 50 KG CADA SACOPARA SU COMERCIALIZACION</t>
  </si>
  <si>
    <t>CHOCHOSEMBALAJE : 100 SACOSX 50 KG CADA SACOPARA SU COMERCIALIZACION</t>
  </si>
  <si>
    <t>010379 | 1</t>
  </si>
  <si>
    <t>RITA PITA AGUAYO</t>
  </si>
  <si>
    <t>OLZAA AGENCIA DE ADUANA S.A.</t>
  </si>
  <si>
    <t>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t>
  </si>
  <si>
    <t>CHOCHO O TARWI CLASIFICADOPESO NETO 11050 KG - PESO BRUTO: 11100 KGSACOS: 221 X 50 KG C/UUSO/APLICAC</t>
  </si>
  <si>
    <t>000426 | 3</t>
  </si>
  <si>
    <t>TAMARINDOEMBALAJE : 70 SACOSX 50 KG CADA SACOPARA SU COMERCIALIZACION TAMARINDOEMBALAJE : 70 SACOSX 50 KG CADA SACOPARA SU COMERCIALIZACION TAMARINDOEMBALAJE : 70 SACOSX 50 KG CADA SACOPARA SU COMERCIALIZACION TAMARINDOEMBALAJE : 70 SACOSX 50 KG CADA SACOPARA SU COMERCIALIZACION TAMARINDOEMBALAJE : 70 SACOSX 50 KG CADA SACOPARA SU COMERCIALIZACION</t>
  </si>
  <si>
    <t>TAMARINDOEMBALAJE : 70 SACOSX 50 KG CADA SACOPARA SU COMERCIALIZACION</t>
  </si>
  <si>
    <t>011230 | 2</t>
  </si>
  <si>
    <t>CHOCHOSEMBALAJE : 75 SACOSX 50 KG CADA SACOPARA SU COMERCIALIZACION CHOCHOSEMBALAJE : 75 SACOSX 50 KG CADA SACOPARA SU COMERCIALIZACION CHOCHOSEMBALAJE : 75 SACOSX 50 KG CADA SACOPARA SU COMERCIALIZACION CHOCHOSEMBALAJE : 75 SACOSX 50 KG CADA SACOPARA SU COMERCIALIZACION CHOCHOSEMBALAJE : 75 SACOSX 50 KG CADA SACOPARA SU COMERCIALIZACION</t>
  </si>
  <si>
    <t>CHOCHOSEMBALAJE : 75 SACOSX 50 KG CADA SACOPARA SU COMERCIALIZACION</t>
  </si>
  <si>
    <t>042431 | 14</t>
  </si>
  <si>
    <t>INDUSTRIAS SISA S.A.C.</t>
  </si>
  <si>
    <t>PRODUCTOS LATINOS ROCO. SL</t>
  </si>
  <si>
    <t>TARHUI EN SACOS X 25 KG DRAWBACK TARHUI EN SACOS X 25 KG DRAWBACK TARHUI EN SACOS X 25 KG DRAWBACK TARHUI EN SACOS X 25 KG DRAWBACK TARHUI EN SACOS X 25 KG DRAWBACK</t>
  </si>
  <si>
    <t>TARHUI EN SACOS X 25 KG DRAWBACK</t>
  </si>
  <si>
    <t>111600 | 7</t>
  </si>
  <si>
    <t>CHOCHO ( 1SACO X 50LB) CHOCHO (1SACK X 50LB) CHOCHO ( 1SACO X 50LB) CHOCHO (1SACK X 50LB) CHOCHO ( 1SACO X 50LB) CHOCHO (1SACK X 50LB) CHOCHO ( 1SACO X 50LB) CHOCHO (1SACK X 50LB) CHOCHO ( 1SACO X 50LB) CHOCHO (1SACK X 50LB)</t>
  </si>
  <si>
    <t>CHOCHO ( 1SACO X 50LB) CHOCHO (1SACK X 50LB)</t>
  </si>
  <si>
    <t>010704 | 3</t>
  </si>
  <si>
    <t>CHOCHOSEMBALAJE . 75 SACOSX 50 KILOS CADA SACOPARA SU COMERCIALIZACION CHOCHOSEMBALAJE . 75 SACOSX 50 KILOS CADA SACOPARA SU COMERCIALIZACION CHOCHOSEMBALAJE . 75 SACOSX 50 KILOS CADA SACOPARA SU COMERCIALIZACION CHOCHOSEMBALAJE . 75 SACOSX 50 KILOS CADA SACOPARA SU COMERCIALIZACION CHOCHOSEMBALAJE . 75 SACOSX 50 KILOS CADA SACOPARA SU COMERCIALIZACION</t>
  </si>
  <si>
    <t>CHOCHOSEMBALAJE . 75 SACOSX 50 KILOS CADA SACOPARA SU COMERCIALIZACION</t>
  </si>
  <si>
    <t>010222 | 2</t>
  </si>
  <si>
    <t>CHOCHOSEMBALAJE : 190 SACOSX 50 KG CADA SACOPARA SU COMERCIALIZACION CHOCHOSEMBALAJE : 190 SACOSX 50 KG CADA SACOPARA SU COMERCIALIZACION CHOCHOSEMBALAJE : 190 SACOSX 50 KG CADA SACOPARA SU COMERCIALIZACION CHOCHOSEMBALAJE : 190 SACOSX 50 KG CADA SACOPARA SU COMERCIALIZACION CHOCHOSEMBALAJE : 190 SACOSX 50 KG CADA SACOPARA SU COMERCIALIZACION</t>
  </si>
  <si>
    <t>CHOCHOSEMBALAJE : 190 SACOSX 50 KG CADA SACOPARA SU COMERCIALIZACION</t>
  </si>
  <si>
    <t>009700 | 3</t>
  </si>
  <si>
    <t>VASQUEZ LOPEZ EDGAR VINICIO</t>
  </si>
  <si>
    <t>CHOCHOSEMBALAJE : 86 SACOSX 50 KILOS CADA SACOPARA SU COMERCIALIZACION CHOCHOSEMBALAJE : 86 SACOSX 50 KILOS CADA SACOPARA SU COMERCIALIZACION CHOCHOSEMBALAJE : 86 SACOSX 50 KILOS CADA SACOPARA SU COMERCIALIZACION CHOCHOSEMBALAJE : 86 SACOSX 50 KILOS CADA SACOPARA SU COMERCIALIZACION CHOCHOSEMBALAJE : 86 SACOSX 50 KILOS CADA SACOPARA SU COMERCIALIZACION</t>
  </si>
  <si>
    <t>CHOCHOSEMBALAJE : 86 SACOSX 50 KILOS CADA SACOPARA SU COMERCIALIZACION</t>
  </si>
  <si>
    <t>071715 | 16</t>
  </si>
  <si>
    <t>ADRIAN.LATI.NA S.A.C.</t>
  </si>
  <si>
    <t>SOCIETA LATINA DI LEON MENDOZA KAREN NICOL</t>
  </si>
  <si>
    <t>PAQ</t>
  </si>
  <si>
    <t>PEARSON INTERNATIONAL APT/TORONTO</t>
  </si>
  <si>
    <t>AERO CHARTER</t>
  </si>
  <si>
    <t>MANEJOS INTEGRALES ADUANEROS S.A.</t>
  </si>
  <si>
    <t>HABAS FRITAS FRESCO HABAS FRITAS FRESCO HABAS FRITAS FRESCO HABAS FRITAS FRESCO HABAS FRITAS FRESCO</t>
  </si>
  <si>
    <t>HABAS FRITAS FRESCO</t>
  </si>
  <si>
    <t>AIR CANADA SUCURSAL DEL PERU</t>
  </si>
  <si>
    <t>007584 | 6</t>
  </si>
  <si>
    <t>CHOCHO (18 BLS X 14 OZ) EN CAJAS PARA CONSUMO HUMANO CHOCHO (18 BLS X 14 OZ) EN CAJAS PARA CONSUMO HUMANO CHOCHO (18 BLS X 14 OZ) EN CAJAS PARA CONSUMO HUMANO CHOCHO (18 BLS X 14 OZ) EN CAJAS PARA CONSUMO HUMANO CHOCHO (18 BLS X 14 OZ) EN CAJAS PARA CONSUMO HUMANO</t>
  </si>
  <si>
    <t>CHOCHO (18 BLS X 14 OZ) EN CAJAS PARA CONSUMO HUMANO</t>
  </si>
  <si>
    <t>050663 | 17</t>
  </si>
  <si>
    <t>HABAS FRITAS HABAS FRITAS HABAS FRITAS HABAS FRITAS HABAS FRITAS</t>
  </si>
  <si>
    <t>HABAS FRITAS</t>
  </si>
  <si>
    <t>008804 | 3</t>
  </si>
  <si>
    <t>CHOCHOSEMBALAJE :  200 SACOSX 50 KILOS CADA SACOPARA SU COMERCIALIZACION CHOCHOSEMBALAJE :  200 SACOSX 50 KILOS CADA SACOPARA SU COMERCIALIZACION CHOCHOSEMBALAJE :  200 SACOSX 50 KILOS CADA SACOPARA SU COMERCIALIZACION CHOCHOSEMBALAJE :  200 SACOSX 50 KILOS CADA SACOPARA SU COMERCIALIZACION CHOCHOSEMBALAJE :  200 SACOSX 50 KILOS CADA SACOPARA SU COMERCIALIZACION</t>
  </si>
  <si>
    <t>CHOCHOSEMBALAJE :  200 SACOSX 50 KILOS CADA SACOPARA SU COMERCIALIZACION</t>
  </si>
  <si>
    <t>047967 | 5</t>
  </si>
  <si>
    <t>AGRO FERGI S.A.C.</t>
  </si>
  <si>
    <t>DISTRIBUIDORA LATINOANDINA S.L</t>
  </si>
  <si>
    <t>TM</t>
  </si>
  <si>
    <t>AGENCIA DE ADUANA MACROMAR S.A.</t>
  </si>
  <si>
    <t>CHOCHO SECOSSACOS X 25 KGCONSUMO HUMANOCODIGO Nº13 RESTITUCION DE DERECHOS ARANCELARIOS CHOCHO SECOSSACOS X 25 KGCONSUMO HUMANOCODIGO Nº13 RESTITUCION DE DERECHOS ARANCELARIOS CHOCHO SECOSSACOS X 25 KGCONSUMO HUMANOCODIGO Nº13 RESTITUCION DE DERECHOS ARANCELARIOS CHOCHO SECOSSACOS X 25 KGCONSUMO HUMANOCODIGO Nº13 RESTITUCION DE DERECHOS ARANCELARIOS CHOCHO SECOSSACOS X 25 KGCONSUMO HUMANOCODIGO Nº13 RESTITUCION DE DERECHOS ARANCELARIOS</t>
  </si>
  <si>
    <t>CHOCHO SECOSSACOS X 25 KGCONSUMO HUMANOCODIGO Nº13 RESTITUCION DE DERECHOS ARANCELARIOS</t>
  </si>
  <si>
    <t>057076 | 2</t>
  </si>
  <si>
    <t>CHOCHOS SECOSSACOS X 25 KG  C/UCONSUMO HUMANOCODIGO Nº13 RESTITUCION DE DERECHOS ARANCELARIOS CHOCHOS SECOSSACOS X 25 KG  C/UCONSUMO HUMANOCODIGO Nº13 RESTITUCION DE DERECHOS ARANCELARIOS CHOCHOS SECOSSACOS X 25 KG  C/UCONSUMO HUMANOCODIGO Nº13 RESTITUCION DE DERECHOS ARANCELARIOS CHOCHOS SECOSSACOS X 25 KG  C/UCONSUMO HUMANOCODIGO Nº13 RESTITUCION DE DERECHOS ARANCELARIOS CHOCHOS SECOSSACOS X 25 KG  C/UCONSUMO HUMANOCODIGO Nº13 RESTITUCION DE DERECHOS ARANCELARIOS</t>
  </si>
  <si>
    <t>CHOCHOS SECOSSACOS X 25 KG  C/UCONSUMO HUMANOCODIGO Nº13 RESTITUCION DE DERECHOS ARANCELARIOS</t>
  </si>
  <si>
    <t>049952 | 4</t>
  </si>
  <si>
    <t>FABI-SAA INC.</t>
  </si>
  <si>
    <t>CHOCHOS SECOS (24 X 14 OZ)CAJAS  X 9.528 KGCODIGO Nº13 RESTITUCION DE DERECHOS ARANCELARIOS CHOCHOS SECOS (24 X 14 OZ)CAJAS  X 9.528 KGCODIGO Nº13 RESTITUCION DE DERECHOS ARANCELARIOS CHOCHOS SECOS (24 X 14 OZ)CAJAS  X 9.528 KGCODIGO Nº13 RESTITUCION DE DERECHOS ARANCELARIOS CHOCHOS SECOS (24 X 14 OZ)CAJAS  X 9.528 KGCODIGO Nº13 RESTITUCION DE DERECHOS ARANCELARIOS CHOCHOS SECOS (24 X 14 OZ)CAJAS  X 9.528 KGCODIGO Nº13 RESTITUCION DE DERECHOS ARANCELARIOS</t>
  </si>
  <si>
    <t>CHOCHOS SECOS (24 X 14 OZ)CAJAS  X 9.528 KGCODIGO Nº13 RESTITUCION DE DERECHOS ARANCELARIOS</t>
  </si>
  <si>
    <t>037555 | 8</t>
  </si>
  <si>
    <t>CHOCHOS SECOSSACOS X 25 KGCONSUMO HUMANOCODIGO Nº13 RESTITUCION DE DERECHOS ARANCELARIOS CHOCHOS SECOSSACOS X 25 KGCONSUMO HUMANOCODIGO Nº13 RESTITUCION DE DERECHOS ARANCELARIOS CHOCHOS SECOSSACOS X 25 KGCONSUMO HUMANOCODIGO Nº13 RESTITUCION DE DERECHOS ARANCELARIOS CHOCHOS SECOSSACOS X 25 KGCONSUMO HUMANOCODIGO Nº13 RESTITUCION DE DERECHOS ARANCELARIOS CHOCHOS SECOSSACOS X 25 KGCONSUMO HUMANOCODIGO Nº13 RESTITUCION DE DERECHOS ARANCELARIOS</t>
  </si>
  <si>
    <t>CHOCHOS SECOSSACOS X 25 KGCONSUMO HUMANOCODIGO Nº13 RESTITUCION DE DERECHOS ARANCELARIOS</t>
  </si>
  <si>
    <t>034919 | 4</t>
  </si>
  <si>
    <t>035054 | 6</t>
  </si>
  <si>
    <t>LA CASA DE JACK LTD</t>
  </si>
  <si>
    <t>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t>
  </si>
  <si>
    <t>CHOCHOS SECOS (24X500 GR)CAJAS X 12 KG C/UCONSUMO HUMANOCODIGO Nº13 RESTITUCION DE DERECHOS ARANCELA</t>
  </si>
  <si>
    <t>023361 | 6</t>
  </si>
  <si>
    <t>013484 | 9</t>
  </si>
  <si>
    <t>006520 | 1</t>
  </si>
  <si>
    <t>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t>
  </si>
  <si>
    <t>CHOCHOS SECOS ( 24 X 14 OZ)CAJAS X 9.528 KGCONSUMO HUMANOCODIGO Nº13 RESTITUCION DE DERECHOS ARANCEL</t>
  </si>
  <si>
    <t>055564 | 6</t>
  </si>
  <si>
    <t>VASCO EXPORT S.A.C.</t>
  </si>
  <si>
    <t>NUTRIGLOBAL SAC SL</t>
  </si>
  <si>
    <t>BLS</t>
  </si>
  <si>
    <t>IAN TAYLOR Y CIA S.A.C.</t>
  </si>
  <si>
    <t>TARWI EN SACOS DE 25 KG TARWI EN SACOS DE 25 KG TARWI EN SACOS DE 25 KG TARWI EN SACOS DE 25 KG TARWI EN SACOS DE 25 KG</t>
  </si>
  <si>
    <t>TARWI EN SACOS DE 25 KG</t>
  </si>
  <si>
    <t>JS PERU CARGO SAC</t>
  </si>
  <si>
    <t>DATISA FORWARDERS. SLC/DOCTOR JJDOMINE N4 / PTAS12-1346011 V</t>
  </si>
  <si>
    <t>137683 | 7</t>
  </si>
  <si>
    <t>MEDITERRANEAN SHIPPING COMPANY DEL PERU SAC</t>
  </si>
  <si>
    <t>131401 | 11</t>
  </si>
  <si>
    <t>CHOCHOS SECOSACOS X 25 KGCODIGO Nº13 RESTITUCION DE DERECHOS ARANCELARIOS CHOCHOS SECOSACOS X 25 KGCODIGO Nº13 RESTITUCION DE DERECHOS ARANCELARIOS CHOCHOS SECOSACOS X 25 KGCODIGO Nº13 RESTITUCION DE DERECHOS ARANCELARIOS CHOCHOS SECOSACOS X 25 KGCODIGO Nº13 RESTITUCION DE DERECHOS ARANCELARIOS CHOCHOS SECOSACOS X 25 KGCODIGO Nº13 RESTITUCION DE DERECHOS ARANCELARIOS</t>
  </si>
  <si>
    <t>CHOCHOS SECOSACOS X 25 KGCODIGO Nº13 RESTITUCION DE DERECHOS ARANCELARIOS</t>
  </si>
  <si>
    <t>133128 | 11</t>
  </si>
  <si>
    <t>MAIZ CANCHA ( 1 X 50 LBS)SACOS X 22.727 KGCODIGO Nº13 RESTITUCION DE DERECHOS ARANCELARIOS MAIZ CANCHA ( 1 X 50 LBS)SACOS X 22.727 KGCODIGO Nº13 RESTITUCION DE DERECHOS ARANCELARIOS MAIZ CANCHA ( 1 X 50 LBS)SACOS X 22.727 KGCODIGO Nº13 RESTITUCION DE DERECHOS ARANCELARIOS MAIZ CANCHA ( 1 X 50 LBS)SACOS X 22.727 KGCODIGO Nº13 RESTITUCION DE DERECHOS ARANCELARIOS MAIZ CANCHA ( 1 X 50 LBS)SACOS X 22.727 KGCODIGO Nº13 RESTITUCION DE DERECHOS ARANCELARIOS</t>
  </si>
  <si>
    <t>MAIZ CANCHA ( 1 X 50 LBS)SACOS X 22.727 KGCODIGO Nº13 RESTITUCION DE DERECHOS ARANCELARIOS</t>
  </si>
  <si>
    <t>135459 | 7</t>
  </si>
  <si>
    <t>133128 | 1</t>
  </si>
  <si>
    <t>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t>
  </si>
  <si>
    <t>CHOCHOS SECOS ( 24 X 14 OZ)CAJAS X 9.528 KGCONSUMO  HUMANOCODIGO Nº13 RESTITUCION DE DERECHOS ARANCE</t>
  </si>
  <si>
    <t>116872 | 2</t>
  </si>
  <si>
    <t>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t>
  </si>
  <si>
    <t>CHOCHOS SECOS (24X14 OZ)CAJAS X 9.528 KGCONSUMO HUMANOCODIGO Nº13 RESTITUCION DE DERECHOS ARANCELARI</t>
  </si>
  <si>
    <t>113891 | 5</t>
  </si>
  <si>
    <t>CHOCHO SECOSSACOS DE 25 KGCONSUMO HUMANOCODIGO Nº13 RESTITUCION DE DERECHOS ARANCELARIOS CHOCHO SECOSSACOS DE 25 KGCONSUMO HUMANOCODIGO Nº13 RESTITUCION DE DERECHOS ARANCELARIOS CHOCHO SECOSSACOS DE 25 KGCONSUMO HUMANOCODIGO Nº13 RESTITUCION DE DERECHOS ARANCELARIOS CHOCHO SECOSSACOS DE 25 KGCONSUMO HUMANOCODIGO Nº13 RESTITUCION DE DERECHOS ARANCELARIOS CHOCHO SECOSSACOS DE 25 KGCONSUMO HUMANOCODIGO Nº13 RESTITUCION DE DERECHOS ARANCELARIOS</t>
  </si>
  <si>
    <t>CHOCHO SECOSSACOS DE 25 KGCONSUMO HUMANOCODIGO Nº13 RESTITUCION DE DERECHOS ARANCELARIOS</t>
  </si>
  <si>
    <t>104050 | 8</t>
  </si>
  <si>
    <t>093455 | 9</t>
  </si>
  <si>
    <t>084619 | 7</t>
  </si>
  <si>
    <t>CHOCHOS SECOSCAJAS X 25 KGCONSUMO HUMANOCODIGO Nº13 RESTITUCION DE DERECHOS ARANCELARIOS CHOCHOS SECOSCAJAS X 25 KGCONSUMO HUMANOCODIGO Nº13 RESTITUCION DE DERECHOS ARANCELARIOS CHOCHOS SECOSCAJAS X 25 KGCONSUMO HUMANOCODIGO Nº13 RESTITUCION DE DERECHOS ARANCELARIOS CHOCHOS SECOSCAJAS X 25 KGCONSUMO HUMANOCODIGO Nº13 RESTITUCION DE DERECHOS ARANCELARIOS CHOCHOS SECOSCAJAS X 25 KGCONSUMO HUMANOCODIGO Nº13 RESTITUCION DE DERECHOS ARANCELARIOS</t>
  </si>
  <si>
    <t>CHOCHOS SECOSCAJAS X 25 KGCONSUMO HUMANOCODIGO Nº13 RESTITUCION DE DERECHOS ARANCELARIOS</t>
  </si>
  <si>
    <t>078880 | 8</t>
  </si>
  <si>
    <t>CHOCHOS SECOS (24 X 500 GR)CONSUMO HUMANOCODIGO Nº13 RESTITUCION DE DERECHOS ARANCELARIOS CHOCHOS SECOS (24 X 500 GR)CONSUMO HUMANOCODIGO Nº13 RESTITUCION DE DERECHOS ARANCELARIOS CHOCHOS SECOS (24 X 500 GR)CONSUMO HUMANOCODIGO Nº13 RESTITUCION DE DERECHOS ARANCELARIOS CHOCHOS SECOS (24 X 500 GR)CONSUMO HUMANOCODIGO Nº13 RESTITUCION DE DERECHOS ARANCELARIOS CHOCHOS SECOS (24 X 500 GR)CONSUMO HUMANOCODIGO Nº13 RESTITUCION DE DERECHOS ARANCELARIOS</t>
  </si>
  <si>
    <t>CHOCHOS SECOS (24 X 500 GR)CONSUMO HUMANOCODIGO Nº13 RESTITUCION DE DERECHOS ARANCELARIOS</t>
  </si>
  <si>
    <t>061114 | 4</t>
  </si>
  <si>
    <t>001801 | 4</t>
  </si>
  <si>
    <t>ASND INTERCOMEXIMP GRUP EMPRESA INDIVIDU</t>
  </si>
  <si>
    <t>030678 | 4</t>
  </si>
  <si>
    <t>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t>
  </si>
  <si>
    <t>CHOCHOS SECOSCAJAS X 9.528 KG(24 BOLSAS X 14 OZ)CONSUMO HUMANOCODIGO Nº13 RESTITUCION DE DERECHOS AR</t>
  </si>
  <si>
    <t>012930 | 1</t>
  </si>
  <si>
    <t>140354 | 2</t>
  </si>
  <si>
    <t>CHOCHOS SECOS(24 X 14 OZ)CONSUMO HUMANOCODIGO Nº13 RESTITUCION DE DERECHOS ARANCELARIOS CHOCHOS SECOS(24 X 14 OZ)CONSUMO HUMANOCODIGO Nº13 RESTITUCION DE DERECHOS ARANCELARIOS CHOCHOS SECOS(24 X 14 OZ)CONSUMO HUMANOCODIGO Nº13 RESTITUCION DE DERECHOS ARANCELARIOS CHOCHOS SECOS(24 X 14 OZ)CONSUMO HUMANOCODIGO Nº13 RESTITUCION DE DERECHOS ARANCELARIOS CHOCHOS SECOS(24 X 14 OZ)CONSUMO HUMANOCODIGO Nº13 RESTITUCION DE DERECHOS ARANCELARIOS</t>
  </si>
  <si>
    <t>CHOCHOS SECOS(24 X 14 OZ)CONSUMO HUMANOCODIGO Nº13 RESTITUCION DE DERECHOS ARANCELARIOS</t>
  </si>
  <si>
    <t>TRABAJOS MARITIMOS S.A.</t>
  </si>
  <si>
    <t>TIAMAT PERU S.A.C.</t>
  </si>
  <si>
    <t>TIAMAT FORWARDER. LLC</t>
  </si>
  <si>
    <t>142436 | 9</t>
  </si>
  <si>
    <t>LA CASA DE JACK LTD66 DRUID STREET A??LONDON SE 1 2HQVAT REG</t>
  </si>
  <si>
    <t>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t>
  </si>
  <si>
    <t>CHOCHOS SECOS ( 24 X 500 GR)CAJAS X 12 KGSCONSUMO HUMANOCODIGO Nº13 RESTITUCION DE DERECHOS ARANCELA</t>
  </si>
  <si>
    <t>076296 | 7</t>
  </si>
  <si>
    <t>DISTRIBUIDORA LATINOANDINA SLAVDA MANOTERAS. 38 BL B OF 4082</t>
  </si>
  <si>
    <t>CHOCHOS SECOSSACOS X 25 KGCODIGO Nº13 RESTITUCION DE DERECHOS ARANCELARIOS CHOCHOS SECOSSACOS X 25 KGCODIGO Nº13 RESTITUCION DE DERECHOS ARANCELARIOS CHOCHOS SECOSSACOS X 25 KGCODIGO Nº13 RESTITUCION DE DERECHOS ARANCELARIOS CHOCHOS SECOSSACOS X 25 KGCODIGO Nº13 RESTITUCION DE DERECHOS ARANCELARIOS CHOCHOS SECOSSACOS X 25 KGCODIGO Nº13 RESTITUCION DE DERECHOS ARANCELARIOS</t>
  </si>
  <si>
    <t>CHOCHOS SECOSSACOS X 25 KGCODIGO Nº13 RESTITUCION DE DERECHOS ARANCELARIOS</t>
  </si>
  <si>
    <t>065151 | 9</t>
  </si>
  <si>
    <t>LA CASA DE JACK LTD66 DRUID STREET - LONDON SE 1 2HQVAT REG</t>
  </si>
  <si>
    <t>CHOCHOS SECOSCAJAS X 12 KGCODIGO Nº13 RESTITUCION DE DERECHOS ARANCELARIOS CHOCHOS SECOSCAJAS X 12 KGCODIGO Nº13 RESTITUCION DE DERECHOS ARANCELARIOS CHOCHOS SECOSCAJAS X 12 KGCODIGO Nº13 RESTITUCION DE DERECHOS ARANCELARIOS CHOCHOS SECOSCAJAS X 12 KGCODIGO Nº13 RESTITUCION DE DERECHOS ARANCELARIOS CHOCHOS SECOSCAJAS X 12 KGCODIGO Nº13 RESTITUCION DE DERECHOS ARANCELARIOS</t>
  </si>
  <si>
    <t>CHOCHOS SECOSCAJAS X 12 KGCODIGO Nº13 RESTITUCION DE DERECHOS ARANCELARIOS</t>
  </si>
  <si>
    <t>001111 | 2</t>
  </si>
  <si>
    <t>000765 | 2</t>
  </si>
  <si>
    <t>049374 | 13</t>
  </si>
  <si>
    <t>DISTRIBUIDORA LATINOANDINA S.L.</t>
  </si>
  <si>
    <t>038697 | 3</t>
  </si>
  <si>
    <t>JAWAHARLAL NEHRU (NHAVA SHEVA)</t>
  </si>
  <si>
    <t>CHOCHOS SECOSCAJAS (24 X 14 OZ)CODIGO Nº13 RESTITUCION DE DERECHOS ARANCELARIOS CHOCHOS SECOSCAJAS (24 X 14 OZ)CODIGO Nº13 RESTITUCION DE DERECHOS ARANCELARIOS CHOCHOS SECOSCAJAS (24 X 14 OZ)CODIGO Nº13 RESTITUCION DE DERECHOS ARANCELARIOS CHOCHOS SECOSCAJAS (24 X 14 OZ)CODIGO Nº13 RESTITUCION DE DERECHOS ARANCELARIOS CHOCHOS SECOSCAJAS (24 X 14 OZ)CODIGO Nº13 RESTITUCION DE DERECHOS ARANCELARIOS</t>
  </si>
  <si>
    <t>CHOCHOS SECOSCAJAS (24 X 14 OZ)CODIGO Nº13 RESTITUCION DE DERECHOS ARANCELARIOS</t>
  </si>
  <si>
    <t>CHINA OCEAN STEAMSHIP LTD</t>
  </si>
  <si>
    <t>SCM FORWARDER LLCTAX NUMBER: 85-4263902 8306 NW SOUT</t>
  </si>
  <si>
    <t>007160 | 2</t>
  </si>
  <si>
    <t>CHOCHOS SECOS ( 24 X 14 OZ) CHOCHOS SECOS ( 24 X 14 OZ) CHOCHOS SECOS ( 24 X 14 OZ) CHOCHOS SECOS ( 24 X 14 OZ) CHOCHOS SECOS ( 24 X 14 OZ)</t>
  </si>
  <si>
    <t>CHOCHOS SECOS ( 24 X 14 OZ)</t>
  </si>
  <si>
    <t>SCM FORWARDER LLC</t>
  </si>
  <si>
    <t>000438 | 2</t>
  </si>
  <si>
    <t>126774 | 15</t>
  </si>
  <si>
    <t>JACA AGRO EXPORT S.A.C.</t>
  </si>
  <si>
    <t>QHATU IMPORT S.L.</t>
  </si>
  <si>
    <t>ALEFERO OPERADOR INTERNACIONAL S.A.C.</t>
  </si>
  <si>
    <t>TARWI PRESENTACION: SACO  X  20  KILOS USO: CONSUMO HUMANO TARWI PRESENTACION: SACO  X  20  KILOS USO: CONSUMO HUMANO TARWI PRESENTACION: SACO  X  20  KILOS USO: CONSUMO HUMANO TARWI PRESENTACION: SACO  X  20  KILOS USO: CONSUMO HUMANO TARWI PRESENTACION: SACO  X  20  KILOS USO: CONSUMO HUMANO</t>
  </si>
  <si>
    <t>TARWI PRESENTACION: SACO  X  20  KILOS USO: CONSUMO HUMANO</t>
  </si>
  <si>
    <t>126774 | 4</t>
  </si>
  <si>
    <t>TARWI PRESENTACION: CAJA X 24 BOLSAS / 500 GR USO: CONSUMO HUMANO TARWI PRESENTACION: CAJA X 24 BOLSAS / 500 GR USO: CONSUMO HUMANO TARWI PRESENTACION: CAJA X 24 BOLSAS / 500 GR USO: CONSUMO HUMANO TARWI PRESENTACION: CAJA X 24 BOLSAS / 500 GR USO: CONSUMO HUMANO TARWI PRESENTACION: CAJA X 24 BOLSAS / 500 GR USO: CONSUMO HUMANO</t>
  </si>
  <si>
    <t>TARWI PRESENTACION: CAJA X 24 BOLSAS / 500 GR USO: CONSUMO HUMANO</t>
  </si>
  <si>
    <t>041090 | 29</t>
  </si>
  <si>
    <t>TARWI PRESENTACION: CAJA X 14 KILOS USO: CONSUMO HUMANO TARWI PRESENTACION: CAJA X 14 KILOS USO: CONSUMO HUMANO TARWI PRESENTACION: CAJA X 14 KILOS USO: CONSUMO HUMANO TARWI PRESENTACION: CAJA X 14 KILOS USO: CONSUMO HUMANO TARWI PRESENTACION: CAJA X 14 KILOS USO: CONSUMO HUMANO</t>
  </si>
  <si>
    <t>TARWI PRESENTACION: CAJA X 14 KILOS USO: CONSUMO HUMANO</t>
  </si>
  <si>
    <t>LOGISTICA SUARDIAZ PERU SOCIEDAD ANONIMA CERRADA</t>
  </si>
  <si>
    <t>VAPORES SUARDIAZ SUR ATLANTICO. S.L.</t>
  </si>
  <si>
    <t>018391 | 2</t>
  </si>
  <si>
    <t>SIMPLI GOOD PERU S.A.C.</t>
  </si>
  <si>
    <t>SIMPLI GROUP INC.</t>
  </si>
  <si>
    <t>IJI S.A.C. AGENTES DE ADUANA</t>
  </si>
  <si>
    <t>HABAS DE ALTRAMUZ ORGANICA REGENERATIVA REGENERATIVE ORGANIC LUPINI BEANS, 50LB LOT CODE: PER2214109 HABAS DE ALTRAMUZ ORGANICA REGENERATIVA REGENERATIVE ORGANIC LUPINI BEANS, 50LB LOT CODE: PER2214109 HABAS DE ALTRAMUZ ORGANICA REGENERATIVA REGENERATIVE ORGANIC LUPINI BEANS, 50LB LOT CODE: PER2214109 HABAS DE ALTRAMUZ ORGANICA REGENERATIVA REGENERATIVE ORGANIC LUPINI BEANS, 50LB LOT CODE: PER2214109 HABAS DE ALTRAMUZ ORGANICA REGENERATIVA REGENERATIVE ORGANIC LUPINI BEANS, 50LB LOT CODE: PER2214109</t>
  </si>
  <si>
    <t>HABAS DE ALTRAMUZ ORGANICA REGENERATIVA REGENERATIVE ORGANIC LUPINI BEANS, 50LB LOT CODE: PER2214109</t>
  </si>
  <si>
    <t>PERUVIAN SHIPPING S.A.C.</t>
  </si>
  <si>
    <t>GCS LOGISTICS INC.</t>
  </si>
  <si>
    <t>006423 | 3</t>
  </si>
  <si>
    <t>HABAS DE ALTRAMUZ ORGANICAS BOLSAS DE 50 LB LOT CODE: PE240408913 CONSUMO HUMANO HABAS DE ALTRAMUZ ORGANICAS BOLSAS DE 50 LB LOT CODE: PE240408913 CONSUMO HUMANO HABAS DE ALTRAMUZ ORGANICAS BOLSAS DE 50 LB LOT CODE: PE240408913 CONSUMO HUMANO HABAS DE ALTRAMUZ ORGANICAS BOLSAS DE 50 LB LOT CODE: PE240408913 CONSUMO HUMANO HABAS DE ALTRAMUZ ORGANICAS BOLSAS DE 50 LB LOT CODE: PE240408913 CONSUMO HUMANO</t>
  </si>
  <si>
    <t>HABAS DE ALTRAMUZ ORGANICAS BOLSAS DE 50 LB LOT CODE: PE240408913 CONSUMO HUMANO</t>
  </si>
  <si>
    <t>001161 | 2</t>
  </si>
  <si>
    <t>HABAS DE ALTRAMUZ ORGANICAS BOLSAS DE 50 LB LOT CODE: PE330409612 CONSUMO HUMANO HABAS DE ALTRAMUZ ORGANICAS BOLSAS DE 50 LB LOT CODE: PE330409612 CONSUMO HUMANO HABAS DE ALTRAMUZ ORGANICAS BOLSAS DE 50 LB LOT CODE: PE330409612 CONSUMO HUMANO HABAS DE ALTRAMUZ ORGANICAS BOLSAS DE 50 LB LOT CODE: PE330409612 CONSUMO HUMANO HABAS DE ALTRAMUZ ORGANICAS BOLSAS DE 50 LB LOT CODE: PE330409612 CONSUMO HUMANO</t>
  </si>
  <si>
    <t>HABAS DE ALTRAMUZ ORGANICAS BOLSAS DE 50 LB LOT CODE: PE330409612 CONSUMO HUMANO</t>
  </si>
  <si>
    <t>GCS Logistics Inc.</t>
  </si>
  <si>
    <t>118565 | 2</t>
  </si>
  <si>
    <t>SIMPLI GROUP INC 3365 HOLLINS FERRY RD. LANSDOWNE. MD 21227</t>
  </si>
  <si>
    <t>FRIJOLES LUPINI EN BOLSAS DE 50 LB. LOTE CODE: PE240408912 CONSUMO HUMANO FRIJOLES LUPINI EN BOLSAS DE 50 LB. LOTE CODE: PE240408912 CONSUMO HUMANO FRIJOLES LUPINI EN BOLSAS DE 50 LB. LOTE CODE: PE240408912 CONSUMO HUMANO FRIJOLES LUPINI EN BOLSAS DE 50 LB. LOTE CODE: PE240408912 CONSUMO HUMANO FRIJOLES LUPINI EN BOLSAS DE 50 LB. LOTE CODE: PE240408912 CONSUMO HUMANO</t>
  </si>
  <si>
    <t>FRIJOLES LUPINI EN BOLSAS DE 50 LB. LOTE CODE: PE240408912 CONSUMO HUMANO</t>
  </si>
  <si>
    <t>076286 | 8</t>
  </si>
  <si>
    <t>FLORA AGROSERVICIOS E.I.R.L.</t>
  </si>
  <si>
    <t>TUMI DE ORO SARL CO DUNNER MARIA</t>
  </si>
  <si>
    <t>SUIZA</t>
  </si>
  <si>
    <t>HABAS FRESCO HABAS FRESCO HABAS FRESCO HABAS FRESCO HABAS FRESCO</t>
  </si>
  <si>
    <t>HABAS FRESCO</t>
  </si>
  <si>
    <t>047164 | 3</t>
  </si>
  <si>
    <t>IBERIA</t>
  </si>
  <si>
    <t>LOGISTICA ADUANERA ILO S.A.C.</t>
  </si>
  <si>
    <t>MENESTRA - CARAPULCRA MENESTRA - CARAPULCRA MENESTRA - CARAPULCRA MENESTRA - CARAPULCRA MENESTRA - CARAPULCRA</t>
  </si>
  <si>
    <t>MENESTRA - CARAPULCRA</t>
  </si>
  <si>
    <t>IBERIA LINEAS AEREAS DE ESPAÑA SOCIEDAD ANONIMA OPERADO</t>
  </si>
  <si>
    <t>098747 | 9</t>
  </si>
  <si>
    <t>JM IMPORTADORA EXPORTADORA Y SERVICIOS S.A.C.</t>
  </si>
  <si>
    <t>JOTA JOTA ALIMENTOS GLOBAL S.L.</t>
  </si>
  <si>
    <t>GANDUL 24 bolsas X 500 GR COEXITO PARA CONSUMO HUMANO GANDUL 24 bolsas X 500 GR COEXITO PARA CONSUMO HUMANO GANDUL 24 bolsas X 500 GR COEXITO PARA CONSUMO HUMANO GANDUL 24 bolsas X 500 GR COEXITO PARA CONSUMO HUMANO GANDUL 24 bolsas X 500 GR COEXITO PARA CONSUMO HUMANO</t>
  </si>
  <si>
    <t>GANDUL 24 bolsas X 500 GR COEXITO PARA CONSUMO HUMANO</t>
  </si>
  <si>
    <t>064664 | 13</t>
  </si>
  <si>
    <t>JOTA JOTA ALIMENTOS GLOBAL. S.L.</t>
  </si>
  <si>
    <t>GANDUL 24 BOLSAS X 500 GR COEXITO PARA CONSUMO HUMANO GANDUL 24 BOLSAS X 500 GR COEXITO PARA CONSUMO HUMANO GANDUL 24 BOLSAS X 500 GR COEXITO PARA CONSUMO HUMANO GANDUL 24 BOLSAS X 500 GR COEXITO PARA CONSUMO HUMANO GANDUL 24 BOLSAS X 500 GR COEXITO PARA CONSUMO HUMANO</t>
  </si>
  <si>
    <t>GANDUL 24 BOLSAS X 500 GR COEXITO PARA CONSUMO HUMANO</t>
  </si>
  <si>
    <t>BYMAR TRANSFORWARDING S.L.</t>
  </si>
  <si>
    <t>057159 | 12</t>
  </si>
  <si>
    <t>009647 | 21</t>
  </si>
  <si>
    <t>NOVAL COMPANY S.A.C.</t>
  </si>
  <si>
    <t>LA PIURANITA AG</t>
  </si>
  <si>
    <t>ASESORES INTEGRALES V &amp; V AGENCIA DE ADUANA S.A.C.</t>
  </si>
  <si>
    <t>PALLARES 500 GCODIGO Nº13 RESTITUCION DE DERECHOS ARANCELARIOS PALLARES 500 GCODIGO Nº13 RESTITUCION DE DERECHOS ARANCELARIOS PALLARES 500 GCODIGO Nº13 RESTITUCION DE DERECHOS ARANCELARIOS PALLARES 500 GCODIGO Nº13 RESTITUCION DE DERECHOS ARANCELARIOS PALLARES 500 GCODIGO Nº13 RESTITUCION DE DERECHOS ARANCELARIOS</t>
  </si>
  <si>
    <t>PALLARES 500 GCODIGO Nº13 RESTITUCION DE DERECHOS ARANCELARIOS</t>
  </si>
  <si>
    <t>000123 | 4</t>
  </si>
  <si>
    <t>COMERCIAL NAMUCHE E.I.R.L.</t>
  </si>
  <si>
    <t>002818 | 2</t>
  </si>
  <si>
    <t>JUMBO ARBOLEDA JAMES NICANOR</t>
  </si>
  <si>
    <t>CHOCHOSEMBALAJE : 60 SACOSX 50 KG CADA SACOPARA SU COMERCIALIZACION CHOCHOSEMBALAJE : 60 SACOSX 50 KG CADA SACOPARA SU COMERCIALIZACION CHOCHOSEMBALAJE : 60 SACOSX 50 KG CADA SACOPARA SU COMERCIALIZACION CHOCHOSEMBALAJE : 60 SACOSX 50 KG CADA SACOPARA SU COMERCIALIZACION CHOCHOSEMBALAJE : 60 SACOSX 50 KG CADA SACOPARA SU COMERCIALIZACION</t>
  </si>
  <si>
    <t>CHOCHOSEMBALAJE : 60 SACOSX 50 KG CADA SACOPARA SU COMERCIALIZACION</t>
  </si>
  <si>
    <t>003227 | 2</t>
  </si>
  <si>
    <t>CHOCHOS X 50 KG C/S EMBALADO EN SACOS CHOCHOS X 50 KG C/S EMBALADO EN SACOS CHOCHOS X 50 KG C/S EMBALADO EN SACOS CHOCHOS X 50 KG C/S EMBALADO EN SACOS CHOCHOS X 50 KG C/S EMBALADO EN SACOS</t>
  </si>
  <si>
    <t>CHOCHOS X 50 KG C/S EMBALADO EN SACOS</t>
  </si>
  <si>
    <t>004028 | 2</t>
  </si>
  <si>
    <t>CHOCHOSEMBALAJE : 80 SACOSX 50 KG CADA SACOPARA SU COMERCIALIZACION CHOCHOSEMBALAJE : 80 SACOSX 50 KG CADA SACOPARA SU COMERCIALIZACION CHOCHOSEMBALAJE : 80 SACOSX 50 KG CADA SACOPARA SU COMERCIALIZACION CHOCHOSEMBALAJE : 80 SACOSX 50 KG CADA SACOPARA SU COMERCIALIZACION CHOCHOSEMBALAJE : 80 SACOSX 50 KG CADA SACOPARA SU COMERCIALIZACION</t>
  </si>
  <si>
    <t>CHOCHOSEMBALAJE : 80 SACOSX 50 KG CADA SACOPARA SU COMERCIALIZACION</t>
  </si>
  <si>
    <t>000794 | 2</t>
  </si>
  <si>
    <t>JUMBO ORDINOLA ANTHONY JAHIR</t>
  </si>
  <si>
    <t>CHOCHOSEMBALAJE : 50 SACOSX 50 KG CADA SACOPARA SU COMERCIALIZACION CHOCHOSEMBALAJE : 50 SACOSX 50 KG CADA SACOPARA SU COMERCIALIZACION CHOCHOSEMBALAJE : 50 SACOSX 50 KG CADA SACOPARA SU COMERCIALIZACION CHOCHOSEMBALAJE : 50 SACOSX 50 KG CADA SACOPARA SU COMERCIALIZACION CHOCHOSEMBALAJE : 50 SACOSX 50 KG CADA SACOPARA SU COMERCIALIZACION</t>
  </si>
  <si>
    <t>CHOCHOSEMBALAJE : 50 SACOSX 50 KG CADA SACOPARA SU COMERCIALIZACION</t>
  </si>
  <si>
    <t>001459 | 3</t>
  </si>
  <si>
    <t>CHOCHOSEMBALAJE: 65 SACOSX 50 KG CADA SACOPARA SU COMERCIALIZACION CHOCHOSEMBALAJE: 65 SACOSX 50 KG CADA SACOPARA SU COMERCIALIZACION CHOCHOSEMBALAJE: 65 SACOSX 50 KG CADA SACOPARA SU COMERCIALIZACION CHOCHOSEMBALAJE: 65 SACOSX 50 KG CADA SACOPARA SU COMERCIALIZACION CHOCHOSEMBALAJE: 65 SACOSX 50 KG CADA SACOPARA SU COMERCIALIZACION</t>
  </si>
  <si>
    <t>CHOCHOSEMBALAJE: 65 SACOSX 50 KG CADA SACOPARA SU COMERCIALIZACION</t>
  </si>
  <si>
    <t>013450 | 2</t>
  </si>
  <si>
    <t>SAAVEDRA ALBURQUEQUE LAURA MERCEDES</t>
  </si>
  <si>
    <t>012743 | 2</t>
  </si>
  <si>
    <t>011865 | 2</t>
  </si>
  <si>
    <t>011213 | 3</t>
  </si>
  <si>
    <t>010553 | 3</t>
  </si>
  <si>
    <t>009915 | 3</t>
  </si>
  <si>
    <t>010204 | 2</t>
  </si>
  <si>
    <t>008406 | 1</t>
  </si>
  <si>
    <t>008698 | 1</t>
  </si>
  <si>
    <t>007875 | 3</t>
  </si>
  <si>
    <t>007597 | 3</t>
  </si>
  <si>
    <t>007301 | 3</t>
  </si>
  <si>
    <t>006655 | 3</t>
  </si>
  <si>
    <t>005852 | 3</t>
  </si>
  <si>
    <t>006383 | 2</t>
  </si>
  <si>
    <t>005330 | 4</t>
  </si>
  <si>
    <t>004466 | 3</t>
  </si>
  <si>
    <t>003274 | 4</t>
  </si>
  <si>
    <t>003958 | 4</t>
  </si>
  <si>
    <t>072652 | 12</t>
  </si>
  <si>
    <t>NOVAL PALLAR 500 GCODIGO Nº13 RESTITUCION DE DERECHOS ARANCELARIOS NOVAL PALLAR 500 GCODIGO Nº13 RESTITUCION DE DERECHOS ARANCELARIOS NOVAL PALLAR 500 GCODIGO Nº13 RESTITUCION DE DERECHOS ARANCELARIOS NOVAL PALLAR 500 GCODIGO Nº13 RESTITUCION DE DERECHOS ARANCELARIOS NOVAL PALLAR 500 GCODIGO Nº13 RESTITUCION DE DERECHOS ARANCELARIOS</t>
  </si>
  <si>
    <t>NOVAL PALLAR 500 GCODIGO Nº13 RESTITUCION DE DERECHOS ARANCELARIOS</t>
  </si>
  <si>
    <t>003002 | 5</t>
  </si>
  <si>
    <t>000742 | 1</t>
  </si>
  <si>
    <t>CHOCHOS SECOSEMBALAJE: 480 SACOSX 50 KG CADA SACOPARA SU COMERCIALIZACION CHOCHOS SECOSEMBALAJE: 480 SACOSX 50 KG CADA SACOPARA SU COMERCIALIZACION CHOCHOS SECOSEMBALAJE: 480 SACOSX 50 KG CADA SACOPARA SU COMERCIALIZACION CHOCHOS SECOSEMBALAJE: 480 SACOSX 50 KG CADA SACOPARA SU COMERCIALIZACION CHOCHOS SECOSEMBALAJE: 480 SACOSX 50 KG CADA SACOPARA SU COMERCIALIZACION</t>
  </si>
  <si>
    <t>CHOCHOS SECOSEMBALAJE: 480 SACOSX 50 KG CADA SACOPARA SU COMERCIALIZACION</t>
  </si>
  <si>
    <t>000757 | 4</t>
  </si>
  <si>
    <t>000431 | 5</t>
  </si>
  <si>
    <t>009330 | 24</t>
  </si>
  <si>
    <t>INVERSIONES Y EXPORTACIONES ORDOÑEZ S.A.C.</t>
  </si>
  <si>
    <t>PAULO TOMAS ALVARADO TANGARA</t>
  </si>
  <si>
    <t>12U</t>
  </si>
  <si>
    <t>POROTO NEGRO TAUSY EN CONSERVA X 250 GR POROTO NEGRO TAUSY EN CONSERVA X 250 GR POROTO NEGRO TAUSY EN CONSERVA X 250 GR POROTO NEGRO TAUSY EN CONSERVA X 250 GR POROTO NEGRO TAUSY EN CONSERVA X 250 GR</t>
  </si>
  <si>
    <t>POROTO NEGRO TAUSY EN CONSERVA X 250 GR</t>
  </si>
  <si>
    <t>058638 | 9</t>
  </si>
  <si>
    <t>NOVAL PALLARES 500 GCODIGO Nº13 RESTITUCION DE DERECHOS ARANCELARIOS NOVAL PALLARES 500 GCODIGO Nº13 RESTITUCION DE DERECHOS ARANCELARIOS NOVAL PALLARES 500 GCODIGO Nº13 RESTITUCION DE DERECHOS ARANCELARIOS NOVAL PALLARES 500 GCODIGO Nº13 RESTITUCION DE DERECHOS ARANCELARIOS NOVAL PALLARES 500 GCODIGO Nº13 RESTITUCION DE DERECHOS ARANCELARIOS</t>
  </si>
  <si>
    <t>NOVAL PALLARES 500 GCODIGO Nº13 RESTITUCION DE DERECHOS ARANCELARIOS</t>
  </si>
  <si>
    <t>057363 | 10</t>
  </si>
  <si>
    <t>MULTISERVICIOS ROMERO'S &amp; MORENO'S S.A.C.</t>
  </si>
  <si>
    <t>LA STRANIERA SRL</t>
  </si>
  <si>
    <t>HABAS FRITAS (768 UNID 50 GR C/U) HABAS FRITAS (768 UNID 50 GR C/U) HABAS FRITAS (768 UNID 50 GR C/U) HABAS FRITAS (768 UNID 50 GR C/U) HABAS FRITAS (768 UNID 50 GR C/U)</t>
  </si>
  <si>
    <t>HABAS FRITAS (768 UNID 50 GR C/U)</t>
  </si>
  <si>
    <t>045045 | 15</t>
  </si>
  <si>
    <t>123840 | 7</t>
  </si>
  <si>
    <t>SAMI - AGROSERVICIOS PERU E.I.R.L.</t>
  </si>
  <si>
    <t>IBERO EXPRESS SL28860 PARACUELLOS DE JARAMAESPANA NIF B84254</t>
  </si>
  <si>
    <t>CHOCHOS SACOS X 25 KG CHOCHOS SACOS X 25 KG CHOCHOS SACOS X 25 KG CHOCHOS SACOS X 25 KG CHOCHOS SACOS X 25 KG</t>
  </si>
  <si>
    <t>CHOCHOS SACOS X 25 KG</t>
  </si>
  <si>
    <t>101721 | 8</t>
  </si>
  <si>
    <t>CHOCHOS,SACOS X 25 KG CHOCHOS,SACOS X 25 KG CHOCHOS,SACOS X 25 KG CHOCHOS,SACOS X 25 KG CHOCHOS,SACOS X 25 KG</t>
  </si>
  <si>
    <t>CHOCHOS,SACOS X 25 KG</t>
  </si>
  <si>
    <t>033552 | 6</t>
  </si>
  <si>
    <t>IBERO EXPRESS S.L</t>
  </si>
  <si>
    <t>FRIJOL CHOCHOS SECO SACOS X 25 KG PARA CONSUMO HUMANO FRIJOL CHOCHOS SECO SACOS X 25 KG PARA CONSUMO HUMANO FRIJOL CHOCHOS SECO SACOS X 25 KG PARA CONSUMO HUMANO FRIJOL CHOCHOS SECO SACOS X 25 KG PARA CONSUMO HUMANO FRIJOL CHOCHOS SECO SACOS X 25 KG PARA CONSUMO HUMANO</t>
  </si>
  <si>
    <t>FRIJOL CHOCHOS SECO SACOS X 25 KG PARA CONSUMO HUMANO</t>
  </si>
  <si>
    <t>EZ SHIP SOCIEDAD ANONIMA CERRADA - EZ SHIP S.A.C.</t>
  </si>
  <si>
    <t>MPG GLOBAL LOGISTICS PROVIDERS. S.L.</t>
  </si>
  <si>
    <t>073181 | 4</t>
  </si>
  <si>
    <t>INDUSTRIAS KATROC S.A.C (KATROC S.A.C)</t>
  </si>
  <si>
    <t>T&amp;C SPECIALTIES LLC</t>
  </si>
  <si>
    <t>CHOCHO / LUPINI BEANS 24 X 15OZ TAMBO FOOD LT CH071224TF CHOCHO / LUPINI BEANS 24 X 15OZ TAMBO FOOD LT CH071224TF CHOCHO / LUPINI BEANS 24 X 15OZ TAMBO FOOD LT CH071224TF CHOCHO / LUPINI BEANS 24 X 15OZ TAMBO FOOD LT CH071224TF CHOCHO / LUPINI BEANS 24 X 15OZ TAMBO FOOD LT CH071224TF</t>
  </si>
  <si>
    <t>CHOCHO / LUPINI BEANS 24 X 15OZ TAMBO FOOD LT CH071224TF</t>
  </si>
  <si>
    <t>ALL-WAYS FORWARDING INT´L</t>
  </si>
  <si>
    <t>058731 | 2</t>
  </si>
  <si>
    <t>FAMILY FOOD DISTRIBUTORS</t>
  </si>
  <si>
    <t>CHOCHO / LUPINI BEANS 24 X 14OZ (397GR) IN EACH BOX MAMA TERE LOT CH053024MT CHOCHO / LUPINI BEANS 24 X 14OZ (397GR) IN EACH BOX MAMA TERE LOT CH053024MT CHOCHO / LUPINI BEANS 24 X 14OZ (397GR) IN EACH BOX MAMA TERE LOT CH053024MT CHOCHO / LUPINI BEANS 24 X 14OZ (397GR) IN EACH BOX MAMA TERE LOT CH053024MT CHOCHO / LUPINI BEANS 24 X 14OZ (397GR) IN EACH BOX MAMA TERE LOT CH053024MT</t>
  </si>
  <si>
    <t>CHOCHO / LUPINI BEANS 24 X 14OZ (397GR) IN EACH BOX MAMA TERE LOT CH053024MT</t>
  </si>
  <si>
    <t>ALLWAYS FORWARDING INT L. INC.</t>
  </si>
  <si>
    <t>014092 | 1</t>
  </si>
  <si>
    <t>INVERSIONES JHOMAX E.I.R.L.</t>
  </si>
  <si>
    <t>002795 | 1</t>
  </si>
  <si>
    <t>005350 | 1</t>
  </si>
  <si>
    <t>084407 | 8</t>
  </si>
  <si>
    <t>CHOCHO / LUPINI BEANS 24 X 14OZ (397GR) IN BOX MAMA TERE - LOT CH072224MT CHOCHO / LUPINI BEANS 24 X 14OZ (397GR) IN BOX MAMA TERE - LOT CH072224MT CHOCHO / LUPINI BEANS 24 X 14OZ (397GR) IN BOX MAMA TERE - LOT CH072224MT CHOCHO / LUPINI BEANS 24 X 14OZ (397GR) IN BOX MAMA TERE - LOT CH072224MT CHOCHO / LUPINI BEANS 24 X 14OZ (397GR) IN BOX MAMA TERE - LOT CH072224MT</t>
  </si>
  <si>
    <t>CHOCHO / LUPINI BEANS 24 X 14OZ (397GR) IN BOX MAMA TERE - LOT CH072224MT</t>
  </si>
  <si>
    <t>ALL-WAYS FORWARDING INT L. INC.</t>
  </si>
  <si>
    <t>007211 | 1</t>
  </si>
  <si>
    <t>007143 | 1</t>
  </si>
  <si>
    <t>084782 | 11</t>
  </si>
  <si>
    <t>007616 | 1</t>
  </si>
  <si>
    <t>087211 | 5</t>
  </si>
  <si>
    <t>093575 | 12</t>
  </si>
  <si>
    <t>CHOCHO (1 SACO X 50 LB) EN SACOS CHOCHO (1 SACO X 50 LB) EN SACOS CHOCHO (1 SACO X 50 LB) EN SACOS CHOCHO (1 SACO X 50 LB) EN SACOS CHOCHO (1 SACO X 50 LB) EN SACOS</t>
  </si>
  <si>
    <t>CHOCHO (1 SACO X 50 LB) EN SACOS</t>
  </si>
  <si>
    <t>059121 | 1</t>
  </si>
  <si>
    <t>097690 | 11</t>
  </si>
  <si>
    <t>BUENAVENTURA</t>
  </si>
  <si>
    <t>CHOCHO SECOSCAJAS X 12 KGCONSUMO HUMANOCODIGO Nº13 RESTITUCION DE DERECHOS ARANCELARIOS CHOCHO SECOSCAJAS X 12 KGCONSUMO HUMANOCODIGO Nº13 RESTITUCION DE DERECHOS ARANCELARIOS CHOCHO SECOSCAJAS X 12 KGCONSUMO HUMANOCODIGO Nº13 RESTITUCION DE DERECHOS ARANCELARIOS CHOCHO SECOSCAJAS X 12 KGCONSUMO HUMANOCODIGO Nº13 RESTITUCION DE DERECHOS ARANCELARIOS CHOCHO SECOSCAJAS X 12 KGCONSUMO HUMANOCODIGO Nº13 RESTITUCION DE DERECHOS ARANCELARIOS</t>
  </si>
  <si>
    <t>CHOCHO SECOSCAJAS X 12 KGCONSUMO HUMANOCODIGO Nº13 RESTITUCION DE DERECHOS ARANCELARIOS</t>
  </si>
  <si>
    <t>008708 | 1</t>
  </si>
  <si>
    <t>335 SACOS CONTENIENDO CHOCHOS SECOSX50 KG C/SPARA SU COMERCIALIZACION 335 SACOS CONTENIENDO CHOCHOS SECOSX50 KG C/SPARA SU COMERCIALIZACION 335 SACOS CONTENIENDO CHOCHOS SECOSX50 KG C/SPARA SU COMERCIALIZACION 335 SACOS CONTENIENDO CHOCHOS SECOSX50 KG C/SPARA SU COMERCIALIZACION 335 SACOS CONTENIENDO CHOCHOS SECOSX50 KG C/SPARA SU COMERCIALIZACION</t>
  </si>
  <si>
    <t>335 SACOS CONTENIENDO CHOCHOS SECOSX50 KG C/SPARA SU COMERCIALIZACION</t>
  </si>
  <si>
    <t>008532 | 1</t>
  </si>
  <si>
    <t>CHOCHOS X 50 KG C/UEMBALADOS EN 230 BULTOSPAAR SU COMERCIALIZACION CHOCHOS X 50 KG C/UEMBALADOS EN 230 BULTOSPAAR SU COMERCIALIZACION CHOCHOS X 50 KG C/UEMBALADOS EN 230 BULTOSPAAR SU COMERCIALIZACION CHOCHOS X 50 KG C/UEMBALADOS EN 230 BULTOSPAAR SU COMERCIALIZACION CHOCHOS X 50 KG C/UEMBALADOS EN 230 BULTOSPAAR SU COMERCIALIZACION</t>
  </si>
  <si>
    <t>CHOCHOS X 50 KG C/UEMBALADOS EN 230 BULTOSPAAR SU COMERCIALIZACION</t>
  </si>
  <si>
    <t>110621 | 12</t>
  </si>
  <si>
    <t>103430 | 12</t>
  </si>
  <si>
    <t>CHOCHO ( 1 SACO X 50 LB) EN SACOS CHOCHO ( 1 SACO X 50 LB) EN SACOS CHOCHO ( 1 SACO X 50 LB) EN SACOS CHOCHO ( 1 SACO X 50 LB) EN SACOS CHOCHO ( 1 SACO X 50 LB) EN SACOS</t>
  </si>
  <si>
    <t>CHOCHO ( 1 SACO X 50 LB) EN SACOS</t>
  </si>
  <si>
    <t>105617 | 3</t>
  </si>
  <si>
    <t>LIRQUEN</t>
  </si>
  <si>
    <t>CHOCHO / LUPINI BEANS 24 X 14OZ (397GR) IN BOX MAMA TERE LOT CH082624MT CHOCHO / LUPINI BEANS 24 X 14OZ (397GR) IN BOX MAMA TERE LOT CH082624MT CHOCHO / LUPINI BEANS 24 X 14OZ (397GR) IN BOX MAMA TERE LOT CH082624MT CHOCHO / LUPINI BEANS 24 X 14OZ (397GR) IN BOX MAMA TERE LOT CH082624MT CHOCHO / LUPINI BEANS 24 X 14OZ (397GR) IN BOX MAMA TERE LOT CH082624MT</t>
  </si>
  <si>
    <t>CHOCHO / LUPINI BEANS 24 X 14OZ (397GR) IN BOX MAMA TERE LOT CH082624MT</t>
  </si>
  <si>
    <t>TRANSMODAL LOGISTICS PERU SOCIEDAD ANONIMA CERRADA</t>
  </si>
  <si>
    <t>109669 | 7</t>
  </si>
  <si>
    <t>MERCATOR PERU - OPERADOR LOGISTICO S.A.C.</t>
  </si>
  <si>
    <t>009392 | 1</t>
  </si>
  <si>
    <t>JOYAS ANDINAS S.A.C.</t>
  </si>
  <si>
    <t>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t>
  </si>
  <si>
    <t>CHOCHOSCHOCHOS SECOS,  EN SACOS X 45 KGPARA SU COMERCIALIZACIONCODIGO Nº13 RESTITUCION DE DERECHOS A</t>
  </si>
  <si>
    <t>120610 | 3</t>
  </si>
  <si>
    <t>FABI SAA INC</t>
  </si>
  <si>
    <t>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t>
  </si>
  <si>
    <t>CHOCHOS SECOS (24 X 14 OZ)CAJAS X 9.528 KGCONSUMO HUMANOCODIGO Nº13 RESTITUCION DE DERECHOS ARANCELA</t>
  </si>
  <si>
    <t>011030 | 1</t>
  </si>
  <si>
    <t>010775 | 1</t>
  </si>
  <si>
    <t>010737 | 2</t>
  </si>
  <si>
    <t>PATRICIA ELIZABETH CEVALLOS MEJIA</t>
  </si>
  <si>
    <t>011332 | 1</t>
  </si>
  <si>
    <t>417 SACOS CONTENIENDO CHOCHOS SECOSX50 KG C/SPARA SU COMERCIALIZACION 417 SACOS CONTENIENDO CHOCHOS SECOSX50 KG C/SPARA SU COMERCIALIZACION 417 SACOS CONTENIENDO CHOCHOS SECOSX50 KG C/SPARA SU COMERCIALIZACION 417 SACOS CONTENIENDO CHOCHOS SECOSX50 KG C/SPARA SU COMERCIALIZACION 417 SACOS CONTENIENDO CHOCHOS SECOSX50 KG C/SPARA SU COMERCIALIZACION</t>
  </si>
  <si>
    <t>417 SACOS CONTENIENDO CHOCHOS SECOSX50 KG C/SPARA SU COMERCIALIZACION</t>
  </si>
  <si>
    <t>129132 | 5</t>
  </si>
  <si>
    <t>JP GLOBAL TRADE S.A.C.</t>
  </si>
  <si>
    <t>MARINA LOGISTICS S.A.C.</t>
  </si>
  <si>
    <t>FREJOL GANDUL X 25 KG USO: CONSUMO HUMANO EN SACOS FREJOL GANDUL X 25 KG USO: CONSUMO HUMANO EN SACOS FREJOL GANDUL X 25 KG USO: CONSUMO HUMANO EN SACOS FREJOL GANDUL X 25 KG USO: CONSUMO HUMANO EN SACOS FREJOL GANDUL X 25 KG USO: CONSUMO HUMANO EN SACOS</t>
  </si>
  <si>
    <t>FREJOL GANDUL X 25 KG USO: CONSUMO HUMANO EN SACOS</t>
  </si>
  <si>
    <t>MAERSK LINES. INC.</t>
  </si>
  <si>
    <t>GRUPO HOMERO LOGISTIC SOCIEDAD ANONIMA CERRADA - G</t>
  </si>
  <si>
    <t>SILMAR FREIGHT SLU Avda.Mare Nostru</t>
  </si>
  <si>
    <t>129132 | 6</t>
  </si>
  <si>
    <t>FREJOL CANARIO X 25 KG USO: CONSUMO HUMANO EN SACOS FREJOL CANARIO X 25 KG USO: CONSUMO HUMANO EN SACOS FREJOL CANARIO X 25 KG USO: CONSUMO HUMANO EN SACOS FREJOL CANARIO X 25 KG USO: CONSUMO HUMANO EN SACOS FREJOL CANARIO X 25 KG USO: CONSUMO HUMANO EN SACOS</t>
  </si>
  <si>
    <t>FREJOL CANARIO X 25 KG USO: CONSUMO HUMANO EN SACOS</t>
  </si>
  <si>
    <t>127134 | 8</t>
  </si>
  <si>
    <t>CHOCHO ( 18 BLS X 14 OZ) EN CAJAS PARA CONSUMO HUMANO CHOCHO ( 18 BLS X 14 OZ) EN CAJAS PARA CONSUMO HUMANO CHOCHO ( 18 BLS X 14 OZ) EN CAJAS PARA CONSUMO HUMANO CHOCHO ( 18 BLS X 14 OZ) EN CAJAS PARA CONSUMO HUMANO CHOCHO ( 18 BLS X 14 OZ) EN CAJAS PARA CONSUMO HUMANO</t>
  </si>
  <si>
    <t>CHOCHO ( 18 BLS X 14 OZ) EN CAJAS PARA CONSUMO HUMANO</t>
  </si>
  <si>
    <t>133374 | 7</t>
  </si>
  <si>
    <t>Etiquetas de fila</t>
  </si>
  <si>
    <t>Total general</t>
  </si>
  <si>
    <t>Suma de U$ FOB Tot</t>
  </si>
  <si>
    <t>(Varios elementos)</t>
  </si>
  <si>
    <t>2022</t>
  </si>
  <si>
    <t>2023</t>
  </si>
  <si>
    <t>2024</t>
  </si>
  <si>
    <t>Etiquetas de columna</t>
  </si>
  <si>
    <t>Mercados</t>
  </si>
  <si>
    <t>Part (%)</t>
  </si>
  <si>
    <t>Var (%)</t>
  </si>
  <si>
    <t>TCP (%)</t>
  </si>
  <si>
    <t>Total</t>
  </si>
  <si>
    <t>100.0%</t>
  </si>
  <si>
    <t>116.7%</t>
  </si>
  <si>
    <t>2.0%</t>
  </si>
  <si>
    <t>TOTAL</t>
  </si>
  <si>
    <t>24/23</t>
  </si>
  <si>
    <t xml:space="preserve">24/20 </t>
  </si>
  <si>
    <t>-</t>
  </si>
  <si>
    <t>MES</t>
  </si>
  <si>
    <t>AÑO</t>
  </si>
  <si>
    <t>Mes</t>
  </si>
  <si>
    <t>Enero</t>
  </si>
  <si>
    <t>Febrero</t>
  </si>
  <si>
    <t>Marzo</t>
  </si>
  <si>
    <t>Abril</t>
  </si>
  <si>
    <t>Mayo</t>
  </si>
  <si>
    <t>Junio</t>
  </si>
  <si>
    <t>Julio</t>
  </si>
  <si>
    <t>Agosto</t>
  </si>
  <si>
    <t>Septiembre</t>
  </si>
  <si>
    <t>Octubre</t>
  </si>
  <si>
    <t>Noviembre</t>
  </si>
  <si>
    <t>Diciembre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</si>
</sst>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9" x14ac:knownFonts="1">
    <font>
      <sz val="11"/>
      <color theme="1"/>
      <name val="Calibri"/>
      <family val="2"/>
      <scheme val="minor"/>
    </font>
    <font>
      <b/>
      <sz val="11"/>
      <color theme="0"/>
      <name val="Calibri"/>
      <family val="2"/>
      <scheme val="minor"/>
    </font>
    <font>
      <sz val="11"/>
      <color rgb="FFFF0000"/>
      <name val="Calibri"/>
      <family val="2"/>
      <scheme val="minor"/>
    </font>
    <font>
      <sz val="11"/>
      <color theme="1"/>
      <name val="Calibri"/>
      <family val="2"/>
      <scheme val="minor"/>
    </font>
    <font>
      <b/>
      <sz val="10"/>
      <color rgb="FFFFFFFF"/>
      <name val="Calibri"/>
      <family val="2"/>
      <scheme val="minor"/>
    </font>
    <font>
      <sz val="10"/>
      <color rgb="FF000000"/>
      <name val="Calibri"/>
      <family val="2"/>
      <scheme val="minor"/>
    </font>
    <font>
      <sz val="10"/>
      <color theme="1"/>
      <name val="Calibri"/>
      <family val="2"/>
      <scheme val="minor"/>
    </font>
    <font>
      <sz val="10"/>
      <color rgb="FF0000FF"/>
      <name val="Calibri"/>
      <family val="2"/>
      <scheme val="minor"/>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rgb="FF30A7E5"/>
        <bgColor indexed="64"/>
      </patternFill>
    </fill>
    <fill>
      <patternFill patternType="solid">
        <fgColor rgb="FF4472C4"/>
        <bgColor indexed="64"/>
      </patternFill>
    </fill>
    <fill>
      <patternFill patternType="solid">
        <fgColor rgb="FF1F3864"/>
        <bgColor indexed="64"/>
      </patternFill>
    </fill>
    <fill>
      <patternFill patternType="solid">
        <fgColor rgb="FFCFE2F3"/>
        <bgColor indexed="64"/>
      </patternFill>
    </fill>
  </fills>
  <borders count="7">
    <border>
      <left/>
      <right/>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diagonal/>
    </border>
  </borders>
  <cellStyleXfs count="2">
    <xf numFmtId="0" fontId="0" fillId="0" borderId="0"/>
    <xf numFmtId="9" fontId="3" fillId="0" borderId="0" applyFont="0" applyFill="0" applyBorder="0" applyAlignment="0" applyProtection="0"/>
  </cellStyleXfs>
  <cellXfs count="25">
    <xf numFmtId="0" fontId="0" fillId="0" borderId="0" xfId="0" applyNumberFormat="1" applyFont="1" applyFill="1" applyBorder="1"/>
    <xf numFmtId="0" fontId="0" fillId="2" borderId="0" xfId="0" applyNumberFormat="1" applyFont="1" applyFill="1" applyBorder="1"/>
    <xf numFmtId="0" fontId="0" fillId="0" borderId="0" xfId="0" applyNumberFormat="1" applyFont="1" applyFill="1" applyBorder="1"/>
    <xf numFmtId="0" fontId="1" fillId="3" borderId="1" xfId="0" applyNumberFormat="1" applyFont="1" applyFill="1" applyBorder="1" applyAlignment="1">
      <alignment horizontal="center" vertical="center"/>
    </xf>
    <xf numFmtId="49" fontId="0" fillId="0" borderId="0" xfId="0" applyNumberFormat="1" applyFont="1" applyFill="1" applyBorder="1" applyAlignment="1">
      <alignment horizontal="left"/>
    </xf>
    <xf numFmtId="0" fontId="0" fillId="0" borderId="0" xfId="0" applyNumberFormat="1" applyFont="1" applyFill="1" applyBorder="1" applyAlignment="1">
      <alignment horizontal="left"/>
    </xf>
    <xf numFmtId="0" fontId="2" fillId="2" borderId="0" xfId="0" applyNumberFormat="1" applyFont="1" applyFill="1" applyBorder="1" applyAlignment="1">
      <alignment horizontal="left"/>
    </xf>
    <xf numFmtId="14" fontId="0" fillId="0" borderId="0" xfId="0" applyNumberFormat="1" applyFont="1" applyFill="1" applyBorder="1" applyAlignment="1">
      <alignment horizontal="left"/>
    </xf>
    <xf numFmtId="4" fontId="0" fillId="0" borderId="0" xfId="0" applyNumberFormat="1" applyFont="1" applyFill="1" applyBorder="1" applyAlignment="1">
      <alignment horizontal="right"/>
    </xf>
    <xf numFmtId="164" fontId="0" fillId="0" borderId="0" xfId="0" applyNumberFormat="1" applyFont="1" applyFill="1" applyBorder="1" applyAlignment="1">
      <alignment horizontal="right"/>
    </xf>
    <xf numFmtId="0" fontId="0" fillId="0" borderId="0" xfId="0" pivotButton="1" applyNumberFormat="1" applyFont="1" applyFill="1" applyBorder="1"/>
    <xf numFmtId="0" fontId="4" fillId="5" borderId="4" xfId="0" applyNumberFormat="1" applyFont="1" applyFill="1" applyBorder="1" applyAlignment="1">
      <alignment vertical="center" wrapText="1"/>
    </xf>
    <xf numFmtId="0" fontId="4" fillId="5" borderId="5" xfId="0" applyNumberFormat="1" applyFont="1" applyFill="1" applyBorder="1" applyAlignment="1">
      <alignment vertical="center" wrapText="1"/>
    </xf>
    <xf numFmtId="0" fontId="5" fillId="6" borderId="3" xfId="0" applyNumberFormat="1" applyFont="1" applyFill="1" applyBorder="1" applyAlignment="1">
      <alignment vertical="center" wrapText="1"/>
    </xf>
    <xf numFmtId="0" fontId="5" fillId="6" borderId="5" xfId="0" applyNumberFormat="1" applyFont="1" applyFill="1" applyBorder="1" applyAlignment="1">
      <alignment vertical="center" wrapText="1"/>
    </xf>
    <xf numFmtId="0" fontId="7" fillId="6" borderId="5" xfId="0" applyNumberFormat="1" applyFont="1" applyFill="1" applyBorder="1" applyAlignment="1">
      <alignment vertical="center" wrapText="1"/>
    </xf>
    <xf numFmtId="0" fontId="6" fillId="0" borderId="3" xfId="0" applyNumberFormat="1" applyFont="1" applyFill="1" applyBorder="1" applyAlignment="1">
      <alignment vertical="center" wrapText="1"/>
    </xf>
    <xf numFmtId="0" fontId="6" fillId="0" borderId="5" xfId="0" applyNumberFormat="1" applyFont="1" applyFill="1" applyBorder="1" applyAlignment="1">
      <alignment vertical="center" wrapText="1"/>
    </xf>
    <xf numFmtId="0" fontId="6" fillId="0" borderId="6" xfId="0" applyNumberFormat="1" applyFont="1" applyFill="1" applyBorder="1" applyAlignment="1">
      <alignment vertical="center" wrapText="1"/>
    </xf>
    <xf numFmtId="9" fontId="7" fillId="0" borderId="5" xfId="1" applyFont="1" applyFill="1" applyBorder="1" applyAlignment="1">
      <alignment vertical="center" wrapText="1"/>
    </xf>
    <xf numFmtId="10" fontId="7" fillId="0" borderId="5" xfId="1" applyNumberFormat="1" applyFont="1" applyFill="1" applyBorder="1" applyAlignment="1">
      <alignment vertical="center" wrapText="1"/>
    </xf>
    <xf numFmtId="165" fontId="7" fillId="0" borderId="5" xfId="1" applyNumberFormat="1" applyFont="1" applyFill="1" applyBorder="1" applyAlignment="1">
      <alignment vertical="center" wrapText="1"/>
    </xf>
    <xf numFmtId="0" fontId="4" fillId="4" borderId="2" xfId="0" applyNumberFormat="1" applyFont="1" applyFill="1" applyBorder="1" applyAlignment="1">
      <alignment vertical="center" wrapText="1"/>
    </xf>
    <xf numFmtId="0" fontId="4" fillId="4" borderId="3" xfId="0" applyNumberFormat="1" applyFont="1" applyFill="1" applyBorder="1" applyAlignment="1">
      <alignment vertical="center" wrapText="1"/>
    </xf>
    <xf numFmtId="0" fontId="0" fillId="0" borderId="0" xfId="0" applyNumberFormat="1"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Medium9"/>
  <colors>
    <mruColors>
      <color rgb="FF30A7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[Veritrade_GOBLITAS@PROMPERU.GOB.PE_PE_E_20250616144241.xlsx]Hoja2!TablaDinámica1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Hoja2!$B$3:$B$4</c:f>
              <c:strCache>
                <c:ptCount val="1"/>
                <c:pt idx="0">
                  <c:v>2022</c:v>
                </c:pt>
              </c:strCache>
            </c:strRef>
          </c:tx>
          <c:spPr>
            <a:solidFill>
              <a:schemeClr val="accent1"/>
            </a:solidFill>
            <a:ln>
              <a:noFill/>
            </a:ln>
            <a:effectLst/>
          </c:spPr>
          <c:invertIfNegative val="0"/>
          <c:cat>
            <c:strRef>
              <c:f>Hoja2!$A$5:$A$11</c:f>
              <c:strCache>
                <c:ptCount val="6"/>
                <c:pt idx="0">
                  <c:v>REINO UNIDO</c:v>
                </c:pt>
                <c:pt idx="1">
                  <c:v>PANAMÁ</c:v>
                </c:pt>
                <c:pt idx="2">
                  <c:v>ITALIA</c:v>
                </c:pt>
                <c:pt idx="3">
                  <c:v>ESTADOS UNIDOS</c:v>
                </c:pt>
                <c:pt idx="4">
                  <c:v>ESPAÑA</c:v>
                </c:pt>
                <c:pt idx="5">
                  <c:v>ECUADOR</c:v>
                </c:pt>
              </c:strCache>
            </c:strRef>
          </c:cat>
          <c:val>
            <c:numRef>
              <c:f>Hoja2!$B$5:$B$11</c:f>
              <c:numCache>
                <c:formatCode>General</c:formatCode>
                <c:ptCount val="6"/>
                <c:pt idx="0">
                  <c:v>5904.37</c:v>
                </c:pt>
                <c:pt idx="1">
                  <c:v>2</c:v>
                </c:pt>
                <c:pt idx="3">
                  <c:v>63726.95</c:v>
                </c:pt>
                <c:pt idx="4">
                  <c:v>45367.79</c:v>
                </c:pt>
                <c:pt idx="5">
                  <c:v>979841</c:v>
                </c:pt>
              </c:numCache>
            </c:numRef>
          </c:val>
          <c:extLst>
            <c:ext xmlns:c16="http://schemas.microsoft.com/office/drawing/2014/chart" uri="{C3380CC4-5D6E-409C-BE32-E72D297353CC}">
              <c16:uniqueId val="{00000000-568D-43F5-99A5-EB974D1EC7CF}"/>
            </c:ext>
          </c:extLst>
        </c:ser>
        <c:ser>
          <c:idx val="1"/>
          <c:order val="1"/>
          <c:tx>
            <c:strRef>
              <c:f>Hoja2!$C$3:$C$4</c:f>
              <c:strCache>
                <c:ptCount val="1"/>
                <c:pt idx="0">
                  <c:v>2023</c:v>
                </c:pt>
              </c:strCache>
            </c:strRef>
          </c:tx>
          <c:spPr>
            <a:solidFill>
              <a:schemeClr val="accent2"/>
            </a:solidFill>
            <a:ln>
              <a:noFill/>
            </a:ln>
            <a:effectLst/>
          </c:spPr>
          <c:invertIfNegative val="0"/>
          <c:cat>
            <c:strRef>
              <c:f>Hoja2!$A$5:$A$11</c:f>
              <c:strCache>
                <c:ptCount val="6"/>
                <c:pt idx="0">
                  <c:v>REINO UNIDO</c:v>
                </c:pt>
                <c:pt idx="1">
                  <c:v>PANAMÁ</c:v>
                </c:pt>
                <c:pt idx="2">
                  <c:v>ITALIA</c:v>
                </c:pt>
                <c:pt idx="3">
                  <c:v>ESTADOS UNIDOS</c:v>
                </c:pt>
                <c:pt idx="4">
                  <c:v>ESPAÑA</c:v>
                </c:pt>
                <c:pt idx="5">
                  <c:v>ECUADOR</c:v>
                </c:pt>
              </c:strCache>
            </c:strRef>
          </c:cat>
          <c:val>
            <c:numRef>
              <c:f>Hoja2!$C$5:$C$11</c:f>
              <c:numCache>
                <c:formatCode>General</c:formatCode>
                <c:ptCount val="6"/>
                <c:pt idx="0">
                  <c:v>4959</c:v>
                </c:pt>
                <c:pt idx="3">
                  <c:v>70768.52</c:v>
                </c:pt>
                <c:pt idx="4">
                  <c:v>71101.5</c:v>
                </c:pt>
                <c:pt idx="5">
                  <c:v>812959</c:v>
                </c:pt>
              </c:numCache>
            </c:numRef>
          </c:val>
          <c:extLst>
            <c:ext xmlns:c16="http://schemas.microsoft.com/office/drawing/2014/chart" uri="{C3380CC4-5D6E-409C-BE32-E72D297353CC}">
              <c16:uniqueId val="{00000001-568D-43F5-99A5-EB974D1EC7CF}"/>
            </c:ext>
          </c:extLst>
        </c:ser>
        <c:ser>
          <c:idx val="2"/>
          <c:order val="2"/>
          <c:tx>
            <c:strRef>
              <c:f>Hoja2!$D$3:$D$4</c:f>
              <c:strCache>
                <c:ptCount val="1"/>
                <c:pt idx="0">
                  <c:v>2024</c:v>
                </c:pt>
              </c:strCache>
            </c:strRef>
          </c:tx>
          <c:spPr>
            <a:solidFill>
              <a:schemeClr val="accent3"/>
            </a:solidFill>
            <a:ln>
              <a:noFill/>
            </a:ln>
            <a:effectLst/>
          </c:spPr>
          <c:invertIfNegative val="0"/>
          <c:cat>
            <c:strRef>
              <c:f>Hoja2!$A$5:$A$11</c:f>
              <c:strCache>
                <c:ptCount val="6"/>
                <c:pt idx="0">
                  <c:v>REINO UNIDO</c:v>
                </c:pt>
                <c:pt idx="1">
                  <c:v>PANAMÁ</c:v>
                </c:pt>
                <c:pt idx="2">
                  <c:v>ITALIA</c:v>
                </c:pt>
                <c:pt idx="3">
                  <c:v>ESTADOS UNIDOS</c:v>
                </c:pt>
                <c:pt idx="4">
                  <c:v>ESPAÑA</c:v>
                </c:pt>
                <c:pt idx="5">
                  <c:v>ECUADOR</c:v>
                </c:pt>
              </c:strCache>
            </c:strRef>
          </c:cat>
          <c:val>
            <c:numRef>
              <c:f>Hoja2!$D$5:$D$11</c:f>
              <c:numCache>
                <c:formatCode>General</c:formatCode>
                <c:ptCount val="6"/>
                <c:pt idx="0">
                  <c:v>6597.08</c:v>
                </c:pt>
                <c:pt idx="2">
                  <c:v>125</c:v>
                </c:pt>
                <c:pt idx="3">
                  <c:v>117734.54000000001</c:v>
                </c:pt>
                <c:pt idx="4">
                  <c:v>100854</c:v>
                </c:pt>
                <c:pt idx="5">
                  <c:v>669190.80000000005</c:v>
                </c:pt>
              </c:numCache>
            </c:numRef>
          </c:val>
          <c:extLst>
            <c:ext xmlns:c16="http://schemas.microsoft.com/office/drawing/2014/chart" uri="{C3380CC4-5D6E-409C-BE32-E72D297353CC}">
              <c16:uniqueId val="{00000002-568D-43F5-99A5-EB974D1EC7CF}"/>
            </c:ext>
          </c:extLst>
        </c:ser>
        <c:dLbls>
          <c:showLegendKey val="0"/>
          <c:showVal val="0"/>
          <c:showCatName val="0"/>
          <c:showSerName val="0"/>
          <c:showPercent val="0"/>
          <c:showBubbleSize val="0"/>
        </c:dLbls>
        <c:gapWidth val="182"/>
        <c:axId val="1377243583"/>
        <c:axId val="1377228607"/>
      </c:barChart>
      <c:catAx>
        <c:axId val="137724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377228607"/>
        <c:crosses val="autoZero"/>
        <c:auto val="1"/>
        <c:lblAlgn val="ctr"/>
        <c:lblOffset val="100"/>
        <c:noMultiLvlLbl val="0"/>
      </c:catAx>
      <c:valAx>
        <c:axId val="1377228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37724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Hoja3!$A$13</c:f>
              <c:strCache>
                <c:ptCount val="1"/>
                <c:pt idx="0">
                  <c:v>2022</c:v>
                </c:pt>
              </c:strCache>
            </c:strRef>
          </c:tx>
          <c:spPr>
            <a:ln w="28575" cap="rnd">
              <a:solidFill>
                <a:schemeClr val="accent1"/>
              </a:solidFill>
              <a:round/>
            </a:ln>
            <a:effectLst/>
          </c:spPr>
          <c:marker>
            <c:symbol val="none"/>
          </c:marker>
          <c:cat>
            <c:strRef>
              <c:f>Hoja3!$B$12:$M$12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Hoja3!$B$13:$M$13</c:f>
              <c:numCache>
                <c:formatCode>General</c:formatCode>
                <c:ptCount val="12"/>
                <c:pt idx="0">
                  <c:v>49000</c:v>
                </c:pt>
                <c:pt idx="1">
                  <c:v>107839</c:v>
                </c:pt>
                <c:pt idx="2">
                  <c:v>98261</c:v>
                </c:pt>
                <c:pt idx="3">
                  <c:v>54341</c:v>
                </c:pt>
                <c:pt idx="4">
                  <c:v>123318</c:v>
                </c:pt>
                <c:pt idx="5">
                  <c:v>45115.369999999995</c:v>
                </c:pt>
                <c:pt idx="6">
                  <c:v>152091.53999999998</c:v>
                </c:pt>
                <c:pt idx="7">
                  <c:v>37830.460000000006</c:v>
                </c:pt>
                <c:pt idx="8">
                  <c:v>176476</c:v>
                </c:pt>
                <c:pt idx="9">
                  <c:v>127839</c:v>
                </c:pt>
                <c:pt idx="10">
                  <c:v>30613</c:v>
                </c:pt>
                <c:pt idx="11">
                  <c:v>106696</c:v>
                </c:pt>
              </c:numCache>
            </c:numRef>
          </c:val>
          <c:smooth val="0"/>
          <c:extLst>
            <c:ext xmlns:c16="http://schemas.microsoft.com/office/drawing/2014/chart" uri="{C3380CC4-5D6E-409C-BE32-E72D297353CC}">
              <c16:uniqueId val="{00000000-E13C-4E49-8C8B-C70276CF04B8}"/>
            </c:ext>
          </c:extLst>
        </c:ser>
        <c:ser>
          <c:idx val="1"/>
          <c:order val="1"/>
          <c:tx>
            <c:strRef>
              <c:f>Hoja3!$A$14</c:f>
              <c:strCache>
                <c:ptCount val="1"/>
                <c:pt idx="0">
                  <c:v>2023</c:v>
                </c:pt>
              </c:strCache>
            </c:strRef>
          </c:tx>
          <c:spPr>
            <a:ln w="28575" cap="rnd">
              <a:solidFill>
                <a:schemeClr val="accent2"/>
              </a:solidFill>
              <a:round/>
            </a:ln>
            <a:effectLst/>
          </c:spPr>
          <c:marker>
            <c:symbol val="none"/>
          </c:marker>
          <c:cat>
            <c:strRef>
              <c:f>Hoja3!$B$12:$M$12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Hoja3!$B$14:$M$14</c:f>
              <c:numCache>
                <c:formatCode>General</c:formatCode>
                <c:ptCount val="12"/>
                <c:pt idx="0">
                  <c:v>28481</c:v>
                </c:pt>
                <c:pt idx="1">
                  <c:v>120275</c:v>
                </c:pt>
                <c:pt idx="2">
                  <c:v>26057</c:v>
                </c:pt>
                <c:pt idx="3">
                  <c:v>94293</c:v>
                </c:pt>
                <c:pt idx="4">
                  <c:v>23470</c:v>
                </c:pt>
                <c:pt idx="5">
                  <c:v>131811</c:v>
                </c:pt>
                <c:pt idx="6">
                  <c:v>26493</c:v>
                </c:pt>
                <c:pt idx="7">
                  <c:v>133868</c:v>
                </c:pt>
                <c:pt idx="8">
                  <c:v>35265</c:v>
                </c:pt>
                <c:pt idx="9">
                  <c:v>123618</c:v>
                </c:pt>
                <c:pt idx="10">
                  <c:v>117804</c:v>
                </c:pt>
                <c:pt idx="11">
                  <c:v>129409.28</c:v>
                </c:pt>
              </c:numCache>
            </c:numRef>
          </c:val>
          <c:smooth val="0"/>
          <c:extLst>
            <c:ext xmlns:c16="http://schemas.microsoft.com/office/drawing/2014/chart" uri="{C3380CC4-5D6E-409C-BE32-E72D297353CC}">
              <c16:uniqueId val="{00000001-E13C-4E49-8C8B-C70276CF04B8}"/>
            </c:ext>
          </c:extLst>
        </c:ser>
        <c:ser>
          <c:idx val="2"/>
          <c:order val="2"/>
          <c:tx>
            <c:strRef>
              <c:f>Hoja3!$A$15</c:f>
              <c:strCache>
                <c:ptCount val="1"/>
                <c:pt idx="0">
                  <c:v>2024</c:v>
                </c:pt>
              </c:strCache>
            </c:strRef>
          </c:tx>
          <c:spPr>
            <a:ln w="28575" cap="rnd">
              <a:solidFill>
                <a:schemeClr val="accent3"/>
              </a:solidFill>
              <a:round/>
            </a:ln>
            <a:effectLst/>
          </c:spPr>
          <c:marker>
            <c:symbol val="none"/>
          </c:marker>
          <c:cat>
            <c:strRef>
              <c:f>Hoja3!$B$12:$M$12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Hoja3!$B$15:$M$15</c:f>
              <c:numCache>
                <c:formatCode>General</c:formatCode>
                <c:ptCount val="12"/>
                <c:pt idx="0">
                  <c:v>109586.41</c:v>
                </c:pt>
                <c:pt idx="1">
                  <c:v>116044.77</c:v>
                </c:pt>
                <c:pt idx="2">
                  <c:v>75936.88</c:v>
                </c:pt>
                <c:pt idx="3">
                  <c:v>135473.84</c:v>
                </c:pt>
                <c:pt idx="4">
                  <c:v>45574.520000000004</c:v>
                </c:pt>
                <c:pt idx="5">
                  <c:v>55688.42</c:v>
                </c:pt>
                <c:pt idx="6">
                  <c:v>95349.64</c:v>
                </c:pt>
                <c:pt idx="7">
                  <c:v>114095.45</c:v>
                </c:pt>
                <c:pt idx="8">
                  <c:v>14037.31</c:v>
                </c:pt>
                <c:pt idx="9">
                  <c:v>106306.88</c:v>
                </c:pt>
                <c:pt idx="10">
                  <c:v>90904.5</c:v>
                </c:pt>
                <c:pt idx="11">
                  <c:v>72214.34</c:v>
                </c:pt>
              </c:numCache>
            </c:numRef>
          </c:val>
          <c:smooth val="0"/>
          <c:extLst>
            <c:ext xmlns:c16="http://schemas.microsoft.com/office/drawing/2014/chart" uri="{C3380CC4-5D6E-409C-BE32-E72D297353CC}">
              <c16:uniqueId val="{00000002-E13C-4E49-8C8B-C70276CF04B8}"/>
            </c:ext>
          </c:extLst>
        </c:ser>
        <c:dLbls>
          <c:showLegendKey val="0"/>
          <c:showVal val="0"/>
          <c:showCatName val="0"/>
          <c:showSerName val="0"/>
          <c:showPercent val="0"/>
          <c:showBubbleSize val="0"/>
        </c:dLbls>
        <c:smooth val="0"/>
        <c:axId val="1279243840"/>
        <c:axId val="1279244256"/>
      </c:lineChart>
      <c:catAx>
        <c:axId val="127924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79244256"/>
        <c:crosses val="autoZero"/>
        <c:auto val="1"/>
        <c:lblAlgn val="ctr"/>
        <c:lblOffset val="100"/>
        <c:noMultiLvlLbl val="0"/>
      </c:catAx>
      <c:valAx>
        <c:axId val="127924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79243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1074420</xdr:colOff>
      <xdr:row>12</xdr:row>
      <xdr:rowOff>41910</xdr:rowOff>
    </xdr:from>
    <xdr:to>
      <xdr:col>7</xdr:col>
      <xdr:colOff>617220</xdr:colOff>
      <xdr:row>27</xdr:row>
      <xdr:rowOff>41910</xdr:rowOff>
    </xdr:to>
    <xdr:graphicFrame macro="">
      <xdr:nvGraphicFramePr>
        <xdr:cNvPr id="4" name="Gráfico 3">
          <a:extLst>
            <a:ext uri="{FF2B5EF4-FFF2-40B4-BE49-F238E27FC236}">
              <a16:creationId xmlns:a16="http://schemas.microsoft.com/office/drawing/2014/main" id="{845B08C1-622F-48D9-BE54-49E411585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647700</xdr:colOff>
      <xdr:row>20</xdr:row>
      <xdr:rowOff>22860</xdr:rowOff>
    </xdr:from>
    <xdr:to>
      <xdr:col>17</xdr:col>
      <xdr:colOff>76200</xdr:colOff>
      <xdr:row>41</xdr:row>
      <xdr:rowOff>49530</xdr:rowOff>
    </xdr:to>
    <xdr:graphicFrame macro="">
      <xdr:nvGraphicFramePr>
        <xdr:cNvPr id="2" name="Gráfico 1">
          <a:extLst>
            <a:ext uri="{FF2B5EF4-FFF2-40B4-BE49-F238E27FC236}">
              <a16:creationId xmlns:a16="http://schemas.microsoft.com/office/drawing/2014/main" id="{970C0EC4-848A-4A0C-8420-DC952BD10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1323975</xdr:colOff>
      <xdr:row>4</xdr:row>
      <xdr:rowOff>161925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31690" cy="9212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5869.719408564815" createdVersion="7" refreshedVersion="7" minRefreshableVersion="3" recordCount="289" xr:uid="{D253A3A7-FEA2-49CC-B8E4-64C7F0ECD706}">
  <cacheSource type="worksheet">
    <worksheetSource ref="A6:AI295" sheet="Veritrade"/>
  </cacheSource>
  <cacheFields count="37">
    <cacheField name="Partida Aduanera" numFmtId="49">
      <sharedItems containsSemiMixedTypes="0" containsString="0" containsNumber="1" containsInteger="1" minValue="713909000" maxValue="713909000"/>
    </cacheField>
    <cacheField name="Descripcion de la Partida Aduanera" numFmtId="0">
      <sharedItems/>
    </cacheField>
    <cacheField name="Aduana" numFmtId="0">
      <sharedItems/>
    </cacheField>
    <cacheField name="DUA / DAM" numFmtId="0">
      <sharedItems/>
    </cacheField>
    <cacheField name="Fecha" numFmtId="14">
      <sharedItems containsSemiMixedTypes="0" containsNonDate="0" containsDate="1" containsString="0" minDate="2022-01-06T00:00:00" maxDate="2024-12-21T00:00:00" count="225">
        <d v="2023-08-31T00:00:00"/>
        <d v="2023-08-17T00:00:00"/>
        <d v="2023-08-09T00:00:00"/>
        <d v="2024-05-07T00:00:00"/>
        <d v="2024-03-27T00:00:00"/>
        <d v="2024-02-21T00:00:00"/>
        <d v="2024-01-25T00:00:00"/>
        <d v="2024-03-21T00:00:00"/>
        <d v="2023-10-11T00:00:00"/>
        <d v="2023-07-19T00:00:00"/>
        <d v="2023-06-21T00:00:00"/>
        <d v="2023-05-16T00:00:00"/>
        <d v="2024-08-01T00:00:00"/>
        <d v="2023-03-14T00:00:00"/>
        <d v="2024-01-30T00:00:00"/>
        <d v="2022-05-11T00:00:00"/>
        <d v="2022-12-07T00:00:00"/>
        <d v="2024-06-06T00:00:00"/>
        <d v="2024-06-13T00:00:00"/>
        <d v="2024-05-16T00:00:00"/>
        <d v="2022-08-01T00:00:00"/>
        <d v="2022-07-05T00:00:00"/>
        <d v="2022-04-19T00:00:00"/>
        <d v="2024-05-09T00:00:00"/>
        <d v="2024-04-25T00:00:00"/>
        <d v="2024-04-18T00:00:00"/>
        <d v="2024-04-11T00:00:00"/>
        <d v="2024-03-07T00:00:00"/>
        <d v="2023-11-01T00:00:00"/>
        <d v="2022-02-22T00:00:00"/>
        <d v="2024-07-02T00:00:00"/>
        <d v="2024-05-14T00:00:00"/>
        <d v="2024-02-15T00:00:00"/>
        <d v="2024-02-22T00:00:00"/>
        <d v="2024-02-01T00:00:00"/>
        <d v="2024-01-18T00:00:00"/>
        <d v="2024-01-19T00:00:00"/>
        <d v="2023-12-21T00:00:00"/>
        <d v="2023-12-14T00:00:00"/>
        <d v="2024-08-17T00:00:00"/>
        <d v="2024-07-20T00:00:00"/>
        <d v="2023-12-13T00:00:00"/>
        <d v="2023-12-07T00:00:00"/>
        <d v="2023-11-30T00:00:00"/>
        <d v="2023-11-23T00:00:00"/>
        <d v="2023-11-16T00:00:00"/>
        <d v="2023-11-09T00:00:00"/>
        <d v="2023-10-19T00:00:00"/>
        <d v="2023-09-14T00:00:00"/>
        <d v="2024-01-24T00:00:00"/>
        <d v="2023-09-07T00:00:00"/>
        <d v="2023-09-19T00:00:00"/>
        <d v="2023-02-15T00:00:00"/>
        <d v="2023-02-08T00:00:00"/>
        <d v="2023-04-27T00:00:00"/>
        <d v="2024-03-23T00:00:00"/>
        <d v="2023-08-10T00:00:00"/>
        <d v="2023-07-26T00:00:00"/>
        <d v="2023-08-02T00:00:00"/>
        <d v="2023-07-20T00:00:00"/>
        <d v="2023-07-13T00:00:00"/>
        <d v="2023-06-15T00:00:00"/>
        <d v="2023-06-22T00:00:00"/>
        <d v="2023-06-01T00:00:00"/>
        <d v="2023-12-20T00:00:00"/>
        <d v="2023-10-31T00:00:00"/>
        <d v="2023-05-18T00:00:00"/>
        <d v="2023-05-04T00:00:00"/>
        <d v="2022-10-25T00:00:00"/>
        <d v="2023-04-12T00:00:00"/>
        <d v="2023-03-23T00:00:00"/>
        <d v="2023-03-17T00:00:00"/>
        <d v="2023-02-24T00:00:00"/>
        <d v="2022-07-20T00:00:00"/>
        <d v="2022-07-12T00:00:00"/>
        <d v="2022-06-14T00:00:00"/>
        <d v="2023-06-28T00:00:00"/>
        <d v="2023-01-25T00:00:00"/>
        <d v="2023-02-02T00:00:00"/>
        <d v="2022-05-31T00:00:00"/>
        <d v="2022-05-03T00:00:00"/>
        <d v="2023-01-26T00:00:00"/>
        <d v="2022-12-22T00:00:00"/>
        <d v="2022-12-01T00:00:00"/>
        <d v="2022-12-15T00:00:00"/>
        <d v="2022-11-17T00:00:00"/>
        <d v="2022-11-10T00:00:00"/>
        <d v="2022-10-27T00:00:00"/>
        <d v="2022-10-13T00:00:00"/>
        <d v="2022-10-20T00:00:00"/>
        <d v="2022-10-06T00:00:00"/>
        <d v="2022-09-29T00:00:00"/>
        <d v="2023-08-30T00:00:00"/>
        <d v="2022-09-22T00:00:00"/>
        <d v="2022-09-08T00:00:00"/>
        <d v="2022-11-22T00:00:00"/>
        <d v="2022-08-22T00:00:00"/>
        <d v="2022-09-15T00:00:00"/>
        <d v="2022-09-01T00:00:00"/>
        <d v="2022-08-25T00:00:00"/>
        <d v="2022-08-11T00:00:00"/>
        <d v="2022-08-04T00:00:00"/>
        <d v="2022-07-27T00:00:00"/>
        <d v="2022-07-21T00:00:00"/>
        <d v="2022-07-14T00:00:00"/>
        <d v="2022-07-07T00:00:00"/>
        <d v="2022-07-04T00:00:00"/>
        <d v="2022-05-26T00:00:00"/>
        <d v="2022-06-02T00:00:00"/>
        <d v="2022-06-09T00:00:00"/>
        <d v="2022-05-19T00:00:00"/>
        <d v="2022-05-12T00:00:00"/>
        <d v="2022-04-28T00:00:00"/>
        <d v="2022-04-14T00:00:00"/>
        <d v="2022-03-24T00:00:00"/>
        <d v="2022-03-17T00:00:00"/>
        <d v="2022-06-15T00:00:00"/>
        <d v="2022-04-07T00:00:00"/>
        <d v="2022-03-03T00:00:00"/>
        <d v="2023-07-27T00:00:00"/>
        <d v="2022-02-23T00:00:00"/>
        <d v="2023-04-25T00:00:00"/>
        <d v="2022-02-07T00:00:00"/>
        <d v="2022-03-16T00:00:00"/>
        <d v="2022-05-10T00:00:00"/>
        <d v="2022-09-19T00:00:00"/>
        <d v="2022-10-17T00:00:00"/>
        <d v="2023-02-01T00:00:00"/>
        <d v="2023-04-10T00:00:00"/>
        <d v="2023-06-05T00:00:00"/>
        <d v="2023-08-14T00:00:00"/>
        <d v="2023-10-10T00:00:00"/>
        <d v="2024-06-18T00:00:00"/>
        <d v="2022-09-04T00:00:00"/>
        <d v="2024-06-04T00:00:00"/>
        <d v="2022-07-15T00:00:00"/>
        <d v="2022-06-17T00:00:00"/>
        <d v="2022-08-09T00:00:00"/>
        <d v="2024-04-01T00:00:00"/>
        <d v="2024-01-03T00:00:00"/>
        <d v="2024-03-04T00:00:00"/>
        <d v="2022-09-20T00:00:00"/>
        <d v="2023-12-01T00:00:00"/>
        <d v="2024-05-08T00:00:00"/>
        <d v="2022-10-11T00:00:00"/>
        <d v="2023-11-17T00:00:00"/>
        <d v="2023-11-04T00:00:00"/>
        <d v="2023-10-17T00:00:00"/>
        <d v="2022-11-26T00:00:00"/>
        <d v="2022-08-21T00:00:00"/>
        <d v="2023-09-21T00:00:00"/>
        <d v="2024-05-23T00:00:00"/>
        <d v="2024-06-20T00:00:00"/>
        <d v="2024-05-30T00:00:00"/>
        <d v="2024-04-17T00:00:00"/>
        <d v="2024-03-15T00:00:00"/>
        <d v="2024-02-14T00:00:00"/>
        <d v="2023-12-27T00:00:00"/>
        <d v="2023-11-08T00:00:00"/>
        <d v="2023-10-03T00:00:00"/>
        <d v="2023-08-18T00:00:00"/>
        <d v="2023-06-16T00:00:00"/>
        <d v="2022-02-11T00:00:00"/>
        <d v="2023-03-21T00:00:00"/>
        <d v="2023-02-09T00:00:00"/>
        <d v="2023-01-03T00:00:00"/>
        <d v="2022-06-21T00:00:00"/>
        <d v="2022-01-27T00:00:00"/>
        <d v="2022-01-20T00:00:00"/>
        <d v="2022-05-14T00:00:00"/>
        <d v="2022-04-13T00:00:00"/>
        <d v="2022-02-02T00:00:00"/>
        <d v="2022-01-13T00:00:00"/>
        <d v="2022-04-20T00:00:00"/>
        <d v="2024-02-29T00:00:00"/>
        <d v="2024-01-11T00:00:00"/>
        <d v="2023-11-15T00:00:00"/>
        <d v="2022-12-03T00:00:00"/>
        <d v="2022-08-06T00:00:00"/>
        <d v="2024-02-13T00:00:00"/>
        <d v="2022-01-06T00:00:00"/>
        <d v="2023-03-10T00:00:00"/>
        <d v="2023-03-24T00:00:00"/>
        <d v="2023-04-21T00:00:00"/>
        <d v="2023-01-19T00:00:00"/>
        <d v="2022-11-24T00:00:00"/>
        <d v="2022-11-11T00:00:00"/>
        <d v="2022-10-21T00:00:00"/>
        <d v="2022-06-16T00:00:00"/>
        <d v="2022-05-27T00:00:00"/>
        <d v="2022-04-21T00:00:00"/>
        <d v="2023-12-02T00:00:00"/>
        <d v="2022-03-10T00:00:00"/>
        <d v="2022-09-06T00:00:00"/>
        <d v="2023-10-07T00:00:00"/>
        <d v="2022-09-17T00:00:00"/>
        <d v="2022-11-15T00:00:00"/>
        <d v="2022-03-26T00:00:00"/>
        <d v="2024-07-25T00:00:00"/>
        <d v="2024-04-15T00:00:00"/>
        <d v="2024-07-01T00:00:00"/>
        <d v="2024-08-21T00:00:00"/>
        <d v="2024-08-23T00:00:00"/>
        <d v="2024-08-22T00:00:00"/>
        <d v="2024-08-20T00:00:00"/>
        <d v="2024-09-05T00:00:00"/>
        <d v="2024-08-28T00:00:00"/>
        <d v="2024-09-10T00:00:00"/>
        <d v="2024-09-22T00:00:00"/>
        <d v="2024-09-18T00:00:00"/>
        <d v="2024-10-10T00:00:00"/>
        <d v="2024-10-04T00:00:00"/>
        <d v="2024-10-22T00:00:00"/>
        <d v="2024-10-01T00:00:00"/>
        <d v="2024-10-09T00:00:00"/>
        <d v="2024-10-26T00:00:00"/>
        <d v="2024-10-29T00:00:00"/>
        <d v="2024-11-19T00:00:00"/>
        <d v="2024-12-05T00:00:00"/>
        <d v="2024-11-29T00:00:00"/>
        <d v="2024-11-28T00:00:00"/>
        <d v="2024-12-12T00:00:00"/>
        <d v="2024-12-11T00:00:00"/>
        <d v="2024-12-03T00:00:00"/>
        <d v="2024-12-20T00:00:00"/>
      </sharedItems>
      <fieldGroup par="36" base="4">
        <rangePr groupBy="months" startDate="2022-01-06T00:00:00" endDate="2024-12-21T00:00:00"/>
        <groupItems count="14">
          <s v="&lt;06/01/2022"/>
          <s v="ene"/>
          <s v="feb"/>
          <s v="mar"/>
          <s v="abr"/>
          <s v="may"/>
          <s v="jun"/>
          <s v="jul"/>
          <s v="ago"/>
          <s v="sep"/>
          <s v="oct"/>
          <s v="nov"/>
          <s v="dic"/>
          <s v="&gt;21/12/2024"/>
        </groupItems>
      </fieldGroup>
    </cacheField>
    <cacheField name="MES" numFmtId="0">
      <sharedItems containsSemiMixedTypes="0" containsString="0" containsNumber="1" containsInteger="1" minValue="1" maxValue="12" count="12">
        <n v="8"/>
        <n v="5"/>
        <n v="3"/>
        <n v="2"/>
        <n v="1"/>
        <n v="10"/>
        <n v="7"/>
        <n v="6"/>
        <n v="12"/>
        <n v="4"/>
        <n v="11"/>
        <n v="9"/>
      </sharedItems>
    </cacheField>
    <cacheField name="AÑO" numFmtId="0">
      <sharedItems containsSemiMixedTypes="0" containsString="0" containsNumber="1" containsInteger="1" minValue="2022" maxValue="2024" count="3">
        <n v="2023"/>
        <n v="2024"/>
        <n v="2022"/>
      </sharedItems>
    </cacheField>
    <cacheField name="Cod. Tributario" numFmtId="0">
      <sharedItems containsSemiMixedTypes="0" containsString="0" containsNumber="1" containsInteger="1" minValue="0" maxValue="20612342017"/>
    </cacheField>
    <cacheField name="Exportador" numFmtId="0">
      <sharedItems/>
    </cacheField>
    <cacheField name="Importador" numFmtId="0">
      <sharedItems/>
    </cacheField>
    <cacheField name="Kg Bruto" numFmtId="4">
      <sharedItems containsSemiMixedTypes="0" containsString="0" containsNumber="1" minValue="0.05" maxValue="40173.910000000003"/>
    </cacheField>
    <cacheField name="Kg Neto" numFmtId="4">
      <sharedItems containsSemiMixedTypes="0" containsString="0" containsNumber="1" minValue="0.05" maxValue="40000"/>
    </cacheField>
    <cacheField name="Qty 1" numFmtId="4">
      <sharedItems containsSemiMixedTypes="0" containsString="0" containsNumber="1" minValue="0.05" maxValue="40000"/>
    </cacheField>
    <cacheField name="Und 1" numFmtId="0">
      <sharedItems/>
    </cacheField>
    <cacheField name="Qty 2" numFmtId="4">
      <sharedItems containsSemiMixedTypes="0" containsString="0" containsNumber="1" minValue="1" maxValue="40000"/>
    </cacheField>
    <cacheField name="Und 2" numFmtId="0">
      <sharedItems/>
    </cacheField>
    <cacheField name="U$ FOB Tot" numFmtId="4">
      <sharedItems containsSemiMixedTypes="0" containsString="0" containsNumber="1" minValue="0" maxValue="85248" count="239">
        <n v="3750"/>
        <n v="10400"/>
        <n v="7160"/>
        <n v="5250"/>
        <n v="2600"/>
        <n v="3037.5"/>
        <n v="6552"/>
        <n v="8736"/>
        <n v="2812.5"/>
        <n v="20207.88"/>
        <n v="1976"/>
        <n v="3952"/>
        <n v="3120"/>
        <n v="7400"/>
        <n v="1265.6300000000001"/>
        <n v="1787"/>
        <n v="2496"/>
        <n v="11100"/>
        <n v="8621"/>
        <n v="3744"/>
        <n v="1248"/>
        <n v="14430"/>
        <n v="13690"/>
        <n v="4255"/>
        <n v="18500"/>
        <n v="16650"/>
        <n v="3700"/>
        <n v="2970"/>
        <n v="8181"/>
        <n v="4090.5"/>
        <n v="4576.5"/>
        <n v="4810"/>
        <n v="9620"/>
        <n v="5550"/>
        <n v="13320"/>
        <n v="21090"/>
        <n v="8695"/>
        <n v="29600"/>
        <n v="74.7"/>
        <n v="75"/>
        <n v="5553"/>
        <n v="26085"/>
        <n v="12580"/>
        <n v="20350"/>
        <n v="25900"/>
        <n v="22940"/>
        <n v="22200"/>
        <n v="12210"/>
        <n v="4617"/>
        <n v="8140"/>
        <n v="1337"/>
        <n v="7304"/>
        <n v="3588"/>
        <n v="4800"/>
        <n v="125"/>
        <n v="6290"/>
        <n v="4440"/>
        <n v="12025"/>
        <n v="1850"/>
        <n v="1924"/>
        <n v="2220"/>
        <n v="3505.5"/>
        <n v="3506"/>
        <n v="8510"/>
        <n v="11840"/>
        <n v="780"/>
        <n v="4958"/>
        <n v="9990"/>
        <n v="4083.75"/>
        <n v="6110"/>
        <n v="376.2"/>
        <n v="3690"/>
        <n v="1961"/>
        <n v="6660"/>
        <n v="1260"/>
        <n v="2385"/>
        <n v="11470"/>
        <n v="15910"/>
        <n v="11285"/>
        <n v="4245"/>
        <n v="7104"/>
        <n v="9213"/>
        <n v="11729"/>
        <n v="7992"/>
        <n v="3911"/>
        <n v="7770"/>
        <n v="14800"/>
        <n v="2939"/>
        <n v="9250"/>
        <n v="13875"/>
        <n v="147"/>
        <n v="4114"/>
        <n v="5920"/>
        <n v="3626"/>
        <n v="5994"/>
        <n v="14615"/>
        <n v="5328"/>
        <n v="6401"/>
        <n v="2960"/>
        <n v="6882"/>
        <n v="7437"/>
        <n v="6105"/>
        <n v="6845"/>
        <n v="3330"/>
        <n v="4257"/>
        <n v="5320"/>
        <n v="3200"/>
        <n v="6360"/>
        <n v="4148"/>
        <n v="3080"/>
        <n v="3600"/>
        <n v="523"/>
        <n v="4721.6400000000003"/>
        <n v="3"/>
        <n v="8602"/>
        <n v="2747"/>
        <n v="70596"/>
        <n v="71928"/>
        <n v="72594"/>
        <n v="73260"/>
        <n v="75258"/>
        <n v="78588"/>
        <n v="81252"/>
        <n v="85248"/>
        <n v="79920"/>
        <n v="5584.41"/>
        <n v="5676"/>
        <n v="3409.18"/>
        <n v="2"/>
        <n v="9"/>
        <n v="316.79000000000002"/>
        <n v="6192.83"/>
        <n v="1184"/>
        <n v="3584"/>
        <n v="0.2"/>
        <n v="10500"/>
        <n v="410"/>
        <n v="13283"/>
        <n v="3500"/>
        <n v="25636"/>
        <n v="2450"/>
        <n v="3000"/>
        <n v="3400"/>
        <n v="7470"/>
        <n v="2625"/>
        <n v="7600"/>
        <n v="3440"/>
        <n v="419"/>
        <n v="6287.79"/>
        <n v="202.86"/>
        <n v="8000"/>
        <n v="6260"/>
        <n v="15450"/>
        <n v="5735.52"/>
        <n v="3130"/>
        <n v="2980"/>
        <n v="4348.84"/>
        <n v="6180"/>
        <n v="11364.29"/>
        <n v="6200"/>
        <n v="5180"/>
        <n v="3363.06"/>
        <n v="17100.52"/>
        <n v="6021"/>
        <n v="2990"/>
        <n v="5160"/>
        <n v="2570"/>
        <n v="4819"/>
        <n v="1696"/>
        <n v="5070"/>
        <n v="15160"/>
        <n v="4887"/>
        <n v="9780"/>
        <n v="9787"/>
        <n v="3263"/>
        <n v="12500"/>
        <n v="5124.37"/>
        <n v="11920"/>
        <n v="2400"/>
        <n v="7425"/>
        <n v="11958"/>
        <n v="6740"/>
        <n v="354"/>
        <n v="456"/>
        <n v="245"/>
        <n v="4240.7700000000004"/>
        <n v="24692.85"/>
        <n v="13828"/>
        <n v="45"/>
        <n v="89.4"/>
        <n v="3008"/>
        <n v="2092.8000000000002"/>
        <n v="1788"/>
        <n v="4000"/>
        <n v="6400"/>
        <n v="2000"/>
        <n v="5200"/>
        <n v="7200"/>
        <n v="7240"/>
        <n v="3800"/>
        <n v="8360"/>
        <n v="9200"/>
        <n v="2720"/>
        <n v="3960"/>
        <n v="13400"/>
        <n v="5880"/>
        <n v="12720"/>
        <n v="17600"/>
        <n v="8600"/>
        <n v="37.200000000000003"/>
        <n v="2040"/>
        <n v="18720"/>
        <n v="2800"/>
        <n v="4720"/>
        <n v="0"/>
        <n v="16"/>
        <n v="51"/>
        <n v="1920"/>
        <n v="3133"/>
        <n v="1120"/>
        <n v="4368"/>
        <n v="4416.75"/>
        <n v="4374"/>
        <n v="614.07000000000005"/>
        <n v="2248.2399999999998"/>
        <n v="12395"/>
        <n v="8050"/>
        <n v="4668.3"/>
        <n v="5327.28"/>
        <n v="2184"/>
        <n v="9345"/>
        <n v="64337.3"/>
        <n v="10672"/>
        <n v="69132.5"/>
        <n v="15429"/>
        <n v="5940.82"/>
        <n v="6863.67"/>
        <n v="5560.85"/>
        <n v="21770"/>
      </sharedItems>
    </cacheField>
    <cacheField name="U$ FOB Und 1" numFmtId="164">
      <sharedItems containsSemiMixedTypes="0" containsString="0" containsNumber="1" minValue="0" maxValue="105.79600000000001"/>
    </cacheField>
    <cacheField name="U$ FOB Und 2" numFmtId="164">
      <sharedItems containsSemiMixedTypes="0" containsString="0" containsNumber="1" minValue="0" maxValue="3700"/>
    </cacheField>
    <cacheField name="Pais de Destino" numFmtId="0">
      <sharedItems count="9">
        <s v="ECUADOR"/>
        <s v="ESTADOS UNIDOS"/>
        <s v="ESPAÑA"/>
        <s v="ITALIA"/>
        <s v="REINO UNIDO"/>
        <s v="PANAMÁ"/>
        <s v="PAÍSES BAJOS"/>
        <s v="CHILE"/>
        <s v="SUIZA"/>
      </sharedItems>
    </cacheField>
    <cacheField name="Puerto de destino" numFmtId="0">
      <sharedItems/>
    </cacheField>
    <cacheField name="Último Puerto Embarque" numFmtId="0">
      <sharedItems/>
    </cacheField>
    <cacheField name="Via" numFmtId="0">
      <sharedItems/>
    </cacheField>
    <cacheField name="Agente Portuario" numFmtId="0">
      <sharedItems/>
    </cacheField>
    <cacheField name="Agente de Aduana" numFmtId="0">
      <sharedItems/>
    </cacheField>
    <cacheField name="Descripcion Comercial" numFmtId="0">
      <sharedItems count="177" longText="1">
        <s v="HABAS SECASEMBALAJE :  100 SACOSX 50 KILOS CADA SACOPARA SU COMERCIALIZACION HABAS SECASEMBALAJE :  100 SACOSX 50 KILOS CADA SACOPARA SU COMERCIALIZACION HABAS SECASEMBALAJE :  100 SACOSX 50 KILOS CADA SACOPARA SU COMERCIALIZACION HABAS SECASEMBALAJE :  100 SACOSX 50 KILOS CADA SACOPARA SU COMERCIALIZACION HABAS SECASEMBALAJE :  100 SACOSX 50 KILOS CADA SACOPARA SU COMERCIALIZACION"/>
        <s v="CHOCHOSEMBALAJE :  260 SACOSX 50 KILOS CADA SACOPARA SU COMERCIALIZACION CHOCHOSEMBALAJE :  260 SACOSX 50 KILOS CADA SACOPARA SU COMERCIALIZACION CHOCHOSEMBALAJE :  260 SACOSX 50 KILOS CADA SACOPARA SU COMERCIALIZACION CHOCHOSEMBALAJE :  260 SACOSX 50 KILOS CADA SACOPARA SU COMERCIALIZACION CHOCHOSEMBALAJE :  260 SACOSX 50 KILOS CADA SACOPARA SU COMERCIALIZACION"/>
        <s v="CHOCHOSEMBALAJE :  179 SACOSX 50 KILOS CADA SACOPARA SU COMERCIALIZACION CHOCHOSEMBALAJE :  179 SACOSX 50 KILOS CADA SACOPARA SU COMERCIALIZACION CHOCHOSEMBALAJE :  179 SACOSX 50 KILOS CADA SACOPARA SU COMERCIALIZACION CHOCHOSEMBALAJE :  179 SACOSX 50 KILOS CADA SACOPARA SU COMERCIALIZACION CHOCHOSEMBALAJE :  179 SACOSX 50 KILOS CADA SACOPARA SU COMERCIALIZACION"/>
        <s v="HABAS SECASEMBALAJE :  140 SACOSX 50 KILOS CADA SACOPARA SU COMERCIALIZACION HABAS SECASEMBALAJE :  140 SACOSX 50 KILOS CADA SACOPARA SU COMERCIALIZACION HABAS SECASEMBALAJE :  140 SACOSX 50 KILOS CADA SACOPARA SU COMERCIALIZACION HABAS SECASEMBALAJE :  140 SACOSX 50 KILOS CADA SACOPARA SU COMERCIALIZACION HABAS SECASEMBALAJE :  140 SACOSX 50 KILOS CADA SACOPARA SU COMERCIALIZACION"/>
        <s v="CHOCHOSEMBALAJE :  65 SACOSX 50 KILOS CADA SACOPARA SU COMERCIALIZACION CHOCHOSEMBALAJE :  65 SACOSX 50 KILOS CADA SACOPARA SU COMERCIALIZACION CHOCHOSEMBALAJE :  65 SACOSX 50 KILOS CADA SACOPARA SU COMERCIALIZACION CHOCHOSEMBALAJE :  65 SACOSX 50 KILOS CADA SACOPARA SU COMERCIALIZACION CHOCHOSEMBALAJE :  65 SACOSX 50 KILOS CADA SACOPARA SU COMERCIALIZACION"/>
        <s v="CHOCHOS VALLES ANDINOS EN CAJAS PARA CONSUMO HUMANO CHOCHOS VALLES ANDINOS EN CAJAS PARA CONSUMO HUMANO CHOCHOS VALLES ANDINOS EN CAJAS PARA CONSUMO HUMANO CHOCHOS VALLES ANDINOS EN CAJAS PARA CONSUMO HUMANO CHOCHOS VALLES ANDINOS EN CAJAS PARA CONSUMO HUMANO"/>
        <s v="CHOCHO / LUPINI BEANS 24 X 14OZ (397GR) IN EACH BOX MAMA TERE LOT CH030824MT CHOCHO / LUPINI BEANS 24 X 14OZ (397GR) IN EACH BOX MAMA TERE LOT CH030824MT CHOCHO / LUPINI BEANS 24 X 14OZ (397GR) IN EACH BOX MAMA TERE LOT CH030824MT CHOCHO / LUPINI BEANS 24 X 14OZ (397GR) IN EACH BOX MAMA TERE LOT CH030824MT CHOCHO / LUPINI BEANS 24 X 14OZ (397GR) IN EACH BOX MAMA TERE LOT CH030824MT"/>
        <s v="CHOCHOS / LUPINI BEANS 24/14OZ (397GR) MARCA: MAMA TERE LOT CH020924MT CHOCHOS / LUPINI BEANS 24/14OZ (397GR) MARCA: MAMA TERE LOT CH020924MT CHOCHOS / LUPINI BEANS 24/14OZ (397GR) MARCA: MAMA TERE LOT CH020924MT CHOCHOS / LUPINI BEANS 24/14OZ (397GR) MARCA: MAMA TERE LOT CH020924MT CHOCHOS / LUPINI BEANS 24/14OZ (397GR) MARCA: MAMA TERE LOT CH020924MT"/>
        <s v="CHOCHOS MAMA TERE 24/14OZ CHOCHOS MAMA TERE 24/14OZ CHOCHOS MAMA TERE 24/14OZ CHOCHOS MAMA TERE 24/14OZ CHOCHOS MAMA TERE 24/14OZ"/>
        <s v="TARWI EN SACOS PARA CONSUMO HUMANO TARWI EN SACOS PARA CONSUMO HUMANO TARWI EN SACOS PARA CONSUMO HUMANO TARWI EN SACOS PARA CONSUMO HUMANO TARWI EN SACOS PARA CONSUMO HUMANO"/>
        <s v="CHOCHOS MAMA TERE 24/14OZ (397GR) LOT CH082823MT CHOCHOS MAMA TERE 24/14OZ (397GR) LOT CH082823MT CHOCHOS MAMA TERE 24/14OZ (397GR) LOT CH082823MT CHOCHOS MAMA TERE 24/14OZ (397GR) LOT CH082823MT CHOCHOS MAMA TERE 24/14OZ (397GR) LOT CH082823MT"/>
        <s v="CHOCHO, MAMA TERE, S/M LUPINI BEANS  / CHOCHO  24 X 14OZ (397GR) IN EACH LUPINI BEANS  / CHOCHO  24 CHOCHO, MAMA TERE, S/M LUPINI BEANS  / CHOCHO  24 X 14OZ (397GR) IN EACH LUPINI BEANS  / CHOCHO  24 CHOCHO, MAMA TERE, S/M LUPINI BEANS  / CHOCHO  24 X 14OZ (397GR) IN EACH LUPINI BEANS  / CHOCHO  24 CHOCHO, MAMA TERE, S/M LUPINI BEANS  / CHOCHO  24 X 14OZ (397GR) IN EACH LUPINI BEANS  / CHOCHO  24 CHOCHO, MAMA TERE, S/M LUPINI BEANS  / CHOCHO  24 X 14OZ (397GR) IN EACH LUPINI BEANS  / CHOCHO  24"/>
        <s v="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 CHOCHO, MAMA TERE, S/M LUPINI BEANS / CHOCHO 24 X 14OZ (397GR) IN EACH BO LUPINI BEANS / CHOCHO 24 X"/>
        <s v="200 SACOS CONTENIENDO CHOCOS SECOSX50 KG C/SPARA SU COMERCIALIZACIÓN 200 SACOS CONTENIENDO CHOCOS SECOSX50 KG C/SPARA SU COMERCIALIZACIÓN 200 SACOS CONTENIENDO CHOCOS SECOSX50 KG C/SPARA SU COMERCIALIZACIÓN 200 SACOS CONTENIENDO CHOCOS SECOSX50 KG C/SPARA SU COMERCIALIZACIÓN 200 SACOS CONTENIENDO CHOCOS SECOSX50 KG C/SPARA SU COMERCIALIZACIÓN"/>
        <s v="CHOCHO 24 X 14OZ (397GR) LUPINI BEANS - MAMA TERE CHOCHO 24 X 14OZ (397GR) LUPINI BEANS - MAMA TERE CHOCHO 24 X 14OZ (397GR) LUPINI BEANS - MAMA TERE CHOCHO 24 X 14OZ (397GR) LUPINI BEANS - MAMA TERE CHOCHO 24 X 14OZ (397GR) LUPINI BEANS - MAMA TERE"/>
        <s v="CHOCHO ( 1 X 50 LB) EN CAJAS CHOCHO ( 1 X 50 LB) EN CAJAS CHOCHO ( 1 X 50 LB) EN CAJAS CHOCHO ( 1 X 50 LB) EN CAJAS CHOCHO ( 1 X 50 LB) EN CAJAS"/>
        <s v="CHOCHO 24 X 14OZ (397GR) IN LUPINI BEANS - MAMA TERE CHOCHO 24 X 14OZ (397GR) IN LUPINI BEANS - MAMA TERE CHOCHO 24 X 14OZ (397GR) IN LUPINI BEANS - MAMA TERE CHOCHO 24 X 14OZ (397GR) IN LUPINI BEANS - MAMA TERE CHOCHO 24 X 14OZ (397GR) IN LUPINI BEANS - MAMA TERE"/>
        <s v="200 SACOS CONTENIENDO CHOCHOS SECOSX50 KG C/SPARA SU COMERCIALIZACION 200 SACOS CONTENIENDO CHOCHOS SECOSX50 KG C/SPARA SU COMERCIALIZACION 200 SACOS CONTENIENDO CHOCHOS SECOSX50 KG C/SPARA SU COMERCIALIZACION 200 SACOS CONTENIENDO CHOCHOS SECOSX50 KG C/SPARA SU COMERCIALIZACION 200 SACOS CONTENIENDO CHOCHOS SECOSX50 KG C/SPARA SU COMERCIALIZACION"/>
        <s v="300 SACOS CONTENIENDO CHOCHOS SECOSX50 KG C/SPARA SU COMERCIALIZACION 300 SACOS CONTENIENDO CHOCHOS SECOSX50 KG C/SPARA SU COMERCIALIZACION 300 SACOS CONTENIENDO CHOCHOS SECOSX50 KG C/SPARA SU COMERCIALIZACION 300 SACOS CONTENIENDO CHOCHOS SECOSX50 KG C/SPARA SU COMERCIALIZACION 300 SACOS CONTENIENDO CHOCHOS SECOSX50 KG C/SPARA SU COMERCIALIZACION"/>
        <s v="CHOCOS SECOS X 50KG.C/SEMBALADOS EN 233  SACOSPARA SU COMERCIALIZACION CHOCOS SECOS X 50KG.C/SEMBALADOS EN 233  SACOSPARA SU COMERCIALIZACION CHOCOS SECOS X 50KG.C/SEMBALADOS EN 233  SACOSPARA SU COMERCIALIZACION CHOCOS SECOS X 50KG.C/SEMBALADOS EN 233  SACOSPARA SU COMERCIALIZACION CHOCOS SECOS X 50KG.C/SEMBALADOS EN 233  SACOSPARA SU COMERCIALIZACION"/>
        <s v="CHOCHO 24 X 14OZ (397GR) MAMA TERE CHOCHO 24 X 14OZ (397GR) MAMA TERE CHOCHO 24 X 14OZ (397GR) MAMA TERE CHOCHO 24 X 14OZ (397GR) MAMA TERE CHOCHO 24 X 14OZ (397GR) MAMA TERE"/>
        <s v="CHOCHO 24 X 14OZ (397GR) LUPINI BEANS CHOCHO 24 X 14OZ (397GR) LUPINI BEANS CHOCHO 24 X 14OZ (397GR) LUPINI BEANS CHOCHO 24 X 14OZ (397GR) LUPINI BEANS CHOCHO 24 X 14OZ (397GR) LUPINI BEANS"/>
        <s v="CHOCHO 24 X 14OZ (397GR) LUPINI BEANS  IN EACH BOX MAMA TERE CHOCHO 24 X 14OZ (397GR) LUPINI BEANS  IN EACH BOX MAMA TERE CHOCHO 24 X 14OZ (397GR) LUPINI BEANS  IN EACH BOX MAMA TERE CHOCHO 24 X 14OZ (397GR) LUPINI BEANS  IN EACH BOX MAMA TERE CHOCHO 24 X 14OZ (397GR) LUPINI BEANS  IN EACH BOX MAMA TERE"/>
        <s v="390 SACOS CONTENIENDO CHOCHOS SECOSX50 KG C/SPARA SU COMERCIALIZACION 390 SACOS CONTENIENDO CHOCHOS SECOSX50 KG C/SPARA SU COMERCIALIZACION 390 SACOS CONTENIENDO CHOCHOS SECOSX50 KG C/SPARA SU COMERCIALIZACION 390 SACOS CONTENIENDO CHOCHOS SECOSX50 KG C/SPARA SU COMERCIALIZACION 390 SACOS CONTENIENDO CHOCHOS SECOSX50 KG C/SPARA SU COMERCIALIZACION"/>
        <s v="CHOCOS SECOS X 50KG.C/SEMBALADOS EN 370  SACOSPARA SU COMERCIALIZACION CHOCOS SECOS X 50KG.C/SEMBALADOS EN 370  SACOSPARA SU COMERCIALIZACION CHOCOS SECOS X 50KG.C/SEMBALADOS EN 370  SACOSPARA SU COMERCIALIZACION CHOCOS SECOS X 50KG.C/SEMBALADOS EN 370  SACOSPARA SU COMERCIALIZACION CHOCOS SECOS X 50KG.C/SEMBALADOS EN 370  SACOSPARA SU COMERCIALIZACION"/>
        <s v="CHOCOS SECOS X 50KG.C/SEMBALADOS EN 115 SACOSPARA SU COMERCIALIZACION CHOCOS SECOS X 50KG.C/SEMBALADOS EN 115 SACOSPARA SU COMERCIALIZACION CHOCOS SECOS X 50KG.C/SEMBALADOS EN 115 SACOSPARA SU COMERCIALIZACION CHOCOS SECOS X 50KG.C/SEMBALADOS EN 115 SACOSPARA SU COMERCIALIZACION CHOCOS SECOS X 50KG.C/SEMBALADOS EN 115 SACOSPARA SU COMERCIALIZACION"/>
        <s v="500 SACOS CONTENIENDO CHOCHOS SECOSX50 KG C/SPARA SU COMERCIALIZACION 500 SACOS CONTENIENDO CHOCHOS SECOSX50 KG C/SPARA SU COMERCIALIZACION 500 SACOS CONTENIENDO CHOCHOS SECOSX50 KG C/SPARA SU COMERCIALIZACION 500 SACOS CONTENIENDO CHOCHOS SECOSX50 KG C/SPARA SU COMERCIALIZACION 500 SACOS CONTENIENDO CHOCHOS SECOSX50 KG C/SPARA SU COMERCIALIZACION"/>
        <s v="450 SACOS CONTENIENDO CHOCHOS SECOSX50 KG C/SPARA SU COMERCIALIZACION 450 SACOS CONTENIENDO CHOCHOS SECOSX50 KG C/SPARA SU COMERCIALIZACION 450 SACOS CONTENIENDO CHOCHOS SECOSX50 KG C/SPARA SU COMERCIALIZACION 450 SACOS CONTENIENDO CHOCHOS SECOSX50 KG C/SPARA SU COMERCIALIZACION 450 SACOS CONTENIENDO CHOCHOS SECOSX50 KG C/SPARA SU COMERCIALIZACION"/>
        <s v="100 SACOS CONTENIENDO CHOCHOS SECOSX50 KG C/SPARA SU COMERCIALIZACION 100 SACOS CONTENIENDO CHOCHOS SECOSX50 KG C/SPARA SU COMERCIALIZACION 100 SACOS CONTENIENDO CHOCHOS SECOSX50 KG C/SPARA SU COMERCIALIZACION 100 SACOS CONTENIENDO CHOCHOS SECOSX50 KG C/SPARA SU COMERCIALIZACION 100 SACOS CONTENIENDO CHOCHOS SECOSX50 KG C/SPARA SU COMERCIALIZACION"/>
        <s v="CHOCHO  24 X 14OZ (397GR) IN EACH BOX MAMA TERE USO: CONSUMO CHOCHO  24 X 14OZ (397GR) IN EACH BOX MAMA TERE USO: CONSUMO CHOCHO  24 X 14OZ (397GR) IN EACH BOX MAMA TERE USO: CONSUMO CHOCHO  24 X 14OZ (397GR) IN EACH BOX MAMA TERE USO: CONSUMO CHOCHO  24 X 14OZ (397GR) IN EACH BOX MAMA TERE USO: CONSUMO"/>
        <s v="CHOCHOS 24 X 500 GRS - NATIVO MARCA: NATIVO PARA CONSUMO HUMANO CHOCHOS 24 X 500 GRS - NATIVO MARCA: NATIVO PARA CONSUMO HUMANO CHOCHOS 24 X 500 GRS - NATIVO MARCA: NATIVO PARA CONSUMO HUMANO CHOCHOS 24 X 500 GRS - NATIVO MARCA: NATIVO PARA CONSUMO HUMANO CHOCHOS 24 X 500 GRS - NATIVO MARCA: NATIVO PARA CONSUMO HUMANO"/>
        <s v="CHOCHOS MARCA: NATIVO 24 X 500 GR PARA CONSUMO HUMANO CHOCHOS MARCA: NATIVO 24 X 500 GR PARA CONSUMO HUMANO CHOCHOS MARCA: NATIVO 24 X 500 GR PARA CONSUMO HUMANO CHOCHOS MARCA: NATIVO 24 X 500 GR PARA CONSUMO HUMANO CHOCHOS MARCA: NATIVO 24 X 500 GR PARA CONSUMO HUMANO"/>
        <s v="130 SACOS CONTENIENDO CHOCHOS SECOSX50 KG C/SPARA SU COMERCIALIZACION 130 SACOS CONTENIENDO CHOCHOS SECOSX50 KG C/SPARA SU COMERCIALIZACION 130 SACOS CONTENIENDO CHOCHOS SECOSX50 KG C/SPARA SU COMERCIALIZACION 130 SACOS CONTENIENDO CHOCHOS SECOSX50 KG C/SPARA SU COMERCIALIZACION 130 SACOS CONTENIENDO CHOCHOS SECOSX50 KG C/SPARA SU COMERCIALIZACION"/>
        <s v="CHOCOS SECOS X 50KG.C/SEMBALADOS EN 260 SACOSPARA SU COMERCIALIZACION CHOCOS SECOS X 50KG.C/SEMBALADOS EN 260 SACOSPARA SU COMERCIALIZACION CHOCOS SECOS X 50KG.C/SEMBALADOS EN 260 SACOSPARA SU COMERCIALIZACION CHOCOS SECOS X 50KG.C/SEMBALADOS EN 260 SACOSPARA SU COMERCIALIZACION CHOCOS SECOS X 50KG.C/SEMBALADOS EN 260 SACOSPARA SU COMERCIALIZACION"/>
        <s v="CHOCHOS SECOS X 50 KG, C/SACOEMBALADOS EN 100 SACOSPARA SU COMERCIALIZACION CHOCHOS SECOS X 50 KG, C/SACOEMBALADOS EN 100 SACOSPARA SU COMERCIALIZACION CHOCHOS SECOS X 50 KG, C/SACOEMBALADOS EN 100 SACOSPARA SU COMERCIALIZACION CHOCHOS SECOS X 50 KG, C/SACOEMBALADOS EN 100 SACOSPARA SU COMERCIALIZACION CHOCHOS SECOS X 50 KG, C/SACOEMBALADOS EN 100 SACOSPARA SU COMERCIALIZACION"/>
        <s v="150 SACOS CONTENIENDO CHOCHOS SECOSX50 KG C/SPARA SU COMERCIALIZACION 150 SACOS CONTENIENDO CHOCHOS SECOSX50 KG C/SPARA SU COMERCIALIZACION 150 SACOS CONTENIENDO CHOCHOS SECOSX50 KG C/SPARA SU COMERCIALIZACION 150 SACOS CONTENIENDO CHOCHOS SECOSX50 KG C/SPARA SU COMERCIALIZACION 150 SACOS CONTENIENDO CHOCHOS SECOSX50 KG C/SPARA SU COMERCIALIZACION"/>
        <s v="CHOCHOS SECOS X 50 KG, C/SACOEMBALADOS EN 360 SACOSPARA SU COMERCIALIZACION CHOCHOS SECOS X 50 KG, C/SACOEMBALADOS EN 360 SACOSPARA SU COMERCIALIZACION CHOCHOS SECOS X 50 KG, C/SACOEMBALADOS EN 360 SACOSPARA SU COMERCIALIZACION CHOCHOS SECOS X 50 KG, C/SACOEMBALADOS EN 360 SACOSPARA SU COMERCIALIZACION CHOCHOS SECOS X 50 KG, C/SACOEMBALADOS EN 360 SACOSPARA SU COMERCIALIZACION"/>
        <s v="570 SACOS CONTENIENDO CHOCHOS SECOSX50 KG C/SPARA SU COMERCIALIZACION 570 SACOS CONTENIENDO CHOCHOS SECOSX50 KG C/SPARA SU COMERCIALIZACION 570 SACOS CONTENIENDO CHOCHOS SECOSX50 KG C/SPARA SU COMERCIALIZACION 570 SACOS CONTENIENDO CHOCHOS SECOSX50 KG C/SPARA SU COMERCIALIZACION 570 SACOS CONTENIENDO CHOCHOS SECOSX50 KG C/SPARA SU COMERCIALIZACION"/>
        <s v="CHOCHOS SECOS X 50 KG, C/SACOEMBALADOS EN 235 SACOSPARA SU COMERCIALIZACION CHOCHOS SECOS X 50 KG, C/SACOEMBALADOS EN 235 SACOSPARA SU COMERCIALIZACION CHOCHOS SECOS X 50 KG, C/SACOEMBALADOS EN 235 SACOSPARA SU COMERCIALIZACION CHOCHOS SECOS X 50 KG, C/SACOEMBALADOS EN 235 SACOSPARA SU COMERCIALIZACION CHOCHOS SECOS X 50 KG, C/SACOEMBALADOS EN 235 SACOSPARA SU COMERCIALIZACION"/>
        <s v="800 SACOS CONTENIENDO CHOCHOS SECOSX50 KG C/SPARA SU COMERCIALIZACION 800 SACOS CONTENIENDO CHOCHOS SECOSX50 KG C/SPARA SU COMERCIALIZACION 800 SACOS CONTENIENDO CHOCHOS SECOSX50 KG C/SPARA SU COMERCIALIZACION 800 SACOS CONTENIENDO CHOCHOS SECOSX50 KG C/SPARA SU COMERCIALIZACION 800 SACOS CONTENIENDO CHOCHOS SECOSX50 KG C/SPARA SU COMERCIALIZACION"/>
        <s v="FRIJOL BLANCO FRIJOL BLANCO FRIJOL BLANCO FRIJOL BLANCO FRIJOL BLANCO"/>
        <s v="FREJOL CHOCHO EN 80 SACOS X 25 KG C/U PARA CONSUMO HUMANO FREJOL CHOCHO EN 80 SACOS X 25 KG C/U PARA CONSUMO HUMANO FREJOL CHOCHO EN 80 SACOS X 25 KG C/U PARA CONSUMO HUMANO FREJOL CHOCHO EN 80 SACOS X 25 KG C/U PARA CONSUMO HUMANO FREJOL CHOCHO EN 80 SACOS X 25 KG C/U PARA CONSUMO HUMANO"/>
        <s v="705 SACOS CONTENIENDO CHOCHOS SECOSX50 KG C/SPARA SU COMERCIALIZACION 705 SACOS CONTENIENDO CHOCHOS SECOSX50 KG C/SPARA SU COMERCIALIZACION 705 SACOS CONTENIENDO CHOCHOS SECOSX50 KG C/SPARA SU COMERCIALIZACION 705 SACOS CONTENIENDO CHOCHOS SECOSX50 KG C/SPARA SU COMERCIALIZACION 705 SACOS CONTENIENDO CHOCHOS SECOSX50 KG C/SPARA SU COMERCIALIZACION"/>
        <s v="CHOCHOS SECOS X 50 KG, C/SACOEMBALADOS EN 340 SACOSPARA SU COMERCIALIZACION CHOCHOS SECOS X 50 KG, C/SACOEMBALADOS EN 340 SACOSPARA SU COMERCIALIZACION CHOCHOS SECOS X 50 KG, C/SACOEMBALADOS EN 340 SACOSPARA SU COMERCIALIZACION CHOCHOS SECOS X 50 KG, C/SACOEMBALADOS EN 340 SACOSPARA SU COMERCIALIZACION CHOCHOS SECOS X 50 KG, C/SACOEMBALADOS EN 340 SACOSPARA SU COMERCIALIZACION"/>
        <s v="550 SACOS CONTENIENDO CHOCHOS SECOSX50 KG C/SPARA SU COMERCIALIZACION 550 SACOS CONTENIENDO CHOCHOS SECOSX50 KG C/SPARA SU COMERCIALIZACION 550 SACOS CONTENIENDO CHOCHOS SECOSX50 KG C/SPARA SU COMERCIALIZACION 550 SACOS CONTENIENDO CHOCHOS SECOSX50 KG C/SPARA SU COMERCIALIZACION 550 SACOS CONTENIENDO CHOCHOS SECOSX50 KG C/SPARA SU COMERCIALIZACION"/>
        <s v="700 SACOS CONTENIENDO CHOCHOS SECOSX50 KG C/SPARA SU COMERCIALIZACION 700 SACOS CONTENIENDO CHOCHOS SECOSX50 KG C/SPARA SU COMERCIALIZACION 700 SACOS CONTENIENDO CHOCHOS SECOSX50 KG C/SPARA SU COMERCIALIZACION 700 SACOS CONTENIENDO CHOCHOS SECOSX50 KG C/SPARA SU COMERCIALIZACION 700 SACOS CONTENIENDO CHOCHOS SECOSX50 KG C/SPARA SU COMERCIALIZACION"/>
        <s v="CHOCHOS SECOS X 50 KG, C/SACOEMBALADOS EN 620 SACOSPARA SU COMERCIALIZACION CHOCHOS SECOS X 50 KG, C/SACOEMBALADOS EN 620 SACOSPARA SU COMERCIALIZACION CHOCHOS SECOS X 50 KG, C/SACOEMBALADOS EN 620 SACOSPARA SU COMERCIALIZACION CHOCHOS SECOS X 50 KG, C/SACOEMBALADOS EN 620 SACOSPARA SU COMERCIALIZACION CHOCHOS SECOS X 50 KG, C/SACOEMBALADOS EN 620 SACOSPARA SU COMERCIALIZACION"/>
        <s v="CHOCHOS SECOS X 50 KG, C/SACOEMBALADOS EN 200 SACOSPARA SU COMERCIALIZACION CHOCHOS SECOS X 50 KG, C/SACOEMBALADOS EN 200 SACOSPARA SU COMERCIALIZACION CHOCHOS SECOS X 50 KG, C/SACOEMBALADOS EN 200 SACOSPARA SU COMERCIALIZACION CHOCHOS SECOS X 50 KG, C/SACOEMBALADOS EN 200 SACOSPARA SU COMERCIALIZACION CHOCHOS SECOS X 50 KG, C/SACOEMBALADOS EN 200 SACOSPARA SU COMERCIALIZACION"/>
        <s v="600 SACOS CONTENIENDO CHOCHOS SECOSX50 KG C/SPARA SU COMERCIALIZACION 600 SACOS CONTENIENDO CHOCHOS SECOSX50 KG C/SPARA SU COMERCIALIZACION 600 SACOS CONTENIENDO CHOCHOS SECOSX50 KG C/SPARA SU COMERCIALIZACION 600 SACOS CONTENIENDO CHOCHOS SECOSX50 KG C/SPARA SU COMERCIALIZACION 600 SACOS CONTENIENDO CHOCHOS SECOSX50 KG C/SPARA SU COMERCIALIZACION"/>
        <s v="330 SACOS CONTENIENDO CHOCHOS SECOSX50 KG C/SPARA SU COMERCIALIZACION 330 SACOS CONTENIENDO CHOCHOS SECOSX50 KG C/SPARA SU COMERCIALIZACION 330 SACOS CONTENIENDO CHOCHOS SECOSX50 KG C/SPARA SU COMERCIALIZACION 330 SACOS CONTENIENDO CHOCHOS SECOSX50 KG C/SPARA SU COMERCIALIZACION 330 SACOS CONTENIENDO CHOCHOS SECOSX50 KG C/SPARA SU COMERCIALIZACION"/>
        <s v="CHOCHOS SECOS X 50 KG, C/SACOEMBALADOS EN 220 SACOSPARA SU COMERCIALIZACION CHOCHOS SECOS X 50 KG, C/SACOEMBALADOS EN 220 SACOSPARA SU COMERCIALIZACION CHOCHOS SECOS X 50 KG, C/SACOEMBALADOS EN 220 SACOSPARA SU COMERCIALIZACION CHOCHOS SECOS X 50 KG, C/SACOEMBALADOS EN 220 SACOSPARA SU COMERCIALIZACION CHOCHOS SECOS X 50 KG, C/SACOEMBALADOS EN 220 SACOSPARA SU COMERCIALIZACION"/>
        <s v="CHOCHO (1 BLS X 10 KG) EN CAJAS PARA CONSUMO HUMANO CHOCHO (1 BLS X 10 KG) EN CAJAS PARA CONSUMO HUMANO CHOCHO (1 BLS X 10 KG) EN CAJAS PARA CONSUMO HUMANO CHOCHO (1 BLS X 10 KG) EN CAJAS PARA CONSUMO HUMANO CHOCHO (1 BLS X 10 KG) EN CAJAS PARA CONSUMO HUMANO"/>
        <s v="FREJOL CHOCHO (TARWI) EN SACOS DRAWBACK FREJOL CHOCHO (TARWI) EN SACOS DRAWBACK FREJOL CHOCHO (TARWI) EN SACOS DRAWBACK FREJOL CHOCHO (TARWI) EN SACOS DRAWBACK FREJOL CHOCHO (TARWI) EN SACOS DRAWBACK"/>
        <s v="CHOCHOS VALLES ANDINOS EN CAJAS CHOCHOS VALLES ANDINOS EN CAJAS CHOCHOS VALLES ANDINOS EN CAJAS CHOCHOS VALLES ANDINOS EN CAJAS CHOCHOS VALLES ANDINOS EN CAJAS"/>
        <s v="CHOCHOSEMBALAJE : 120 SACOSX 50 KG CADA SACOPARA SU COMERCIALIZACION CHOCHOSEMBALAJE : 120 SACOSX 50 KG CADA SACOPARA SU COMERCIALIZACION CHOCHOSEMBALAJE : 120 SACOSX 50 KG CADA SACOPARA SU COMERCIALIZACION CHOCHOSEMBALAJE : 120 SACOSX 50 KG CADA SACOPARA SU COMERCIALIZACION CHOCHOSEMBALAJE : 120 SACOSX 50 KG CADA SACOPARA SU COMERCIALIZACION"/>
        <s v="FRIJOL CHOCHO FRIJOL CHOCHO FRIJOL CHOCHO FRIJOL CHOCHO FRIJOL CHOCHO"/>
        <s v="170 SACOS CONTENIENDO CHOCHOS SECOSX50 KG C/SPARA SU COMERCIALIZACION 170 SACOS CONTENIENDO CHOCHOS SECOSX50 KG C/SPARA SU COMERCIALIZACION 170 SACOS CONTENIENDO CHOCHOS SECOSX50 KG C/SPARA SU COMERCIALIZACION 170 SACOS CONTENIENDO CHOCHOS SECOSX50 KG C/SPARA SU COMERCIALIZACION 170 SACOS CONTENIENDO CHOCHOS SECOSX50 KG C/SPARA SU COMERCIALIZACION"/>
        <s v="120 SACOS CONTENIENDO CHOCHOS SECOSX50 KG C/SPARA SU COMERCIALIZACION 120 SACOS CONTENIENDO CHOCHOS SECOSX50 KG C/SPARA SU COMERCIALIZACION 120 SACOS CONTENIENDO CHOCHOS SECOSX50 KG C/SPARA SU COMERCIALIZACION 120 SACOS CONTENIENDO CHOCHOS SECOSX50 KG C/SPARA SU COMERCIALIZACION 120 SACOS CONTENIENDO CHOCHOS SECOSX50 KG C/SPARA SU COMERCIALIZACION"/>
        <s v="CHOCHOS SECOS X 50 KG, C/SACOEMBALADOS EN 325 SACOSPARA SU COMERCIALIZACION CHOCHOS SECOS X 50 KG, C/SACOEMBALADOS EN 325 SACOSPARA SU COMERCIALIZACION CHOCHOS SECOS X 50 KG, C/SACOEMBALADOS EN 325 SACOSPARA SU COMERCIALIZACION CHOCHOS SECOS X 50 KG, C/SACOEMBALADOS EN 325 SACOSPARA SU COMERCIALIZACION CHOCHOS SECOS X 50 KG, C/SACOEMBALADOS EN 325 SACOSPARA SU COMERCIALIZACION"/>
        <s v="CHOCHOS SECOS X 50 KG, C/SACOEMBALADOS EN 50 SACOSPARA SU COMERCIALIZACION CHOCHOS SECOS X 50 KG, C/SACOEMBALADOS EN 50 SACOSPARA SU COMERCIALIZACION CHOCHOS SECOS X 50 KG, C/SACOEMBALADOS EN 50 SACOSPARA SU COMERCIALIZACION CHOCHOS SECOS X 50 KG, C/SACOEMBALADOS EN 50 SACOSPARA SU COMERCIALIZACION CHOCHOS SECOS X 50 KG, C/SACOEMBALADOS EN 50 SACOSPARA SU COMERCIALIZACION"/>
        <s v="52 SACOS CONTENIENDO CHOCHOS SECOSX50 KG C/SPARA SU COMERCIALIZACIÓN 52 SACOS CONTENIENDO CHOCHOS SECOSX50 KG C/SPARA SU COMERCIALIZACIÓN 52 SACOS CONTENIENDO CHOCHOS SECOSX50 KG C/SPARA SU COMERCIALIZACIÓN 52 SACOS CONTENIENDO CHOCHOS SECOSX50 KG C/SPARA SU COMERCIALIZACIÓN 52 SACOS CONTENIENDO CHOCHOS SECOSX50 KG C/SPARA SU COMERCIALIZACIÓN"/>
        <s v="CHOCHOS SECOS X 50 KG, C/SACOEMBALADOS EN 60 SACOSPARA SU COMERCIALIZACION CHOCHOS SECOS X 50 KG, C/SACOEMBALADOS EN 60 SACOSPARA SU COMERCIALIZACION CHOCHOS SECOS X 50 KG, C/SACOEMBALADOS EN 60 SACOSPARA SU COMERCIALIZACION CHOCHOS SECOS X 50 KG, C/SACOEMBALADOS EN 60 SACOSPARA SU COMERCIALIZACION CHOCHOS SECOS X 50 KG, C/SACOEMBALADOS EN 60 SACOSPARA SU COMERCIALIZACION"/>
        <s v="CHOCHO 24 X 500 GRS NATIVO PARA CONSUMO HUMANO CHOCHO 24 X 500 GRS NATIVO PARA CONSUMO HUMANO CHOCHO 24 X 500 GRS NATIVO PARA CONSUMO HUMANO CHOCHO 24 X 500 GRS NATIVO PARA CONSUMO HUMANO CHOCHO 24 X 500 GRS NATIVO PARA CONSUMO HUMANO"/>
        <s v="CHOCHOS 24 X 500 GRS NATIVO PARA CONSUMO HUMANO CHOCHOS 24 X 500 GRS NATIVO PARA CONSUMO HUMANO CHOCHOS 24 X 500 GRS NATIVO PARA CONSUMO HUMANO CHOCHOS 24 X 500 GRS NATIVO PARA CONSUMO HUMANO CHOCHOS 24 X 500 GRS NATIVO PARA CONSUMO HUMANO"/>
        <s v="CHOCHOS SECOS X 50 KG, C/SACOEMBALADOS EN 230 SACOSPARA SU COMERCIALIZACION CHOCHOS SECOS X 50 KG, C/SACOEMBALADOS EN 230 SACOSPARA SU COMERCIALIZACION CHOCHOS SECOS X 50 KG, C/SACOEMBALADOS EN 230 SACOSPARA SU COMERCIALIZACION CHOCHOS SECOS X 50 KG, C/SACOEMBALADOS EN 230 SACOSPARA SU COMERCIALIZACION CHOCHOS SECOS X 50 KG, C/SACOEMBALADOS EN 230 SACOSPARA SU COMERCIALIZACION"/>
        <s v="CHOCHOS SECOS X 50 KG, C/SACOEMBALADOS EN 320 SACOSPARA SU COMERCIALIZACION CHOCHOS SECOS X 50 KG, C/SACOEMBALADOS EN 320 SACOSPARA SU COMERCIALIZACION CHOCHOS SECOS X 50 KG, C/SACOEMBALADOS EN 320 SACOSPARA SU COMERCIALIZACION CHOCHOS SECOS X 50 KG, C/SACOEMBALADOS EN 320 SACOSPARA SU COMERCIALIZACION CHOCHOS SECOS X 50 KG, C/SACOEMBALADOS EN 320 SACOSPARA SU COMERCIALIZACION"/>
        <s v="CHOCHO LA FAVORITA 20 X 500 G CHOCHO LA FAVORITA 20 X 500 G CHOCHO LA FAVORITA 20 X 500 G CHOCHO LA FAVORITA 20 X 500 G CHOCHO LA FAVORITA 20 X 500 G"/>
        <s v="CHOCHOS SECOS X 50 KG C/SUSO: COMERCIALIZACION CHOCHOS SECOS X 50 KG C/SUSO: COMERCIALIZACION CHOCHOS SECOS X 50 KG C/SUSO: COMERCIALIZACION CHOCHOS SECOS X 50 KG C/SUSO: COMERCIALIZACION CHOCHOS SECOS X 50 KG C/SUSO: COMERCIALIZACION"/>
        <s v="CHOCHOS SECOS X 50 KG, C/SACOEMBALADOS EN 150 SACOSPARA SU COMERCIALIZACION CHOCHOS SECOS X 50 KG, C/SACOEMBALADOS EN 150 SACOSPARA SU COMERCIALIZACION CHOCHOS SECOS X 50 KG, C/SACOEMBALADOS EN 150 SACOSPARA SU COMERCIALIZACION CHOCHOS SECOS X 50 KG, C/SACOEMBALADOS EN 150 SACOSPARA SU COMERCIALIZACION CHOCHOS SECOS X 50 KG, C/SACOEMBALADOS EN 150 SACOSPARA SU COMERCIALIZACION"/>
        <s v="CHOCHOS SECOS X 50 KG, C/SACOEMBALADOS EN 270 SACOSPARA SU COMERCIALIZACION CHOCHOS SECOS X 50 KG, C/SACOEMBALADOS EN 270 SACOSPARA SU COMERCIALIZACION CHOCHOS SECOS X 50 KG, C/SACOEMBALADOS EN 270 SACOSPARA SU COMERCIALIZACION CHOCHOS SECOS X 50 KG, C/SACOEMBALADOS EN 270 SACOSPARA SU COMERCIALIZACION CHOCHOS SECOS X 50 KG, C/SACOEMBALADOS EN 270 SACOSPARA SU COMERCIALIZACION"/>
        <s v="CHOCHOS VALLES ANDINOS CHOCHOS VALLES ANDINOS CHOCHOS VALLES ANDINOS CHOCHOS VALLES ANDINOS CHOCHOS VALLES ANDINOS"/>
        <s v="CHOCHOS SECOS CHOCHOS SECOS CHOCHOS SECOS CHOCHOS SECOS CHOCHOS SECOS"/>
        <s v="CHOCHOS SECOS X 50KG C/S. CHOCHOS SECOS X 50KG C/S. CHOCHOS SECOS X 50KG C/S. CHOCHOS SECOS X 50KG C/S. CHOCHOS SECOS X 50KG C/S."/>
        <s v="CHOCHOS SECOS X 50 KG, C/SACOEMBALADOS EN 180 SACOSPARA SU COMERCIALIZACION CHOCHOS SECOS X 50 KG, C/SACOEMBALADOS EN 180 SACOSPARA SU COMERCIALIZACION CHOCHOS SECOS X 50 KG, C/SACOEMBALADOS EN 180 SACOSPARA SU COMERCIALIZACION CHOCHOS SECOS X 50 KG, C/SACOEMBALADOS EN 180 SACOSPARA SU COMERCIALIZACION CHOCHOS SECOS X 50 KG, C/SACOEMBALADOS EN 180 SACOSPARA SU COMERCIALIZACION"/>
        <s v="CHOCHOS SECOS X 50 KG, C/SACOEMBALADOS EN 310 SACOSPARA SU COMERCIALIZACION CHOCHOS SECOS X 50 KG, C/SACOEMBALADOS EN 310 SACOSPARA SU COMERCIALIZACION CHOCHOS SECOS X 50 KG, C/SACOEMBALADOS EN 310 SACOSPARA SU COMERCIALIZACION CHOCHOS SECOS X 50 KG, C/SACOEMBALADOS EN 310 SACOSPARA SU COMERCIALIZACION CHOCHOS SECOS X 50 KG, C/SACOEMBALADOS EN 310 SACOSPARA SU COMERCIALIZACION"/>
        <s v="CHOCHOS SECOS X 50 KG, C/SACOEMBALADOS EN 430 SACOSPARA SU COMERCIALIZACION CHOCHOS SECOS X 50 KG, C/SACOEMBALADOS EN 430 SACOSPARA SU COMERCIALIZACION CHOCHOS SECOS X 50 KG, C/SACOEMBALADOS EN 430 SACOSPARA SU COMERCIALIZACION CHOCHOS SECOS X 50 KG, C/SACOEMBALADOS EN 430 SACOSPARA SU COMERCIALIZACION CHOCHOS SECOS X 50 KG, C/SACOEMBALADOS EN 430 SACOSPARA SU COMERCIALIZACION"/>
        <s v="CHOCHOS SECOS X 50 KG, C/SACOEMBALADOS EN 305 SACOSPARA SU COMERCIALIZACION CHOCHOS SECOS X 50 KG, C/SACOEMBALADOS EN 305 SACOSPARA SU COMERCIALIZACION CHOCHOS SECOS X 50 KG, C/SACOEMBALADOS EN 305 SACOSPARA SU COMERCIALIZACION CHOCHOS SECOS X 50 KG, C/SACOEMBALADOS EN 305 SACOSPARA SU COMERCIALIZACION CHOCHOS SECOS X 50 KG, C/SACOEMBALADOS EN 305 SACOSPARA SU COMERCIALIZACION"/>
        <s v="CHOCHO (  18 BLS X 14 OZ) CHOCHO ( 18 BAGS X 14 OZ) CHOCHO (  18 BLS X 14 OZ) CHOCHO ( 18 BAGS X 14 OZ) CHOCHO (  18 BLS X 14 OZ) CHOCHO ( 18 BAGS X 14 OZ) CHOCHO (  18 BLS X 14 OZ) CHOCHO ( 18 BAGS X 14 OZ) CHOCHO (  18 BLS X 14 OZ) CHOCHO ( 18 BAGS X 14 OZ)"/>
        <s v="CHOCHOS SECOS X 50 KG, C/SACOEMBALADOS EN 192 SACOSPARA SU COMERCIALIZACION CHOCHOS SECOS X 50 KG, C/SACOEMBALADOS EN 192 SACOSPARA SU COMERCIALIZACION CHOCHOS SECOS X 50 KG, C/SACOEMBALADOS EN 192 SACOSPARA SU COMERCIALIZACION CHOCHOS SECOS X 50 KG, C/SACOEMBALADOS EN 192 SACOSPARA SU COMERCIALIZACION CHOCHOS SECOS X 50 KG, C/SACOEMBALADOS EN 192 SACOSPARA SU COMERCIALIZACION"/>
        <s v="CHOCHOS SECOS X 50 KG, C/SACOEMBALADOS EN 249 SACOSPARA SU COMERCIALIZACION CHOCHOS SECOS X 50 KG, C/SACOEMBALADOS EN 249 SACOSPARA SU COMERCIALIZACION CHOCHOS SECOS X 50 KG, C/SACOEMBALADOS EN 249 SACOSPARA SU COMERCIALIZACION CHOCHOS SECOS X 50 KG, C/SACOEMBALADOS EN 249 SACOSPARA SU COMERCIALIZACION CHOCHOS SECOS X 50 KG, C/SACOEMBALADOS EN 249 SACOSPARA SU COMERCIALIZACION"/>
        <s v="CHOCHOS SECOS X 50 KG, C/SACOEMBALADOS EN 120 SACOSPARA SU COMERCIALIZACION CHOCHOS SECOS X 50 KG, C/SACOEMBALADOS EN 120 SACOSPARA SU COMERCIALIZACION CHOCHOS SECOS X 50 KG, C/SACOEMBALADOS EN 120 SACOSPARA SU COMERCIALIZACION CHOCHOS SECOS X 50 KG, C/SACOEMBALADOS EN 120 SACOSPARA SU COMERCIALIZACION CHOCHOS SECOS X 50 KG, C/SACOEMBALADOS EN 120 SACOSPARA SU COMERCIALIZACION"/>
        <s v="CHOCHOS SECOS X 50 KG, C/SACOEMBALADOS EN SACOSPARA SU COMERCIALIZACION CHOCHOS SECOS X 50 KG, C/SACOEMBALADOS EN SACOSPARA SU COMERCIALIZACION CHOCHOS SECOS X 50 KG, C/SACOEMBALADOS EN SACOSPARA SU COMERCIALIZACION CHOCHOS SECOS X 50 KG, C/SACOEMBALADOS EN SACOSPARA SU COMERCIALIZACION CHOCHOS SECOS X 50 KG, C/SACOEMBALADOS EN SACOSPARA SU COMERCIALIZACION"/>
        <s v="CHOCHO (1 SACO X 50 LB) EN CAJAS PARA CONSUMO HUMANO CHOCHO (1 SACO X 50 LB) EN CAJAS PARA CONSUMO HUMANO CHOCHO (1 SACO X 50 LB) EN CAJAS PARA CONSUMO HUMANO CHOCHO (1 SACO X 50 LB) EN CAJAS PARA CONSUMO HUMANO CHOCHO (1 SACO X 50 LB) EN CAJAS PARA CONSUMO HUMANO"/>
        <s v="HABAS SECA X 500GR X 14GR HABAS SECA X 500GR X 14GR HABAS SECA X 500GR X 14GR HABAS SECA X 500GR X 14GR HABAS SECA X 500GR X 14GR"/>
        <s v="CHOCHOS 24 X 500 GRS EL SABOR DE CASA PARA CONSUMO HUMANO CHOCHOS 24 X 500 GRS EL SABOR DE CASA PARA CONSUMO HUMANO CHOCHOS 24 X 500 GRS EL SABOR DE CASA PARA CONSUMO HUMANO CHOCHOS 24 X 500 GRS EL SABOR DE CASA PARA CONSUMO HUMANO CHOCHOS 24 X 500 GRS EL SABOR DE CASA PARA CONSUMO HUMANO"/>
        <s v="CHOCHO ( 18 BAGS X 14 OZ) EN CAJAS PARA CONSUMO HUMANO CHOCHO ( 18 BAGS X 14 OZ) EN CAJAS PARA CONSUMO HUMANO CHOCHO ( 18 BAGS X 14 OZ) EN CAJAS PARA CONSUMO HUMANO CHOCHO ( 18 BAGS X 14 OZ) EN CAJAS PARA CONSUMO HUMANO CHOCHO ( 18 BAGS X 14 OZ) EN CAJAS PARA CONSUMO HUMANO"/>
        <s v="CHOCHOSEN SACOS X 50 KGCHOCHOS SECOSPARA SU COMERCIALIZACION CHOCHOSEN SACOS X 50 KGCHOCHOS SECOSPARA SU COMERCIALIZACION CHOCHOSEN SACOS X 50 KGCHOCHOS SECOSPARA SU COMERCIALIZACION CHOCHOSEN SACOS X 50 KGCHOCHOS SECOSPARA SU COMERCIALIZACION CHOCHOSEN SACOS X 50 KGCHOCHOS SECOSPARA SU COMERCIALIZACION"/>
        <s v="CHOCHOS BOLSA 500 GR. 18 BOLSAS X CAJA CHOCHOS BOLSA 500 GR. 18 BOLSAS X CAJA CHOCHOS BOLSA 500 GR. 18 BOLSAS X CAJA CHOCHOS BOLSA 500 GR. 18 BOLSAS X CAJA CHOCHOS BOLSA 500 GR. 18 BOLSAS X CAJA"/>
        <s v="CHOCHOS BOLSA 500 GR. 4 BOLSAS X CAJA CHOCHOS BOLSA 500 GR. 4 BOLSAS X CAJA CHOCHOS BOLSA 500 GR. 4 BOLSAS X CAJA CHOCHOS BOLSA 500 GR. 4 BOLSAS X CAJA CHOCHOS BOLSA 500 GR. 4 BOLSAS X CAJA"/>
        <s v="CHOCHO (18 BLS X 14 OZ) EN CAJAS CHOCHO (18 BLS X 14 OZ) EN CAJAS CHOCHO (18 BLS X 14 OZ) EN CAJAS CHOCHO (18 BLS X 14 OZ) EN CAJAS CHOCHO (18 BLS X 14 OZ) EN CAJAS"/>
        <s v="CHOCHOSEN SACOS X 45 KGCHOCHOS SECOSPARA SU COMERCIALIZACION CHOCHOSEN SACOS X 45 KGCHOCHOS SECOSPARA SU COMERCIALIZACION CHOCHOSEN SACOS X 45 KGCHOCHOS SECOSPARA SU COMERCIALIZACION CHOCHOSEN SACOS X 45 KGCHOCHOS SECOSPARA SU COMERCIALIZACION CHOCHOSEN SACOS X 45 KGCHOCHOS SECOSPARA SU COMERCIALIZACION"/>
        <s v="CHOCHOS POR 45 KGRSEN SACOS X 45 KGCHOCHOS SECOSPARA SU COMERCIALIZACION CHOCHOS POR 45 KGRSEN SACOS X 45 KGCHOCHOS SECOSPARA SU COMERCIALIZACION CHOCHOS POR 45 KGRSEN SACOS X 45 KGCHOCHOS SECOSPARA SU COMERCIALIZACION CHOCHOS POR 45 KGRSEN SACOS X 45 KGCHOCHOS SECOSPARA SU COMERCIALIZACION CHOCHOS POR 45 KGRSEN SACOS X 45 KGCHOCHOS SECOSPARA SU COMERCIALIZACION"/>
        <s v="CHOCHO ( 1 SACO X 50 LB) EN SACOS PARA CONSUMO HUMANO CHOCHO ( 1 SACO X 50 LB) EN SACOS PARA CONSUMO HUMANO CHOCHO ( 1 SACO X 50 LB) EN SACOS PARA CONSUMO HUMANO CHOCHO ( 1 SACO X 50 LB) EN SACOS PARA CONSUMO HUMANO CHOCHO ( 1 SACO X 50 LB) EN SACOS PARA CONSUMO HUMANO"/>
        <s v="PAPA SECA X 15 OZEN CAJAS DE 24 BOLSASPARA CONSUMO HUMANOCODIGO Nº13 RESTITUCION DE DERECHOS ARANCEL PAPA SECA X 15 OZEN CAJAS DE 24 BOLSASPARA CONSUMO HUMANOCODIGO Nº13 RESTITUCION DE DERECHOS ARANCEL PAPA SECA X 15 OZEN CAJAS DE 24 BOLSASPARA CONSUMO HUMANOCODIGO Nº13 RESTITUCION DE DERECHOS ARANCEL PAPA SECA X 15 OZEN CAJAS DE 24 BOLSASPARA CONSUMO HUMANOCODIGO Nº13 RESTITUCION DE DERECHOS ARANCEL PAPA SECA X 15 OZEN CAJAS DE 24 BOLSASPARA CONSUMO HUMANOCODIGO Nº13 RESTITUCION DE DERECHOS ARANCEL"/>
        <s v="CHOCHO ( 1 SACO X 50 LB) CHOCHO ( 1 SACK X 50 LB) CHOCHO ( 1 SACO X 50 LB) CHOCHO ( 1 SACK X 50 LB) CHOCHO ( 1 SACO X 50 LB) CHOCHO ( 1 SACK X 50 LB) CHOCHO ( 1 SACO X 50 LB) CHOCHO ( 1 SACK X 50 LB) CHOCHO ( 1 SACO X 50 LB) CHOCHO ( 1 SACK X 50 LB)"/>
        <s v="CHOCHO SIN MARCA CHOCHO SIN MARCA CHOCHO SIN MARCA CHOCHO SIN MARCA CHOCHO SIN MARCA"/>
        <s v="CHOCHO 500 GR X 18 BOLSAS X CAJA CONSUMO HUMANO CHOCHO 500 GR X 18 BOLSAS X CAJA CONSUMO HUMANO CHOCHO 500 GR X 18 BOLSAS X CAJA CONSUMO HUMANO CHOCHO 500 GR X 18 BOLSAS X CAJA CONSUMO HUMANO CHOCHO 500 GR X 18 BOLSAS X CAJA CONSUMO HUMANO"/>
        <s v="CHOCHO ( 18 BLS X 14 OZ) CHOCHO ( 18 BAGS X 14 OZ) CHOCHO ( 18 BLS X 14 OZ) CHOCHO ( 18 BAGS X 14 OZ) CHOCHO ( 18 BLS X 14 OZ) CHOCHO ( 18 BAGS X 14 OZ) CHOCHO ( 18 BLS X 14 OZ) CHOCHO ( 18 BAGS X 14 OZ) CHOCHO ( 18 BLS X 14 OZ) CHOCHO ( 18 BAGS X 14 OZ)"/>
        <s v="CHOCHO (18 BLS X 14 OZ) CHOCHO (18 BAGS X 14 OZ ) CHOCHO (18 BLS X 14 OZ) CHOCHO (18 BAGS X 14 OZ ) CHOCHO (18 BLS X 14 OZ) CHOCHO (18 BAGS X 14 OZ ) CHOCHO (18 BLS X 14 OZ) CHOCHO (18 BAGS X 14 OZ ) CHOCHO (18 BLS X 14 OZ) CHOCHO (18 BAGS X 14 OZ )"/>
        <s v="CHOCHO 15 OZ. 426 GR X 40 UNITS. EN CAJAS CHOCHO 15 OZ. 426 GR X 40 UNITS. EN CAJAS CHOCHO 15 OZ. 426 GR X 40 UNITS. EN CAJAS CHOCHO 15 OZ. 426 GR X 40 UNITS. EN CAJAS CHOCHO 15 OZ. 426 GR X 40 UNITS. EN CAJAS"/>
        <s v="BOWL DE PROTEÍNAS GARBANZO, FARRO Y LENTEJAS BOWL DE PROTEÍNAS GARBANZO, FARRO Y LENTEJAS BOWL DE PROTEÍNAS GARBANZO, FARRO Y LENTEJAS BOWL DE PROTEÍNAS GARBANZO, FARRO Y LENTEJAS BOWL DE PROTEÍNAS GARBANZO, FARRO Y LENTEJAS"/>
        <s v="CHOCHOSEMBALAJE : 300 SACOSX 50 KG CADA SACOPARA SU COMERCIALIZACION CHOCHOSEMBALAJE : 300 SACOSX 50 KG CADA SACOPARA SU COMERCIALIZACION CHOCHOSEMBALAJE : 300 SACOSX 50 KG CADA SACOPARA SU COMERCIALIZACION CHOCHOSEMBALAJE : 300 SACOSX 50 KG CADA SACOPARA SU COMERCIALIZACION CHOCHOSEMBALAJE : 300 SACOSX 50 KG CADA SACOPARA SU COMERCIALIZACION"/>
        <s v="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 FREJOL TARWI EN GRANO SECOEN SACOS X 25 KG C/UCODIGO Nº13 RESTITUCION DE DERECHOS ARANCELARIOS"/>
        <s v="359 SACOS CONTENIENDO CHOCHOS SECOSX50 KG C/SPARA SU COMERCIALIZACION 359 SACOS CONTENIENDO CHOCHOS SECOSX50 KG C/SPARA SU COMERCIALIZACION 359 SACOS CONTENIENDO CHOCHOS SECOSX50 KG C/SPARA SU COMERCIALIZACION 359 SACOS CONTENIENDO CHOCHOS SECOSX50 KG C/SPARA SU COMERCIALIZACION 359 SACOS CONTENIENDO CHOCHOS SECOSX50 KG C/SPARA SU COMERCIALIZACION"/>
        <s v="CHOCHOSEMBALAJE : 100 SACOSX 50 KG CADA SACOPARA SU COMERCIALIZACION CHOCHOSEMBALAJE : 100 SACOSX 50 KG CADA SACOPARA SU COMERCIALIZACION CHOCHOSEMBALAJE : 100 SACOSX 50 KG CADA SACOPARA SU COMERCIALIZACION CHOCHOSEMBALAJE : 100 SACOSX 50 KG CADA SACOPARA SU COMERCIALIZACION CHOCHOSEMBALAJE : 100 SACOSX 50 KG CADA SACOPARA SU COMERCIALIZACION"/>
        <s v="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 CHOCHO O TARWI CLASIFICADOPESO NETO 11050 KG - PESO BRUTO: 11100 KGSACOS: 221 X 50 KG C/UUSO/APLICAC"/>
        <s v="TAMARINDOEMBALAJE : 70 SACOSX 50 KG CADA SACOPARA SU COMERCIALIZACION TAMARINDOEMBALAJE : 70 SACOSX 50 KG CADA SACOPARA SU COMERCIALIZACION TAMARINDOEMBALAJE : 70 SACOSX 50 KG CADA SACOPARA SU COMERCIALIZACION TAMARINDOEMBALAJE : 70 SACOSX 50 KG CADA SACOPARA SU COMERCIALIZACION TAMARINDOEMBALAJE : 70 SACOSX 50 KG CADA SACOPARA SU COMERCIALIZACION"/>
        <s v="CHOCHOSEMBALAJE : 75 SACOSX 50 KG CADA SACOPARA SU COMERCIALIZACION CHOCHOSEMBALAJE : 75 SACOSX 50 KG CADA SACOPARA SU COMERCIALIZACION CHOCHOSEMBALAJE : 75 SACOSX 50 KG CADA SACOPARA SU COMERCIALIZACION CHOCHOSEMBALAJE : 75 SACOSX 50 KG CADA SACOPARA SU COMERCIALIZACION CHOCHOSEMBALAJE : 75 SACOSX 50 KG CADA SACOPARA SU COMERCIALIZACION"/>
        <s v="TARHUI EN SACOS X 25 KG DRAWBACK TARHUI EN SACOS X 25 KG DRAWBACK TARHUI EN SACOS X 25 KG DRAWBACK TARHUI EN SACOS X 25 KG DRAWBACK TARHUI EN SACOS X 25 KG DRAWBACK"/>
        <s v="CHOCHO ( 1SACO X 50LB) CHOCHO (1SACK X 50LB) CHOCHO ( 1SACO X 50LB) CHOCHO (1SACK X 50LB) CHOCHO ( 1SACO X 50LB) CHOCHO (1SACK X 50LB) CHOCHO ( 1SACO X 50LB) CHOCHO (1SACK X 50LB) CHOCHO ( 1SACO X 50LB) CHOCHO (1SACK X 50LB)"/>
        <s v="CHOCHOSEMBALAJE . 75 SACOSX 50 KILOS CADA SACOPARA SU COMERCIALIZACION CHOCHOSEMBALAJE . 75 SACOSX 50 KILOS CADA SACOPARA SU COMERCIALIZACION CHOCHOSEMBALAJE . 75 SACOSX 50 KILOS CADA SACOPARA SU COMERCIALIZACION CHOCHOSEMBALAJE . 75 SACOSX 50 KILOS CADA SACOPARA SU COMERCIALIZACION CHOCHOSEMBALAJE . 75 SACOSX 50 KILOS CADA SACOPARA SU COMERCIALIZACION"/>
        <s v="CHOCHOSEMBALAJE : 190 SACOSX 50 KG CADA SACOPARA SU COMERCIALIZACION CHOCHOSEMBALAJE : 190 SACOSX 50 KG CADA SACOPARA SU COMERCIALIZACION CHOCHOSEMBALAJE : 190 SACOSX 50 KG CADA SACOPARA SU COMERCIALIZACION CHOCHOSEMBALAJE : 190 SACOSX 50 KG CADA SACOPARA SU COMERCIALIZACION CHOCHOSEMBALAJE : 190 SACOSX 50 KG CADA SACOPARA SU COMERCIALIZACION"/>
        <s v="CHOCHOSEMBALAJE : 86 SACOSX 50 KILOS CADA SACOPARA SU COMERCIALIZACION CHOCHOSEMBALAJE : 86 SACOSX 50 KILOS CADA SACOPARA SU COMERCIALIZACION CHOCHOSEMBALAJE : 86 SACOSX 50 KILOS CADA SACOPARA SU COMERCIALIZACION CHOCHOSEMBALAJE : 86 SACOSX 50 KILOS CADA SACOPARA SU COMERCIALIZACION CHOCHOSEMBALAJE : 86 SACOSX 50 KILOS CADA SACOPARA SU COMERCIALIZACION"/>
        <s v="HABAS FRITAS FRESCO HABAS FRITAS FRESCO HABAS FRITAS FRESCO HABAS FRITAS FRESCO HABAS FRITAS FRESCO"/>
        <s v="CHOCHO (18 BLS X 14 OZ) EN CAJAS PARA CONSUMO HUMANO CHOCHO (18 BLS X 14 OZ) EN CAJAS PARA CONSUMO HUMANO CHOCHO (18 BLS X 14 OZ) EN CAJAS PARA CONSUMO HUMANO CHOCHO (18 BLS X 14 OZ) EN CAJAS PARA CONSUMO HUMANO CHOCHO (18 BLS X 14 OZ) EN CAJAS PARA CONSUMO HUMANO"/>
        <s v="HABAS FRITAS HABAS FRITAS HABAS FRITAS HABAS FRITAS HABAS FRITAS"/>
        <s v="CHOCHOSEMBALAJE :  200 SACOSX 50 KILOS CADA SACOPARA SU COMERCIALIZACION CHOCHOSEMBALAJE :  200 SACOSX 50 KILOS CADA SACOPARA SU COMERCIALIZACION CHOCHOSEMBALAJE :  200 SACOSX 50 KILOS CADA SACOPARA SU COMERCIALIZACION CHOCHOSEMBALAJE :  200 SACOSX 50 KILOS CADA SACOPARA SU COMERCIALIZACION CHOCHOSEMBALAJE :  200 SACOSX 50 KILOS CADA SACOPARA SU COMERCIALIZACION"/>
        <s v="CHOCHO SECOSSACOS X 25 KGCONSUMO HUMANOCODIGO Nº13 RESTITUCION DE DERECHOS ARANCELARIOS CHOCHO SECOSSACOS X 25 KGCONSUMO HUMANOCODIGO Nº13 RESTITUCION DE DERECHOS ARANCELARIOS CHOCHO SECOSSACOS X 25 KGCONSUMO HUMANOCODIGO Nº13 RESTITUCION DE DERECHOS ARANCELARIOS CHOCHO SECOSSACOS X 25 KGCONSUMO HUMANOCODIGO Nº13 RESTITUCION DE DERECHOS ARANCELARIOS CHOCHO SECOSSACOS X 25 KGCONSUMO HUMANOCODIGO Nº13 RESTITUCION DE DERECHOS ARANCELARIOS"/>
        <s v="CHOCHOS SECOSSACOS X 25 KG  C/UCONSUMO HUMANOCODIGO Nº13 RESTITUCION DE DERECHOS ARANCELARIOS CHOCHOS SECOSSACOS X 25 KG  C/UCONSUMO HUMANOCODIGO Nº13 RESTITUCION DE DERECHOS ARANCELARIOS CHOCHOS SECOSSACOS X 25 KG  C/UCONSUMO HUMANOCODIGO Nº13 RESTITUCION DE DERECHOS ARANCELARIOS CHOCHOS SECOSSACOS X 25 KG  C/UCONSUMO HUMANOCODIGO Nº13 RESTITUCION DE DERECHOS ARANCELARIOS CHOCHOS SECOSSACOS X 25 KG  C/UCONSUMO HUMANOCODIGO Nº13 RESTITUCION DE DERECHOS ARANCELARIOS"/>
        <s v="CHOCHOS SECOS (24 X 14 OZ)CAJAS  X 9.528 KGCODIGO Nº13 RESTITUCION DE DERECHOS ARANCELARIOS CHOCHOS SECOS (24 X 14 OZ)CAJAS  X 9.528 KGCODIGO Nº13 RESTITUCION DE DERECHOS ARANCELARIOS CHOCHOS SECOS (24 X 14 OZ)CAJAS  X 9.528 KGCODIGO Nº13 RESTITUCION DE DERECHOS ARANCELARIOS CHOCHOS SECOS (24 X 14 OZ)CAJAS  X 9.528 KGCODIGO Nº13 RESTITUCION DE DERECHOS ARANCELARIOS CHOCHOS SECOS (24 X 14 OZ)CAJAS  X 9.528 KGCODIGO Nº13 RESTITUCION DE DERECHOS ARANCELARIOS"/>
        <s v="CHOCHOS SECOSSACOS X 25 KGCONSUMO HUMANOCODIGO Nº13 RESTITUCION DE DERECHOS ARANCELARIOS CHOCHOS SECOSSACOS X 25 KGCONSUMO HUMANOCODIGO Nº13 RESTITUCION DE DERECHOS ARANCELARIOS CHOCHOS SECOSSACOS X 25 KGCONSUMO HUMANOCODIGO Nº13 RESTITUCION DE DERECHOS ARANCELARIOS CHOCHOS SECOSSACOS X 25 KGCONSUMO HUMANOCODIGO Nº13 RESTITUCION DE DERECHOS ARANCELARIOS CHOCHOS SECOSSACOS X 25 KGCONSUMO HUMANOCODIGO Nº13 RESTITUCION DE DERECHOS ARANCELARIOS"/>
        <s v="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 CHOCHOS SECOS (24X500 GR)CAJAS X 12 KG C/UCONSUMO HUMANOCODIGO Nº13 RESTITUCION DE DERECHOS ARANCELA"/>
        <s v="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 CHOCHOS SECOS ( 24 X 14 OZ)CAJAS X 9.528 KGCONSUMO HUMANOCODIGO Nº13 RESTITUCION DE DERECHOS ARANCEL"/>
        <s v="TARWI EN SACOS DE 25 KG TARWI EN SACOS DE 25 KG TARWI EN SACOS DE 25 KG TARWI EN SACOS DE 25 KG TARWI EN SACOS DE 25 KG"/>
        <s v="CHOCHOS SECOSACOS X 25 KGCODIGO Nº13 RESTITUCION DE DERECHOS ARANCELARIOS CHOCHOS SECOSACOS X 25 KGCODIGO Nº13 RESTITUCION DE DERECHOS ARANCELARIOS CHOCHOS SECOSACOS X 25 KGCODIGO Nº13 RESTITUCION DE DERECHOS ARANCELARIOS CHOCHOS SECOSACOS X 25 KGCODIGO Nº13 RESTITUCION DE DERECHOS ARANCELARIOS CHOCHOS SECOSACOS X 25 KGCODIGO Nº13 RESTITUCION DE DERECHOS ARANCELARIOS"/>
        <s v="MAIZ CANCHA ( 1 X 50 LBS)SACOS X 22.727 KGCODIGO Nº13 RESTITUCION DE DERECHOS ARANCELARIOS MAIZ CANCHA ( 1 X 50 LBS)SACOS X 22.727 KGCODIGO Nº13 RESTITUCION DE DERECHOS ARANCELARIOS MAIZ CANCHA ( 1 X 50 LBS)SACOS X 22.727 KGCODIGO Nº13 RESTITUCION DE DERECHOS ARANCELARIOS MAIZ CANCHA ( 1 X 50 LBS)SACOS X 22.727 KGCODIGO Nº13 RESTITUCION DE DERECHOS ARANCELARIOS MAIZ CANCHA ( 1 X 50 LBS)SACOS X 22.727 KGCODIGO Nº13 RESTITUCION DE DERECHOS ARANCELARIOS"/>
        <s v="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 CHOCHOS SECOS ( 24 X 14 OZ)CAJAS X 9.528 KGCONSUMO  HUMANOCODIGO Nº13 RESTITUCION DE DERECHOS ARANCE"/>
        <s v="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 CHOCHOS SECOS (24X14 OZ)CAJAS X 9.528 KGCONSUMO HUMANOCODIGO Nº13 RESTITUCION DE DERECHOS ARANCELARI"/>
        <s v="CHOCHO SECOSSACOS DE 25 KGCONSUMO HUMANOCODIGO Nº13 RESTITUCION DE DERECHOS ARANCELARIOS CHOCHO SECOSSACOS DE 25 KGCONSUMO HUMANOCODIGO Nº13 RESTITUCION DE DERECHOS ARANCELARIOS CHOCHO SECOSSACOS DE 25 KGCONSUMO HUMANOCODIGO Nº13 RESTITUCION DE DERECHOS ARANCELARIOS CHOCHO SECOSSACOS DE 25 KGCONSUMO HUMANOCODIGO Nº13 RESTITUCION DE DERECHOS ARANCELARIOS CHOCHO SECOSSACOS DE 25 KGCONSUMO HUMANOCODIGO Nº13 RESTITUCION DE DERECHOS ARANCELARIOS"/>
        <s v="CHOCHOS SECOSCAJAS X 25 KGCONSUMO HUMANOCODIGO Nº13 RESTITUCION DE DERECHOS ARANCELARIOS CHOCHOS SECOSCAJAS X 25 KGCONSUMO HUMANOCODIGO Nº13 RESTITUCION DE DERECHOS ARANCELARIOS CHOCHOS SECOSCAJAS X 25 KGCONSUMO HUMANOCODIGO Nº13 RESTITUCION DE DERECHOS ARANCELARIOS CHOCHOS SECOSCAJAS X 25 KGCONSUMO HUMANOCODIGO Nº13 RESTITUCION DE DERECHOS ARANCELARIOS CHOCHOS SECOSCAJAS X 25 KGCONSUMO HUMANOCODIGO Nº13 RESTITUCION DE DERECHOS ARANCELARIOS"/>
        <s v="CHOCHOS SECOS (24 X 500 GR)CONSUMO HUMANOCODIGO Nº13 RESTITUCION DE DERECHOS ARANCELARIOS CHOCHOS SECOS (24 X 500 GR)CONSUMO HUMANOCODIGO Nº13 RESTITUCION DE DERECHOS ARANCELARIOS CHOCHOS SECOS (24 X 500 GR)CONSUMO HUMANOCODIGO Nº13 RESTITUCION DE DERECHOS ARANCELARIOS CHOCHOS SECOS (24 X 500 GR)CONSUMO HUMANOCODIGO Nº13 RESTITUCION DE DERECHOS ARANCELARIOS CHOCHOS SECOS (24 X 500 GR)CONSUMO HUMANOCODIGO Nº13 RESTITUCION DE DERECHOS ARANCELARIOS"/>
        <s v="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 CHOCHOS SECOSCAJAS X 9.528 KG(24 BOLSAS X 14 OZ)CONSUMO HUMANOCODIGO Nº13 RESTITUCION DE DERECHOS AR"/>
        <s v="CHOCHOS SECOS(24 X 14 OZ)CONSUMO HUMANOCODIGO Nº13 RESTITUCION DE DERECHOS ARANCELARIOS CHOCHOS SECOS(24 X 14 OZ)CONSUMO HUMANOCODIGO Nº13 RESTITUCION DE DERECHOS ARANCELARIOS CHOCHOS SECOS(24 X 14 OZ)CONSUMO HUMANOCODIGO Nº13 RESTITUCION DE DERECHOS ARANCELARIOS CHOCHOS SECOS(24 X 14 OZ)CONSUMO HUMANOCODIGO Nº13 RESTITUCION DE DERECHOS ARANCELARIOS CHOCHOS SECOS(24 X 14 OZ)CONSUMO HUMANOCODIGO Nº13 RESTITUCION DE DERECHOS ARANCELARIOS"/>
        <s v="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 CHOCHOS SECOS ( 24 X 500 GR)CAJAS X 12 KGSCONSUMO HUMANOCODIGO Nº13 RESTITUCION DE DERECHOS ARANCELA"/>
        <s v="CHOCHOS SECOSSACOS X 25 KGCODIGO Nº13 RESTITUCION DE DERECHOS ARANCELARIOS CHOCHOS SECOSSACOS X 25 KGCODIGO Nº13 RESTITUCION DE DERECHOS ARANCELARIOS CHOCHOS SECOSSACOS X 25 KGCODIGO Nº13 RESTITUCION DE DERECHOS ARANCELARIOS CHOCHOS SECOSSACOS X 25 KGCODIGO Nº13 RESTITUCION DE DERECHOS ARANCELARIOS CHOCHOS SECOSSACOS X 25 KGCODIGO Nº13 RESTITUCION DE DERECHOS ARANCELARIOS"/>
        <s v="CHOCHOS SECOSCAJAS X 12 KGCODIGO Nº13 RESTITUCION DE DERECHOS ARANCELARIOS CHOCHOS SECOSCAJAS X 12 KGCODIGO Nº13 RESTITUCION DE DERECHOS ARANCELARIOS CHOCHOS SECOSCAJAS X 12 KGCODIGO Nº13 RESTITUCION DE DERECHOS ARANCELARIOS CHOCHOS SECOSCAJAS X 12 KGCODIGO Nº13 RESTITUCION DE DERECHOS ARANCELARIOS CHOCHOS SECOSCAJAS X 12 KGCODIGO Nº13 RESTITUCION DE DERECHOS ARANCELARIOS"/>
        <s v="CHOCHOS SECOSCAJAS (24 X 14 OZ)CODIGO Nº13 RESTITUCION DE DERECHOS ARANCELARIOS CHOCHOS SECOSCAJAS (24 X 14 OZ)CODIGO Nº13 RESTITUCION DE DERECHOS ARANCELARIOS CHOCHOS SECOSCAJAS (24 X 14 OZ)CODIGO Nº13 RESTITUCION DE DERECHOS ARANCELARIOS CHOCHOS SECOSCAJAS (24 X 14 OZ)CODIGO Nº13 RESTITUCION DE DERECHOS ARANCELARIOS CHOCHOS SECOSCAJAS (24 X 14 OZ)CODIGO Nº13 RESTITUCION DE DERECHOS ARANCELARIOS"/>
        <s v="CHOCHOS SECOS ( 24 X 14 OZ) CHOCHOS SECOS ( 24 X 14 OZ) CHOCHOS SECOS ( 24 X 14 OZ) CHOCHOS SECOS ( 24 X 14 OZ) CHOCHOS SECOS ( 24 X 14 OZ)"/>
        <s v="TARWI PRESENTACION: SACO  X  20  KILOS USO: CONSUMO HUMANO TARWI PRESENTACION: SACO  X  20  KILOS USO: CONSUMO HUMANO TARWI PRESENTACION: SACO  X  20  KILOS USO: CONSUMO HUMANO TARWI PRESENTACION: SACO  X  20  KILOS USO: CONSUMO HUMANO TARWI PRESENTACION: SACO  X  20  KILOS USO: CONSUMO HUMANO"/>
        <s v="TARWI PRESENTACION: CAJA X 24 BOLSAS / 500 GR USO: CONSUMO HUMANO TARWI PRESENTACION: CAJA X 24 BOLSAS / 500 GR USO: CONSUMO HUMANO TARWI PRESENTACION: CAJA X 24 BOLSAS / 500 GR USO: CONSUMO HUMANO TARWI PRESENTACION: CAJA X 24 BOLSAS / 500 GR USO: CONSUMO HUMANO TARWI PRESENTACION: CAJA X 24 BOLSAS / 500 GR USO: CONSUMO HUMANO"/>
        <s v="TARWI PRESENTACION: CAJA X 14 KILOS USO: CONSUMO HUMANO TARWI PRESENTACION: CAJA X 14 KILOS USO: CONSUMO HUMANO TARWI PRESENTACION: CAJA X 14 KILOS USO: CONSUMO HUMANO TARWI PRESENTACION: CAJA X 14 KILOS USO: CONSUMO HUMANO TARWI PRESENTACION: CAJA X 14 KILOS USO: CONSUMO HUMANO"/>
        <s v="HABAS DE ALTRAMUZ ORGANICA REGENERATIVA REGENERATIVE ORGANIC LUPINI BEANS, 50LB LOT CODE: PER2214109 HABAS DE ALTRAMUZ ORGANICA REGENERATIVA REGENERATIVE ORGANIC LUPINI BEANS, 50LB LOT CODE: PER2214109 HABAS DE ALTRAMUZ ORGANICA REGENERATIVA REGENERATIVE ORGANIC LUPINI BEANS, 50LB LOT CODE: PER2214109 HABAS DE ALTRAMUZ ORGANICA REGENERATIVA REGENERATIVE ORGANIC LUPINI BEANS, 50LB LOT CODE: PER2214109 HABAS DE ALTRAMUZ ORGANICA REGENERATIVA REGENERATIVE ORGANIC LUPINI BEANS, 50LB LOT CODE: PER2214109"/>
        <s v="HABAS DE ALTRAMUZ ORGANICAS BOLSAS DE 50 LB LOT CODE: PE240408913 CONSUMO HUMANO HABAS DE ALTRAMUZ ORGANICAS BOLSAS DE 50 LB LOT CODE: PE240408913 CONSUMO HUMANO HABAS DE ALTRAMUZ ORGANICAS BOLSAS DE 50 LB LOT CODE: PE240408913 CONSUMO HUMANO HABAS DE ALTRAMUZ ORGANICAS BOLSAS DE 50 LB LOT CODE: PE240408913 CONSUMO HUMANO HABAS DE ALTRAMUZ ORGANICAS BOLSAS DE 50 LB LOT CODE: PE240408913 CONSUMO HUMANO"/>
        <s v="HABAS DE ALTRAMUZ ORGANICAS BOLSAS DE 50 LB LOT CODE: PE330409612 CONSUMO HUMANO HABAS DE ALTRAMUZ ORGANICAS BOLSAS DE 50 LB LOT CODE: PE330409612 CONSUMO HUMANO HABAS DE ALTRAMUZ ORGANICAS BOLSAS DE 50 LB LOT CODE: PE330409612 CONSUMO HUMANO HABAS DE ALTRAMUZ ORGANICAS BOLSAS DE 50 LB LOT CODE: PE330409612 CONSUMO HUMANO HABAS DE ALTRAMUZ ORGANICAS BOLSAS DE 50 LB LOT CODE: PE330409612 CONSUMO HUMANO"/>
        <s v="FRIJOLES LUPINI EN BOLSAS DE 50 LB. LOTE CODE: PE240408912 CONSUMO HUMANO FRIJOLES LUPINI EN BOLSAS DE 50 LB. LOTE CODE: PE240408912 CONSUMO HUMANO FRIJOLES LUPINI EN BOLSAS DE 50 LB. LOTE CODE: PE240408912 CONSUMO HUMANO FRIJOLES LUPINI EN BOLSAS DE 50 LB. LOTE CODE: PE240408912 CONSUMO HUMANO FRIJOLES LUPINI EN BOLSAS DE 50 LB. LOTE CODE: PE240408912 CONSUMO HUMANO"/>
        <s v="HABAS FRESCO HABAS FRESCO HABAS FRESCO HABAS FRESCO HABAS FRESCO"/>
        <s v="MENESTRA - CARAPULCRA MENESTRA - CARAPULCRA MENESTRA - CARAPULCRA MENESTRA - CARAPULCRA MENESTRA - CARAPULCRA"/>
        <s v="GANDUL 24 bolsas X 500 GR COEXITO PARA CONSUMO HUMANO GANDUL 24 bolsas X 500 GR COEXITO PARA CONSUMO HUMANO GANDUL 24 bolsas X 500 GR COEXITO PARA CONSUMO HUMANO GANDUL 24 bolsas X 500 GR COEXITO PARA CONSUMO HUMANO GANDUL 24 bolsas X 500 GR COEXITO PARA CONSUMO HUMANO"/>
        <s v="PALLARES 500 GCODIGO Nº13 RESTITUCION DE DERECHOS ARANCELARIOS PALLARES 500 GCODIGO Nº13 RESTITUCION DE DERECHOS ARANCELARIOS PALLARES 500 GCODIGO Nº13 RESTITUCION DE DERECHOS ARANCELARIOS PALLARES 500 GCODIGO Nº13 RESTITUCION DE DERECHOS ARANCELARIOS PALLARES 500 GCODIGO Nº13 RESTITUCION DE DERECHOS ARANCELARIOS"/>
        <s v="CHOCHOSEMBALAJE : 60 SACOSX 50 KG CADA SACOPARA SU COMERCIALIZACION CHOCHOSEMBALAJE : 60 SACOSX 50 KG CADA SACOPARA SU COMERCIALIZACION CHOCHOSEMBALAJE : 60 SACOSX 50 KG CADA SACOPARA SU COMERCIALIZACION CHOCHOSEMBALAJE : 60 SACOSX 50 KG CADA SACOPARA SU COMERCIALIZACION CHOCHOSEMBALAJE : 60 SACOSX 50 KG CADA SACOPARA SU COMERCIALIZACION"/>
        <s v="CHOCHOS X 50 KG C/S EMBALADO EN SACOS CHOCHOS X 50 KG C/S EMBALADO EN SACOS CHOCHOS X 50 KG C/S EMBALADO EN SACOS CHOCHOS X 50 KG C/S EMBALADO EN SACOS CHOCHOS X 50 KG C/S EMBALADO EN SACOS"/>
        <s v="CHOCHOSEMBALAJE : 80 SACOSX 50 KG CADA SACOPARA SU COMERCIALIZACION CHOCHOSEMBALAJE : 80 SACOSX 50 KG CADA SACOPARA SU COMERCIALIZACION CHOCHOSEMBALAJE : 80 SACOSX 50 KG CADA SACOPARA SU COMERCIALIZACION CHOCHOSEMBALAJE : 80 SACOSX 50 KG CADA SACOPARA SU COMERCIALIZACION CHOCHOSEMBALAJE : 80 SACOSX 50 KG CADA SACOPARA SU COMERCIALIZACION"/>
        <s v="CHOCHOSEMBALAJE : 50 SACOSX 50 KG CADA SACOPARA SU COMERCIALIZACION CHOCHOSEMBALAJE : 50 SACOSX 50 KG CADA SACOPARA SU COMERCIALIZACION CHOCHOSEMBALAJE : 50 SACOSX 50 KG CADA SACOPARA SU COMERCIALIZACION CHOCHOSEMBALAJE : 50 SACOSX 50 KG CADA SACOPARA SU COMERCIALIZACION CHOCHOSEMBALAJE : 50 SACOSX 50 KG CADA SACOPARA SU COMERCIALIZACION"/>
        <s v="CHOCHOSEMBALAJE: 65 SACOSX 50 KG CADA SACOPARA SU COMERCIALIZACION CHOCHOSEMBALAJE: 65 SACOSX 50 KG CADA SACOPARA SU COMERCIALIZACION CHOCHOSEMBALAJE: 65 SACOSX 50 KG CADA SACOPARA SU COMERCIALIZACION CHOCHOSEMBALAJE: 65 SACOSX 50 KG CADA SACOPARA SU COMERCIALIZACION CHOCHOSEMBALAJE: 65 SACOSX 50 KG CADA SACOPARA SU COMERCIALIZACION"/>
        <s v="NOVAL PALLAR 500 GCODIGO Nº13 RESTITUCION DE DERECHOS ARANCELARIOS NOVAL PALLAR 500 GCODIGO Nº13 RESTITUCION DE DERECHOS ARANCELARIOS NOVAL PALLAR 500 GCODIGO Nº13 RESTITUCION DE DERECHOS ARANCELARIOS NOVAL PALLAR 500 GCODIGO Nº13 RESTITUCION DE DERECHOS ARANCELARIOS NOVAL PALLAR 500 GCODIGO Nº13 RESTITUCION DE DERECHOS ARANCELARIOS"/>
        <s v="CHOCHOS SECOSEMBALAJE: 480 SACOSX 50 KG CADA SACOPARA SU COMERCIALIZACION CHOCHOS SECOSEMBALAJE: 480 SACOSX 50 KG CADA SACOPARA SU COMERCIALIZACION CHOCHOS SECOSEMBALAJE: 480 SACOSX 50 KG CADA SACOPARA SU COMERCIALIZACION CHOCHOS SECOSEMBALAJE: 480 SACOSX 50 KG CADA SACOPARA SU COMERCIALIZACION CHOCHOS SECOSEMBALAJE: 480 SACOSX 50 KG CADA SACOPARA SU COMERCIALIZACION"/>
        <s v="POROTO NEGRO TAUSY EN CONSERVA X 250 GR POROTO NEGRO TAUSY EN CONSERVA X 250 GR POROTO NEGRO TAUSY EN CONSERVA X 250 GR POROTO NEGRO TAUSY EN CONSERVA X 250 GR POROTO NEGRO TAUSY EN CONSERVA X 250 GR"/>
        <s v="NOVAL PALLARES 500 GCODIGO Nº13 RESTITUCION DE DERECHOS ARANCELARIOS NOVAL PALLARES 500 GCODIGO Nº13 RESTITUCION DE DERECHOS ARANCELARIOS NOVAL PALLARES 500 GCODIGO Nº13 RESTITUCION DE DERECHOS ARANCELARIOS NOVAL PALLARES 500 GCODIGO Nº13 RESTITUCION DE DERECHOS ARANCELARIOS NOVAL PALLARES 500 GCODIGO Nº13 RESTITUCION DE DERECHOS ARANCELARIOS"/>
        <s v="HABAS FRITAS (768 UNID 50 GR C/U) HABAS FRITAS (768 UNID 50 GR C/U) HABAS FRITAS (768 UNID 50 GR C/U) HABAS FRITAS (768 UNID 50 GR C/U) HABAS FRITAS (768 UNID 50 GR C/U)"/>
        <s v="CHOCHOS SACOS X 25 KG CHOCHOS SACOS X 25 KG CHOCHOS SACOS X 25 KG CHOCHOS SACOS X 25 KG CHOCHOS SACOS X 25 KG"/>
        <s v="CHOCHOS,SACOS X 25 KG CHOCHOS,SACOS X 25 KG CHOCHOS,SACOS X 25 KG CHOCHOS,SACOS X 25 KG CHOCHOS,SACOS X 25 KG"/>
        <s v="FRIJOL CHOCHOS SECO SACOS X 25 KG PARA CONSUMO HUMANO FRIJOL CHOCHOS SECO SACOS X 25 KG PARA CONSUMO HUMANO FRIJOL CHOCHOS SECO SACOS X 25 KG PARA CONSUMO HUMANO FRIJOL CHOCHOS SECO SACOS X 25 KG PARA CONSUMO HUMANO FRIJOL CHOCHOS SECO SACOS X 25 KG PARA CONSUMO HUMANO"/>
        <s v="CHOCHO / LUPINI BEANS 24 X 15OZ TAMBO FOOD LT CH071224TF CHOCHO / LUPINI BEANS 24 X 15OZ TAMBO FOOD LT CH071224TF CHOCHO / LUPINI BEANS 24 X 15OZ TAMBO FOOD LT CH071224TF CHOCHO / LUPINI BEANS 24 X 15OZ TAMBO FOOD LT CH071224TF CHOCHO / LUPINI BEANS 24 X 15OZ TAMBO FOOD LT CH071224TF"/>
        <s v="CHOCHO / LUPINI BEANS 24 X 14OZ (397GR) IN EACH BOX MAMA TERE LOT CH053024MT CHOCHO / LUPINI BEANS 24 X 14OZ (397GR) IN EACH BOX MAMA TERE LOT CH053024MT CHOCHO / LUPINI BEANS 24 X 14OZ (397GR) IN EACH BOX MAMA TERE LOT CH053024MT CHOCHO / LUPINI BEANS 24 X 14OZ (397GR) IN EACH BOX MAMA TERE LOT CH053024MT CHOCHO / LUPINI BEANS 24 X 14OZ (397GR) IN EACH BOX MAMA TERE LOT CH053024MT"/>
        <s v="CHOCHO / LUPINI BEANS 24 X 14OZ (397GR) IN BOX MAMA TERE - LOT CH072224MT CHOCHO / LUPINI BEANS 24 X 14OZ (397GR) IN BOX MAMA TERE - LOT CH072224MT CHOCHO / LUPINI BEANS 24 X 14OZ (397GR) IN BOX MAMA TERE - LOT CH072224MT CHOCHO / LUPINI BEANS 24 X 14OZ (397GR) IN BOX MAMA TERE - LOT CH072224MT CHOCHO / LUPINI BEANS 24 X 14OZ (397GR) IN BOX MAMA TERE - LOT CH072224MT"/>
        <s v="CHOCHO (1 SACO X 50 LB) EN SACOS CHOCHO (1 SACO X 50 LB) EN SACOS CHOCHO (1 SACO X 50 LB) EN SACOS CHOCHO (1 SACO X 50 LB) EN SACOS CHOCHO (1 SACO X 50 LB) EN SACOS"/>
        <s v="CHOCHO SECOSCAJAS X 12 KGCONSUMO HUMANOCODIGO Nº13 RESTITUCION DE DERECHOS ARANCELARIOS CHOCHO SECOSCAJAS X 12 KGCONSUMO HUMANOCODIGO Nº13 RESTITUCION DE DERECHOS ARANCELARIOS CHOCHO SECOSCAJAS X 12 KGCONSUMO HUMANOCODIGO Nº13 RESTITUCION DE DERECHOS ARANCELARIOS CHOCHO SECOSCAJAS X 12 KGCONSUMO HUMANOCODIGO Nº13 RESTITUCION DE DERECHOS ARANCELARIOS CHOCHO SECOSCAJAS X 12 KGCONSUMO HUMANOCODIGO Nº13 RESTITUCION DE DERECHOS ARANCELARIOS"/>
        <s v="335 SACOS CONTENIENDO CHOCHOS SECOSX50 KG C/SPARA SU COMERCIALIZACION 335 SACOS CONTENIENDO CHOCHOS SECOSX50 KG C/SPARA SU COMERCIALIZACION 335 SACOS CONTENIENDO CHOCHOS SECOSX50 KG C/SPARA SU COMERCIALIZACION 335 SACOS CONTENIENDO CHOCHOS SECOSX50 KG C/SPARA SU COMERCIALIZACION 335 SACOS CONTENIENDO CHOCHOS SECOSX50 KG C/SPARA SU COMERCIALIZACION"/>
        <s v="CHOCHOS X 50 KG C/UEMBALADOS EN 230 BULTOSPAAR SU COMERCIALIZACION CHOCHOS X 50 KG C/UEMBALADOS EN 230 BULTOSPAAR SU COMERCIALIZACION CHOCHOS X 50 KG C/UEMBALADOS EN 230 BULTOSPAAR SU COMERCIALIZACION CHOCHOS X 50 KG C/UEMBALADOS EN 230 BULTOSPAAR SU COMERCIALIZACION CHOCHOS X 50 KG C/UEMBALADOS EN 230 BULTOSPAAR SU COMERCIALIZACION"/>
        <s v="CHOCHO ( 1 SACO X 50 LB) EN SACOS CHOCHO ( 1 SACO X 50 LB) EN SACOS CHOCHO ( 1 SACO X 50 LB) EN SACOS CHOCHO ( 1 SACO X 50 LB) EN SACOS CHOCHO ( 1 SACO X 50 LB) EN SACOS"/>
        <s v="CHOCHO / LUPINI BEANS 24 X 14OZ (397GR) IN BOX MAMA TERE LOT CH082624MT CHOCHO / LUPINI BEANS 24 X 14OZ (397GR) IN BOX MAMA TERE LOT CH082624MT CHOCHO / LUPINI BEANS 24 X 14OZ (397GR) IN BOX MAMA TERE LOT CH082624MT CHOCHO / LUPINI BEANS 24 X 14OZ (397GR) IN BOX MAMA TERE LOT CH082624MT CHOCHO / LUPINI BEANS 24 X 14OZ (397GR) IN BOX MAMA TERE LOT CH082624MT"/>
        <s v="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 CHOCHOSCHOCHOS SECOS,  EN SACOS X 45 KGPARA SU COMERCIALIZACIONCODIGO Nº13 RESTITUCION DE DERECHOS A"/>
        <s v="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 CHOCHOS SECOS (24 X 14 OZ)CAJAS X 9.528 KGCONSUMO HUMANOCODIGO Nº13 RESTITUCION DE DERECHOS ARANCELA"/>
        <s v="417 SACOS CONTENIENDO CHOCHOS SECOSX50 KG C/SPARA SU COMERCIALIZACION 417 SACOS CONTENIENDO CHOCHOS SECOSX50 KG C/SPARA SU COMERCIALIZACION 417 SACOS CONTENIENDO CHOCHOS SECOSX50 KG C/SPARA SU COMERCIALIZACION 417 SACOS CONTENIENDO CHOCHOS SECOSX50 KG C/SPARA SU COMERCIALIZACION 417 SACOS CONTENIENDO CHOCHOS SECOSX50 KG C/SPARA SU COMERCIALIZACION"/>
        <s v="FREJOL GANDUL X 25 KG USO: CONSUMO HUMANO EN SACOS FREJOL GANDUL X 25 KG USO: CONSUMO HUMANO EN SACOS FREJOL GANDUL X 25 KG USO: CONSUMO HUMANO EN SACOS FREJOL GANDUL X 25 KG USO: CONSUMO HUMANO EN SACOS FREJOL GANDUL X 25 KG USO: CONSUMO HUMANO EN SACOS"/>
        <s v="FREJOL CANARIO X 25 KG USO: CONSUMO HUMANO EN SACOS FREJOL CANARIO X 25 KG USO: CONSUMO HUMANO EN SACOS FREJOL CANARIO X 25 KG USO: CONSUMO HUMANO EN SACOS FREJOL CANARIO X 25 KG USO: CONSUMO HUMANO EN SACOS FREJOL CANARIO X 25 KG USO: CONSUMO HUMANO EN SACOS"/>
        <s v="CHOCHO ( 18 BLS X 14 OZ) EN CAJAS PARA CONSUMO HUMANO CHOCHO ( 18 BLS X 14 OZ) EN CAJAS PARA CONSUMO HUMANO CHOCHO ( 18 BLS X 14 OZ) EN CAJAS PARA CONSUMO HUMANO CHOCHO ( 18 BLS X 14 OZ) EN CAJAS PARA CONSUMO HUMANO CHOCHO ( 18 BLS X 14 OZ) EN CAJAS PARA CONSUMO HUMANO"/>
      </sharedItems>
    </cacheField>
    <cacheField name="Descripcion1" numFmtId="0">
      <sharedItems/>
    </cacheField>
    <cacheField name="Descripcion2" numFmtId="0">
      <sharedItems/>
    </cacheField>
    <cacheField name="Descripcion3" numFmtId="0">
      <sharedItems/>
    </cacheField>
    <cacheField name="Descripcion4" numFmtId="0">
      <sharedItems/>
    </cacheField>
    <cacheField name="Descripcion5" numFmtId="0">
      <sharedItems/>
    </cacheField>
    <cacheField name="Naviera" numFmtId="0">
      <sharedItems/>
    </cacheField>
    <cacheField name="Agente Carga(Origen)" numFmtId="0">
      <sharedItems/>
    </cacheField>
    <cacheField name="Agente Carga(Destino)" numFmtId="0">
      <sharedItems/>
    </cacheField>
    <cacheField name="Canal" numFmtId="0">
      <sharedItems/>
    </cacheField>
    <cacheField name="Trimestres" numFmtId="0" databaseField="0">
      <fieldGroup base="4">
        <rangePr groupBy="quarters" startDate="2022-01-06T00:00:00" endDate="2024-12-21T00:00:00"/>
        <groupItems count="6">
          <s v="&lt;06/01/2022"/>
          <s v="Trim.1"/>
          <s v="Trim.2"/>
          <s v="Trim.3"/>
          <s v="Trim.4"/>
          <s v="&gt;21/12/2024"/>
        </groupItems>
      </fieldGroup>
    </cacheField>
    <cacheField name="Años" numFmtId="0" databaseField="0">
      <fieldGroup base="4">
        <rangePr groupBy="years" startDate="2022-01-06T00:00:00" endDate="2024-12-21T00:00:00"/>
        <groupItems count="5">
          <s v="&lt;06/01/2022"/>
          <s v="2022"/>
          <s v="2023"/>
          <s v="2024"/>
          <s v="&gt;21/12/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
  <r>
    <n v="713909000"/>
    <s v="DEMAS HORTALIZAS DE VAINAS SECAS DESVAINADAS,MONDADAS O PARTIDAS EXCEPTO PARA SIEMBRA"/>
    <s v="TUMBES"/>
    <s v="008150 | 2"/>
    <x v="0"/>
    <x v="0"/>
    <x v="0"/>
    <n v="0"/>
    <s v="N/A"/>
    <s v="JUMBO ORDINOLA JAMES MARTIN"/>
    <n v="5020"/>
    <n v="5000"/>
    <n v="5000"/>
    <s v="KG"/>
    <n v="5000"/>
    <s v="KG"/>
    <x v="0"/>
    <n v="0.75"/>
    <n v="0.75"/>
    <x v="0"/>
    <s v="HUAQUILLAS"/>
    <s v="N/A"/>
    <s v="CARRETERO"/>
    <s v="N/A"/>
    <s v="VEGA AGENTES AFIANZADOS DE ADUANAS S.A.C."/>
    <x v="0"/>
    <s v="HABAS SECASEMBALAJE :  100 SACOSX 50 KILOS CADA SACOPARA SU COMERCIALIZACION"/>
    <s v="HABAS SECASEMBALAJE :  100 SACOSX 50 KILOS CADA SACOPARA SU COMERCIALIZACION"/>
    <s v="HABAS SECASEMBALAJE :  100 SACOSX 50 KILOS CADA SACOPARA SU COMERCIALIZACION"/>
    <s v="HABAS SECASEMBALAJE :  100 SACOSX 50 KILOS CADA SACOPARA SU COMERCIALIZACION"/>
    <s v="HABAS SECASEMBALAJE :  100 SACOSX 50 KILOS CADA SACOPARA SU COMERCIALIZACION"/>
    <s v=""/>
    <s v=""/>
    <s v=""/>
    <s v="VERDE"/>
  </r>
  <r>
    <n v="713909000"/>
    <s v="DEMAS HORTALIZAS DE VAINAS SECAS DESVAINADAS,MONDADAS O PARTIDAS EXCEPTO PARA SIEMBRA"/>
    <s v="TUMBES"/>
    <s v="008150 | 3"/>
    <x v="0"/>
    <x v="0"/>
    <x v="0"/>
    <n v="0"/>
    <s v="N/A"/>
    <s v="JUMBO ORDINOLA JAMES MARTIN"/>
    <n v="13040"/>
    <n v="13000"/>
    <n v="13000"/>
    <s v="KG"/>
    <n v="13000"/>
    <s v="KG"/>
    <x v="1"/>
    <n v="0.8"/>
    <n v="0.8"/>
    <x v="0"/>
    <s v="HUAQUILLAS"/>
    <s v="N/A"/>
    <s v="CARRETERO"/>
    <s v="N/A"/>
    <s v="VEGA AGENTES AFIANZADOS DE ADUANAS S.A.C."/>
    <x v="1"/>
    <s v="CHOCHOSEMBALAJE :  260 SACOSX 50 KILOS CADA SACOPARA SU COMERCIALIZACION"/>
    <s v="CHOCHOSEMBALAJE :  260 SACOSX 50 KILOS CADA SACOPARA SU COMERCIALIZACION"/>
    <s v="CHOCHOSEMBALAJE :  260 SACOSX 50 KILOS CADA SACOPARA SU COMERCIALIZACION"/>
    <s v="CHOCHOSEMBALAJE :  260 SACOSX 50 KILOS CADA SACOPARA SU COMERCIALIZACION"/>
    <s v="CHOCHOSEMBALAJE :  260 SACOSX 50 KILOS CADA SACOPARA SU COMERCIALIZACION"/>
    <s v=""/>
    <s v=""/>
    <s v=""/>
    <s v="VERDE"/>
  </r>
  <r>
    <n v="713909000"/>
    <s v="DEMAS HORTALIZAS DE VAINAS SECAS DESVAINADAS,MONDADAS O PARTIDAS EXCEPTO PARA SIEMBRA"/>
    <s v="TUMBES"/>
    <s v="007735 | 2"/>
    <x v="1"/>
    <x v="0"/>
    <x v="0"/>
    <n v="0"/>
    <s v="N/A"/>
    <s v="JUMBO ORDINOLA JAMES MARTIN"/>
    <n v="8960"/>
    <n v="8950"/>
    <n v="8950"/>
    <s v="KG"/>
    <n v="8950"/>
    <s v="KG"/>
    <x v="2"/>
    <n v="0.8"/>
    <n v="0.8"/>
    <x v="0"/>
    <s v="HUAQUILLAS"/>
    <s v="N/A"/>
    <s v="CARRETERO"/>
    <s v="N/A"/>
    <s v="VEGA AGENTES AFIANZADOS DE ADUANAS S.A.C."/>
    <x v="2"/>
    <s v="CHOCHOSEMBALAJE :  179 SACOSX 50 KILOS CADA SACOPARA SU COMERCIALIZACION"/>
    <s v="CHOCHOSEMBALAJE :  179 SACOSX 50 KILOS CADA SACOPARA SU COMERCIALIZACION"/>
    <s v="CHOCHOSEMBALAJE :  179 SACOSX 50 KILOS CADA SACOPARA SU COMERCIALIZACION"/>
    <s v="CHOCHOSEMBALAJE :  179 SACOSX 50 KILOS CADA SACOPARA SU COMERCIALIZACION"/>
    <s v="CHOCHOSEMBALAJE :  179 SACOSX 50 KILOS CADA SACOPARA SU COMERCIALIZACION"/>
    <s v=""/>
    <s v=""/>
    <s v=""/>
    <s v="VERDE"/>
  </r>
  <r>
    <n v="713909000"/>
    <s v="DEMAS HORTALIZAS DE VAINAS SECAS DESVAINADAS,MONDADAS O PARTIDAS EXCEPTO PARA SIEMBRA"/>
    <s v="TUMBES"/>
    <s v="007735 | 3"/>
    <x v="1"/>
    <x v="0"/>
    <x v="0"/>
    <n v="0"/>
    <s v="N/A"/>
    <s v="JUMBO ORDINOLA JAMES MARTIN"/>
    <n v="7020"/>
    <n v="7000"/>
    <n v="7000"/>
    <s v="KG"/>
    <n v="7000"/>
    <s v="KG"/>
    <x v="3"/>
    <n v="0.75"/>
    <n v="0.75"/>
    <x v="0"/>
    <s v="HUAQUILLAS"/>
    <s v="N/A"/>
    <s v="CARRETERO"/>
    <s v="N/A"/>
    <s v="VEGA AGENTES AFIANZADOS DE ADUANAS S.A.C."/>
    <x v="3"/>
    <s v="HABAS SECASEMBALAJE :  140 SACOSX 50 KILOS CADA SACOPARA SU COMERCIALIZACION"/>
    <s v="HABAS SECASEMBALAJE :  140 SACOSX 50 KILOS CADA SACOPARA SU COMERCIALIZACION"/>
    <s v="HABAS SECASEMBALAJE :  140 SACOSX 50 KILOS CADA SACOPARA SU COMERCIALIZACION"/>
    <s v="HABAS SECASEMBALAJE :  140 SACOSX 50 KILOS CADA SACOPARA SU COMERCIALIZACION"/>
    <s v="HABAS SECASEMBALAJE :  140 SACOSX 50 KILOS CADA SACOPARA SU COMERCIALIZACION"/>
    <s v=""/>
    <s v=""/>
    <s v=""/>
    <s v="VERDE"/>
  </r>
  <r>
    <n v="713909000"/>
    <s v="DEMAS HORTALIZAS DE VAINAS SECAS DESVAINADAS,MONDADAS O PARTIDAS EXCEPTO PARA SIEMBRA"/>
    <s v="TUMBES"/>
    <s v="007505 | 2"/>
    <x v="2"/>
    <x v="0"/>
    <x v="0"/>
    <n v="0"/>
    <s v="N/A"/>
    <s v="JUMBO ORDINOLA JAMES MARTIN"/>
    <n v="3300"/>
    <n v="3250"/>
    <n v="3250"/>
    <s v="KG"/>
    <n v="3250"/>
    <s v="KG"/>
    <x v="4"/>
    <n v="0.8"/>
    <n v="0.8"/>
    <x v="0"/>
    <s v="HUAQUILLAS"/>
    <s v="N/A"/>
    <s v="CARRETERO"/>
    <s v="N/A"/>
    <s v="VEGA AGENTES AFIANZADOS DE ADUANAS S.A.C."/>
    <x v="4"/>
    <s v="CHOCHOSEMBALAJE :  65 SACOSX 50 KILOS CADA SACOPARA SU COMERCIALIZACION"/>
    <s v="CHOCHOSEMBALAJE :  65 SACOSX 50 KILOS CADA SACOPARA SU COMERCIALIZACION"/>
    <s v="CHOCHOSEMBALAJE :  65 SACOSX 50 KILOS CADA SACOPARA SU COMERCIALIZACION"/>
    <s v="CHOCHOSEMBALAJE :  65 SACOSX 50 KILOS CADA SACOPARA SU COMERCIALIZACION"/>
    <s v="CHOCHOSEMBALAJE :  65 SACOSX 50 KILOS CADA SACOPARA SU COMERCIALIZACION"/>
    <s v=""/>
    <s v=""/>
    <s v=""/>
    <s v="VERDE"/>
  </r>
  <r>
    <n v="713909000"/>
    <s v="DEMAS HORTALIZAS DE VAINAS SECAS DESVAINADAS,MONDADAS O PARTIDAS EXCEPTO PARA SIEMBRA"/>
    <s v="MARITIMA DEL CALLAO"/>
    <s v="042477 | 8"/>
    <x v="3"/>
    <x v="1"/>
    <x v="1"/>
    <n v="20523273265"/>
    <s v="MIRANDA - LANGA AGRO EXPORT S.A.C - MIRANDA - LANGA S.A.C"/>
    <s v="JP TRADING AND GLOBAL IMPORTS LLC"/>
    <n v="840.99"/>
    <n v="771.77"/>
    <n v="771.77"/>
    <s v="KG"/>
    <n v="108"/>
    <s v="CAJ"/>
    <x v="5"/>
    <n v="3.9350000000000001"/>
    <n v="28.125"/>
    <x v="1"/>
    <s v="MIAMI"/>
    <s v="N/A"/>
    <s v="MARÍTIMO"/>
    <s v="CITIKOLD DEL PERU S.A.C."/>
    <s v="DESPACHOS ADUANEROS CHAVIMOCHIC SAC"/>
    <x v="5"/>
    <s v="CHOCHOS VALLES ANDINOS EN CAJAS PARA CONSUMO HUMANO"/>
    <s v="CHOCHOS VALLES ANDINOS EN CAJAS PARA CONSUMO HUMANO"/>
    <s v="CHOCHOS VALLES ANDINOS EN CAJAS PARA CONSUMO HUMANO"/>
    <s v="CHOCHOS VALLES ANDINOS EN CAJAS PARA CONSUMO HUMANO"/>
    <s v="CHOCHOS VALLES ANDINOS EN CAJAS PARA CONSUMO HUMANO"/>
    <s v="SEABOARD MARINE LTD"/>
    <s v="_x0000_"/>
    <s v="_x0000_"/>
    <s v="VERDE"/>
  </r>
  <r>
    <n v="713909000"/>
    <s v="DEMAS HORTALIZAS DE VAINAS SECAS DESVAINADAS,MONDADAS O PARTIDAS EXCEPTO PARA SIEMBRA"/>
    <s v="MARITIMA DEL CALLAO"/>
    <s v="026965 | 12"/>
    <x v="4"/>
    <x v="2"/>
    <x v="1"/>
    <n v="20503662354"/>
    <s v="IMEX FUTURA S.A.C."/>
    <s v="FAMILY FOOD DISTRIBUTORS. INC 969 NEWARK"/>
    <n v="1595.36"/>
    <n v="1486.36"/>
    <n v="1486.36"/>
    <s v="KG"/>
    <n v="156"/>
    <s v="U"/>
    <x v="6"/>
    <n v="4.4080000000000004"/>
    <n v="42"/>
    <x v="1"/>
    <s v="BALBOA"/>
    <s v="N/A"/>
    <s v="MARÍTIMO"/>
    <s v="MAERSK LINE PERU S.A.C."/>
    <s v="ADM ADUANAS S.A.C."/>
    <x v="6"/>
    <s v="CHOCHO / LUPINI BEANS 24 X 14OZ (397GR) IN EACH BOX MAMA TERE LOT CH030824MT"/>
    <s v="CHOCHO / LUPINI BEANS 24 X 14OZ (397GR) IN EACH BOX MAMA TERE LOT CH030824MT"/>
    <s v="CHOCHO / LUPINI BEANS 24 X 14OZ (397GR) IN EACH BOX MAMA TERE LOT CH030824MT"/>
    <s v="CHOCHO / LUPINI BEANS 24 X 14OZ (397GR) IN EACH BOX MAMA TERE LOT CH030824MT"/>
    <s v="CHOCHO / LUPINI BEANS 24 X 14OZ (397GR) IN EACH BOX MAMA TERE LOT CH030824MT"/>
    <s v="MAERSK LINES, INC."/>
    <s v="ANDES LOGISTICS DEL PERU S.A.C"/>
    <s v="ALL-WAYS FORWARDING INT'L INC"/>
    <s v="VERDE"/>
  </r>
  <r>
    <n v="713909000"/>
    <s v="DEMAS HORTALIZAS DE VAINAS SECAS DESVAINADAS,MONDADAS O PARTIDAS EXCEPTO PARA SIEMBRA"/>
    <s v="MARITIMA DEL CALLAO"/>
    <s v="016330 | 18"/>
    <x v="5"/>
    <x v="3"/>
    <x v="1"/>
    <n v="20503662354"/>
    <s v="IMEX FUTURA S.A.C."/>
    <s v="FAMILY FOOD DISTRIBUTORS. INC"/>
    <n v="396.8"/>
    <n v="61.93"/>
    <n v="61.93"/>
    <s v="KG"/>
    <n v="156"/>
    <s v="U"/>
    <x v="6"/>
    <n v="105.79600000000001"/>
    <n v="42"/>
    <x v="1"/>
    <s v="BALBOA"/>
    <s v="N/A"/>
    <s v="MARÍTIMO"/>
    <s v="MAERSK LINE PERU S.A.C."/>
    <s v="ADM ADUANAS S.A.C."/>
    <x v="7"/>
    <s v="CHOCHOS / LUPINI BEANS 24/14OZ (397GR) MARCA: MAMA TERE LOT CH020924MT"/>
    <s v="CHOCHOS / LUPINI BEANS 24/14OZ (397GR) MARCA: MAMA TERE LOT CH020924MT"/>
    <s v="CHOCHOS / LUPINI BEANS 24/14OZ (397GR) MARCA: MAMA TERE LOT CH020924MT"/>
    <s v="CHOCHOS / LUPINI BEANS 24/14OZ (397GR) MARCA: MAMA TERE LOT CH020924MT"/>
    <s v="CHOCHOS / LUPINI BEANS 24/14OZ (397GR) MARCA: MAMA TERE LOT CH020924MT"/>
    <s v="MAERSK LINES, INC."/>
    <s v="ANDES LOGISTICS DEL PERU S.A.C"/>
    <s v="ALL-WAYS FORWARDING INT'L INC"/>
    <s v="VERDE"/>
  </r>
  <r>
    <n v="713909000"/>
    <s v="DEMAS HORTALIZAS DE VAINAS SECAS DESVAINADAS,MONDADAS O PARTIDAS EXCEPTO PARA SIEMBRA"/>
    <s v="MARITIMA DEL CALLAO"/>
    <s v="006453 | 3"/>
    <x v="6"/>
    <x v="4"/>
    <x v="1"/>
    <n v="20503662354"/>
    <s v="IMEX FUTURA S.A.C."/>
    <s v="FAMILY FOOD DISTRIBUTORS. INC"/>
    <n v="2653.22"/>
    <n v="82.58"/>
    <n v="82.58"/>
    <s v="KG"/>
    <n v="208"/>
    <s v="CAJ"/>
    <x v="7"/>
    <n v="105.788"/>
    <n v="42"/>
    <x v="1"/>
    <s v="GUAYAQUIL"/>
    <s v="N/A"/>
    <s v="MARÍTIMO"/>
    <s v="COSMOS AGENCIA MARITIMA S.A."/>
    <s v="ADM ADUANAS S.A.C."/>
    <x v="8"/>
    <s v="CHOCHOS MAMA TERE 24/14OZ"/>
    <s v="CHOCHOS MAMA TERE 24/14OZ"/>
    <s v="CHOCHOS MAMA TERE 24/14OZ"/>
    <s v="CHOCHOS MAMA TERE 24/14OZ"/>
    <s v="CHOCHOS MAMA TERE 24/14OZ"/>
    <s v="ZIM ISRAEL NAVIGATION CO"/>
    <s v="ANDES LOGISTICS DEL PERU S.A.C"/>
    <s v="ALL WAYS FORWARDING INT'L INC"/>
    <s v="VERDE"/>
  </r>
  <r>
    <n v="713909000"/>
    <s v="DEMAS HORTALIZAS DE VAINAS SECAS DESVAINADAS,MONDADAS O PARTIDAS EXCEPTO PARA SIEMBRA"/>
    <s v="MARITIMA DEL CALLAO"/>
    <s v="027861 | 13"/>
    <x v="4"/>
    <x v="2"/>
    <x v="1"/>
    <n v="20523273265"/>
    <s v="MIRANDA - LANGA AGRO EXPORT S.A.C - MIRANDA - LANGA S.A.C"/>
    <s v="JP TRADING AND GLOBAL IMPORTS LLC"/>
    <n v="777.2"/>
    <n v="714.6"/>
    <n v="714.6"/>
    <s v="KG"/>
    <n v="100"/>
    <s v="CAJ"/>
    <x v="8"/>
    <n v="3.9350000000000001"/>
    <n v="28.125"/>
    <x v="1"/>
    <s v="MIAMI"/>
    <s v="N/A"/>
    <s v="MARÍTIMO"/>
    <s v="CITIKOLD DEL PERU S.A.C."/>
    <s v="DESPACHOS ADUANEROS CHAVIMOCHIC SAC"/>
    <x v="5"/>
    <s v="CHOCHOS VALLES ANDINOS EN CAJAS PARA CONSUMO HUMANO"/>
    <s v="CHOCHOS VALLES ANDINOS EN CAJAS PARA CONSUMO HUMANO"/>
    <s v="CHOCHOS VALLES ANDINOS EN CAJAS PARA CONSUMO HUMANO"/>
    <s v="CHOCHOS VALLES ANDINOS EN CAJAS PARA CONSUMO HUMANO"/>
    <s v="CHOCHOS VALLES ANDINOS EN CAJAS PARA CONSUMO HUMANO"/>
    <s v="SEABOARD MARINE LTD"/>
    <s v="_x0000_"/>
    <s v="_x0000_"/>
    <s v="VERDE"/>
  </r>
  <r>
    <n v="713909000"/>
    <s v="DEMAS HORTALIZAS DE VAINAS SECAS DESVAINADAS,MONDADAS O PARTIDAS EXCEPTO PARA SIEMBRA"/>
    <s v="MARITIMA DEL CALLAO"/>
    <s v="025546 | 4"/>
    <x v="7"/>
    <x v="2"/>
    <x v="1"/>
    <n v="20523273265"/>
    <s v="MIRANDA - LANGA AGRO EXPORT S.A.C - MIRANDA - LANGA S.A.C"/>
    <s v="OVALLEY FARMS LLC"/>
    <n v="6212"/>
    <n v="6123.6"/>
    <n v="6123.6"/>
    <s v="KG"/>
    <n v="270"/>
    <s v="SAC"/>
    <x v="9"/>
    <n v="3.3"/>
    <n v="74.843999999999994"/>
    <x v="1"/>
    <s v="GUAYAQUIL"/>
    <s v="N/A"/>
    <s v="MARÍTIMO"/>
    <s v="COSMOS AGENCIA MARITIMA S.A."/>
    <s v="DESPACHOS ADUANEROS CHAVIMOCHIC SAC"/>
    <x v="9"/>
    <s v="TARWI EN SACOS PARA CONSUMO HUMANO"/>
    <s v="TARWI EN SACOS PARA CONSUMO HUMANO"/>
    <s v="TARWI EN SACOS PARA CONSUMO HUMANO"/>
    <s v="TARWI EN SACOS PARA CONSUMO HUMANO"/>
    <s v="TARWI EN SACOS PARA CONSUMO HUMANO"/>
    <s v="ZIM ISRAEL NAVIGATION CO"/>
    <s v="INTERNATIONAL FREIGHT SHIPPING S.A.C."/>
    <s v="GLOBAL LOGISTICAL CONNECTIONS  INC."/>
    <s v="VERDE"/>
  </r>
  <r>
    <n v="713909000"/>
    <s v="DEMAS HORTALIZAS DE VAINAS SECAS DESVAINADAS,MONDADAS O PARTIDAS EXCEPTO PARA SIEMBRA"/>
    <s v="MARITIMA DEL CALLAO"/>
    <s v="106446 | 7"/>
    <x v="8"/>
    <x v="5"/>
    <x v="0"/>
    <n v="20503662354"/>
    <s v="IMEX FUTURA S.A.C."/>
    <s v="FAMILY FOOD DISTRIBUTORS. INC"/>
    <n v="557.14"/>
    <n v="495.46"/>
    <n v="495.46"/>
    <s v="KG"/>
    <n v="52"/>
    <s v="CAJ"/>
    <x v="10"/>
    <n v="3.988"/>
    <n v="38"/>
    <x v="1"/>
    <s v="GUAYAQUIL"/>
    <s v="N/A"/>
    <s v="MARÍTIMO"/>
    <s v="IAN TAYLOR AGENCIAS S.A.C."/>
    <s v="ADM ADUANAS S.A.C."/>
    <x v="10"/>
    <s v="CHOCHOS MAMA TERE 24/14OZ (397GR) LOT CH082823MT"/>
    <s v="CHOCHOS MAMA TERE 24/14OZ (397GR) LOT CH082823MT"/>
    <s v="CHOCHOS MAMA TERE 24/14OZ (397GR) LOT CH082823MT"/>
    <s v="CHOCHOS MAMA TERE 24/14OZ (397GR) LOT CH082823MT"/>
    <s v="CHOCHOS MAMA TERE 24/14OZ (397GR) LOT CH082823MT"/>
    <s v="CMA-CGM"/>
    <s v="ANDES LOGISTICS DEL PERU S.A.C"/>
    <s v="ALLWAYS FORWARDING INTL INC"/>
    <s v="VERDE"/>
  </r>
  <r>
    <n v="713909000"/>
    <s v="DEMAS HORTALIZAS DE VAINAS SECAS DESVAINADAS,MONDADAS O PARTIDAS EXCEPTO PARA SIEMBRA"/>
    <s v="MARITIMA DEL CALLAO"/>
    <s v="074245 | 12"/>
    <x v="9"/>
    <x v="6"/>
    <x v="0"/>
    <n v="20503662354"/>
    <s v="IMEX FUTURA S.A.C."/>
    <s v="TO ORDER"/>
    <n v="990.91"/>
    <n v="990.91"/>
    <n v="990.91"/>
    <s v="KG"/>
    <n v="104"/>
    <s v="U"/>
    <x v="11"/>
    <n v="3.988"/>
    <n v="38"/>
    <x v="1"/>
    <s v="POSORJA"/>
    <s v="N/A"/>
    <s v="MARÍTIMO"/>
    <s v="TRAMARSA - TRABAJOS MARITIMOS S.A."/>
    <s v="CONCRETEC LOGISTIC S.A.C."/>
    <x v="11"/>
    <s v="CHOCHO, MAMA TERE, S/M LUPINI BEANS  / CHOCHO  24 X 14OZ (397GR) IN EACH LUPINI BEANS  / CHOCHO  24"/>
    <s v="CHOCHO, MAMA TERE, S/M LUPINI BEANS  / CHOCHO  24 X 14OZ (397GR) IN EACH LUPINI BEANS  / CHOCHO  24"/>
    <s v="CHOCHO, MAMA TERE, S/M LUPINI BEANS  / CHOCHO  24 X 14OZ (397GR) IN EACH LUPINI BEANS  / CHOCHO  24"/>
    <s v="CHOCHO, MAMA TERE, S/M LUPINI BEANS  / CHOCHO  24 X 14OZ (397GR) IN EACH LUPINI BEANS  / CHOCHO  24"/>
    <s v="CHOCHO, MAMA TERE, S/M LUPINI BEANS  / CHOCHO  24 X 14OZ (397GR) IN EACH LUPINI BEANS  / CHOCHO  24"/>
    <s v="HAPAG-LLOYD A G"/>
    <s v="TTSA S.A.C"/>
    <s v="TT OCEAN LOGISTICS"/>
    <s v="VERDE"/>
  </r>
  <r>
    <n v="713909000"/>
    <s v="DEMAS HORTALIZAS DE VAINAS SECAS DESVAINADAS,MONDADAS O PARTIDAS EXCEPTO PARA SIEMBRA"/>
    <s v="MARITIMA DEL CALLAO"/>
    <s v="063781 | 9"/>
    <x v="10"/>
    <x v="7"/>
    <x v="0"/>
    <n v="20503662354"/>
    <s v="IMEX FUTURA S.A.C."/>
    <s v="TO ORDER"/>
    <n v="1064.33"/>
    <n v="990.91"/>
    <n v="990.91"/>
    <s v="KG"/>
    <n v="104"/>
    <s v="U"/>
    <x v="12"/>
    <n v="3.1480000000000001"/>
    <n v="30"/>
    <x v="1"/>
    <s v="POSORJA"/>
    <s v="N/A"/>
    <s v="MARÍTIMO"/>
    <s v="IAN TAYLOR AGENCIAS S.A.C."/>
    <s v="CONCRETEC LOGISTIC S.A.C."/>
    <x v="12"/>
    <s v="CHOCHO, MAMA TERE, S/M LUPINI BEANS / CHOCHO 24 X 14OZ (397GR) IN EACH BO LUPINI BEANS / CHOCHO 24 X"/>
    <s v="CHOCHO, MAMA TERE, S/M LUPINI BEANS / CHOCHO 24 X 14OZ (397GR) IN EACH BO LUPINI BEANS / CHOCHO 24 X"/>
    <s v="CHOCHO, MAMA TERE, S/M LUPINI BEANS / CHOCHO 24 X 14OZ (397GR) IN EACH BO LUPINI BEANS / CHOCHO 24 X"/>
    <s v="CHOCHO, MAMA TERE, S/M LUPINI BEANS / CHOCHO 24 X 14OZ (397GR) IN EACH BO LUPINI BEANS / CHOCHO 24 X"/>
    <s v="CHOCHO, MAMA TERE, S/M LUPINI BEANS / CHOCHO 24 X 14OZ (397GR) IN EACH BO LUPINI BEANS / CHOCHO 24 X"/>
    <s v="HAPAG-LLOYD A G"/>
    <s v="TTSA S.A.C"/>
    <s v="TRAFFIC TECH INTERNATIONAL US LLC"/>
    <s v=""/>
  </r>
  <r>
    <n v="713909000"/>
    <s v="DEMAS HORTALIZAS DE VAINAS SECAS DESVAINADAS,MONDADAS O PARTIDAS EXCEPTO PARA SIEMBRA"/>
    <s v="MARITIMA DEL CALLAO"/>
    <s v="051078 | 10"/>
    <x v="11"/>
    <x v="1"/>
    <x v="0"/>
    <n v="20503662354"/>
    <s v="IMEX FUTURA S.A.C."/>
    <s v="TO ORDER"/>
    <n v="1140.26"/>
    <n v="1052.72"/>
    <n v="1052.72"/>
    <s v="KG"/>
    <n v="104"/>
    <s v="U"/>
    <x v="12"/>
    <n v="2.9630000000000001"/>
    <n v="30"/>
    <x v="1"/>
    <s v="MIAMI"/>
    <s v="N/A"/>
    <s v="MARÍTIMO"/>
    <s v="CITIKOLD DEL PERU S.A.C."/>
    <s v="CONCRETEC LOGISTIC S.A.C."/>
    <x v="12"/>
    <s v="CHOCHO, MAMA TERE, S/M LUPINI BEANS / CHOCHO 24 X 14OZ (397GR) IN EACH BO LUPINI BEANS / CHOCHO 24 X"/>
    <s v="CHOCHO, MAMA TERE, S/M LUPINI BEANS / CHOCHO 24 X 14OZ (397GR) IN EACH BO LUPINI BEANS / CHOCHO 24 X"/>
    <s v="CHOCHO, MAMA TERE, S/M LUPINI BEANS / CHOCHO 24 X 14OZ (397GR) IN EACH BO LUPINI BEANS / CHOCHO 24 X"/>
    <s v="CHOCHO, MAMA TERE, S/M LUPINI BEANS / CHOCHO 24 X 14OZ (397GR) IN EACH BO LUPINI BEANS / CHOCHO 24 X"/>
    <s v="CHOCHO, MAMA TERE, S/M LUPINI BEANS / CHOCHO 24 X 14OZ (397GR) IN EACH BO LUPINI BEANS / CHOCHO 24 X"/>
    <s v="SEABOARD MARINE LTD"/>
    <s v="TTSA S.A.C"/>
    <s v="TRAFFIC TECH INTERNATIONAL US LLC"/>
    <s v="VERDE"/>
  </r>
  <r>
    <n v="713909000"/>
    <s v="DEMAS HORTALIZAS DE VAINAS SECAS DESVAINADAS,MONDADAS O PARTIDAS EXCEPTO PARA SIEMBRA"/>
    <s v="TUMBES"/>
    <s v="006535 | 1"/>
    <x v="12"/>
    <x v="0"/>
    <x v="1"/>
    <n v="20409318135"/>
    <s v="COPROIMPEX SOCIEDAD ANONIMA CERRADA"/>
    <s v="MEJIA ZAMORA LIGIA YOLANDA"/>
    <n v="10039.209999999999"/>
    <n v="10000"/>
    <n v="10000"/>
    <s v="KG"/>
    <n v="10000"/>
    <s v="KG"/>
    <x v="13"/>
    <n v="0.74"/>
    <n v="0.74"/>
    <x v="0"/>
    <s v="HUAQUILLAS"/>
    <s v="N/A"/>
    <s v="CARRETERO"/>
    <s v="N/A"/>
    <s v="MOCAYAS LOGISTICA ADUANERA S.A.C."/>
    <x v="13"/>
    <s v="200 SACOS CONTENIENDO CHOCOS SECOSX50 KG C/SPARA SU COMERCIALIZACIÓN"/>
    <s v="200 SACOS CONTENIENDO CHOCOS SECOSX50 KG C/SPARA SU COMERCIALIZACIÓN"/>
    <s v="200 SACOS CONTENIENDO CHOCOS SECOSX50 KG C/SPARA SU COMERCIALIZACIÓN"/>
    <s v="200 SACOS CONTENIENDO CHOCOS SECOSX50 KG C/SPARA SU COMERCIALIZACIÓN"/>
    <s v="200 SACOS CONTENIENDO CHOCOS SECOSX50 KG C/SPARA SU COMERCIALIZACIÓN"/>
    <s v=""/>
    <s v=""/>
    <s v=""/>
    <s v="VERDE"/>
  </r>
  <r>
    <n v="713909000"/>
    <s v="DEMAS HORTALIZAS DE VAINAS SECAS DESVAINADAS,MONDADAS O PARTIDAS EXCEPTO PARA SIEMBRA"/>
    <s v="MARITIMA DEL CALLAO"/>
    <s v="027505 | 6"/>
    <x v="13"/>
    <x v="2"/>
    <x v="0"/>
    <n v="20503662354"/>
    <s v="IMEX FUTURA S.A.C."/>
    <s v="FAMILY FOOD DISTRIBUTORS. INC"/>
    <n v="1065.24"/>
    <n v="990.91"/>
    <n v="990.91"/>
    <s v="KG"/>
    <n v="104"/>
    <s v="U"/>
    <x v="12"/>
    <n v="3.1480000000000001"/>
    <n v="30"/>
    <x v="1"/>
    <s v="MIAMI"/>
    <s v="N/A"/>
    <s v="MARÍTIMO"/>
    <s v="CITIKOLD DEL PERU S.A.C."/>
    <s v="BUSTAMANTE RODOLFO S.A."/>
    <x v="14"/>
    <s v="CHOCHO 24 X 14OZ (397GR) LUPINI BEANS - MAMA TERE"/>
    <s v="CHOCHO 24 X 14OZ (397GR) LUPINI BEANS - MAMA TERE"/>
    <s v="CHOCHO 24 X 14OZ (397GR) LUPINI BEANS - MAMA TERE"/>
    <s v="CHOCHO 24 X 14OZ (397GR) LUPINI BEANS - MAMA TERE"/>
    <s v="CHOCHO 24 X 14OZ (397GR) LUPINI BEANS - MAMA TERE"/>
    <s v="SEABOARD MARINE LTD"/>
    <s v="QUALITY PREMIUM LOGISTICS S.A.C."/>
    <s v="TAGGART INTERNATIONAL LTD INC"/>
    <s v=""/>
  </r>
  <r>
    <n v="713909000"/>
    <s v="DEMAS HORTALIZAS DE VAINAS SECAS DESVAINADAS,MONDADAS O PARTIDAS EXCEPTO PARA SIEMBRA"/>
    <s v="MARITIMA DEL CALLAO"/>
    <s v="008728 | 13"/>
    <x v="14"/>
    <x v="4"/>
    <x v="1"/>
    <n v="20523273265"/>
    <s v="MIRANDA - LANGA AGRO EXPORT S.A.C - MIRANDA - LANGA S.A.C"/>
    <s v="JP TRADING AND GLOBAL IMPORTS LLC"/>
    <n v="360.49"/>
    <n v="321.57"/>
    <n v="321.57"/>
    <s v="KG"/>
    <n v="45"/>
    <s v="CAJ"/>
    <x v="14"/>
    <n v="3.9350000000000001"/>
    <n v="28.125"/>
    <x v="1"/>
    <s v="MIAMI"/>
    <s v="N/A"/>
    <s v="MARÍTIMO"/>
    <s v="CITIKOLD DEL PERU S.A.C."/>
    <s v="DESPACHOS ADUANEROS CHAVIMOCHIC SAC"/>
    <x v="5"/>
    <s v="CHOCHOS VALLES ANDINOS EN CAJAS PARA CONSUMO HUMANO"/>
    <s v="CHOCHOS VALLES ANDINOS EN CAJAS PARA CONSUMO HUMANO"/>
    <s v="CHOCHOS VALLES ANDINOS EN CAJAS PARA CONSUMO HUMANO"/>
    <s v="CHOCHOS VALLES ANDINOS EN CAJAS PARA CONSUMO HUMANO"/>
    <s v="CHOCHOS VALLES ANDINOS EN CAJAS PARA CONSUMO HUMANO"/>
    <s v="SEABOARD MARINE LTD"/>
    <s v="_x0000_"/>
    <s v="_x0000_"/>
    <s v="VERDE"/>
  </r>
  <r>
    <n v="713909000"/>
    <s v="DEMAS HORTALIZAS DE VAINAS SECAS DESVAINADAS,MONDADAS O PARTIDAS EXCEPTO PARA SIEMBRA"/>
    <s v="MARITIMA DEL CALLAO"/>
    <s v="048213 | 7"/>
    <x v="15"/>
    <x v="1"/>
    <x v="2"/>
    <n v="20565443993"/>
    <s v="FUSION FOODS S.A.C."/>
    <s v="MI TIERRA FOOD LLC"/>
    <n v="1192.19"/>
    <n v="1157.7"/>
    <n v="1157.7"/>
    <s v="KG"/>
    <n v="51"/>
    <s v="CAJ"/>
    <x v="15"/>
    <n v="1.5429999999999999"/>
    <n v="35.039000000000001"/>
    <x v="1"/>
    <s v="MIAMI"/>
    <s v="N/A"/>
    <s v="MARÍTIMO"/>
    <s v="CITIKOLD DEL PERU S.A.C."/>
    <s v="DESPACHOS ADUANEROS CHAVIMOCHIC SAC"/>
    <x v="15"/>
    <s v="CHOCHO ( 1 X 50 LB) EN CAJAS"/>
    <s v="CHOCHO ( 1 X 50 LB) EN CAJAS"/>
    <s v="CHOCHO ( 1 X 50 LB) EN CAJAS"/>
    <s v="CHOCHO ( 1 X 50 LB) EN CAJAS"/>
    <s v="CHOCHO ( 1 X 50 LB) EN CAJAS"/>
    <s v="SEABOARD MARINE LTD"/>
    <s v="_x0000_"/>
    <s v="_x0000_"/>
    <s v="VERDE"/>
  </r>
  <r>
    <n v="713909000"/>
    <s v="DEMAS HORTALIZAS DE VAINAS SECAS DESVAINADAS,MONDADAS O PARTIDAS EXCEPTO PARA SIEMBRA"/>
    <s v="MARITIMA DEL CALLAO"/>
    <s v="131310 | 7"/>
    <x v="16"/>
    <x v="8"/>
    <x v="2"/>
    <n v="20503662354"/>
    <s v="IMEX FUTURA S.A.C."/>
    <s v="FAMILY FOOD DISTRIBUTORS. INC"/>
    <n v="1063.26"/>
    <n v="990.91"/>
    <n v="990.91"/>
    <s v="KG"/>
    <n v="104"/>
    <s v="U"/>
    <x v="16"/>
    <n v="2.5179999999999998"/>
    <n v="24"/>
    <x v="1"/>
    <s v="MIAMI"/>
    <s v="N/A"/>
    <s v="MARÍTIMO"/>
    <s v="CITIKOLD DEL PERU S.A.C."/>
    <s v="BUSTAMANTE RODOLFO S.A."/>
    <x v="16"/>
    <s v="CHOCHO 24 X 14OZ (397GR) IN LUPINI BEANS - MAMA TERE"/>
    <s v="CHOCHO 24 X 14OZ (397GR) IN LUPINI BEANS - MAMA TERE"/>
    <s v="CHOCHO 24 X 14OZ (397GR) IN LUPINI BEANS - MAMA TERE"/>
    <s v="CHOCHO 24 X 14OZ (397GR) IN LUPINI BEANS - MAMA TERE"/>
    <s v="CHOCHO 24 X 14OZ (397GR) IN LUPINI BEANS - MAMA TERE"/>
    <s v="SEABOARD MARINE LTD"/>
    <s v="QUALITY PREMIUM LOGISTICS S.A.C."/>
    <s v="TAGGART INTERNATIONAL LTD INC"/>
    <s v=""/>
  </r>
  <r>
    <n v="713909000"/>
    <s v="DEMAS HORTALIZAS DE VAINAS SECAS DESVAINADAS,MONDADAS O PARTIDAS EXCEPTO PARA SIEMBRA"/>
    <s v="TUMBES"/>
    <s v="004456 | 1"/>
    <x v="17"/>
    <x v="7"/>
    <x v="1"/>
    <n v="20409318135"/>
    <s v="COPROIMPEX SOCIEDAD ANONIMA CERRADA"/>
    <s v="MEJIA ZAMORA LIGIA YOLANDA"/>
    <n v="10050"/>
    <n v="10000"/>
    <n v="10000"/>
    <s v="KG"/>
    <n v="10000"/>
    <s v="KG"/>
    <x v="13"/>
    <n v="0.74"/>
    <n v="0.74"/>
    <x v="0"/>
    <s v="HUAQUILLAS"/>
    <s v="N/A"/>
    <s v="CARRETERO"/>
    <s v="N/A"/>
    <s v="MOCAYAS LOGISTICA ADUANERA S.A.C."/>
    <x v="17"/>
    <s v="200 SACOS CONTENIENDO CHOCHOS SECOSX50 KG C/SPARA SU COMERCIALIZACION"/>
    <s v="200 SACOS CONTENIENDO CHOCHOS SECOSX50 KG C/SPARA SU COMERCIALIZACION"/>
    <s v="200 SACOS CONTENIENDO CHOCHOS SECOSX50 KG C/SPARA SU COMERCIALIZACION"/>
    <s v="200 SACOS CONTENIENDO CHOCHOS SECOSX50 KG C/SPARA SU COMERCIALIZACION"/>
    <s v="200 SACOS CONTENIENDO CHOCHOS SECOSX50 KG C/SPARA SU COMERCIALIZACION"/>
    <s v=""/>
    <s v=""/>
    <s v=""/>
    <s v="VERDE"/>
  </r>
  <r>
    <n v="713909000"/>
    <s v="DEMAS HORTALIZAS DE VAINAS SECAS DESVAINADAS,MONDADAS O PARTIDAS EXCEPTO PARA SIEMBRA"/>
    <s v="TUMBES"/>
    <s v="004692 | 1"/>
    <x v="18"/>
    <x v="7"/>
    <x v="1"/>
    <n v="20409318135"/>
    <s v="COPROIMPEX SOCIEDAD ANONIMA CERRADA"/>
    <s v="MEJIA ZAMORA LIGIA YOLANDA"/>
    <n v="15058.92"/>
    <n v="15000"/>
    <n v="15000"/>
    <s v="KG"/>
    <n v="15000"/>
    <s v="KG"/>
    <x v="17"/>
    <n v="0.74"/>
    <n v="0.74"/>
    <x v="0"/>
    <s v="HUAQUILLAS"/>
    <s v="N/A"/>
    <s v="CARRETERO"/>
    <s v="N/A"/>
    <s v="MOCAYAS LOGISTICA ADUANERA S.A.C."/>
    <x v="18"/>
    <s v="300 SACOS CONTENIENDO CHOCHOS SECOSX50 KG C/SPARA SU COMERCIALIZACION"/>
    <s v="300 SACOS CONTENIENDO CHOCHOS SECOSX50 KG C/SPARA SU COMERCIALIZACION"/>
    <s v="300 SACOS CONTENIENDO CHOCHOS SECOSX50 KG C/SPARA SU COMERCIALIZACION"/>
    <s v="300 SACOS CONTENIENDO CHOCHOS SECOSX50 KG C/SPARA SU COMERCIALIZACION"/>
    <s v="300 SACOS CONTENIENDO CHOCHOS SECOSX50 KG C/SPARA SU COMERCIALIZACION"/>
    <s v=""/>
    <s v=""/>
    <s v=""/>
    <s v="VERDE"/>
  </r>
  <r>
    <n v="713909000"/>
    <s v="DEMAS HORTALIZAS DE VAINAS SECAS DESVAINADAS,MONDADAS O PARTIDAS EXCEPTO PARA SIEMBRA"/>
    <s v="TUMBES"/>
    <s v="003772 | 1"/>
    <x v="19"/>
    <x v="1"/>
    <x v="1"/>
    <n v="20409318135"/>
    <s v="COPROIMPEX SOCIEDAD ANONIMA CERRADA"/>
    <s v="SUAREZ MORENO SEGUNDO ESTUARDO"/>
    <n v="11690.69"/>
    <n v="11650"/>
    <n v="11650"/>
    <s v="KG"/>
    <n v="11650"/>
    <s v="KG"/>
    <x v="18"/>
    <n v="0.74"/>
    <n v="0.74"/>
    <x v="0"/>
    <s v="HUAQUILLAS"/>
    <s v="N/A"/>
    <s v="CARRETERO"/>
    <s v="N/A"/>
    <s v="PAZLEY ADUANA SOCIEDAD ANONIMA CERRADA - PAZLEY ADUANA S"/>
    <x v="19"/>
    <s v="CHOCOS SECOS X 50KG.C/SEMBALADOS EN 233  SACOSPARA SU COMERCIALIZACION"/>
    <s v="CHOCOS SECOS X 50KG.C/SEMBALADOS EN 233  SACOSPARA SU COMERCIALIZACION"/>
    <s v="CHOCOS SECOS X 50KG.C/SEMBALADOS EN 233  SACOSPARA SU COMERCIALIZACION"/>
    <s v="CHOCOS SECOS X 50KG.C/SEMBALADOS EN 233  SACOSPARA SU COMERCIALIZACION"/>
    <s v="CHOCOS SECOS X 50KG.C/SEMBALADOS EN 233  SACOSPARA SU COMERCIALIZACION"/>
    <s v=""/>
    <s v=""/>
    <s v=""/>
    <s v="VERDE"/>
  </r>
  <r>
    <n v="713909000"/>
    <s v="DEMAS HORTALIZAS DE VAINAS SECAS DESVAINADAS,MONDADAS O PARTIDAS EXCEPTO PARA SIEMBRA"/>
    <s v="MARITIMA DEL CALLAO"/>
    <s v="083136 | 6"/>
    <x v="20"/>
    <x v="0"/>
    <x v="2"/>
    <n v="20503662354"/>
    <s v="IMEX FUTURA S.A.C."/>
    <s v="FAMILY FOOD DISTRIBUTORS. INC"/>
    <n v="1635.55"/>
    <n v="1553.77"/>
    <n v="1553.77"/>
    <s v="KG"/>
    <n v="156"/>
    <s v="U"/>
    <x v="19"/>
    <n v="2.4089999999999998"/>
    <n v="24"/>
    <x v="1"/>
    <s v="GUAYAQUIL"/>
    <s v="N/A"/>
    <s v="MARÍTIMO"/>
    <s v="TERMINALES PORTUARIOS PERUANOS S.A.C."/>
    <s v="BUSTAMANTE RODOLFO S.A."/>
    <x v="20"/>
    <s v="CHOCHO 24 X 14OZ (397GR) MAMA TERE"/>
    <s v="CHOCHO 24 X 14OZ (397GR) MAMA TERE"/>
    <s v="CHOCHO 24 X 14OZ (397GR) MAMA TERE"/>
    <s v="CHOCHO 24 X 14OZ (397GR) MAMA TERE"/>
    <s v="CHOCHO 24 X 14OZ (397GR) MAMA TERE"/>
    <s v="SEABOARD MARINE LTD"/>
    <s v="QUALITY PREMIUM LOGISTICS S.A.C."/>
    <s v="TAGGART INTERNATIONAL LTD INC"/>
    <s v="VERDE"/>
  </r>
  <r>
    <n v="713909000"/>
    <s v="DEMAS HORTALIZAS DE VAINAS SECAS DESVAINADAS,MONDADAS O PARTIDAS EXCEPTO PARA SIEMBRA"/>
    <s v="MARITIMA DEL CALLAO"/>
    <s v="070795 | 4"/>
    <x v="21"/>
    <x v="6"/>
    <x v="2"/>
    <n v="20503662354"/>
    <s v="IMEX FUTURA S.A.C."/>
    <s v="FAMILY FOOD DISTRIBUTORS. INC"/>
    <n v="1595.18"/>
    <n v="1515.42"/>
    <n v="1515.42"/>
    <s v="KG"/>
    <n v="156"/>
    <s v="U"/>
    <x v="19"/>
    <n v="2.4700000000000002"/>
    <n v="24"/>
    <x v="1"/>
    <s v="MIAMI"/>
    <s v="N/A"/>
    <s v="MARÍTIMO"/>
    <s v="CITIKOLD DEL PERU S.A.C."/>
    <s v="BUSTAMANTE RODOLFO S.A."/>
    <x v="21"/>
    <s v="CHOCHO 24 X 14OZ (397GR) LUPINI BEANS"/>
    <s v="CHOCHO 24 X 14OZ (397GR) LUPINI BEANS"/>
    <s v="CHOCHO 24 X 14OZ (397GR) LUPINI BEANS"/>
    <s v="CHOCHO 24 X 14OZ (397GR) LUPINI BEANS"/>
    <s v="CHOCHO 24 X 14OZ (397GR) LUPINI BEANS"/>
    <s v="SEABOARD MARINE LTD"/>
    <s v="QUALITY PREMIUM LOGISTICS S.A.C."/>
    <s v="TAGGART INTERNATIONAL LTD INC"/>
    <s v="VERDE"/>
  </r>
  <r>
    <n v="713909000"/>
    <s v="DEMAS HORTALIZAS DE VAINAS SECAS DESVAINADAS,MONDADAS O PARTIDAS EXCEPTO PARA SIEMBRA"/>
    <s v="MARITIMA DEL CALLAO"/>
    <s v="040450 | 12"/>
    <x v="22"/>
    <x v="9"/>
    <x v="2"/>
    <n v="20503662354"/>
    <s v="IMEX FUTURA S.A.C."/>
    <s v="FAMILY FOOD DISTRIBUTORS. INC"/>
    <n v="524.41"/>
    <n v="489.79"/>
    <n v="489.79"/>
    <s v="KG"/>
    <n v="52"/>
    <s v="U"/>
    <x v="20"/>
    <n v="2.548"/>
    <n v="24"/>
    <x v="1"/>
    <s v="MIAMI"/>
    <s v="N/A"/>
    <s v="MARÍTIMO"/>
    <s v="CITIKOLD DEL PERU S.A.C."/>
    <s v="BUSTAMANTE RODOLFO S.A."/>
    <x v="22"/>
    <s v="CHOCHO 24 X 14OZ (397GR) LUPINI BEANS  IN EACH BOX MAMA TERE"/>
    <s v="CHOCHO 24 X 14OZ (397GR) LUPINI BEANS  IN EACH BOX MAMA TERE"/>
    <s v="CHOCHO 24 X 14OZ (397GR) LUPINI BEANS  IN EACH BOX MAMA TERE"/>
    <s v="CHOCHO 24 X 14OZ (397GR) LUPINI BEANS  IN EACH BOX MAMA TERE"/>
    <s v="CHOCHO 24 X 14OZ (397GR) LUPINI BEANS  IN EACH BOX MAMA TERE"/>
    <s v="SEABOARD MARINE LTD"/>
    <s v="QUALITY PREMIUM LOGISTICS S.A.C."/>
    <s v="TAGGART INTERNATIONAL LTD INC"/>
    <s v="VERDE"/>
  </r>
  <r>
    <n v="713909000"/>
    <s v="DEMAS HORTALIZAS DE VAINAS SECAS DESVAINADAS,MONDADAS O PARTIDAS EXCEPTO PARA SIEMBRA"/>
    <s v="TUMBES"/>
    <s v="003555 | 1"/>
    <x v="23"/>
    <x v="1"/>
    <x v="1"/>
    <n v="20409318135"/>
    <s v="COPROIMPEX SOCIEDAD ANONIMA CERRADA"/>
    <s v="MEJIA ZAMORA LIGIA YOLANDA"/>
    <n v="19583.57"/>
    <n v="19500"/>
    <n v="19500"/>
    <s v="KG"/>
    <n v="19500"/>
    <s v="KG"/>
    <x v="21"/>
    <n v="0.74"/>
    <n v="0.74"/>
    <x v="0"/>
    <s v="HUAQUILLAS"/>
    <s v="N/A"/>
    <s v="CARRETERO"/>
    <s v="N/A"/>
    <s v="MOCAYAS LOGISTICA ADUANERA S.A.C."/>
    <x v="23"/>
    <s v="390 SACOS CONTENIENDO CHOCHOS SECOSX50 KG C/SPARA SU COMERCIALIZACION"/>
    <s v="390 SACOS CONTENIENDO CHOCHOS SECOSX50 KG C/SPARA SU COMERCIALIZACION"/>
    <s v="390 SACOS CONTENIENDO CHOCHOS SECOSX50 KG C/SPARA SU COMERCIALIZACION"/>
    <s v="390 SACOS CONTENIENDO CHOCHOS SECOSX50 KG C/SPARA SU COMERCIALIZACION"/>
    <s v="390 SACOS CONTENIENDO CHOCHOS SECOSX50 KG C/SPARA SU COMERCIALIZACION"/>
    <s v=""/>
    <s v=""/>
    <s v=""/>
    <s v="VERDE"/>
  </r>
  <r>
    <n v="713909000"/>
    <s v="DEMAS HORTALIZAS DE VAINAS SECAS DESVAINADAS,MONDADAS O PARTIDAS EXCEPTO PARA SIEMBRA"/>
    <s v="TUMBES"/>
    <s v="003134 | 1"/>
    <x v="24"/>
    <x v="9"/>
    <x v="1"/>
    <n v="20409318135"/>
    <s v="COPROIMPEX SOCIEDAD ANONIMA CERRADA"/>
    <s v="SUAREZ MORENO SEGUNDO ESTUARDO"/>
    <n v="18586.37"/>
    <n v="18500"/>
    <n v="18500"/>
    <s v="KG"/>
    <n v="18500"/>
    <s v="KG"/>
    <x v="22"/>
    <n v="0.74"/>
    <n v="0.74"/>
    <x v="0"/>
    <s v="HUAQUILLAS"/>
    <s v="N/A"/>
    <s v="CARRETERO"/>
    <s v="N/A"/>
    <s v="PAZLEY ADUANA SOCIEDAD ANONIMA CERRADA - PAZLEY ADUANA S"/>
    <x v="24"/>
    <s v="CHOCOS SECOS X 50KG.C/SEMBALADOS EN 370  SACOSPARA SU COMERCIALIZACION"/>
    <s v="CHOCOS SECOS X 50KG.C/SEMBALADOS EN 370  SACOSPARA SU COMERCIALIZACION"/>
    <s v="CHOCOS SECOS X 50KG.C/SEMBALADOS EN 370  SACOSPARA SU COMERCIALIZACION"/>
    <s v="CHOCOS SECOS X 50KG.C/SEMBALADOS EN 370  SACOSPARA SU COMERCIALIZACION"/>
    <s v="CHOCOS SECOS X 50KG.C/SEMBALADOS EN 370  SACOSPARA SU COMERCIALIZACION"/>
    <s v=""/>
    <s v=""/>
    <s v=""/>
    <s v="VERDE"/>
  </r>
  <r>
    <n v="713909000"/>
    <s v="DEMAS HORTALIZAS DE VAINAS SECAS DESVAINADAS,MONDADAS O PARTIDAS EXCEPTO PARA SIEMBRA"/>
    <s v="TUMBES"/>
    <s v="002918 | 4"/>
    <x v="25"/>
    <x v="9"/>
    <x v="1"/>
    <n v="20409318135"/>
    <s v="COPROIMPEX SOCIEDAD ANONIMA CERRADA"/>
    <s v="SUAREZ MORENO SEGUNDO ESTUARDO"/>
    <n v="5775.75"/>
    <n v="5750"/>
    <n v="5750"/>
    <s v="KG"/>
    <n v="5750"/>
    <s v="KG"/>
    <x v="23"/>
    <n v="0.74"/>
    <n v="0.74"/>
    <x v="0"/>
    <s v="HUAQUILLAS"/>
    <s v="N/A"/>
    <s v="CARRETERO"/>
    <s v="N/A"/>
    <s v="PAZLEY ADUANA SOCIEDAD ANONIMA CERRADA - PAZLEY ADUANA S"/>
    <x v="25"/>
    <s v="CHOCOS SECOS X 50KG.C/SEMBALADOS EN 115 SACOSPARA SU COMERCIALIZACION"/>
    <s v="CHOCOS SECOS X 50KG.C/SEMBALADOS EN 115 SACOSPARA SU COMERCIALIZACION"/>
    <s v="CHOCOS SECOS X 50KG.C/SEMBALADOS EN 115 SACOSPARA SU COMERCIALIZACION"/>
    <s v="CHOCOS SECOS X 50KG.C/SEMBALADOS EN 115 SACOSPARA SU COMERCIALIZACION"/>
    <s v="CHOCOS SECOS X 50KG.C/SEMBALADOS EN 115 SACOSPARA SU COMERCIALIZACION"/>
    <s v=""/>
    <s v=""/>
    <s v=""/>
    <s v="VERDE"/>
  </r>
  <r>
    <n v="713909000"/>
    <s v="DEMAS HORTALIZAS DE VAINAS SECAS DESVAINADAS,MONDADAS O PARTIDAS EXCEPTO PARA SIEMBRA"/>
    <s v="TUMBES"/>
    <s v="002110 | 1"/>
    <x v="7"/>
    <x v="2"/>
    <x v="1"/>
    <n v="20409318135"/>
    <s v="COPROIMPEX SOCIEDAD ANONIMA CERRADA"/>
    <s v="MEJIA ZAMORA LIGIA YOLANDA"/>
    <n v="25100"/>
    <n v="25000"/>
    <n v="25000"/>
    <s v="KG"/>
    <n v="25000"/>
    <s v="KG"/>
    <x v="24"/>
    <n v="0.74"/>
    <n v="0.74"/>
    <x v="0"/>
    <s v="HUAQUILLAS"/>
    <s v="N/A"/>
    <s v="CARRETERO"/>
    <s v="N/A"/>
    <s v="MOCAYAS LOGISTICA ADUANERA S.A.C."/>
    <x v="26"/>
    <s v="500 SACOS CONTENIENDO CHOCHOS SECOSX50 KG C/SPARA SU COMERCIALIZACION"/>
    <s v="500 SACOS CONTENIENDO CHOCHOS SECOSX50 KG C/SPARA SU COMERCIALIZACION"/>
    <s v="500 SACOS CONTENIENDO CHOCHOS SECOSX50 KG C/SPARA SU COMERCIALIZACION"/>
    <s v="500 SACOS CONTENIENDO CHOCHOS SECOSX50 KG C/SPARA SU COMERCIALIZACION"/>
    <s v="500 SACOS CONTENIENDO CHOCHOS SECOSX50 KG C/SPARA SU COMERCIALIZACION"/>
    <s v=""/>
    <s v=""/>
    <s v=""/>
    <s v="VERDE"/>
  </r>
  <r>
    <n v="713909000"/>
    <s v="DEMAS HORTALIZAS DE VAINAS SECAS DESVAINADAS,MONDADAS O PARTIDAS EXCEPTO PARA SIEMBRA"/>
    <s v="TUMBES"/>
    <s v="002719 | 1"/>
    <x v="26"/>
    <x v="9"/>
    <x v="1"/>
    <n v="20409318135"/>
    <s v="COPROIMPEX SOCIEDAD ANONIMA CERRADA"/>
    <s v="MEJIA ZAMORA LIGIA YOLANDA"/>
    <n v="22590.75"/>
    <n v="22500"/>
    <n v="22500"/>
    <s v="KG"/>
    <n v="22500"/>
    <s v="KG"/>
    <x v="25"/>
    <n v="0.74"/>
    <n v="0.74"/>
    <x v="0"/>
    <s v="HUAQUILLAS"/>
    <s v="N/A"/>
    <s v="CARRETERO"/>
    <s v="N/A"/>
    <s v="MOCAYAS LOGISTICA ADUANERA S.A.C."/>
    <x v="27"/>
    <s v="450 SACOS CONTENIENDO CHOCHOS SECOSX50 KG C/SPARA SU COMERCIALIZACION"/>
    <s v="450 SACOS CONTENIENDO CHOCHOS SECOSX50 KG C/SPARA SU COMERCIALIZACION"/>
    <s v="450 SACOS CONTENIENDO CHOCHOS SECOSX50 KG C/SPARA SU COMERCIALIZACION"/>
    <s v="450 SACOS CONTENIENDO CHOCHOS SECOSX50 KG C/SPARA SU COMERCIALIZACION"/>
    <s v="450 SACOS CONTENIENDO CHOCHOS SECOSX50 KG C/SPARA SU COMERCIALIZACION"/>
    <s v=""/>
    <s v=""/>
    <s v=""/>
    <s v="VERDE"/>
  </r>
  <r>
    <n v="713909000"/>
    <s v="DEMAS HORTALIZAS DE VAINAS SECAS DESVAINADAS,MONDADAS O PARTIDAS EXCEPTO PARA SIEMBRA"/>
    <s v="TUMBES"/>
    <s v="001785 | 2"/>
    <x v="27"/>
    <x v="2"/>
    <x v="1"/>
    <n v="20409318135"/>
    <s v="COPROIMPEX SOCIEDAD ANONIMA CERRADA"/>
    <s v="CEVALLOS MEJIA PATRICIAELIZABETH"/>
    <n v="5020"/>
    <n v="5000"/>
    <n v="5000"/>
    <s v="KG"/>
    <n v="5000"/>
    <s v="KG"/>
    <x v="26"/>
    <n v="0.74"/>
    <n v="0.74"/>
    <x v="0"/>
    <s v="HUAQUILLAS"/>
    <s v="N/A"/>
    <s v="CARRETERO"/>
    <s v="N/A"/>
    <s v="MOCAYAS LOGISTICA ADUANERA S.A.C."/>
    <x v="28"/>
    <s v="100 SACOS CONTENIENDO CHOCHOS SECOSX50 KG C/SPARA SU COMERCIALIZACION"/>
    <s v="100 SACOS CONTENIENDO CHOCHOS SECOSX50 KG C/SPARA SU COMERCIALIZACION"/>
    <s v="100 SACOS CONTENIENDO CHOCHOS SECOSX50 KG C/SPARA SU COMERCIALIZACION"/>
    <s v="100 SACOS CONTENIENDO CHOCHOS SECOSX50 KG C/SPARA SU COMERCIALIZACION"/>
    <s v="100 SACOS CONTENIENDO CHOCHOS SECOSX50 KG C/SPARA SU COMERCIALIZACION"/>
    <s v=""/>
    <s v=""/>
    <s v=""/>
    <s v="VERDE"/>
  </r>
  <r>
    <n v="713909000"/>
    <s v="DEMAS HORTALIZAS DE VAINAS SECAS DESVAINADAS,MONDADAS O PARTIDAS EXCEPTO PARA SIEMBRA"/>
    <s v="MARITIMA DEL CALLAO"/>
    <s v="113702 | 6"/>
    <x v="28"/>
    <x v="10"/>
    <x v="0"/>
    <n v="20523273265"/>
    <s v="MIRANDA - LANGA AGRO EXPORT S.A.C - MIRANDA - LANGA S.A.C"/>
    <s v="JP TRADING AND GLOBAL IMPORTS LLC"/>
    <n v="866.79"/>
    <n v="771.77"/>
    <n v="771.77"/>
    <s v="KG"/>
    <n v="108"/>
    <s v="CAJ"/>
    <x v="27"/>
    <n v="3.8479999999999999"/>
    <n v="27.5"/>
    <x v="1"/>
    <s v="MIAMI"/>
    <s v="N/A"/>
    <s v="MARÍTIMO"/>
    <s v="CITIKOLD DEL PERU S.A.C."/>
    <s v="DESPACHOS ADUANEROS CHAVIMOCHIC SAC"/>
    <x v="5"/>
    <s v="CHOCHOS VALLES ANDINOS EN CAJAS PARA CONSUMO HUMANO"/>
    <s v="CHOCHOS VALLES ANDINOS EN CAJAS PARA CONSUMO HUMANO"/>
    <s v="CHOCHOS VALLES ANDINOS EN CAJAS PARA CONSUMO HUMANO"/>
    <s v="CHOCHOS VALLES ANDINOS EN CAJAS PARA CONSUMO HUMANO"/>
    <s v="CHOCHOS VALLES ANDINOS EN CAJAS PARA CONSUMO HUMANO"/>
    <s v="SEABOARD MARINE LTD"/>
    <s v="_x0000_"/>
    <s v="_x0000_"/>
    <s v="VERDE"/>
  </r>
  <r>
    <n v="713909000"/>
    <s v="DEMAS HORTALIZAS DE VAINAS SECAS DESVAINADAS,MONDADAS O PARTIDAS EXCEPTO PARA SIEMBRA"/>
    <s v="MARITIMA DEL CALLAO"/>
    <s v="019820 | 8"/>
    <x v="29"/>
    <x v="3"/>
    <x v="2"/>
    <n v="20503662354"/>
    <s v="IMEX FUTURA S.A.C."/>
    <s v="FAMILY FOOD DISTRIBUTORS. INC"/>
    <n v="1147.26"/>
    <n v="1080.1500000000001"/>
    <n v="1080.1500000000001"/>
    <s v="KG"/>
    <n v="104"/>
    <s v="U"/>
    <x v="16"/>
    <n v="2.31"/>
    <n v="24"/>
    <x v="1"/>
    <s v="MIAMI"/>
    <s v="N/A"/>
    <s v="MARÍTIMO"/>
    <s v="CITIKOLD DEL PERU S.A.C."/>
    <s v="BUSTAMANTE RODOLFO S.A."/>
    <x v="29"/>
    <s v="CHOCHO  24 X 14OZ (397GR) IN EACH BOX MAMA TERE USO: CONSUMO"/>
    <s v="CHOCHO  24 X 14OZ (397GR) IN EACH BOX MAMA TERE USO: CONSUMO"/>
    <s v="CHOCHO  24 X 14OZ (397GR) IN EACH BOX MAMA TERE USO: CONSUMO"/>
    <s v="CHOCHO  24 X 14OZ (397GR) IN EACH BOX MAMA TERE USO: CONSUMO"/>
    <s v="CHOCHO  24 X 14OZ (397GR) IN EACH BOX MAMA TERE USO: CONSUMO"/>
    <s v="SEABOARD MARINE LTD"/>
    <s v="QUALITY PREMIUM LOGISTICS S.A.C."/>
    <s v="TAGGART INTERNATIONAL LTD INC"/>
    <s v="VERDE"/>
  </r>
  <r>
    <n v="713909000"/>
    <s v="DEMAS HORTALIZAS DE VAINAS SECAS DESVAINADAS,MONDADAS O PARTIDAS EXCEPTO PARA SIEMBRA"/>
    <s v="MARITIMA DEL CALLAO"/>
    <s v="059921 | 3"/>
    <x v="30"/>
    <x v="6"/>
    <x v="1"/>
    <n v="20544535669"/>
    <s v="KALLPA FOODS S.A.C."/>
    <s v="GOYA EUROPA SLU"/>
    <n v="3467.51"/>
    <n v="3294.13"/>
    <n v="3294.13"/>
    <s v="KG"/>
    <n v="202"/>
    <s v="CAJ"/>
    <x v="28"/>
    <n v="2.4830000000000001"/>
    <n v="40.5"/>
    <x v="2"/>
    <s v="POSORJA"/>
    <s v="N/A"/>
    <s v="MARÍTIMO"/>
    <s v="TRAMARSA - TRABAJOS MARITIMOS S.A."/>
    <s v="JG ADUANAS LOGISTIC SOCIEDAD ANONIMA CERRADA"/>
    <x v="30"/>
    <s v="CHOCHOS 24 X 500 GRS - NATIVO MARCA: NATIVO PARA CONSUMO HUMANO"/>
    <s v="CHOCHOS 24 X 500 GRS - NATIVO MARCA: NATIVO PARA CONSUMO HUMANO"/>
    <s v="CHOCHOS 24 X 500 GRS - NATIVO MARCA: NATIVO PARA CONSUMO HUMANO"/>
    <s v="CHOCHOS 24 X 500 GRS - NATIVO MARCA: NATIVO PARA CONSUMO HUMANO"/>
    <s v="CHOCHOS 24 X 500 GRS - NATIVO MARCA: NATIVO PARA CONSUMO HUMANO"/>
    <s v="CMA-CGM"/>
    <s v="_x0000_"/>
    <s v="_x0000_"/>
    <s v="VERDE"/>
  </r>
  <r>
    <n v="713909000"/>
    <s v="DEMAS HORTALIZAS DE VAINAS SECAS DESVAINADAS,MONDADAS O PARTIDAS EXCEPTO PARA SIEMBRA"/>
    <s v="MARITIMA DEL CALLAO"/>
    <s v="044207 | 8"/>
    <x v="31"/>
    <x v="1"/>
    <x v="1"/>
    <n v="20544535669"/>
    <s v="KALLPA FOODS S.A.C."/>
    <s v="GOYA EUROPA SLU"/>
    <n v="1315.16"/>
    <n v="1212"/>
    <n v="1212"/>
    <s v="KG"/>
    <n v="101"/>
    <s v="CAJ"/>
    <x v="29"/>
    <n v="3.375"/>
    <n v="40.5"/>
    <x v="2"/>
    <s v="POSORJA"/>
    <s v="N/A"/>
    <s v="MARÍTIMO"/>
    <s v="IAN TAYLOR AGENCIAS S.A.C."/>
    <s v="JG ADUANAS LOGISTIC SOCIEDAD ANONIMA CERRADA"/>
    <x v="30"/>
    <s v="CHOCHOS 24 X 500 GRS - NATIVO MARCA: NATIVO PARA CONSUMO HUMANO"/>
    <s v="CHOCHOS 24 X 500 GRS - NATIVO MARCA: NATIVO PARA CONSUMO HUMANO"/>
    <s v="CHOCHOS 24 X 500 GRS - NATIVO MARCA: NATIVO PARA CONSUMO HUMANO"/>
    <s v="CHOCHOS 24 X 500 GRS - NATIVO MARCA: NATIVO PARA CONSUMO HUMANO"/>
    <s v="CHOCHOS 24 X 500 GRS - NATIVO MARCA: NATIVO PARA CONSUMO HUMANO"/>
    <s v="CMA-CGM"/>
    <s v="_x0000_"/>
    <s v="_x0000_"/>
    <s v="VERDE"/>
  </r>
  <r>
    <n v="713909000"/>
    <s v="DEMAS HORTALIZAS DE VAINAS SECAS DESVAINADAS,MONDADAS O PARTIDAS EXCEPTO PARA SIEMBRA"/>
    <s v="MARITIMA DEL CALLAO"/>
    <s v="027162 | 7"/>
    <x v="4"/>
    <x v="2"/>
    <x v="1"/>
    <n v="20544535669"/>
    <s v="KALLPA FOODS S.A.C."/>
    <s v="GOYA EUROPA SLU"/>
    <n v="1469.33"/>
    <n v="1356"/>
    <n v="1356"/>
    <s v="KG"/>
    <n v="113"/>
    <s v="CAJ"/>
    <x v="30"/>
    <n v="3.375"/>
    <n v="40.5"/>
    <x v="2"/>
    <s v="POSORJA"/>
    <s v="N/A"/>
    <s v="MARÍTIMO"/>
    <s v="IAN TAYLOR AGENCIAS S.A.C."/>
    <s v="JG ADUANAS LOGISTIC SOCIEDAD ANONIMA CERRADA"/>
    <x v="31"/>
    <s v="CHOCHOS MARCA: NATIVO 24 X 500 GR PARA CONSUMO HUMANO"/>
    <s v="CHOCHOS MARCA: NATIVO 24 X 500 GR PARA CONSUMO HUMANO"/>
    <s v="CHOCHOS MARCA: NATIVO 24 X 500 GR PARA CONSUMO HUMANO"/>
    <s v="CHOCHOS MARCA: NATIVO 24 X 500 GR PARA CONSUMO HUMANO"/>
    <s v="CHOCHOS MARCA: NATIVO 24 X 500 GR PARA CONSUMO HUMANO"/>
    <s v="CMA-CGM"/>
    <s v="_x0000_"/>
    <s v="_x0000_"/>
    <s v="VERDE"/>
  </r>
  <r>
    <n v="713909000"/>
    <s v="DEMAS HORTALIZAS DE VAINAS SECAS DESVAINADAS,MONDADAS O PARTIDAS EXCEPTO PARA SIEMBRA"/>
    <s v="TUMBES"/>
    <s v="001204 | 3"/>
    <x v="32"/>
    <x v="3"/>
    <x v="1"/>
    <n v="20409318135"/>
    <s v="COPROIMPEX SOCIEDAD ANONIMA CERRADA"/>
    <s v="MAJIA ZAMORA LIGIA YOLANDA"/>
    <n v="6528.42"/>
    <n v="6500"/>
    <n v="6500"/>
    <s v="KG"/>
    <n v="6500"/>
    <s v="KG"/>
    <x v="31"/>
    <n v="0.74"/>
    <n v="0.74"/>
    <x v="0"/>
    <s v="HUAQUILLAS"/>
    <s v="N/A"/>
    <s v="CARRETERO"/>
    <s v="N/A"/>
    <s v="MOCAYAS LOGISTICA ADUANERA S.A.C."/>
    <x v="32"/>
    <s v="130 SACOS CONTENIENDO CHOCHOS SECOSX50 KG C/SPARA SU COMERCIALIZACION"/>
    <s v="130 SACOS CONTENIENDO CHOCHOS SECOSX50 KG C/SPARA SU COMERCIALIZACION"/>
    <s v="130 SACOS CONTENIENDO CHOCHOS SECOSX50 KG C/SPARA SU COMERCIALIZACION"/>
    <s v="130 SACOS CONTENIENDO CHOCHOS SECOSX50 KG C/SPARA SU COMERCIALIZACION"/>
    <s v="130 SACOS CONTENIENDO CHOCHOS SECOSX50 KG C/SPARA SU COMERCIALIZACION"/>
    <s v=""/>
    <s v=""/>
    <s v=""/>
    <s v="VERDE"/>
  </r>
  <r>
    <n v="713909000"/>
    <s v="DEMAS HORTALIZAS DE VAINAS SECAS DESVAINADAS,MONDADAS O PARTIDAS EXCEPTO PARA SIEMBRA"/>
    <s v="TUMBES"/>
    <s v="001407 | 2"/>
    <x v="33"/>
    <x v="3"/>
    <x v="1"/>
    <n v="20409318135"/>
    <s v="COPROIMPEX SOCIEDAD ANONIMA CERRADA"/>
    <s v="SEGUNDO ESTUARDO SUAREZ MORENO"/>
    <n v="13058"/>
    <n v="13000"/>
    <n v="13000"/>
    <s v="KG"/>
    <n v="13000"/>
    <s v="KG"/>
    <x v="32"/>
    <n v="0.74"/>
    <n v="0.74"/>
    <x v="0"/>
    <s v="HUAQUILLAS"/>
    <s v="N/A"/>
    <s v="CARRETERO"/>
    <s v="N/A"/>
    <s v="PAZLEY ADUANA SOCIEDAD ANONIMA CERRADA - PAZLEY ADUANA S"/>
    <x v="33"/>
    <s v="CHOCOS SECOS X 50KG.C/SEMBALADOS EN 260 SACOSPARA SU COMERCIALIZACION"/>
    <s v="CHOCOS SECOS X 50KG.C/SEMBALADOS EN 260 SACOSPARA SU COMERCIALIZACION"/>
    <s v="CHOCOS SECOS X 50KG.C/SEMBALADOS EN 260 SACOSPARA SU COMERCIALIZACION"/>
    <s v="CHOCOS SECOS X 50KG.C/SEMBALADOS EN 260 SACOSPARA SU COMERCIALIZACION"/>
    <s v="CHOCOS SECOS X 50KG.C/SEMBALADOS EN 260 SACOSPARA SU COMERCIALIZACION"/>
    <s v=""/>
    <s v=""/>
    <s v=""/>
    <s v="VERDE"/>
  </r>
  <r>
    <n v="713909000"/>
    <s v="DEMAS HORTALIZAS DE VAINAS SECAS DESVAINADAS,MONDADAS O PARTIDAS EXCEPTO PARA SIEMBRA"/>
    <s v="TUMBES"/>
    <s v="000821 | 3"/>
    <x v="34"/>
    <x v="3"/>
    <x v="1"/>
    <n v="20409318135"/>
    <s v="COPROIMPEX SOCIEDAD ANONIMA CERRADA"/>
    <s v="SUAREZ MORENO SEGUNDO ESTUARDO"/>
    <n v="5021.2700000000004"/>
    <n v="5000"/>
    <n v="5000"/>
    <s v="KG"/>
    <n v="5000"/>
    <s v="KG"/>
    <x v="26"/>
    <n v="0.74"/>
    <n v="0.74"/>
    <x v="0"/>
    <s v="HUAQUILLAS"/>
    <s v="N/A"/>
    <s v="CARRETERO"/>
    <s v="N/A"/>
    <s v="PAZLEY ADUANA SOCIEDAD ANONIMA CERRADA - PAZLEY ADUANA S"/>
    <x v="34"/>
    <s v="CHOCHOS SECOS X 50 KG, C/SACOEMBALADOS EN 100 SACOSPARA SU COMERCIALIZACION"/>
    <s v="CHOCHOS SECOS X 50 KG, C/SACOEMBALADOS EN 100 SACOSPARA SU COMERCIALIZACION"/>
    <s v="CHOCHOS SECOS X 50 KG, C/SACOEMBALADOS EN 100 SACOSPARA SU COMERCIALIZACION"/>
    <s v="CHOCHOS SECOS X 50 KG, C/SACOEMBALADOS EN 100 SACOSPARA SU COMERCIALIZACION"/>
    <s v="CHOCHOS SECOS X 50 KG, C/SACOEMBALADOS EN 100 SACOSPARA SU COMERCIALIZACION"/>
    <s v=""/>
    <s v=""/>
    <s v=""/>
    <s v="VERDE"/>
  </r>
  <r>
    <n v="713909000"/>
    <s v="DEMAS HORTALIZAS DE VAINAS SECAS DESVAINADAS,MONDADAS O PARTIDAS EXCEPTO PARA SIEMBRA"/>
    <s v="TUMBES"/>
    <s v="000384 | 2"/>
    <x v="35"/>
    <x v="4"/>
    <x v="1"/>
    <n v="20409318135"/>
    <s v="COPROIMPEX SOCIEDAD ANONIMA CERRADA"/>
    <s v="MAJIA ZAMORA YOLANDA MARIA"/>
    <n v="7532.4"/>
    <n v="7500"/>
    <n v="7500"/>
    <s v="KG"/>
    <n v="7500"/>
    <s v="KG"/>
    <x v="33"/>
    <n v="0.74"/>
    <n v="0.74"/>
    <x v="0"/>
    <s v="HUAQUILLAS"/>
    <s v="N/A"/>
    <s v="CARRETERO"/>
    <s v="N/A"/>
    <s v="MOCAYAS LOGISTICA ADUANERA S.A.C."/>
    <x v="35"/>
    <s v="150 SACOS CONTENIENDO CHOCHOS SECOSX50 KG C/SPARA SU COMERCIALIZACION"/>
    <s v="150 SACOS CONTENIENDO CHOCHOS SECOSX50 KG C/SPARA SU COMERCIALIZACION"/>
    <s v="150 SACOS CONTENIENDO CHOCHOS SECOSX50 KG C/SPARA SU COMERCIALIZACION"/>
    <s v="150 SACOS CONTENIENDO CHOCHOS SECOSX50 KG C/SPARA SU COMERCIALIZACION"/>
    <s v="150 SACOS CONTENIENDO CHOCHOS SECOSX50 KG C/SPARA SU COMERCIALIZACION"/>
    <s v=""/>
    <s v=""/>
    <s v=""/>
    <s v="VERDE"/>
  </r>
  <r>
    <n v="713909000"/>
    <s v="DEMAS HORTALIZAS DE VAINAS SECAS DESVAINADAS,MONDADAS O PARTIDAS EXCEPTO PARA SIEMBRA"/>
    <s v="TUMBES"/>
    <s v="000402 | 1"/>
    <x v="36"/>
    <x v="4"/>
    <x v="1"/>
    <n v="20409318135"/>
    <s v="COPROIMPEX SOCIEDAD ANONIMA CERRADA"/>
    <s v="N/A"/>
    <n v="18080.2"/>
    <n v="18000"/>
    <n v="18000"/>
    <s v="KG"/>
    <n v="18000"/>
    <s v="KG"/>
    <x v="34"/>
    <n v="0.74"/>
    <n v="0.74"/>
    <x v="0"/>
    <s v="HUAQUILLAS"/>
    <s v="N/A"/>
    <s v="CARRETERO"/>
    <s v="N/A"/>
    <s v="PAZLEY ADUANA SOCIEDAD ANONIMA CERRADA - PAZLEY ADUANA S"/>
    <x v="36"/>
    <s v="CHOCHOS SECOS X 50 KG, C/SACOEMBALADOS EN 360 SACOSPARA SU COMERCIALIZACION"/>
    <s v="CHOCHOS SECOS X 50 KG, C/SACOEMBALADOS EN 360 SACOSPARA SU COMERCIALIZACION"/>
    <s v="CHOCHOS SECOS X 50 KG, C/SACOEMBALADOS EN 360 SACOSPARA SU COMERCIALIZACION"/>
    <s v="CHOCHOS SECOS X 50 KG, C/SACOEMBALADOS EN 360 SACOSPARA SU COMERCIALIZACION"/>
    <s v="CHOCHOS SECOS X 50 KG, C/SACOEMBALADOS EN 360 SACOSPARA SU COMERCIALIZACION"/>
    <s v=""/>
    <s v=""/>
    <s v=""/>
    <s v=""/>
  </r>
  <r>
    <n v="713909000"/>
    <s v="DEMAS HORTALIZAS DE VAINAS SECAS DESVAINADAS,MONDADAS O PARTIDAS EXCEPTO PARA SIEMBRA"/>
    <s v="TUMBES"/>
    <s v="011975 | 1"/>
    <x v="37"/>
    <x v="8"/>
    <x v="0"/>
    <n v="20409318135"/>
    <s v="COPROIMPEX SOCIEDAD ANONIMA CERRADA"/>
    <s v="MEJIA ZAMORA LIGIA YOLANDA"/>
    <n v="28622.37"/>
    <n v="28500"/>
    <n v="28500"/>
    <s v="KG"/>
    <n v="28500"/>
    <s v="KG"/>
    <x v="35"/>
    <n v="0.74"/>
    <n v="0.74"/>
    <x v="0"/>
    <s v="HUAQUILLAS"/>
    <s v="N/A"/>
    <s v="CARRETERO"/>
    <s v="N/A"/>
    <s v="MOCAYAS LOGISTICA ADUANERA S.A.C."/>
    <x v="37"/>
    <s v="570 SACOS CONTENIENDO CHOCHOS SECOSX50 KG C/SPARA SU COMERCIALIZACION"/>
    <s v="570 SACOS CONTENIENDO CHOCHOS SECOSX50 KG C/SPARA SU COMERCIALIZACION"/>
    <s v="570 SACOS CONTENIENDO CHOCHOS SECOSX50 KG C/SPARA SU COMERCIALIZACION"/>
    <s v="570 SACOS CONTENIENDO CHOCHOS SECOSX50 KG C/SPARA SU COMERCIALIZACION"/>
    <s v="570 SACOS CONTENIENDO CHOCHOS SECOSX50 KG C/SPARA SU COMERCIALIZACION"/>
    <s v=""/>
    <s v=""/>
    <s v=""/>
    <s v="VERDE"/>
  </r>
  <r>
    <n v="713909000"/>
    <s v="DEMAS HORTALIZAS DE VAINAS SECAS DESVAINADAS,MONDADAS O PARTIDAS EXCEPTO PARA SIEMBRA"/>
    <s v="TUMBES"/>
    <s v="011992 | 2"/>
    <x v="37"/>
    <x v="8"/>
    <x v="0"/>
    <n v="20409318135"/>
    <s v="COPROIMPEX SOCIEDAD ANONIMA CERRADA"/>
    <s v="SUAREZ MORENO SEGUNDO ESTUARDO"/>
    <n v="11807.03"/>
    <n v="11750"/>
    <n v="11750"/>
    <s v="KG"/>
    <n v="11750"/>
    <s v="KG"/>
    <x v="36"/>
    <n v="0.74"/>
    <n v="0.74"/>
    <x v="0"/>
    <s v="HUAQUILLAS"/>
    <s v="N/A"/>
    <s v="CARRETERO"/>
    <s v="N/A"/>
    <s v="PAZLEY ADUANA SOCIEDAD ANONIMA CERRADA - PAZLEY ADUANA S"/>
    <x v="38"/>
    <s v="CHOCHOS SECOS X 50 KG, C/SACOEMBALADOS EN 235 SACOSPARA SU COMERCIALIZACION"/>
    <s v="CHOCHOS SECOS X 50 KG, C/SACOEMBALADOS EN 235 SACOSPARA SU COMERCIALIZACION"/>
    <s v="CHOCHOS SECOS X 50 KG, C/SACOEMBALADOS EN 235 SACOSPARA SU COMERCIALIZACION"/>
    <s v="CHOCHOS SECOS X 50 KG, C/SACOEMBALADOS EN 235 SACOSPARA SU COMERCIALIZACION"/>
    <s v="CHOCHOS SECOS X 50 KG, C/SACOEMBALADOS EN 235 SACOSPARA SU COMERCIALIZACION"/>
    <s v=""/>
    <s v=""/>
    <s v=""/>
    <s v="VERDE"/>
  </r>
  <r>
    <n v="713909000"/>
    <s v="DEMAS HORTALIZAS DE VAINAS SECAS DESVAINADAS,MONDADAS O PARTIDAS EXCEPTO PARA SIEMBRA"/>
    <s v="TUMBES"/>
    <s v="011709 | 1"/>
    <x v="38"/>
    <x v="8"/>
    <x v="0"/>
    <n v="20409318135"/>
    <s v="COPROIMPEX SOCIEDAD ANONIMA CERRADA"/>
    <s v="MEJIA ZAMORA FABIOLA MARIA"/>
    <n v="40173.910000000003"/>
    <n v="40000"/>
    <n v="40000"/>
    <s v="KG"/>
    <n v="40000"/>
    <s v="KG"/>
    <x v="37"/>
    <n v="0.74"/>
    <n v="0.74"/>
    <x v="0"/>
    <s v="HUAQUILLAS"/>
    <s v="N/A"/>
    <s v="CARRETERO"/>
    <s v="N/A"/>
    <s v="MOCAYAS LOGISTICA ADUANERA S.A.C."/>
    <x v="39"/>
    <s v="800 SACOS CONTENIENDO CHOCHOS SECOSX50 KG C/SPARA SU COMERCIALIZACION"/>
    <s v="800 SACOS CONTENIENDO CHOCHOS SECOSX50 KG C/SPARA SU COMERCIALIZACION"/>
    <s v="800 SACOS CONTENIENDO CHOCHOS SECOSX50 KG C/SPARA SU COMERCIALIZACION"/>
    <s v="800 SACOS CONTENIENDO CHOCHOS SECOSX50 KG C/SPARA SU COMERCIALIZACION"/>
    <s v="800 SACOS CONTENIENDO CHOCHOS SECOSX50 KG C/SPARA SU COMERCIALIZACION"/>
    <s v=""/>
    <s v=""/>
    <s v=""/>
    <s v="VERDE"/>
  </r>
  <r>
    <n v="713909000"/>
    <s v="DEMAS HORTALIZAS DE VAINAS SECAS DESVAINADAS,MONDADAS O PARTIDAS EXCEPTO PARA SIEMBRA"/>
    <s v="AEREA DEL CALLAO"/>
    <s v="050016 | 4"/>
    <x v="39"/>
    <x v="0"/>
    <x v="1"/>
    <n v="20510807694"/>
    <s v="MAPA LOGISTICA INTERNACIONAL SAC"/>
    <s v="PERU ALIMENTA DI MANZO QUISPE ANTONIO GILBERTO"/>
    <n v="50"/>
    <n v="50"/>
    <n v="50"/>
    <s v="KG"/>
    <n v="50"/>
    <s v="KG"/>
    <x v="38"/>
    <n v="1.494"/>
    <n v="1.494"/>
    <x v="3"/>
    <s v="MADRID"/>
    <s v="N/A"/>
    <s v="AÉREO"/>
    <s v="AIR EUROPA LINEAS AÉREAS S.A. SUCURSAL DEL PERU"/>
    <s v="PAZLEY ADUANA SOCIEDAD ANONIMA CERRADA - PAZLEY ADUANA S"/>
    <x v="40"/>
    <s v="FRIJOL BLANCO"/>
    <s v="FRIJOL BLANCO"/>
    <s v="FRIJOL BLANCO"/>
    <s v="FRIJOL BLANCO"/>
    <s v="FRIJOL BLANCO"/>
    <s v="AIR EUROPA LINEAS AEREAS S.A. SUCURSAL DEL PERU"/>
    <s v="_x0000_"/>
    <s v="_x0000_"/>
    <s v="VERDE"/>
  </r>
  <r>
    <n v="713909000"/>
    <s v="DEMAS HORTALIZAS DE VAINAS SECAS DESVAINADAS,MONDADAS O PARTIDAS EXCEPTO PARA SIEMBRA"/>
    <s v="AEREA DEL CALLAO"/>
    <s v="043130 | 20"/>
    <x v="40"/>
    <x v="6"/>
    <x v="1"/>
    <n v="20510807694"/>
    <s v="MAPA LOGISTICA INTERNACIONAL SAC"/>
    <s v="PERU ALIMENTA DI MANZO QUISPE ANTONIO GILBERTO"/>
    <n v="52.62"/>
    <n v="50"/>
    <n v="50"/>
    <s v="KG"/>
    <n v="50"/>
    <s v="KG"/>
    <x v="39"/>
    <n v="1.5"/>
    <n v="1.5"/>
    <x v="3"/>
    <s v="MADRID"/>
    <s v="N/A"/>
    <s v="AÉREO"/>
    <s v="AIR EUROPA LINEAS AÉREAS S.A. SUCURSAL DEL PERU"/>
    <s v="PAZLEY ADUANA SOCIEDAD ANONIMA CERRADA - PAZLEY ADUANA S"/>
    <x v="40"/>
    <s v="FRIJOL BLANCO"/>
    <s v="FRIJOL BLANCO"/>
    <s v="FRIJOL BLANCO"/>
    <s v="FRIJOL BLANCO"/>
    <s v="FRIJOL BLANCO"/>
    <s v="AIR EUROPA LINEAS AEREAS S.A. SUCURSAL DEL PERU"/>
    <s v="_x0000_"/>
    <s v="_x0000_"/>
    <s v="VERDE"/>
  </r>
  <r>
    <n v="713909000"/>
    <s v="DEMAS HORTALIZAS DE VAINAS SECAS DESVAINADAS,MONDADAS O PARTIDAS EXCEPTO PARA SIEMBRA"/>
    <s v="MARITIMA DEL CALLAO"/>
    <s v="129203 | 3"/>
    <x v="41"/>
    <x v="8"/>
    <x v="0"/>
    <n v="20607653063"/>
    <s v="AGRO COSECHA PAZ S.A.C."/>
    <s v="TO ORDER"/>
    <n v="2001.66"/>
    <n v="2000"/>
    <n v="2000"/>
    <s v="KG"/>
    <n v="2000"/>
    <s v="KG"/>
    <x v="40"/>
    <n v="2.7759999999999998"/>
    <n v="2.7759999999999998"/>
    <x v="2"/>
    <s v="RODMAN"/>
    <s v="N/A"/>
    <s v="MARÍTIMO"/>
    <s v="MEDITERRANEAN SHIPPING CO.PERU S.A.C."/>
    <s v="A. HARTRODT ADUANAS S.A.C."/>
    <x v="41"/>
    <s v="FREJOL CHOCHO EN 80 SACOS X 25 KG C/U PARA CONSUMO HUMANO"/>
    <s v="FREJOL CHOCHO EN 80 SACOS X 25 KG C/U PARA CONSUMO HUMANO"/>
    <s v="FREJOL CHOCHO EN 80 SACOS X 25 KG C/U PARA CONSUMO HUMANO"/>
    <s v="FREJOL CHOCHO EN 80 SACOS X 25 KG C/U PARA CONSUMO HUMANO"/>
    <s v="FREJOL CHOCHO EN 80 SACOS X 25 KG C/U PARA CONSUMO HUMANO"/>
    <s v="MEDITERRANEAN SHIPPING COMPANY"/>
    <s v="_x0000_"/>
    <s v="_x0000_"/>
    <s v="VERDE"/>
  </r>
  <r>
    <n v="713909000"/>
    <s v="DEMAS HORTALIZAS DE VAINAS SECAS DESVAINADAS,MONDADAS O PARTIDAS EXCEPTO PARA SIEMBRA"/>
    <s v="TUMBES"/>
    <s v="011485 | 1"/>
    <x v="42"/>
    <x v="8"/>
    <x v="0"/>
    <n v="20409318135"/>
    <s v="COPROIMPEX SOCIEDAD ANONIMA CERRADA"/>
    <s v="MAJIA ZAMORA LIGIA YOLANDA"/>
    <n v="35390.39"/>
    <n v="35250"/>
    <n v="35250"/>
    <s v="KG"/>
    <n v="35250"/>
    <s v="KG"/>
    <x v="41"/>
    <n v="0.74"/>
    <n v="0.74"/>
    <x v="0"/>
    <s v="HUAQUILLAS"/>
    <s v="N/A"/>
    <s v="CARRETERO"/>
    <s v="N/A"/>
    <s v="MOCAYAS LOGISTICA ADUANERA S.A.C."/>
    <x v="42"/>
    <s v="705 SACOS CONTENIENDO CHOCHOS SECOSX50 KG C/SPARA SU COMERCIALIZACION"/>
    <s v="705 SACOS CONTENIENDO CHOCHOS SECOSX50 KG C/SPARA SU COMERCIALIZACION"/>
    <s v="705 SACOS CONTENIENDO CHOCHOS SECOSX50 KG C/SPARA SU COMERCIALIZACION"/>
    <s v="705 SACOS CONTENIENDO CHOCHOS SECOSX50 KG C/SPARA SU COMERCIALIZACION"/>
    <s v="705 SACOS CONTENIENDO CHOCHOS SECOSX50 KG C/SPARA SU COMERCIALIZACION"/>
    <s v=""/>
    <s v=""/>
    <s v=""/>
    <s v="VERDE"/>
  </r>
  <r>
    <n v="713909000"/>
    <s v="DEMAS HORTALIZAS DE VAINAS SECAS DESVAINADAS,MONDADAS O PARTIDAS EXCEPTO PARA SIEMBRA"/>
    <s v="TUMBES"/>
    <s v="011223 | 2"/>
    <x v="43"/>
    <x v="10"/>
    <x v="0"/>
    <n v="20409318135"/>
    <s v="COPROIMPEX SOCIEDAD ANONIMA CERRADA"/>
    <s v="MORENO SANTOS DRAUCIN"/>
    <n v="17090.080000000002"/>
    <n v="17000"/>
    <n v="17000"/>
    <s v="KG"/>
    <n v="17000"/>
    <s v="KG"/>
    <x v="42"/>
    <n v="0.74"/>
    <n v="0.74"/>
    <x v="0"/>
    <s v="HUAQUILLAS"/>
    <s v="N/A"/>
    <s v="CARRETERO"/>
    <s v="N/A"/>
    <s v="PAZLEY ADUANA SOCIEDAD ANONIMA CERRADA - PAZLEY ADUANA S"/>
    <x v="43"/>
    <s v="CHOCHOS SECOS X 50 KG, C/SACOEMBALADOS EN 340 SACOSPARA SU COMERCIALIZACION"/>
    <s v="CHOCHOS SECOS X 50 KG, C/SACOEMBALADOS EN 340 SACOSPARA SU COMERCIALIZACION"/>
    <s v="CHOCHOS SECOS X 50 KG, C/SACOEMBALADOS EN 340 SACOSPARA SU COMERCIALIZACION"/>
    <s v="CHOCHOS SECOS X 50 KG, C/SACOEMBALADOS EN 340 SACOSPARA SU COMERCIALIZACION"/>
    <s v="CHOCHOS SECOS X 50 KG, C/SACOEMBALADOS EN 340 SACOSPARA SU COMERCIALIZACION"/>
    <s v=""/>
    <s v=""/>
    <s v=""/>
    <s v="VERDE"/>
  </r>
  <r>
    <n v="713909000"/>
    <s v="DEMAS HORTALIZAS DE VAINAS SECAS DESVAINADAS,MONDADAS O PARTIDAS EXCEPTO PARA SIEMBRA"/>
    <s v="TUMBES"/>
    <s v="010904 | 1"/>
    <x v="44"/>
    <x v="10"/>
    <x v="0"/>
    <n v="20409318135"/>
    <s v="COPROIMPEX SOCIEDAD ANONIMA CERRADA"/>
    <s v="MEJIA ZAMORA LIGIA YOLANDA"/>
    <n v="27610"/>
    <n v="27500"/>
    <n v="27500"/>
    <s v="KG"/>
    <n v="27500"/>
    <s v="KG"/>
    <x v="43"/>
    <n v="0.74"/>
    <n v="0.74"/>
    <x v="0"/>
    <s v="HUAQUILLAS"/>
    <s v="N/A"/>
    <s v="CARRETERO"/>
    <s v="N/A"/>
    <s v="MOCAYAS LOGISTICA ADUANERA S.A.C."/>
    <x v="44"/>
    <s v="550 SACOS CONTENIENDO CHOCHOS SECOSX50 KG C/SPARA SU COMERCIALIZACION"/>
    <s v="550 SACOS CONTENIENDO CHOCHOS SECOSX50 KG C/SPARA SU COMERCIALIZACION"/>
    <s v="550 SACOS CONTENIENDO CHOCHOS SECOSX50 KG C/SPARA SU COMERCIALIZACION"/>
    <s v="550 SACOS CONTENIENDO CHOCHOS SECOSX50 KG C/SPARA SU COMERCIALIZACION"/>
    <s v="550 SACOS CONTENIENDO CHOCHOS SECOSX50 KG C/SPARA SU COMERCIALIZACION"/>
    <s v=""/>
    <s v=""/>
    <s v=""/>
    <s v="VERDE"/>
  </r>
  <r>
    <n v="713909000"/>
    <s v="DEMAS HORTALIZAS DE VAINAS SECAS DESVAINADAS,MONDADAS O PARTIDAS EXCEPTO PARA SIEMBRA"/>
    <s v="TUMBES"/>
    <s v="010659 | 1"/>
    <x v="45"/>
    <x v="10"/>
    <x v="0"/>
    <n v="20409318135"/>
    <s v="COPROIMPEX SOCIEDAD ANONIMA CERRADA"/>
    <s v="MEJIA ZAMORA LIGIA YOLANDA"/>
    <n v="35146.660000000003"/>
    <n v="35000"/>
    <n v="35000"/>
    <s v="KG"/>
    <n v="35000"/>
    <s v="KG"/>
    <x v="44"/>
    <n v="0.74"/>
    <n v="0.74"/>
    <x v="0"/>
    <s v="HUAQUILLAS"/>
    <s v="N/A"/>
    <s v="CARRETERO"/>
    <s v="N/A"/>
    <s v="MOCAYAS LOGISTICA ADUANERA S.A.C."/>
    <x v="45"/>
    <s v="700 SACOS CONTENIENDO CHOCHOS SECOSX50 KG C/SPARA SU COMERCIALIZACION"/>
    <s v="700 SACOS CONTENIENDO CHOCHOS SECOSX50 KG C/SPARA SU COMERCIALIZACION"/>
    <s v="700 SACOS CONTENIENDO CHOCHOS SECOSX50 KG C/SPARA SU COMERCIALIZACION"/>
    <s v="700 SACOS CONTENIENDO CHOCHOS SECOSX50 KG C/SPARA SU COMERCIALIZACION"/>
    <s v="700 SACOS CONTENIENDO CHOCHOS SECOSX50 KG C/SPARA SU COMERCIALIZACION"/>
    <s v=""/>
    <s v=""/>
    <s v=""/>
    <s v="VERDE"/>
  </r>
  <r>
    <n v="713909000"/>
    <s v="DEMAS HORTALIZAS DE VAINAS SECAS DESVAINADAS,MONDADAS O PARTIDAS EXCEPTO PARA SIEMBRA"/>
    <s v="TUMBES"/>
    <s v="010434 | 1"/>
    <x v="46"/>
    <x v="10"/>
    <x v="0"/>
    <n v="20409318135"/>
    <s v="COPROIMPEX SOCIEDAD ANONIMA CERRADA"/>
    <s v="SUAREZ MORENO SEGUNDO ESTUARDO"/>
    <n v="31132.560000000001"/>
    <n v="31000"/>
    <n v="31000"/>
    <s v="KG"/>
    <n v="31000"/>
    <s v="KG"/>
    <x v="45"/>
    <n v="0.74"/>
    <n v="0.74"/>
    <x v="0"/>
    <s v="HUAQUILLAS"/>
    <s v="N/A"/>
    <s v="CARRETERO"/>
    <s v="N/A"/>
    <s v="PAZLEY ADUANA SOCIEDAD ANONIMA CERRADA - PAZLEY ADUANA S"/>
    <x v="46"/>
    <s v="CHOCHOS SECOS X 50 KG, C/SACOEMBALADOS EN 620 SACOSPARA SU COMERCIALIZACION"/>
    <s v="CHOCHOS SECOS X 50 KG, C/SACOEMBALADOS EN 620 SACOSPARA SU COMERCIALIZACION"/>
    <s v="CHOCHOS SECOS X 50 KG, C/SACOEMBALADOS EN 620 SACOSPARA SU COMERCIALIZACION"/>
    <s v="CHOCHOS SECOS X 50 KG, C/SACOEMBALADOS EN 620 SACOSPARA SU COMERCIALIZACION"/>
    <s v="CHOCHOS SECOS X 50 KG, C/SACOEMBALADOS EN 620 SACOSPARA SU COMERCIALIZACION"/>
    <s v=""/>
    <s v=""/>
    <s v=""/>
    <s v="VERDE"/>
  </r>
  <r>
    <n v="713909000"/>
    <s v="DEMAS HORTALIZAS DE VAINAS SECAS DESVAINADAS,MONDADAS O PARTIDAS EXCEPTO PARA SIEMBRA"/>
    <s v="TUMBES"/>
    <s v="009760 | 1"/>
    <x v="47"/>
    <x v="5"/>
    <x v="0"/>
    <n v="20409318135"/>
    <s v="COPROIMPEX SOCIEDAD ANONIMA CERRADA"/>
    <s v="SUAREZ MORENO SEGUNDO ESTUARDO"/>
    <n v="10044.44"/>
    <n v="10000"/>
    <n v="10000"/>
    <s v="KG"/>
    <n v="10000"/>
    <s v="KG"/>
    <x v="13"/>
    <n v="0.74"/>
    <n v="0.74"/>
    <x v="0"/>
    <s v="HUAQUILLAS"/>
    <s v="N/A"/>
    <s v="CARRETERO"/>
    <s v="N/A"/>
    <s v="PAZLEY ADUANA SOCIEDAD ANONIMA CERRADA - PAZLEY ADUANA S"/>
    <x v="47"/>
    <s v="CHOCHOS SECOS X 50 KG, C/SACOEMBALADOS EN 200 SACOSPARA SU COMERCIALIZACION"/>
    <s v="CHOCHOS SECOS X 50 KG, C/SACOEMBALADOS EN 200 SACOSPARA SU COMERCIALIZACION"/>
    <s v="CHOCHOS SECOS X 50 KG, C/SACOEMBALADOS EN 200 SACOSPARA SU COMERCIALIZACION"/>
    <s v="CHOCHOS SECOS X 50 KG, C/SACOEMBALADOS EN 200 SACOSPARA SU COMERCIALIZACION"/>
    <s v="CHOCHOS SECOS X 50 KG, C/SACOEMBALADOS EN 200 SACOSPARA SU COMERCIALIZACION"/>
    <s v=""/>
    <s v=""/>
    <s v=""/>
    <s v="VERDE"/>
  </r>
  <r>
    <n v="713909000"/>
    <s v="DEMAS HORTALIZAS DE VAINAS SECAS DESVAINADAS,MONDADAS O PARTIDAS EXCEPTO PARA SIEMBRA"/>
    <s v="TUMBES"/>
    <s v="009484 | 1"/>
    <x v="8"/>
    <x v="5"/>
    <x v="0"/>
    <n v="20409318135"/>
    <s v="COPROIMPEX SOCIEDAD ANONIMA CERRADA"/>
    <s v="CEVALLOS MEJIA PATRICIA ELIZABETH"/>
    <n v="30120"/>
    <n v="30000"/>
    <n v="30000"/>
    <s v="KG"/>
    <n v="30000"/>
    <s v="KG"/>
    <x v="46"/>
    <n v="0.74"/>
    <n v="0.74"/>
    <x v="0"/>
    <s v="HUAQUILLAS"/>
    <s v="N/A"/>
    <s v="CARRETERO"/>
    <s v="N/A"/>
    <s v="MOCAYAS LOGISTICA ADUANERA S.A.C."/>
    <x v="48"/>
    <s v="600 SACOS CONTENIENDO CHOCHOS SECOSX50 KG C/SPARA SU COMERCIALIZACION"/>
    <s v="600 SACOS CONTENIENDO CHOCHOS SECOSX50 KG C/SPARA SU COMERCIALIZACION"/>
    <s v="600 SACOS CONTENIENDO CHOCHOS SECOSX50 KG C/SPARA SU COMERCIALIZACION"/>
    <s v="600 SACOS CONTENIENDO CHOCHOS SECOSX50 KG C/SPARA SU COMERCIALIZACION"/>
    <s v="600 SACOS CONTENIENDO CHOCHOS SECOSX50 KG C/SPARA SU COMERCIALIZACION"/>
    <s v=""/>
    <s v=""/>
    <s v=""/>
    <s v="VERDE"/>
  </r>
  <r>
    <n v="713909000"/>
    <s v="DEMAS HORTALIZAS DE VAINAS SECAS DESVAINADAS,MONDADAS O PARTIDAS EXCEPTO PARA SIEMBRA"/>
    <s v="TUMBES"/>
    <s v="008574 | 3"/>
    <x v="48"/>
    <x v="11"/>
    <x v="0"/>
    <n v="20409318135"/>
    <s v="COPROIMPEX SOCIEDAD ANONIMA CERRADA"/>
    <s v="MEJIA ZAMORA LIGIA YOLANDA"/>
    <n v="16570.21"/>
    <n v="16500"/>
    <n v="16500"/>
    <s v="KG"/>
    <n v="16500"/>
    <s v="KG"/>
    <x v="47"/>
    <n v="0.74"/>
    <n v="0.74"/>
    <x v="0"/>
    <s v="HUAQUILLAS"/>
    <s v="N/A"/>
    <s v="CARRETERO"/>
    <s v="N/A"/>
    <s v="MOCAYAS LOGISTICA ADUANERA S.A.C."/>
    <x v="49"/>
    <s v="330 SACOS CONTENIENDO CHOCHOS SECOSX50 KG C/SPARA SU COMERCIALIZACION"/>
    <s v="330 SACOS CONTENIENDO CHOCHOS SECOSX50 KG C/SPARA SU COMERCIALIZACION"/>
    <s v="330 SACOS CONTENIENDO CHOCHOS SECOSX50 KG C/SPARA SU COMERCIALIZACION"/>
    <s v="330 SACOS CONTENIENDO CHOCHOS SECOSX50 KG C/SPARA SU COMERCIALIZACION"/>
    <s v="330 SACOS CONTENIENDO CHOCHOS SECOSX50 KG C/SPARA SU COMERCIALIZACION"/>
    <s v=""/>
    <s v=""/>
    <s v=""/>
    <s v="VERDE"/>
  </r>
  <r>
    <n v="713909000"/>
    <s v="DEMAS HORTALIZAS DE VAINAS SECAS DESVAINADAS,MONDADAS O PARTIDAS EXCEPTO PARA SIEMBRA"/>
    <s v="MARITIMA DEL CALLAO"/>
    <s v="005361 | 7"/>
    <x v="49"/>
    <x v="4"/>
    <x v="1"/>
    <n v="20544535669"/>
    <s v="KALLPA FOODS S.A.C."/>
    <s v="GOYA EUROPA SLU"/>
    <n v="1462.03"/>
    <n v="1368"/>
    <n v="1368"/>
    <s v="KG"/>
    <n v="114"/>
    <s v="CAJ"/>
    <x v="48"/>
    <n v="3.375"/>
    <n v="40.5"/>
    <x v="2"/>
    <s v="POSORJA"/>
    <s v="N/A"/>
    <s v="MARÍTIMO"/>
    <s v="TRAMARSA - TRABAJOS MARITIMOS S.A."/>
    <s v="JG ADUANAS LOGISTIC SOCIEDAD ANONIMA CERRADA"/>
    <x v="31"/>
    <s v="CHOCHOS MARCA: NATIVO 24 X 500 GR PARA CONSUMO HUMANO"/>
    <s v="CHOCHOS MARCA: NATIVO 24 X 500 GR PARA CONSUMO HUMANO"/>
    <s v="CHOCHOS MARCA: NATIVO 24 X 500 GR PARA CONSUMO HUMANO"/>
    <s v="CHOCHOS MARCA: NATIVO 24 X 500 GR PARA CONSUMO HUMANO"/>
    <s v="CHOCHOS MARCA: NATIVO 24 X 500 GR PARA CONSUMO HUMANO"/>
    <s v="CMA-CGM"/>
    <s v="_x0000_"/>
    <s v="_x0000_"/>
    <s v="VERDE"/>
  </r>
  <r>
    <n v="713909000"/>
    <s v="DEMAS HORTALIZAS DE VAINAS SECAS DESVAINADAS,MONDADAS O PARTIDAS EXCEPTO PARA SIEMBRA"/>
    <s v="TUMBES"/>
    <s v="008322 | 2"/>
    <x v="50"/>
    <x v="11"/>
    <x v="0"/>
    <n v="20409318135"/>
    <s v="COPROIMPEX SOCIEDAD ANONIMA CERRADA"/>
    <s v="SUAREZ MORENO SEGUNDO ESTUARDO"/>
    <n v="11046.59"/>
    <n v="11000"/>
    <n v="11000"/>
    <s v="KG"/>
    <n v="11000"/>
    <s v="KG"/>
    <x v="49"/>
    <n v="0.74"/>
    <n v="0.74"/>
    <x v="0"/>
    <s v="HUAQUILLAS"/>
    <s v="N/A"/>
    <s v="CARRETERO"/>
    <s v="N/A"/>
    <s v="PAZLEY ADUANA SOCIEDAD ANONIMA CERRADA - PAZLEY ADUANA S"/>
    <x v="50"/>
    <s v="CHOCHOS SECOS X 50 KG, C/SACOEMBALADOS EN 220 SACOSPARA SU COMERCIALIZACION"/>
    <s v="CHOCHOS SECOS X 50 KG, C/SACOEMBALADOS EN 220 SACOSPARA SU COMERCIALIZACION"/>
    <s v="CHOCHOS SECOS X 50 KG, C/SACOEMBALADOS EN 220 SACOSPARA SU COMERCIALIZACION"/>
    <s v="CHOCHOS SECOS X 50 KG, C/SACOEMBALADOS EN 220 SACOSPARA SU COMERCIALIZACION"/>
    <s v="CHOCHOS SECOS X 50 KG, C/SACOEMBALADOS EN 220 SACOSPARA SU COMERCIALIZACION"/>
    <s v=""/>
    <s v=""/>
    <s v=""/>
    <s v="VERDE"/>
  </r>
  <r>
    <n v="713909000"/>
    <s v="DEMAS HORTALIZAS DE VAINAS SECAS DESVAINADAS,MONDADAS O PARTIDAS EXCEPTO PARA SIEMBRA"/>
    <s v="MARITIMA DEL CALLAO"/>
    <s v="098329 | 5"/>
    <x v="51"/>
    <x v="11"/>
    <x v="0"/>
    <n v="20565443993"/>
    <s v="FUSION FOODS S.A.C."/>
    <s v="TO ORDER"/>
    <n v="462.7"/>
    <n v="357.1"/>
    <n v="357.1"/>
    <s v="KG"/>
    <n v="44"/>
    <s v="CAJ"/>
    <x v="50"/>
    <n v="3.7440000000000002"/>
    <n v="30.385999999999999"/>
    <x v="2"/>
    <s v="BALBOA"/>
    <s v="N/A"/>
    <s v="MARÍTIMO"/>
    <s v="MAERSK LINE PERU S.A.C."/>
    <s v="DESPACHOS ADUANEROS CHAVIMOCHIC SAC"/>
    <x v="51"/>
    <s v="CHOCHO (1 BLS X 10 KG) EN CAJAS PARA CONSUMO HUMANO"/>
    <s v="CHOCHO (1 BLS X 10 KG) EN CAJAS PARA CONSUMO HUMANO"/>
    <s v="CHOCHO (1 BLS X 10 KG) EN CAJAS PARA CONSUMO HUMANO"/>
    <s v="CHOCHO (1 BLS X 10 KG) EN CAJAS PARA CONSUMO HUMANO"/>
    <s v="CHOCHO (1 BLS X 10 KG) EN CAJAS PARA CONSUMO HUMANO"/>
    <s v="MAERSK LINES, INC."/>
    <s v="_x0000_"/>
    <s v="_x0000_"/>
    <s v="VERDE"/>
  </r>
  <r>
    <n v="713909000"/>
    <s v="DEMAS HORTALIZAS DE VAINAS SECAS DESVAINADAS,MONDADAS O PARTIDAS EXCEPTO PARA SIEMBRA"/>
    <s v="MARITIMA DEL CALLAO"/>
    <s v="014522 | 2"/>
    <x v="52"/>
    <x v="3"/>
    <x v="0"/>
    <n v="20607653063"/>
    <s v="AGRO COSECHA PAZ S.A.C."/>
    <s v="TO ORDER"/>
    <n v="3011.25"/>
    <n v="3000"/>
    <n v="3000"/>
    <s v="KG"/>
    <n v="3000"/>
    <s v="KG"/>
    <x v="51"/>
    <n v="2.4340000000000002"/>
    <n v="2.4340000000000002"/>
    <x v="2"/>
    <s v="GUAYAQUIL"/>
    <s v="N/A"/>
    <s v="MARÍTIMO"/>
    <s v="IAN TAYLOR AGENCIAS S.A.C."/>
    <s v="LIP ADUANAS S.A."/>
    <x v="52"/>
    <s v="FREJOL CHOCHO (TARWI) EN SACOS DRAWBACK"/>
    <s v="FREJOL CHOCHO (TARWI) EN SACOS DRAWBACK"/>
    <s v="FREJOL CHOCHO (TARWI) EN SACOS DRAWBACK"/>
    <s v="FREJOL CHOCHO (TARWI) EN SACOS DRAWBACK"/>
    <s v="FREJOL CHOCHO (TARWI) EN SACOS DRAWBACK"/>
    <s v="CMA-CGM"/>
    <s v=""/>
    <s v=""/>
    <s v="VERDE"/>
  </r>
  <r>
    <n v="713909000"/>
    <s v="DEMAS HORTALIZAS DE VAINAS SECAS DESVAINADAS,MONDADAS O PARTIDAS EXCEPTO PARA SIEMBRA"/>
    <s v="MARITIMA DEL CALLAO"/>
    <s v="013028 | 9"/>
    <x v="53"/>
    <x v="3"/>
    <x v="0"/>
    <n v="20523273265"/>
    <s v="MIRANDA - LANGA AGRO EXPORT S.A.C - MIRANDA - LANGA S.A.C"/>
    <s v="JP TRADING AND GLOBAL IMPORTS LLC"/>
    <n v="1103.22"/>
    <n v="1000.44"/>
    <n v="1000.44"/>
    <s v="KG"/>
    <n v="140"/>
    <s v="CAJ"/>
    <x v="52"/>
    <n v="3.5859999999999999"/>
    <n v="25.628"/>
    <x v="1"/>
    <s v="MIAMI"/>
    <s v="N/A"/>
    <s v="MARÍTIMO"/>
    <s v="CITIKOLD DEL PERU S.A.C."/>
    <s v="DESPACHOS ADUANEROS CHAVIMOCHIC SAC"/>
    <x v="53"/>
    <s v="CHOCHOS VALLES ANDINOS EN CAJAS"/>
    <s v="CHOCHOS VALLES ANDINOS EN CAJAS"/>
    <s v="CHOCHOS VALLES ANDINOS EN CAJAS"/>
    <s v="CHOCHOS VALLES ANDINOS EN CAJAS"/>
    <s v="CHOCHOS VALLES ANDINOS EN CAJAS"/>
    <s v="SEABOARD MARINE LTD"/>
    <s v="_x0000_"/>
    <s v="_x0000_"/>
    <s v="VERDE"/>
  </r>
  <r>
    <n v="713909000"/>
    <s v="DEMAS HORTALIZAS DE VAINAS SECAS DESVAINADAS,MONDADAS O PARTIDAS EXCEPTO PARA SIEMBRA"/>
    <s v="TUMBES"/>
    <s v="004195 | 2"/>
    <x v="54"/>
    <x v="9"/>
    <x v="0"/>
    <n v="0"/>
    <s v="N/A"/>
    <s v="JUMBO ORDINOLA JAMES MARTIN"/>
    <n v="6050"/>
    <n v="6000"/>
    <n v="6000"/>
    <s v="KG"/>
    <n v="6000"/>
    <s v="KG"/>
    <x v="53"/>
    <n v="0.8"/>
    <n v="0.8"/>
    <x v="0"/>
    <s v="AMBATO"/>
    <s v="N/A"/>
    <s v="CARRETERO"/>
    <s v="N/A"/>
    <s v="VEGA AGENTES AFIANZADOS DE ADUANAS S.A.C."/>
    <x v="54"/>
    <s v="CHOCHOSEMBALAJE : 120 SACOSX 50 KG CADA SACOPARA SU COMERCIALIZACION"/>
    <s v="CHOCHOSEMBALAJE : 120 SACOSX 50 KG CADA SACOPARA SU COMERCIALIZACION"/>
    <s v="CHOCHOSEMBALAJE : 120 SACOSX 50 KG CADA SACOPARA SU COMERCIALIZACION"/>
    <s v="CHOCHOSEMBALAJE : 120 SACOSX 50 KG CADA SACOPARA SU COMERCIALIZACION"/>
    <s v="CHOCHOSEMBALAJE : 120 SACOSX 50 KG CADA SACOPARA SU COMERCIALIZACION"/>
    <s v=""/>
    <s v=""/>
    <s v=""/>
    <s v="VERDE"/>
  </r>
  <r>
    <n v="713909000"/>
    <s v="DEMAS HORTALIZAS DE VAINAS SECAS DESVAINADAS,MONDADAS O PARTIDAS EXCEPTO PARA SIEMBRA"/>
    <s v="AEREA DEL CALLAO"/>
    <s v="017906 | 6"/>
    <x v="55"/>
    <x v="2"/>
    <x v="1"/>
    <n v="20510807694"/>
    <s v="MAPA LOGISTICA INTERNACIONAL SAC"/>
    <s v="PERU ALIMENTA DI MANZO QUISPE ANTONIO GILBERTO"/>
    <n v="47.53"/>
    <n v="45.15"/>
    <n v="45.15"/>
    <s v="KG"/>
    <n v="50"/>
    <s v="KG"/>
    <x v="54"/>
    <n v="2.7679999999999998"/>
    <n v="2.5"/>
    <x v="3"/>
    <s v="MADRID"/>
    <s v="N/A"/>
    <s v="AÉREO"/>
    <s v="AIR EUROPA LINEAS AÉREAS S.A. SUCURSAL DEL PERU"/>
    <s v="PAZLEY ADUANA SOCIEDAD ANONIMA CERRADA - PAZLEY ADUANA S"/>
    <x v="55"/>
    <s v="FRIJOL CHOCHO"/>
    <s v="FRIJOL CHOCHO"/>
    <s v="FRIJOL CHOCHO"/>
    <s v="FRIJOL CHOCHO"/>
    <s v="FRIJOL CHOCHO"/>
    <s v="AIR EUROPA LINEAS AEREAS S.A. SUCURSAL DEL PERU"/>
    <s v="_x0000_"/>
    <s v="_x0000_"/>
    <s v="VERDE"/>
  </r>
  <r>
    <n v="713909000"/>
    <s v="DEMAS HORTALIZAS DE VAINAS SECAS DESVAINADAS,MONDADAS O PARTIDAS EXCEPTO PARA SIEMBRA"/>
    <s v="TUMBES"/>
    <s v="007518 | 4"/>
    <x v="56"/>
    <x v="0"/>
    <x v="0"/>
    <n v="20409318135"/>
    <s v="COPROIMPEX SOCIEDAD ANONIMA CERRADA"/>
    <s v="SUAREZ MORENO SEGUNDO ESTUARDO"/>
    <n v="5023.5"/>
    <n v="5000"/>
    <n v="5000"/>
    <s v="KG"/>
    <n v="5000"/>
    <s v="KG"/>
    <x v="26"/>
    <n v="0.74"/>
    <n v="0.74"/>
    <x v="0"/>
    <s v="HUAQUILLAS"/>
    <s v="N/A"/>
    <s v="CARRETERO"/>
    <s v="N/A"/>
    <s v="PAZLEY ADUANA SOCIEDAD ANONIMA CERRADA - PAZLEY ADUANA S"/>
    <x v="34"/>
    <s v="CHOCHOS SECOS X 50 KG, C/SACOEMBALADOS EN 100 SACOSPARA SU COMERCIALIZACION"/>
    <s v="CHOCHOS SECOS X 50 KG, C/SACOEMBALADOS EN 100 SACOSPARA SU COMERCIALIZACION"/>
    <s v="CHOCHOS SECOS X 50 KG, C/SACOEMBALADOS EN 100 SACOSPARA SU COMERCIALIZACION"/>
    <s v="CHOCHOS SECOS X 50 KG, C/SACOEMBALADOS EN 100 SACOSPARA SU COMERCIALIZACION"/>
    <s v="CHOCHOS SECOS X 50 KG, C/SACOEMBALADOS EN 100 SACOSPARA SU COMERCIALIZACION"/>
    <s v=""/>
    <s v=""/>
    <s v=""/>
    <s v="VERDE"/>
  </r>
  <r>
    <n v="713909000"/>
    <s v="DEMAS HORTALIZAS DE VAINAS SECAS DESVAINADAS,MONDADAS O PARTIDAS EXCEPTO PARA SIEMBRA"/>
    <s v="TUMBES"/>
    <s v="007121 | 2"/>
    <x v="57"/>
    <x v="6"/>
    <x v="0"/>
    <n v="20409318135"/>
    <s v="COPROIMPEX SOCIEDAD ANONIMA CERRADA"/>
    <s v="CEVALLOS MEJIA PATRICIA ELIZABETH"/>
    <n v="5019.6000000000004"/>
    <n v="5000"/>
    <n v="5000"/>
    <s v="KG"/>
    <n v="5000"/>
    <s v="KG"/>
    <x v="26"/>
    <n v="0.74"/>
    <n v="0.74"/>
    <x v="0"/>
    <s v="HUAQUILLAS"/>
    <s v="N/A"/>
    <s v="CARRETERO"/>
    <s v="N/A"/>
    <s v="MOCAYAS LOGISTICA ADUANERA S.A.C."/>
    <x v="28"/>
    <s v="100 SACOS CONTENIENDO CHOCHOS SECOSX50 KG C/SPARA SU COMERCIALIZACION"/>
    <s v="100 SACOS CONTENIENDO CHOCHOS SECOSX50 KG C/SPARA SU COMERCIALIZACION"/>
    <s v="100 SACOS CONTENIENDO CHOCHOS SECOSX50 KG C/SPARA SU COMERCIALIZACION"/>
    <s v="100 SACOS CONTENIENDO CHOCHOS SECOSX50 KG C/SPARA SU COMERCIALIZACION"/>
    <s v="100 SACOS CONTENIENDO CHOCHOS SECOSX50 KG C/SPARA SU COMERCIALIZACION"/>
    <s v=""/>
    <s v=""/>
    <s v=""/>
    <s v="VERDE"/>
  </r>
  <r>
    <n v="713909000"/>
    <s v="DEMAS HORTALIZAS DE VAINAS SECAS DESVAINADAS,MONDADAS O PARTIDAS EXCEPTO PARA SIEMBRA"/>
    <s v="TUMBES"/>
    <s v="007299 | 2"/>
    <x v="58"/>
    <x v="0"/>
    <x v="0"/>
    <n v="20409318135"/>
    <s v="COPROIMPEX SOCIEDAD ANONIMA CERRADA"/>
    <s v="MEJIA ZAMORA LIGIA YOLANDA"/>
    <n v="8536.17"/>
    <n v="8500"/>
    <n v="8500"/>
    <s v="KG"/>
    <n v="8500"/>
    <s v="KG"/>
    <x v="55"/>
    <n v="0.74"/>
    <n v="0.74"/>
    <x v="0"/>
    <s v="HUAQUILLAS"/>
    <s v="N/A"/>
    <s v="CARRETERO"/>
    <s v="N/A"/>
    <s v="MOCAYAS LOGISTICA ADUANERA S.A.C."/>
    <x v="56"/>
    <s v="170 SACOS CONTENIENDO CHOCHOS SECOSX50 KG C/SPARA SU COMERCIALIZACION"/>
    <s v="170 SACOS CONTENIENDO CHOCHOS SECOSX50 KG C/SPARA SU COMERCIALIZACION"/>
    <s v="170 SACOS CONTENIENDO CHOCHOS SECOSX50 KG C/SPARA SU COMERCIALIZACION"/>
    <s v="170 SACOS CONTENIENDO CHOCHOS SECOSX50 KG C/SPARA SU COMERCIALIZACION"/>
    <s v="170 SACOS CONTENIENDO CHOCHOS SECOSX50 KG C/SPARA SU COMERCIALIZACION"/>
    <s v=""/>
    <s v=""/>
    <s v=""/>
    <s v="VERDE"/>
  </r>
  <r>
    <n v="713909000"/>
    <s v="DEMAS HORTALIZAS DE VAINAS SECAS DESVAINADAS,MONDADAS O PARTIDAS EXCEPTO PARA SIEMBRA"/>
    <s v="TUMBES"/>
    <s v="006900 | 4"/>
    <x v="59"/>
    <x v="6"/>
    <x v="0"/>
    <n v="20409318135"/>
    <s v="COPROIMPEX SOCIEDAD ANONIMA CERRADA"/>
    <s v="MEJIA ZAMORA LIGIA YOLANDA"/>
    <n v="6024.11"/>
    <n v="6000"/>
    <n v="6000"/>
    <s v="KG"/>
    <n v="6000"/>
    <s v="KG"/>
    <x v="56"/>
    <n v="0.74"/>
    <n v="0.74"/>
    <x v="0"/>
    <s v="HUAQUILLAS"/>
    <s v="N/A"/>
    <s v="CARRETERO"/>
    <s v="N/A"/>
    <s v="MOCAYAS LOGISTICA ADUANERA S.A.C."/>
    <x v="57"/>
    <s v="120 SACOS CONTENIENDO CHOCHOS SECOSX50 KG C/SPARA SU COMERCIALIZACION"/>
    <s v="120 SACOS CONTENIENDO CHOCHOS SECOSX50 KG C/SPARA SU COMERCIALIZACION"/>
    <s v="120 SACOS CONTENIENDO CHOCHOS SECOSX50 KG C/SPARA SU COMERCIALIZACION"/>
    <s v="120 SACOS CONTENIENDO CHOCHOS SECOSX50 KG C/SPARA SU COMERCIALIZACION"/>
    <s v="120 SACOS CONTENIENDO CHOCHOS SECOSX50 KG C/SPARA SU COMERCIALIZACION"/>
    <s v=""/>
    <s v=""/>
    <s v=""/>
    <s v="VERDE"/>
  </r>
  <r>
    <n v="713909000"/>
    <s v="DEMAS HORTALIZAS DE VAINAS SECAS DESVAINADAS,MONDADAS O PARTIDAS EXCEPTO PARA SIEMBRA"/>
    <s v="TUMBES"/>
    <s v="006915 | 2"/>
    <x v="59"/>
    <x v="6"/>
    <x v="0"/>
    <n v="20409318135"/>
    <s v="COPROIMPEX SOCIEDAD ANONIMA CERRADA"/>
    <s v="SUAREZ MORENO SEGUNDO ESTUARDO"/>
    <n v="16318.91"/>
    <n v="16250"/>
    <n v="16250"/>
    <s v="KG"/>
    <n v="16250"/>
    <s v="KG"/>
    <x v="57"/>
    <n v="0.74"/>
    <n v="0.74"/>
    <x v="0"/>
    <s v="HUAQUILLAS"/>
    <s v="N/A"/>
    <s v="CARRETERO"/>
    <s v="N/A"/>
    <s v="PAZLEY ADUANA SOCIEDAD ANONIMA CERRADA - PAZLEY ADUANA S"/>
    <x v="58"/>
    <s v="CHOCHOS SECOS X 50 KG, C/SACOEMBALADOS EN 325 SACOSPARA SU COMERCIALIZACION"/>
    <s v="CHOCHOS SECOS X 50 KG, C/SACOEMBALADOS EN 325 SACOSPARA SU COMERCIALIZACION"/>
    <s v="CHOCHOS SECOS X 50 KG, C/SACOEMBALADOS EN 325 SACOSPARA SU COMERCIALIZACION"/>
    <s v="CHOCHOS SECOS X 50 KG, C/SACOEMBALADOS EN 325 SACOSPARA SU COMERCIALIZACION"/>
    <s v="CHOCHOS SECOS X 50 KG, C/SACOEMBALADOS EN 325 SACOSPARA SU COMERCIALIZACION"/>
    <s v=""/>
    <s v=""/>
    <s v=""/>
    <s v="VERDE"/>
  </r>
  <r>
    <n v="713909000"/>
    <s v="DEMAS HORTALIZAS DE VAINAS SECAS DESVAINADAS,MONDADAS O PARTIDAS EXCEPTO PARA SIEMBRA"/>
    <s v="TUMBES"/>
    <s v="006687 | 3"/>
    <x v="60"/>
    <x v="6"/>
    <x v="0"/>
    <n v="20409318135"/>
    <s v="COPROIMPEX SOCIEDAD ANONIMA CERRADA"/>
    <s v="MORENO SANTOS DRAUCIN"/>
    <n v="2511.1999999999998"/>
    <n v="2500"/>
    <n v="2500"/>
    <s v="KG"/>
    <n v="2500"/>
    <s v="KG"/>
    <x v="58"/>
    <n v="0.74"/>
    <n v="0.74"/>
    <x v="0"/>
    <s v="HUAQUILLAS"/>
    <s v="N/A"/>
    <s v="CARRETERO"/>
    <s v="N/A"/>
    <s v="PAZLEY ADUANA SOCIEDAD ANONIMA CERRADA - PAZLEY ADUANA S"/>
    <x v="59"/>
    <s v="CHOCHOS SECOS X 50 KG, C/SACOEMBALADOS EN 50 SACOSPARA SU COMERCIALIZACION"/>
    <s v="CHOCHOS SECOS X 50 KG, C/SACOEMBALADOS EN 50 SACOSPARA SU COMERCIALIZACION"/>
    <s v="CHOCHOS SECOS X 50 KG, C/SACOEMBALADOS EN 50 SACOSPARA SU COMERCIALIZACION"/>
    <s v="CHOCHOS SECOS X 50 KG, C/SACOEMBALADOS EN 50 SACOSPARA SU COMERCIALIZACION"/>
    <s v="CHOCHOS SECOS X 50 KG, C/SACOEMBALADOS EN 50 SACOSPARA SU COMERCIALIZACION"/>
    <s v=""/>
    <s v=""/>
    <s v=""/>
    <s v="VERDE"/>
  </r>
  <r>
    <n v="713909000"/>
    <s v="DEMAS HORTALIZAS DE VAINAS SECAS DESVAINADAS,MONDADAS O PARTIDAS EXCEPTO PARA SIEMBRA"/>
    <s v="TUMBES"/>
    <s v="005818 | 2"/>
    <x v="61"/>
    <x v="7"/>
    <x v="0"/>
    <n v="20409318135"/>
    <s v="COPROIMPEX SOCIEDAD ANONIMA CERRADA"/>
    <s v="ESCOBEDO LALANGUI JONATHAN ISRAEL"/>
    <n v="2612.9699999999998"/>
    <n v="2600"/>
    <n v="2600"/>
    <s v="KG"/>
    <n v="2600"/>
    <s v="KG"/>
    <x v="59"/>
    <n v="0.74"/>
    <n v="0.74"/>
    <x v="0"/>
    <s v="HUAQUILLAS"/>
    <s v="N/A"/>
    <s v="CARRETERO"/>
    <s v="N/A"/>
    <s v="MOCAYAS LOGISTICA ADUANERA S.A.C."/>
    <x v="60"/>
    <s v="52 SACOS CONTENIENDO CHOCHOS SECOSX50 KG C/SPARA SU COMERCIALIZACIÓN"/>
    <s v="52 SACOS CONTENIENDO CHOCHOS SECOSX50 KG C/SPARA SU COMERCIALIZACIÓN"/>
    <s v="52 SACOS CONTENIENDO CHOCHOS SECOSX50 KG C/SPARA SU COMERCIALIZACIÓN"/>
    <s v="52 SACOS CONTENIENDO CHOCHOS SECOSX50 KG C/SPARA SU COMERCIALIZACIÓN"/>
    <s v="52 SACOS CONTENIENDO CHOCHOS SECOSX50 KG C/SPARA SU COMERCIALIZACIÓN"/>
    <s v=""/>
    <s v=""/>
    <s v=""/>
    <s v="VERDE"/>
  </r>
  <r>
    <n v="713909000"/>
    <s v="DEMAS HORTALIZAS DE VAINAS SECAS DESVAINADAS,MONDADAS O PARTIDAS EXCEPTO PARA SIEMBRA"/>
    <s v="TUMBES"/>
    <s v="005800 | 2"/>
    <x v="61"/>
    <x v="7"/>
    <x v="0"/>
    <n v="20409318135"/>
    <s v="COPROIMPEX SOCIEDAD ANONIMA CERRADA"/>
    <s v="SUAREZ MORENO SEGUNDO ESTUARDO"/>
    <n v="10038.959999999999"/>
    <n v="10000"/>
    <n v="10000"/>
    <s v="KG"/>
    <n v="10000"/>
    <s v="KG"/>
    <x v="13"/>
    <n v="0.74"/>
    <n v="0.74"/>
    <x v="0"/>
    <s v="HUAQUILLAS"/>
    <s v="N/A"/>
    <s v="CARRETERO"/>
    <s v="N/A"/>
    <s v="PAZLEY ADUANA SOCIEDAD ANONIMA CERRADA - PAZLEY ADUANA S"/>
    <x v="47"/>
    <s v="CHOCHOS SECOS X 50 KG, C/SACOEMBALADOS EN 200 SACOSPARA SU COMERCIALIZACION"/>
    <s v="CHOCHOS SECOS X 50 KG, C/SACOEMBALADOS EN 200 SACOSPARA SU COMERCIALIZACION"/>
    <s v="CHOCHOS SECOS X 50 KG, C/SACOEMBALADOS EN 200 SACOSPARA SU COMERCIALIZACION"/>
    <s v="CHOCHOS SECOS X 50 KG, C/SACOEMBALADOS EN 200 SACOSPARA SU COMERCIALIZACION"/>
    <s v="CHOCHOS SECOS X 50 KG, C/SACOEMBALADOS EN 200 SACOSPARA SU COMERCIALIZACION"/>
    <s v=""/>
    <s v=""/>
    <s v=""/>
    <s v="VERDE"/>
  </r>
  <r>
    <n v="713909000"/>
    <s v="DEMAS HORTALIZAS DE VAINAS SECAS DESVAINADAS,MONDADAS O PARTIDAS EXCEPTO PARA SIEMBRA"/>
    <s v="TUMBES"/>
    <s v="006013 | 2"/>
    <x v="62"/>
    <x v="7"/>
    <x v="0"/>
    <n v="20409318135"/>
    <s v="COPROIMPEX SOCIEDAD ANONIMA CERRADA"/>
    <s v="SUAREZ MORENO SEGUNDO ESTUARDO"/>
    <n v="3011.92"/>
    <n v="3000"/>
    <n v="3000"/>
    <s v="KG"/>
    <n v="3000"/>
    <s v="KG"/>
    <x v="60"/>
    <n v="0.74"/>
    <n v="0.74"/>
    <x v="0"/>
    <s v="HUAQUILLAS"/>
    <s v="N/A"/>
    <s v="CARRETERO"/>
    <s v="N/A"/>
    <s v="PAZLEY ADUANA SOCIEDAD ANONIMA CERRADA - PAZLEY ADUANA S"/>
    <x v="61"/>
    <s v="CHOCHOS SECOS X 50 KG, C/SACOEMBALADOS EN 60 SACOSPARA SU COMERCIALIZACION"/>
    <s v="CHOCHOS SECOS X 50 KG, C/SACOEMBALADOS EN 60 SACOSPARA SU COMERCIALIZACION"/>
    <s v="CHOCHOS SECOS X 50 KG, C/SACOEMBALADOS EN 60 SACOSPARA SU COMERCIALIZACION"/>
    <s v="CHOCHOS SECOS X 50 KG, C/SACOEMBALADOS EN 60 SACOSPARA SU COMERCIALIZACION"/>
    <s v="CHOCHOS SECOS X 50 KG, C/SACOEMBALADOS EN 60 SACOSPARA SU COMERCIALIZACION"/>
    <s v=""/>
    <s v=""/>
    <s v=""/>
    <s v="VERDE"/>
  </r>
  <r>
    <n v="713909000"/>
    <s v="DEMAS HORTALIZAS DE VAINAS SECAS DESVAINADAS,MONDADAS O PARTIDAS EXCEPTO PARA SIEMBRA"/>
    <s v="TUMBES"/>
    <s v="005360 | 2"/>
    <x v="63"/>
    <x v="7"/>
    <x v="0"/>
    <n v="20409318135"/>
    <s v="COPROIMPEX SOCIEDAD ANONIMA CERRADA"/>
    <s v="CEVALLOS MEJIA PATRICIA ELIZABETH"/>
    <n v="28622.43"/>
    <n v="28500"/>
    <n v="28500"/>
    <s v="KG"/>
    <n v="28500"/>
    <s v="KG"/>
    <x v="35"/>
    <n v="0.74"/>
    <n v="0.74"/>
    <x v="0"/>
    <s v="HUAQUILLAS"/>
    <s v="N/A"/>
    <s v="CARRETERO"/>
    <s v="N/A"/>
    <s v="MOCAYAS LOGISTICA ADUANERA S.A.C."/>
    <x v="37"/>
    <s v="570 SACOS CONTENIENDO CHOCHOS SECOSX50 KG C/SPARA SU COMERCIALIZACION"/>
    <s v="570 SACOS CONTENIENDO CHOCHOS SECOSX50 KG C/SPARA SU COMERCIALIZACION"/>
    <s v="570 SACOS CONTENIENDO CHOCHOS SECOSX50 KG C/SPARA SU COMERCIALIZACION"/>
    <s v="570 SACOS CONTENIENDO CHOCHOS SECOSX50 KG C/SPARA SU COMERCIALIZACION"/>
    <s v="570 SACOS CONTENIENDO CHOCHOS SECOSX50 KG C/SPARA SU COMERCIALIZACION"/>
    <s v=""/>
    <s v=""/>
    <s v=""/>
    <s v="VERDE"/>
  </r>
  <r>
    <n v="713909000"/>
    <s v="DEMAS HORTALIZAS DE VAINAS SECAS DESVAINADAS,MONDADAS O PARTIDAS EXCEPTO PARA SIEMBRA"/>
    <s v="MARITIMA DEL CALLAO"/>
    <s v="131091 | 8"/>
    <x v="64"/>
    <x v="8"/>
    <x v="0"/>
    <n v="20544535669"/>
    <s v="KALLPA FOODS S.A.C."/>
    <s v="GOYA EUROPA SLU"/>
    <n v="1215.3699999999999"/>
    <n v="1140"/>
    <n v="1140"/>
    <s v="KG"/>
    <n v="95"/>
    <s v="CAJ"/>
    <x v="61"/>
    <n v="3.0750000000000002"/>
    <n v="36.9"/>
    <x v="2"/>
    <s v="RODMAN"/>
    <s v="N/A"/>
    <s v="MARÍTIMO"/>
    <s v="MEDITERRANEAN SHIPPING CO.PERU S.A.C."/>
    <s v="JG ADUANAS LOGISTIC SOCIEDAD ANONIMA CERRADA"/>
    <x v="62"/>
    <s v="CHOCHO 24 X 500 GRS NATIVO PARA CONSUMO HUMANO"/>
    <s v="CHOCHO 24 X 500 GRS NATIVO PARA CONSUMO HUMANO"/>
    <s v="CHOCHO 24 X 500 GRS NATIVO PARA CONSUMO HUMANO"/>
    <s v="CHOCHO 24 X 500 GRS NATIVO PARA CONSUMO HUMANO"/>
    <s v="CHOCHO 24 X 500 GRS NATIVO PARA CONSUMO HUMANO"/>
    <s v="MEDITERRANEAN SHIPPING COMPANY"/>
    <s v="_x0000_"/>
    <s v="_x0000_"/>
    <s v="VERDE"/>
  </r>
  <r>
    <n v="713909000"/>
    <s v="DEMAS HORTALIZAS DE VAINAS SECAS DESVAINADAS,MONDADAS O PARTIDAS EXCEPTO PARA SIEMBRA"/>
    <s v="MARITIMA DEL CALLAO"/>
    <s v="113022 | 7"/>
    <x v="65"/>
    <x v="5"/>
    <x v="0"/>
    <n v="20544535669"/>
    <s v="KALLPA FOODS S.A.C."/>
    <s v="GOYA EUROPA SLU"/>
    <n v="1221.95"/>
    <n v="1140"/>
    <n v="1140"/>
    <s v="KG"/>
    <n v="95"/>
    <s v="CAJ"/>
    <x v="62"/>
    <n v="3.0750000000000002"/>
    <n v="36.905000000000001"/>
    <x v="2"/>
    <s v="POSORJA"/>
    <s v="N/A"/>
    <s v="MARÍTIMO"/>
    <s v="COSCO PERU S.A."/>
    <s v="JG ADUANAS LOGISTIC SOCIEDAD ANONIMA CERRADA"/>
    <x v="63"/>
    <s v="CHOCHOS 24 X 500 GRS NATIVO PARA CONSUMO HUMANO"/>
    <s v="CHOCHOS 24 X 500 GRS NATIVO PARA CONSUMO HUMANO"/>
    <s v="CHOCHOS 24 X 500 GRS NATIVO PARA CONSUMO HUMANO"/>
    <s v="CHOCHOS 24 X 500 GRS NATIVO PARA CONSUMO HUMANO"/>
    <s v="CHOCHOS 24 X 500 GRS NATIVO PARA CONSUMO HUMANO"/>
    <s v="CMA-CGM"/>
    <s v="_x0000_"/>
    <s v="_x0000_"/>
    <s v="VERDE"/>
  </r>
  <r>
    <n v="713909000"/>
    <s v="DEMAS HORTALIZAS DE VAINAS SECAS DESVAINADAS,MONDADAS O PARTIDAS EXCEPTO PARA SIEMBRA"/>
    <s v="TUMBES"/>
    <s v="004852 | 3"/>
    <x v="66"/>
    <x v="1"/>
    <x v="0"/>
    <n v="20409318135"/>
    <s v="COPROIMPEX SOCIEDAD ANONIMA CERRADA"/>
    <s v="SUAREZ MORENO SEGUNDO ESTUARDO"/>
    <n v="11548.5"/>
    <n v="11500"/>
    <n v="11500"/>
    <s v="KG"/>
    <n v="11500"/>
    <s v="KG"/>
    <x v="63"/>
    <n v="0.74"/>
    <n v="0.74"/>
    <x v="0"/>
    <s v="HUAQUILLAS"/>
    <s v="N/A"/>
    <s v="CARRETERO"/>
    <s v="N/A"/>
    <s v="PAZLEY ADUANA SOCIEDAD ANONIMA CERRADA - PAZLEY ADUANA S"/>
    <x v="64"/>
    <s v="CHOCHOS SECOS X 50 KG, C/SACOEMBALADOS EN 230 SACOSPARA SU COMERCIALIZACION"/>
    <s v="CHOCHOS SECOS X 50 KG, C/SACOEMBALADOS EN 230 SACOSPARA SU COMERCIALIZACION"/>
    <s v="CHOCHOS SECOS X 50 KG, C/SACOEMBALADOS EN 230 SACOSPARA SU COMERCIALIZACION"/>
    <s v="CHOCHOS SECOS X 50 KG, C/SACOEMBALADOS EN 230 SACOSPARA SU COMERCIALIZACION"/>
    <s v="CHOCHOS SECOS X 50 KG, C/SACOEMBALADOS EN 230 SACOSPARA SU COMERCIALIZACION"/>
    <s v=""/>
    <s v=""/>
    <s v=""/>
    <s v="VERDE"/>
  </r>
  <r>
    <n v="713909000"/>
    <s v="DEMAS HORTALIZAS DE VAINAS SECAS DESVAINADAS,MONDADAS O PARTIDAS EXCEPTO PARA SIEMBRA"/>
    <s v="TUMBES"/>
    <s v="004389 | 1"/>
    <x v="67"/>
    <x v="1"/>
    <x v="0"/>
    <n v="20409318135"/>
    <s v="COPROIMPEX SOCIEDAD ANONIMA CERRADA"/>
    <s v="MORENO SANTOS DRAUCIN"/>
    <n v="16064"/>
    <n v="16000"/>
    <n v="16000"/>
    <s v="KG"/>
    <n v="16000"/>
    <s v="KG"/>
    <x v="64"/>
    <n v="0.74"/>
    <n v="0.74"/>
    <x v="0"/>
    <s v="HUAQUILLAS"/>
    <s v="N/A"/>
    <s v="CARRETERO"/>
    <s v="N/A"/>
    <s v="PAZLEY ADUANA SOCIEDAD ANONIMA CERRADA - PAZLEY ADUANA S"/>
    <x v="65"/>
    <s v="CHOCHOS SECOS X 50 KG, C/SACOEMBALADOS EN 320 SACOSPARA SU COMERCIALIZACION"/>
    <s v="CHOCHOS SECOS X 50 KG, C/SACOEMBALADOS EN 320 SACOSPARA SU COMERCIALIZACION"/>
    <s v="CHOCHOS SECOS X 50 KG, C/SACOEMBALADOS EN 320 SACOSPARA SU COMERCIALIZACION"/>
    <s v="CHOCHOS SECOS X 50 KG, C/SACOEMBALADOS EN 320 SACOSPARA SU COMERCIALIZACION"/>
    <s v="CHOCHOS SECOS X 50 KG, C/SACOEMBALADOS EN 320 SACOSPARA SU COMERCIALIZACION"/>
    <s v=""/>
    <s v=""/>
    <s v=""/>
    <s v="VERDE"/>
  </r>
  <r>
    <n v="713909000"/>
    <s v="DEMAS HORTALIZAS DE VAINAS SECAS DESVAINADAS,MONDADAS O PARTIDAS EXCEPTO PARA SIEMBRA"/>
    <s v="MARITIMA DEL CALLAO"/>
    <s v="117268 | 17"/>
    <x v="68"/>
    <x v="5"/>
    <x v="2"/>
    <n v="20523273265"/>
    <s v="MIRANDA - LANGA AGRO EXPORT S.A.C - MIRANDA - LANGA S.A.C"/>
    <s v="IMPORTS SOL ANDINO UK LTD."/>
    <n v="330.5"/>
    <n v="270"/>
    <n v="270"/>
    <s v="KG"/>
    <n v="27"/>
    <s v="CAJ"/>
    <x v="65"/>
    <n v="2.8879999999999999"/>
    <n v="28.888000000000002"/>
    <x v="4"/>
    <s v="POSORJA"/>
    <s v="N/A"/>
    <s v="MARÍTIMO"/>
    <s v="TRAMARSA - TRABAJOS MARITIMOS S.A."/>
    <s v="TRANSOCEANIC S.A."/>
    <x v="66"/>
    <s v="CHOCHO LA FAVORITA 20 X 500 G"/>
    <s v="CHOCHO LA FAVORITA 20 X 500 G"/>
    <s v="CHOCHO LA FAVORITA 20 X 500 G"/>
    <s v="CHOCHO LA FAVORITA 20 X 500 G"/>
    <s v="CHOCHO LA FAVORITA 20 X 500 G"/>
    <s v="HAPAG-LLOYD A G"/>
    <s v="_x0000_"/>
    <s v="_x0000_"/>
    <s v="VERDE"/>
  </r>
  <r>
    <n v="713909000"/>
    <s v="DEMAS HORTALIZAS DE VAINAS SECAS DESVAINADAS,MONDADAS O PARTIDAS EXCEPTO PARA SIEMBRA"/>
    <s v="TUMBES"/>
    <s v="003798 | 3"/>
    <x v="69"/>
    <x v="9"/>
    <x v="0"/>
    <n v="20409318135"/>
    <s v="COPROIMPEX SOCIEDAD ANONIMA CERRADA"/>
    <s v="N/A"/>
    <n v="6721"/>
    <n v="6700"/>
    <n v="6700"/>
    <s v="KG"/>
    <n v="6700"/>
    <s v="KG"/>
    <x v="66"/>
    <n v="0.74"/>
    <n v="0.74"/>
    <x v="0"/>
    <s v="HUAQUILLAS"/>
    <s v="N/A"/>
    <s v="CARRETERO"/>
    <s v="N/A"/>
    <s v="MOCAYAS LOGISTICA ADUANERA S.A.C."/>
    <x v="67"/>
    <s v="CHOCHOS SECOS X 50 KG C/SUSO: COMERCIALIZACION"/>
    <s v="CHOCHOS SECOS X 50 KG C/SUSO: COMERCIALIZACION"/>
    <s v="CHOCHOS SECOS X 50 KG C/SUSO: COMERCIALIZACION"/>
    <s v="CHOCHOS SECOS X 50 KG C/SUSO: COMERCIALIZACION"/>
    <s v="CHOCHOS SECOS X 50 KG C/SUSO: COMERCIALIZACION"/>
    <s v=""/>
    <s v=""/>
    <s v=""/>
    <s v=""/>
  </r>
  <r>
    <n v="713909000"/>
    <s v="DEMAS HORTALIZAS DE VAINAS SECAS DESVAINADAS,MONDADAS O PARTIDAS EXCEPTO PARA SIEMBRA"/>
    <s v="TUMBES"/>
    <s v="003211 | 5"/>
    <x v="70"/>
    <x v="2"/>
    <x v="0"/>
    <n v="20409318135"/>
    <s v="COPROIMPEX SOCIEDAD ANONIMA CERRADA"/>
    <s v="MORENO SANTOS DRAUCIN"/>
    <n v="5024"/>
    <n v="5000"/>
    <n v="5000"/>
    <s v="KG"/>
    <n v="5000"/>
    <s v="KG"/>
    <x v="26"/>
    <n v="0.74"/>
    <n v="0.74"/>
    <x v="0"/>
    <s v="HUAQUILLAS"/>
    <s v="N/A"/>
    <s v="CARRETERO"/>
    <s v="N/A"/>
    <s v="PAZLEY ADUANA SOCIEDAD ANONIMA CERRADA - PAZLEY ADUANA S"/>
    <x v="34"/>
    <s v="CHOCHOS SECOS X 50 KG, C/SACOEMBALADOS EN 100 SACOSPARA SU COMERCIALIZACION"/>
    <s v="CHOCHOS SECOS X 50 KG, C/SACOEMBALADOS EN 100 SACOSPARA SU COMERCIALIZACION"/>
    <s v="CHOCHOS SECOS X 50 KG, C/SACOEMBALADOS EN 100 SACOSPARA SU COMERCIALIZACION"/>
    <s v="CHOCHOS SECOS X 50 KG, C/SACOEMBALADOS EN 100 SACOSPARA SU COMERCIALIZACION"/>
    <s v="CHOCHOS SECOS X 50 KG, C/SACOEMBALADOS EN 100 SACOSPARA SU COMERCIALIZACION"/>
    <s v=""/>
    <s v=""/>
    <s v=""/>
    <s v="VERDE"/>
  </r>
  <r>
    <n v="713909000"/>
    <s v="DEMAS HORTALIZAS DE VAINAS SECAS DESVAINADAS,MONDADAS O PARTIDAS EXCEPTO PARA SIEMBRA"/>
    <s v="TUMBES"/>
    <s v="003011 | 3"/>
    <x v="71"/>
    <x v="2"/>
    <x v="0"/>
    <n v="20409318135"/>
    <s v="COPROIMPEX SOCIEDAD ANONIMA CERRADA"/>
    <s v="SUAREZ MORENO SEGUNDO ESTUARDO"/>
    <n v="7532.08"/>
    <n v="7500"/>
    <n v="7500"/>
    <s v="KG"/>
    <n v="7500"/>
    <s v="KG"/>
    <x v="33"/>
    <n v="0.74"/>
    <n v="0.74"/>
    <x v="0"/>
    <s v="HUAQUILLAS"/>
    <s v="N/A"/>
    <s v="CARRETERO"/>
    <s v="N/A"/>
    <s v="PAZLEY ADUANA SOCIEDAD ANONIMA CERRADA - PAZLEY ADUANA S"/>
    <x v="68"/>
    <s v="CHOCHOS SECOS X 50 KG, C/SACOEMBALADOS EN 150 SACOSPARA SU COMERCIALIZACION"/>
    <s v="CHOCHOS SECOS X 50 KG, C/SACOEMBALADOS EN 150 SACOSPARA SU COMERCIALIZACION"/>
    <s v="CHOCHOS SECOS X 50 KG, C/SACOEMBALADOS EN 150 SACOSPARA SU COMERCIALIZACION"/>
    <s v="CHOCHOS SECOS X 50 KG, C/SACOEMBALADOS EN 150 SACOSPARA SU COMERCIALIZACION"/>
    <s v="CHOCHOS SECOS X 50 KG, C/SACOEMBALADOS EN 150 SACOSPARA SU COMERCIALIZACION"/>
    <s v=""/>
    <s v=""/>
    <s v=""/>
    <s v="VERDE"/>
  </r>
  <r>
    <n v="713909000"/>
    <s v="DEMAS HORTALIZAS DE VAINAS SECAS DESVAINADAS,MONDADAS O PARTIDAS EXCEPTO PARA SIEMBRA"/>
    <s v="TUMBES"/>
    <s v="002322 | 1"/>
    <x v="72"/>
    <x v="3"/>
    <x v="0"/>
    <n v="20409318135"/>
    <s v="COPROIMPEX SOCIEDAD ANONIMA CERRADA"/>
    <s v="SUAREZ MORENO SEGUNDO ESTUARDO"/>
    <n v="13560.67"/>
    <n v="13500"/>
    <n v="13500"/>
    <s v="KG"/>
    <n v="13500"/>
    <s v="KG"/>
    <x v="67"/>
    <n v="0.74"/>
    <n v="0.74"/>
    <x v="0"/>
    <s v="HUAQUILLAS"/>
    <s v="N/A"/>
    <s v="CARRETERO"/>
    <s v="N/A"/>
    <s v="PAZLEY ADUANA SOCIEDAD ANONIMA CERRADA - PAZLEY ADUANA S"/>
    <x v="69"/>
    <s v="CHOCHOS SECOS X 50 KG, C/SACOEMBALADOS EN 270 SACOSPARA SU COMERCIALIZACION"/>
    <s v="CHOCHOS SECOS X 50 KG, C/SACOEMBALADOS EN 270 SACOSPARA SU COMERCIALIZACION"/>
    <s v="CHOCHOS SECOS X 50 KG, C/SACOEMBALADOS EN 270 SACOSPARA SU COMERCIALIZACION"/>
    <s v="CHOCHOS SECOS X 50 KG, C/SACOEMBALADOS EN 270 SACOSPARA SU COMERCIALIZACION"/>
    <s v="CHOCHOS SECOS X 50 KG, C/SACOEMBALADOS EN 270 SACOSPARA SU COMERCIALIZACION"/>
    <s v=""/>
    <s v=""/>
    <s v=""/>
    <s v="VERDE"/>
  </r>
  <r>
    <n v="713909000"/>
    <s v="DEMAS HORTALIZAS DE VAINAS SECAS DESVAINADAS,MONDADAS O PARTIDAS EXCEPTO PARA SIEMBRA"/>
    <s v="MARITIMA DEL CALLAO"/>
    <s v="076825 | 9"/>
    <x v="73"/>
    <x v="6"/>
    <x v="2"/>
    <n v="20523273265"/>
    <s v="MIRANDA - LANGA AGRO EXPORT S.A.C - MIRANDA - LANGA S.A.C"/>
    <s v="JP TRADING AND GLOBAL IMPORTS LLC"/>
    <n v="1363.38"/>
    <n v="1286.28"/>
    <n v="1286.28"/>
    <s v="KG"/>
    <n v="180"/>
    <s v="CAJ"/>
    <x v="68"/>
    <n v="3.1739999999999999"/>
    <n v="22.687000000000001"/>
    <x v="1"/>
    <s v="MIAMI"/>
    <s v="N/A"/>
    <s v="MARÍTIMO"/>
    <s v="CITIKOLD DEL PERU S.A.C."/>
    <s v="TRANSOCEANIC S.A."/>
    <x v="70"/>
    <s v="CHOCHOS VALLES ANDINOS"/>
    <s v="CHOCHOS VALLES ANDINOS"/>
    <s v="CHOCHOS VALLES ANDINOS"/>
    <s v="CHOCHOS VALLES ANDINOS"/>
    <s v="CHOCHOS VALLES ANDINOS"/>
    <s v="SEABOARD MARINE LTD"/>
    <s v="_x0000_"/>
    <s v="_x0000_"/>
    <s v="VERDE"/>
  </r>
  <r>
    <n v="713909000"/>
    <s v="DEMAS HORTALIZAS DE VAINAS SECAS DESVAINADAS,MONDADAS O PARTIDAS EXCEPTO PARA SIEMBRA"/>
    <s v="MARITIMA DEL CALLAO"/>
    <s v="073270 | 5"/>
    <x v="74"/>
    <x v="6"/>
    <x v="2"/>
    <n v="20523273265"/>
    <s v="MIRANDA - LANGA AGRO EXPORT S.A.C - MIRANDA - LANGA S.A.C"/>
    <s v="CASA AMERICAN CORP"/>
    <n v="2269.92"/>
    <n v="2268"/>
    <n v="2268"/>
    <s v="KG"/>
    <n v="200"/>
    <s v="SAC"/>
    <x v="69"/>
    <n v="2.694"/>
    <n v="30.55"/>
    <x v="1"/>
    <s v="MIAMI"/>
    <s v="N/A"/>
    <s v="MARÍTIMO"/>
    <s v="CITIKOLD DEL PERU S.A.C."/>
    <s v="TRANSOCEANIC S.A."/>
    <x v="71"/>
    <s v="CHOCHOS SECOS"/>
    <s v="CHOCHOS SECOS"/>
    <s v="CHOCHOS SECOS"/>
    <s v="CHOCHOS SECOS"/>
    <s v="CHOCHOS SECOS"/>
    <s v="SEABOARD MARINE LTD"/>
    <s v="_x0000_"/>
    <s v="_x0000_"/>
    <s v="VERDE"/>
  </r>
  <r>
    <n v="713909000"/>
    <s v="DEMAS HORTALIZAS DE VAINAS SECAS DESVAINADAS,MONDADAS O PARTIDAS EXCEPTO PARA SIEMBRA"/>
    <s v="MARITIMA DEL CALLAO"/>
    <s v="061866 | 8"/>
    <x v="75"/>
    <x v="7"/>
    <x v="2"/>
    <n v="20523273265"/>
    <s v="MIRANDA - LANGA AGRO EXPORT S.A.C - MIRANDA - LANGA S.A.C"/>
    <s v="JP TRADING AND GLOBAL IMPORTS LLC"/>
    <n v="137.79"/>
    <n v="121.48"/>
    <n v="121.48"/>
    <s v="KG"/>
    <n v="17"/>
    <s v="CAJ"/>
    <x v="70"/>
    <n v="3.0960000000000001"/>
    <n v="22.129000000000001"/>
    <x v="1"/>
    <s v="MIAMI"/>
    <s v="N/A"/>
    <s v="MARÍTIMO"/>
    <s v="CITIKOLD DEL PERU S.A.C."/>
    <s v="TRANSOCEANIC S.A."/>
    <x v="70"/>
    <s v="CHOCHOS VALLES ANDINOS"/>
    <s v="CHOCHOS VALLES ANDINOS"/>
    <s v="CHOCHOS VALLES ANDINOS"/>
    <s v="CHOCHOS VALLES ANDINOS"/>
    <s v="CHOCHOS VALLES ANDINOS"/>
    <s v="SEABOARD MARINE LTD"/>
    <s v="_x0000_"/>
    <s v="_x0000_"/>
    <s v="VERDE"/>
  </r>
  <r>
    <n v="713909000"/>
    <s v="DEMAS HORTALIZAS DE VAINAS SECAS DESVAINADAS,MONDADAS O PARTIDAS EXCEPTO PARA SIEMBRA"/>
    <s v="MARITIMA DEL CALLAO"/>
    <s v="065069 | 5"/>
    <x v="76"/>
    <x v="7"/>
    <x v="0"/>
    <n v="20544535669"/>
    <s v="KALLPA FOODS S.A.C."/>
    <s v="GOYA EUROPA SLU"/>
    <n v="1160.44"/>
    <n v="1102.42"/>
    <n v="1102.42"/>
    <s v="KG"/>
    <n v="100"/>
    <s v="CAJ"/>
    <x v="71"/>
    <n v="3.347"/>
    <n v="36.9"/>
    <x v="2"/>
    <s v="RODMAN"/>
    <s v="N/A"/>
    <s v="MARÍTIMO"/>
    <s v="MEDITERRANEAN SHIPPING CO.PERU S.A.C."/>
    <s v="JG ADUANAS LOGISTIC SOCIEDAD ANONIMA CERRADA"/>
    <x v="62"/>
    <s v="CHOCHO 24 X 500 GRS NATIVO PARA CONSUMO HUMANO"/>
    <s v="CHOCHO 24 X 500 GRS NATIVO PARA CONSUMO HUMANO"/>
    <s v="CHOCHO 24 X 500 GRS NATIVO PARA CONSUMO HUMANO"/>
    <s v="CHOCHO 24 X 500 GRS NATIVO PARA CONSUMO HUMANO"/>
    <s v="CHOCHO 24 X 500 GRS NATIVO PARA CONSUMO HUMANO"/>
    <s v="MEDITERRANEAN SHIPPING COMPANY"/>
    <s v="_x0000_"/>
    <s v="_x0000_"/>
    <s v="VERDE"/>
  </r>
  <r>
    <n v="713909000"/>
    <s v="DEMAS HORTALIZAS DE VAINAS SECAS DESVAINADAS,MONDADAS O PARTIDAS EXCEPTO PARA SIEMBRA"/>
    <s v="TUMBES"/>
    <s v="001083 | 2"/>
    <x v="77"/>
    <x v="4"/>
    <x v="0"/>
    <n v="20409318135"/>
    <s v="COPROIMPEX SOCIEDAD ANONIMA CERRADA"/>
    <s v="ESCOBEDO LALANGUI JONATHAN ISRAEL"/>
    <n v="2700"/>
    <n v="2650"/>
    <n v="2650"/>
    <s v="KG"/>
    <n v="53"/>
    <s v="SAC"/>
    <x v="72"/>
    <n v="0.74"/>
    <n v="37"/>
    <x v="0"/>
    <s v="HUAQUILLAS"/>
    <s v="N/A"/>
    <s v="CARRETERO"/>
    <s v="N/A"/>
    <s v="PERU CUSTOMS ADVISER S.A.C."/>
    <x v="72"/>
    <s v="CHOCHOS SECOS X 50KG C/S."/>
    <s v="CHOCHOS SECOS X 50KG C/S."/>
    <s v="CHOCHOS SECOS X 50KG C/S."/>
    <s v="CHOCHOS SECOS X 50KG C/S."/>
    <s v="CHOCHOS SECOS X 50KG C/S."/>
    <s v=""/>
    <s v=""/>
    <s v=""/>
    <s v="VERDE"/>
  </r>
  <r>
    <n v="713909000"/>
    <s v="DEMAS HORTALIZAS DE VAINAS SECAS DESVAINADAS,MONDADAS O PARTIDAS EXCEPTO PARA SIEMBRA"/>
    <s v="TUMBES"/>
    <s v="001462 | 3"/>
    <x v="78"/>
    <x v="3"/>
    <x v="0"/>
    <n v="20409318135"/>
    <s v="COPROIMPEX SOCIEDAD ANONIMA CERRADA"/>
    <s v="ANDREA TATIANA SUING LABANDA"/>
    <n v="9039.1299999999992"/>
    <n v="9000"/>
    <n v="9000"/>
    <s v="KG"/>
    <n v="9000"/>
    <s v="KG"/>
    <x v="73"/>
    <n v="0.74"/>
    <n v="0.74"/>
    <x v="0"/>
    <s v="HUAQUILLAS"/>
    <s v="N/A"/>
    <s v="CARRETERO"/>
    <s v="N/A"/>
    <s v="PAZLEY ADUANA SOCIEDAD ANONIMA CERRADA - PAZLEY ADUANA S"/>
    <x v="73"/>
    <s v="CHOCHOS SECOS X 50 KG, C/SACOEMBALADOS EN 180 SACOSPARA SU COMERCIALIZACION"/>
    <s v="CHOCHOS SECOS X 50 KG, C/SACOEMBALADOS EN 180 SACOSPARA SU COMERCIALIZACION"/>
    <s v="CHOCHOS SECOS X 50 KG, C/SACOEMBALADOS EN 180 SACOSPARA SU COMERCIALIZACION"/>
    <s v="CHOCHOS SECOS X 50 KG, C/SACOEMBALADOS EN 180 SACOSPARA SU COMERCIALIZACION"/>
    <s v="CHOCHOS SECOS X 50 KG, C/SACOEMBALADOS EN 180 SACOSPARA SU COMERCIALIZACION"/>
    <s v=""/>
    <s v=""/>
    <s v=""/>
    <s v="VERDE"/>
  </r>
  <r>
    <n v="713909000"/>
    <s v="DEMAS HORTALIZAS DE VAINAS SECAS DESVAINADAS,MONDADAS O PARTIDAS EXCEPTO PARA SIEMBRA"/>
    <s v="MARITIMA DEL CALLAO"/>
    <s v="057173 | 11"/>
    <x v="79"/>
    <x v="1"/>
    <x v="2"/>
    <n v="20523273265"/>
    <s v="MIRANDA - LANGA AGRO EXPORT S.A.C - MIRANDA - LANGA S.A.C"/>
    <s v="JP TRADING AND GLOBAL IMPORTS LLC"/>
    <n v="435.25"/>
    <n v="400.17"/>
    <n v="400.17"/>
    <s v="KG"/>
    <n v="56"/>
    <s v="CAJ"/>
    <x v="74"/>
    <n v="3.1480000000000001"/>
    <n v="22.5"/>
    <x v="1"/>
    <s v="MIAMI"/>
    <s v="N/A"/>
    <s v="MARÍTIMO"/>
    <s v="CITIKOLD DEL PERU S.A.C."/>
    <s v="TRANSOCEANIC S.A."/>
    <x v="70"/>
    <s v="CHOCHOS VALLES ANDINOS"/>
    <s v="CHOCHOS VALLES ANDINOS"/>
    <s v="CHOCHOS VALLES ANDINOS"/>
    <s v="CHOCHOS VALLES ANDINOS"/>
    <s v="CHOCHOS VALLES ANDINOS"/>
    <s v="SEABOARD MARINE LTD"/>
    <s v="_x0000_"/>
    <s v="_x0000_"/>
    <s v="VERDE"/>
  </r>
  <r>
    <n v="713909000"/>
    <s v="DEMAS HORTALIZAS DE VAINAS SECAS DESVAINADAS,MONDADAS O PARTIDAS EXCEPTO PARA SIEMBRA"/>
    <s v="MARITIMA DEL CALLAO"/>
    <s v="046562 | 10"/>
    <x v="80"/>
    <x v="1"/>
    <x v="2"/>
    <n v="20523273265"/>
    <s v="MIRANDA - LANGA AGRO EXPORT S.A.C - MIRANDA - LANGA S.A.C"/>
    <s v="JP TRADING AND GLOBAL IMPORTS LLC"/>
    <n v="834.91"/>
    <n v="757.48"/>
    <n v="757.48"/>
    <s v="KG"/>
    <n v="106"/>
    <s v="CAJ"/>
    <x v="75"/>
    <n v="3.1480000000000001"/>
    <n v="22.5"/>
    <x v="1"/>
    <s v="MIAMI"/>
    <s v="N/A"/>
    <s v="MARÍTIMO"/>
    <s v="CITIKOLD DEL PERU S.A.C."/>
    <s v="TRANSOCEANIC S.A."/>
    <x v="70"/>
    <s v="CHOCHOS VALLES ANDINOS"/>
    <s v="CHOCHOS VALLES ANDINOS"/>
    <s v="CHOCHOS VALLES ANDINOS"/>
    <s v="CHOCHOS VALLES ANDINOS"/>
    <s v="CHOCHOS VALLES ANDINOS"/>
    <s v="SEABOARD MARINE LTD"/>
    <s v="_x0000_"/>
    <s v="_x0000_"/>
    <s v="VERDE"/>
  </r>
  <r>
    <n v="713909000"/>
    <s v="DEMAS HORTALIZAS DE VAINAS SECAS DESVAINADAS,MONDADAS O PARTIDAS EXCEPTO PARA SIEMBRA"/>
    <s v="TUMBES"/>
    <s v="001137 | 2"/>
    <x v="81"/>
    <x v="4"/>
    <x v="0"/>
    <n v="20409318135"/>
    <s v="COPROIMPEX SOCIEDAD ANONIMA CERRADA"/>
    <s v="ANDREA TATIANA SUING LABANDA"/>
    <n v="15564.44"/>
    <n v="15500"/>
    <n v="15500"/>
    <s v="KG"/>
    <n v="15500"/>
    <s v="KG"/>
    <x v="76"/>
    <n v="0.74"/>
    <n v="0.74"/>
    <x v="0"/>
    <s v="HUAQUILLAS"/>
    <s v="N/A"/>
    <s v="CARRETERO"/>
    <s v="N/A"/>
    <s v="PAZLEY ADUANA SOCIEDAD ANONIMA CERRADA - PAZLEY ADUANA S"/>
    <x v="74"/>
    <s v="CHOCHOS SECOS X 50 KG, C/SACOEMBALADOS EN 310 SACOSPARA SU COMERCIALIZACION"/>
    <s v="CHOCHOS SECOS X 50 KG, C/SACOEMBALADOS EN 310 SACOSPARA SU COMERCIALIZACION"/>
    <s v="CHOCHOS SECOS X 50 KG, C/SACOEMBALADOS EN 310 SACOSPARA SU COMERCIALIZACION"/>
    <s v="CHOCHOS SECOS X 50 KG, C/SACOEMBALADOS EN 310 SACOSPARA SU COMERCIALIZACION"/>
    <s v="CHOCHOS SECOS X 50 KG, C/SACOEMBALADOS EN 310 SACOSPARA SU COMERCIALIZACION"/>
    <s v=""/>
    <s v=""/>
    <s v=""/>
    <s v="VERDE"/>
  </r>
  <r>
    <n v="713909000"/>
    <s v="DEMAS HORTALIZAS DE VAINAS SECAS DESVAINADAS,MONDADAS O PARTIDAS EXCEPTO PARA SIEMBRA"/>
    <s v="TUMBES"/>
    <s v="014985 | 3"/>
    <x v="82"/>
    <x v="8"/>
    <x v="2"/>
    <n v="20409318135"/>
    <s v="COPROIMPEX SOCIEDAD ANONIMA CERRADA"/>
    <s v="MORENO SANTOS DRAUCIN"/>
    <n v="21598.41"/>
    <n v="21500"/>
    <n v="21500"/>
    <s v="KG"/>
    <n v="21500"/>
    <s v="KG"/>
    <x v="77"/>
    <n v="0.74"/>
    <n v="0.74"/>
    <x v="0"/>
    <s v="HUAQUILLAS"/>
    <s v="N/A"/>
    <s v="CARRETERO"/>
    <s v="N/A"/>
    <s v="PAZLEY ADUANA SOCIEDAD ANONIMA CERRADA - PAZLEY ADUANA S"/>
    <x v="75"/>
    <s v="CHOCHOS SECOS X 50 KG, C/SACOEMBALADOS EN 430 SACOSPARA SU COMERCIALIZACION"/>
    <s v="CHOCHOS SECOS X 50 KG, C/SACOEMBALADOS EN 430 SACOSPARA SU COMERCIALIZACION"/>
    <s v="CHOCHOS SECOS X 50 KG, C/SACOEMBALADOS EN 430 SACOSPARA SU COMERCIALIZACION"/>
    <s v="CHOCHOS SECOS X 50 KG, C/SACOEMBALADOS EN 430 SACOSPARA SU COMERCIALIZACION"/>
    <s v="CHOCHOS SECOS X 50 KG, C/SACOEMBALADOS EN 430 SACOSPARA SU COMERCIALIZACION"/>
    <s v=""/>
    <s v=""/>
    <s v=""/>
    <s v="ROJO"/>
  </r>
  <r>
    <n v="713909000"/>
    <s v="DEMAS HORTALIZAS DE VAINAS SECAS DESVAINADAS,MONDADAS O PARTIDAS EXCEPTO PARA SIEMBRA"/>
    <s v="TUMBES"/>
    <s v="013767 | 3"/>
    <x v="83"/>
    <x v="8"/>
    <x v="2"/>
    <n v="20409318135"/>
    <s v="COPROIMPEX SOCIEDAD ANONIMA CERRADA"/>
    <s v="MORENO SANTOS DRAUCIN"/>
    <n v="5020.51"/>
    <n v="5000"/>
    <n v="5000"/>
    <s v="KG"/>
    <n v="5000"/>
    <s v="KG"/>
    <x v="26"/>
    <n v="0.74"/>
    <n v="0.74"/>
    <x v="0"/>
    <s v="HUAQUILLAS"/>
    <s v="N/A"/>
    <s v="CARRETERO"/>
    <s v="N/A"/>
    <s v="PAZLEY ADUANA SOCIEDAD ANONIMA CERRADA - PAZLEY ADUANA S"/>
    <x v="34"/>
    <s v="CHOCHOS SECOS X 50 KG, C/SACOEMBALADOS EN 100 SACOSPARA SU COMERCIALIZACION"/>
    <s v="CHOCHOS SECOS X 50 KG, C/SACOEMBALADOS EN 100 SACOSPARA SU COMERCIALIZACION"/>
    <s v="CHOCHOS SECOS X 50 KG, C/SACOEMBALADOS EN 100 SACOSPARA SU COMERCIALIZACION"/>
    <s v="CHOCHOS SECOS X 50 KG, C/SACOEMBALADOS EN 100 SACOSPARA SU COMERCIALIZACION"/>
    <s v="CHOCHOS SECOS X 50 KG, C/SACOEMBALADOS EN 100 SACOSPARA SU COMERCIALIZACION"/>
    <s v=""/>
    <s v=""/>
    <s v=""/>
    <s v="ROJO"/>
  </r>
  <r>
    <n v="713909000"/>
    <s v="DEMAS HORTALIZAS DE VAINAS SECAS DESVAINADAS,MONDADAS O PARTIDAS EXCEPTO PARA SIEMBRA"/>
    <s v="TUMBES"/>
    <s v="014532 | 3"/>
    <x v="84"/>
    <x v="8"/>
    <x v="2"/>
    <n v="20409318135"/>
    <s v="COPROIMPEX SOCIEDAD ANONIMA CERRADA"/>
    <s v="SUAREZ MORENO SEGUNDO ESTUARDO"/>
    <n v="15316.21"/>
    <n v="15250"/>
    <n v="15250"/>
    <s v="KG"/>
    <n v="15250"/>
    <s v="KG"/>
    <x v="78"/>
    <n v="0.74"/>
    <n v="0.74"/>
    <x v="0"/>
    <s v="HUAQUILLAS"/>
    <s v="N/A"/>
    <s v="CARRETERO"/>
    <s v="N/A"/>
    <s v="PAZLEY ADUANA SOCIEDAD ANONIMA CERRADA - PAZLEY ADUANA S"/>
    <x v="76"/>
    <s v="CHOCHOS SECOS X 50 KG, C/SACOEMBALADOS EN 305 SACOSPARA SU COMERCIALIZACION"/>
    <s v="CHOCHOS SECOS X 50 KG, C/SACOEMBALADOS EN 305 SACOSPARA SU COMERCIALIZACION"/>
    <s v="CHOCHOS SECOS X 50 KG, C/SACOEMBALADOS EN 305 SACOSPARA SU COMERCIALIZACION"/>
    <s v="CHOCHOS SECOS X 50 KG, C/SACOEMBALADOS EN 305 SACOSPARA SU COMERCIALIZACION"/>
    <s v="CHOCHOS SECOS X 50 KG, C/SACOEMBALADOS EN 305 SACOSPARA SU COMERCIALIZACION"/>
    <s v=""/>
    <s v=""/>
    <s v=""/>
    <s v="ROJO"/>
  </r>
  <r>
    <n v="713909000"/>
    <s v="DEMAS HORTALIZAS DE VAINAS SECAS DESVAINADAS,MONDADAS O PARTIDAS EXCEPTO PARA SIEMBRA"/>
    <s v="MARITIMA DEL CALLAO"/>
    <s v="019864 | 1"/>
    <x v="29"/>
    <x v="3"/>
    <x v="2"/>
    <n v="20565443993"/>
    <s v="FUSION FOODS S.A.C."/>
    <s v="MI TIERRA FOOD LLC"/>
    <n v="1957.81"/>
    <n v="1930.7"/>
    <n v="1930.7"/>
    <s v="KG"/>
    <n v="198"/>
    <s v="CAJ"/>
    <x v="79"/>
    <n v="2.198"/>
    <n v="21.439"/>
    <x v="1"/>
    <s v="MIAMI"/>
    <s v="N/A"/>
    <s v="MARÍTIMO"/>
    <s v="CITIKOLD DEL PERU S.A.C."/>
    <s v="CL ADUANA S.A.C."/>
    <x v="77"/>
    <s v="CHOCHO (  18 BLS X 14 OZ) CHOCHO ( 18 BAGS X 14 OZ)"/>
    <s v="CHOCHO (  18 BLS X 14 OZ) CHOCHO ( 18 BAGS X 14 OZ)"/>
    <s v="CHOCHO (  18 BLS X 14 OZ) CHOCHO ( 18 BAGS X 14 OZ)"/>
    <s v="CHOCHO (  18 BLS X 14 OZ) CHOCHO ( 18 BAGS X 14 OZ)"/>
    <s v="CHOCHO (  18 BLS X 14 OZ) CHOCHO ( 18 BAGS X 14 OZ)"/>
    <s v="SEABOARD MARINE LTD"/>
    <s v="_x0000_"/>
    <s v="_x0000_"/>
    <s v="VERDE"/>
  </r>
  <r>
    <n v="713909000"/>
    <s v="DEMAS HORTALIZAS DE VAINAS SECAS DESVAINADAS,MONDADAS O PARTIDAS EXCEPTO PARA SIEMBRA"/>
    <s v="TUMBES"/>
    <s v="013140 | 3"/>
    <x v="85"/>
    <x v="10"/>
    <x v="2"/>
    <n v="20409318135"/>
    <s v="COPROIMPEX SOCIEDAD ANONIMA CERRADA"/>
    <s v="SUAREZ MORENO SEGUNDO ESTUARDO"/>
    <n v="9644.85"/>
    <n v="9600"/>
    <n v="9600"/>
    <s v="KG"/>
    <n v="9600"/>
    <s v="KG"/>
    <x v="80"/>
    <n v="0.74"/>
    <n v="0.74"/>
    <x v="0"/>
    <s v="HUAQUILLAS"/>
    <s v="N/A"/>
    <s v="CARRETERO"/>
    <s v="N/A"/>
    <s v="PAZLEY ADUANA SOCIEDAD ANONIMA CERRADA - PAZLEY ADUANA S"/>
    <x v="78"/>
    <s v="CHOCHOS SECOS X 50 KG, C/SACOEMBALADOS EN 192 SACOSPARA SU COMERCIALIZACION"/>
    <s v="CHOCHOS SECOS X 50 KG, C/SACOEMBALADOS EN 192 SACOSPARA SU COMERCIALIZACION"/>
    <s v="CHOCHOS SECOS X 50 KG, C/SACOEMBALADOS EN 192 SACOSPARA SU COMERCIALIZACION"/>
    <s v="CHOCHOS SECOS X 50 KG, C/SACOEMBALADOS EN 192 SACOSPARA SU COMERCIALIZACION"/>
    <s v="CHOCHOS SECOS X 50 KG, C/SACOEMBALADOS EN 192 SACOSPARA SU COMERCIALIZACION"/>
    <s v=""/>
    <s v=""/>
    <s v=""/>
    <s v="ROJO"/>
  </r>
  <r>
    <n v="713909000"/>
    <s v="DEMAS HORTALIZAS DE VAINAS SECAS DESVAINADAS,MONDADAS O PARTIDAS EXCEPTO PARA SIEMBRA"/>
    <s v="TUMBES"/>
    <s v="012737 | 3"/>
    <x v="86"/>
    <x v="10"/>
    <x v="2"/>
    <n v="20409318135"/>
    <s v="COPROIMPEX SOCIEDAD ANONIMA CERRADA"/>
    <s v="MORENO SANTOS DRAUCIN"/>
    <n v="12510.1"/>
    <n v="12450"/>
    <n v="12450"/>
    <s v="KG"/>
    <n v="12450"/>
    <s v="KG"/>
    <x v="81"/>
    <n v="0.74"/>
    <n v="0.74"/>
    <x v="0"/>
    <s v="HUAQUILLAS"/>
    <s v="N/A"/>
    <s v="CARRETERO"/>
    <s v="N/A"/>
    <s v="PAZLEY ADUANA SOCIEDAD ANONIMA CERRADA - PAZLEY ADUANA S"/>
    <x v="79"/>
    <s v="CHOCHOS SECOS X 50 KG, C/SACOEMBALADOS EN 249 SACOSPARA SU COMERCIALIZACION"/>
    <s v="CHOCHOS SECOS X 50 KG, C/SACOEMBALADOS EN 249 SACOSPARA SU COMERCIALIZACION"/>
    <s v="CHOCHOS SECOS X 50 KG, C/SACOEMBALADOS EN 249 SACOSPARA SU COMERCIALIZACION"/>
    <s v="CHOCHOS SECOS X 50 KG, C/SACOEMBALADOS EN 249 SACOSPARA SU COMERCIALIZACION"/>
    <s v="CHOCHOS SECOS X 50 KG, C/SACOEMBALADOS EN 249 SACOSPARA SU COMERCIALIZACION"/>
    <s v=""/>
    <s v=""/>
    <s v=""/>
    <s v="VERDE"/>
  </r>
  <r>
    <n v="713909000"/>
    <s v="DEMAS HORTALIZAS DE VAINAS SECAS DESVAINADAS,MONDADAS O PARTIDAS EXCEPTO PARA SIEMBRA"/>
    <s v="TUMBES"/>
    <s v="012148 | 3"/>
    <x v="87"/>
    <x v="5"/>
    <x v="2"/>
    <n v="20409318135"/>
    <s v="COPROIMPEX SOCIEDAD ANONIMA CERRADA"/>
    <s v="SUAREZ MORENO SEGUNDO ESTUARDO"/>
    <n v="6031.57"/>
    <n v="6000"/>
    <n v="6000"/>
    <s v="KG"/>
    <n v="6000"/>
    <s v="KG"/>
    <x v="56"/>
    <n v="0.74"/>
    <n v="0.74"/>
    <x v="0"/>
    <s v="HUAQUILLAS"/>
    <s v="N/A"/>
    <s v="CARRETERO"/>
    <s v="N/A"/>
    <s v="PAZLEY ADUANA SOCIEDAD ANONIMA CERRADA - PAZLEY ADUANA S"/>
    <x v="80"/>
    <s v="CHOCHOS SECOS X 50 KG, C/SACOEMBALADOS EN 120 SACOSPARA SU COMERCIALIZACION"/>
    <s v="CHOCHOS SECOS X 50 KG, C/SACOEMBALADOS EN 120 SACOSPARA SU COMERCIALIZACION"/>
    <s v="CHOCHOS SECOS X 50 KG, C/SACOEMBALADOS EN 120 SACOSPARA SU COMERCIALIZACION"/>
    <s v="CHOCHOS SECOS X 50 KG, C/SACOEMBALADOS EN 120 SACOSPARA SU COMERCIALIZACION"/>
    <s v="CHOCHOS SECOS X 50 KG, C/SACOEMBALADOS EN 120 SACOSPARA SU COMERCIALIZACION"/>
    <s v=""/>
    <s v=""/>
    <s v=""/>
    <s v="ROJO"/>
  </r>
  <r>
    <n v="713909000"/>
    <s v="DEMAS HORTALIZAS DE VAINAS SECAS DESVAINADAS,MONDADAS O PARTIDAS EXCEPTO PARA SIEMBRA"/>
    <s v="TUMBES"/>
    <s v="011536 | 2"/>
    <x v="88"/>
    <x v="5"/>
    <x v="2"/>
    <n v="20409318135"/>
    <s v="COPROIMPEX SOCIEDAD ANONIMA CERRADA"/>
    <s v="MORENO SANTOS DRAUCIN"/>
    <n v="15933.07"/>
    <n v="15850"/>
    <n v="15850"/>
    <s v="KG"/>
    <n v="15850"/>
    <s v="KG"/>
    <x v="82"/>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11845 | 4"/>
    <x v="89"/>
    <x v="5"/>
    <x v="2"/>
    <n v="20409318135"/>
    <s v="COPROIMPEX SOCIEDAD ANONIMA CERRADA"/>
    <s v="SUAREZ MORENO SEGUNDO ESTUARDO"/>
    <n v="10856.14"/>
    <n v="10800"/>
    <n v="10800"/>
    <s v="KG"/>
    <n v="10800"/>
    <s v="KG"/>
    <x v="83"/>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ROJO"/>
  </r>
  <r>
    <n v="713909000"/>
    <s v="DEMAS HORTALIZAS DE VAINAS SECAS DESVAINADAS,MONDADAS O PARTIDAS EXCEPTO PARA SIEMBRA"/>
    <s v="MARITIMA DEL CALLAO"/>
    <s v="011601 | 6"/>
    <x v="53"/>
    <x v="3"/>
    <x v="0"/>
    <n v="20544535669"/>
    <s v="KALLPA FOODS S.A.C."/>
    <s v="GOYA EUROPA SLUAV CONSTITUCION 115 45950CASARRUBIOS DEL MON"/>
    <n v="1350.23"/>
    <n v="1272"/>
    <n v="1272"/>
    <s v="KG"/>
    <n v="106"/>
    <s v="CAJ"/>
    <x v="84"/>
    <n v="3.0739999999999998"/>
    <n v="36.896000000000001"/>
    <x v="2"/>
    <s v="POSORJA"/>
    <s v="N/A"/>
    <s v="MARÍTIMO"/>
    <s v="COSCO PERU S.A."/>
    <s v="JG ADUANAS LOGISTIC SOCIEDAD ANONIMA CERRADA"/>
    <x v="63"/>
    <s v="CHOCHOS 24 X 500 GRS NATIVO PARA CONSUMO HUMANO"/>
    <s v="CHOCHOS 24 X 500 GRS NATIVO PARA CONSUMO HUMANO"/>
    <s v="CHOCHOS 24 X 500 GRS NATIVO PARA CONSUMO HUMANO"/>
    <s v="CHOCHOS 24 X 500 GRS NATIVO PARA CONSUMO HUMANO"/>
    <s v="CHOCHOS 24 X 500 GRS NATIVO PARA CONSUMO HUMANO"/>
    <s v="CMA-CGM"/>
    <s v="_x0000_"/>
    <s v="_x0000_"/>
    <s v="VERDE"/>
  </r>
  <r>
    <n v="713909000"/>
    <s v="DEMAS HORTALIZAS DE VAINAS SECAS DESVAINADAS,MONDADAS O PARTIDAS EXCEPTO PARA SIEMBRA"/>
    <s v="TUMBES"/>
    <s v="011211 | 4"/>
    <x v="90"/>
    <x v="5"/>
    <x v="2"/>
    <n v="20409318135"/>
    <s v="COPROIMPEX SOCIEDAD ANONIMA CERRADA"/>
    <s v="SUAREZ MORENO SEGUNDO ESTUARDO"/>
    <n v="10545.05"/>
    <n v="10500"/>
    <n v="10500"/>
    <s v="KG"/>
    <n v="10500"/>
    <s v="KG"/>
    <x v="85"/>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10899 | 3"/>
    <x v="91"/>
    <x v="11"/>
    <x v="2"/>
    <n v="20409318135"/>
    <s v="COPROIMPEX SOCIEDAD ANONIMA CERRADA"/>
    <s v="MORENO SANTOS DRAUCIN"/>
    <n v="20083.310000000001"/>
    <n v="20000"/>
    <n v="20000"/>
    <s v="KG"/>
    <n v="20000"/>
    <s v="KG"/>
    <x v="86"/>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MARITIMA DEL CALLAO"/>
    <s v="089669 | 9"/>
    <x v="92"/>
    <x v="0"/>
    <x v="0"/>
    <n v="20565443993"/>
    <s v="FUSION FOODS S.A.C."/>
    <s v="MI TIERRA FOOD LLC"/>
    <n v="879.12"/>
    <n v="848.76"/>
    <n v="848.76"/>
    <s v="KG"/>
    <n v="84"/>
    <s v="CAJ"/>
    <x v="87"/>
    <n v="3.4620000000000002"/>
    <n v="34.988"/>
    <x v="1"/>
    <s v="MIAMI"/>
    <s v="N/A"/>
    <s v="MARÍTIMO"/>
    <s v="CITIKOLD DEL PERU S.A.C."/>
    <s v="DESPACHOS ADUANEROS CHAVIMOCHIC SAC"/>
    <x v="82"/>
    <s v="CHOCHO (1 SACO X 50 LB) EN CAJAS PARA CONSUMO HUMANO"/>
    <s v="CHOCHO (1 SACO X 50 LB) EN CAJAS PARA CONSUMO HUMANO"/>
    <s v="CHOCHO (1 SACO X 50 LB) EN CAJAS PARA CONSUMO HUMANO"/>
    <s v="CHOCHO (1 SACO X 50 LB) EN CAJAS PARA CONSUMO HUMANO"/>
    <s v="CHOCHO (1 SACO X 50 LB) EN CAJAS PARA CONSUMO HUMANO"/>
    <s v="SEABOARD MARINE LTD"/>
    <s v="_x0000_"/>
    <s v="_x0000_"/>
    <s v="VERDE"/>
  </r>
  <r>
    <n v="713909000"/>
    <s v="DEMAS HORTALIZAS DE VAINAS SECAS DESVAINADAS,MONDADAS O PARTIDAS EXCEPTO PARA SIEMBRA"/>
    <s v="TUMBES"/>
    <s v="010562 | 3"/>
    <x v="93"/>
    <x v="11"/>
    <x v="2"/>
    <n v="20409318135"/>
    <s v="COPROIMPEX SOCIEDAD ANONIMA CERRADA"/>
    <s v="SUAREZ MORENO SEGUNDO ESTUARDO"/>
    <n v="12559.33"/>
    <n v="12500"/>
    <n v="12500"/>
    <s v="KG"/>
    <n v="12500"/>
    <s v="KG"/>
    <x v="88"/>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ROJO"/>
  </r>
  <r>
    <n v="713909000"/>
    <s v="DEMAS HORTALIZAS DE VAINAS SECAS DESVAINADAS,MONDADAS O PARTIDAS EXCEPTO PARA SIEMBRA"/>
    <s v="TUMBES"/>
    <s v="009904 | 3"/>
    <x v="94"/>
    <x v="11"/>
    <x v="2"/>
    <n v="20409318135"/>
    <s v="COPROIMPEX SOCIEDAD ANONIMA CERRADA"/>
    <s v="SUAREZ MORENO SEGUNDO ESTUARDO"/>
    <n v="18834.21"/>
    <n v="18750"/>
    <n v="18750"/>
    <s v="KG"/>
    <n v="18750"/>
    <s v="KG"/>
    <x v="89"/>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MARITIMA DEL CALLAO"/>
    <s v="122943 | 4"/>
    <x v="95"/>
    <x v="10"/>
    <x v="2"/>
    <n v="20510807694"/>
    <s v="MAPA LOGISTICA INTERNACIONAL SAC"/>
    <s v="PERU ALIMENTA DI MANZO QUISPE ANTONIO GILBERTO"/>
    <n v="77.19"/>
    <n v="77.19"/>
    <n v="77.19"/>
    <s v="KG"/>
    <n v="98"/>
    <s v="KG"/>
    <x v="90"/>
    <n v="1.9039999999999999"/>
    <n v="1.5"/>
    <x v="3"/>
    <s v="POSORJA"/>
    <s v="N/A"/>
    <s v="MARÍTIMO"/>
    <s v="IAN TAYLOR AGENCIAS S.A.C."/>
    <s v="CMC LOGISTIC´S S.A.C."/>
    <x v="83"/>
    <s v="HABAS SECA X 500GR X 14GR"/>
    <s v="HABAS SECA X 500GR X 14GR"/>
    <s v="HABAS SECA X 500GR X 14GR"/>
    <s v="HABAS SECA X 500GR X 14GR"/>
    <s v="HABAS SECA X 500GR X 14GR"/>
    <s v="HAPAG-LLOYD A G"/>
    <s v="SAVINO DEL BENE DEL PERU S.A.C."/>
    <s v="SAVINO DEL BENE S.P.A."/>
    <s v="ROJO"/>
  </r>
  <r>
    <n v="713909000"/>
    <s v="DEMAS HORTALIZAS DE VAINAS SECAS DESVAINADAS,MONDADAS O PARTIDAS EXCEPTO PARA SIEMBRA"/>
    <s v="MARITIMA DEL CALLAO"/>
    <s v="087033 | 3"/>
    <x v="96"/>
    <x v="0"/>
    <x v="2"/>
    <n v="20544535669"/>
    <s v="KALLPA FOODS S.A.C."/>
    <s v="GOYA EUROPA SLUAV CONSTITUCION 115 45950CASARRUBIOS DEL MONT"/>
    <n v="1545.97"/>
    <n v="1452"/>
    <n v="1452"/>
    <s v="KG"/>
    <n v="121"/>
    <s v="CAJ"/>
    <x v="91"/>
    <n v="2.8330000000000002"/>
    <n v="34"/>
    <x v="2"/>
    <s v="GUAYAQUIL"/>
    <s v="N/A"/>
    <s v="MARÍTIMO"/>
    <s v="IAN TAYLOR AGENCIAS S.A.C."/>
    <s v="JG ADUANAS LOGISTIC SOCIEDAD ANONIMA CERRADA"/>
    <x v="84"/>
    <s v="CHOCHOS 24 X 500 GRS EL SABOR DE CASA PARA CONSUMO HUMANO"/>
    <s v="CHOCHOS 24 X 500 GRS EL SABOR DE CASA PARA CONSUMO HUMANO"/>
    <s v="CHOCHOS 24 X 500 GRS EL SABOR DE CASA PARA CONSUMO HUMANO"/>
    <s v="CHOCHOS 24 X 500 GRS EL SABOR DE CASA PARA CONSUMO HUMANO"/>
    <s v="CHOCHOS 24 X 500 GRS EL SABOR DE CASA PARA CONSUMO HUMANO"/>
    <s v="CMA-CGM"/>
    <s v=""/>
    <s v=""/>
    <s v="VERDE"/>
  </r>
  <r>
    <n v="713909000"/>
    <s v="DEMAS HORTALIZAS DE VAINAS SECAS DESVAINADAS,MONDADAS O PARTIDAS EXCEPTO PARA SIEMBRA"/>
    <s v="TUMBES"/>
    <s v="010202 | 3"/>
    <x v="97"/>
    <x v="11"/>
    <x v="2"/>
    <n v="20409318135"/>
    <s v="COPROIMPEX SOCIEDAD ANONIMA CERRADA"/>
    <s v="MORENO SANTOS DRAUCIN"/>
    <n v="10547.3"/>
    <n v="10500"/>
    <n v="10500"/>
    <s v="KG"/>
    <n v="10500"/>
    <s v="KG"/>
    <x v="85"/>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ROJO"/>
  </r>
  <r>
    <n v="713909000"/>
    <s v="DEMAS HORTALIZAS DE VAINAS SECAS DESVAINADAS,MONDADAS O PARTIDAS EXCEPTO PARA SIEMBRA"/>
    <s v="TUMBES"/>
    <s v="009628 | 3"/>
    <x v="98"/>
    <x v="11"/>
    <x v="2"/>
    <n v="20409318135"/>
    <s v="COPROIMPEX SOCIEDAD ANONIMA CERRADA"/>
    <s v="MORENO SANTOS DRAUCIN"/>
    <n v="8036.39"/>
    <n v="8000"/>
    <n v="8000"/>
    <s v="KG"/>
    <n v="8000"/>
    <s v="KG"/>
    <x v="92"/>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9336 | 3"/>
    <x v="99"/>
    <x v="0"/>
    <x v="2"/>
    <n v="20409318135"/>
    <s v="COPROIMPEX SOCIEDAD ANONIMA CERRADA"/>
    <s v="ZUKI GARCIA JORGE CARLOS"/>
    <n v="4900"/>
    <n v="4900"/>
    <n v="4900"/>
    <s v="KG"/>
    <n v="4900"/>
    <s v="KG"/>
    <x v="93"/>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8687 | 5"/>
    <x v="100"/>
    <x v="0"/>
    <x v="2"/>
    <n v="20409318135"/>
    <s v="COPROIMPEX SOCIEDAD ANONIMA CERRADA"/>
    <s v="SUAREZ MORENO SEGUNDO ESTUARDO"/>
    <n v="8135.12"/>
    <n v="8100"/>
    <n v="8100"/>
    <s v="KG"/>
    <n v="8100"/>
    <s v="KG"/>
    <x v="94"/>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ROJO"/>
  </r>
  <r>
    <n v="713909000"/>
    <s v="DEMAS HORTALIZAS DE VAINAS SECAS DESVAINADAS,MONDADAS O PARTIDAS EXCEPTO PARA SIEMBRA"/>
    <s v="TUMBES"/>
    <s v="008397 | 5"/>
    <x v="101"/>
    <x v="0"/>
    <x v="2"/>
    <n v="20409318135"/>
    <s v="COPROIMPEX SOCIEDAD ANONIMA CERRADA"/>
    <s v="MORENO SANTOS DRAUCIN"/>
    <n v="5022.17"/>
    <n v="5000"/>
    <n v="5000"/>
    <s v="KG"/>
    <n v="5000"/>
    <s v="KG"/>
    <x v="26"/>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ROJO"/>
  </r>
  <r>
    <n v="713909000"/>
    <s v="DEMAS HORTALIZAS DE VAINAS SECAS DESVAINADAS,MONDADAS O PARTIDAS EXCEPTO PARA SIEMBRA"/>
    <s v="TUMBES"/>
    <s v="008127 | 2"/>
    <x v="102"/>
    <x v="6"/>
    <x v="2"/>
    <n v="20409318135"/>
    <s v="COPROIMPEX SOCIEDAD ANONIMA CERRADA"/>
    <s v="SUAREZ MORENO SEGUNDO ESTUARDO"/>
    <n v="19833.7"/>
    <n v="19750"/>
    <n v="19750"/>
    <s v="KG"/>
    <n v="19750"/>
    <s v="KG"/>
    <x v="95"/>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7862 | 4"/>
    <x v="103"/>
    <x v="6"/>
    <x v="2"/>
    <n v="20409318135"/>
    <s v="COPROIMPEX SOCIEDAD ANONIMA CERRADA"/>
    <s v="MORENO SANTOS DRAUCIN"/>
    <n v="7225.08"/>
    <n v="7200"/>
    <n v="7200"/>
    <s v="KG"/>
    <n v="7200"/>
    <s v="KG"/>
    <x v="96"/>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7576 | 3"/>
    <x v="104"/>
    <x v="6"/>
    <x v="2"/>
    <n v="20409318135"/>
    <s v="COPROIMPEX SOCIEDAD ANONIMA CERRADA"/>
    <s v="SUAREZ MORENO SEGUNDO ESTUARDO"/>
    <n v="8693.5499999999993"/>
    <n v="8650"/>
    <n v="8650"/>
    <s v="KG"/>
    <n v="8650"/>
    <s v="KG"/>
    <x v="97"/>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7297 | 5"/>
    <x v="105"/>
    <x v="6"/>
    <x v="2"/>
    <n v="20409318135"/>
    <s v="COPROIMPEX SOCIEDAD ANONIMA CERRADA"/>
    <s v="MORENO SANTOS DRAUCIN"/>
    <n v="4018.54"/>
    <n v="4000"/>
    <n v="4000"/>
    <s v="KG"/>
    <n v="4000"/>
    <s v="KG"/>
    <x v="98"/>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7109 | 3"/>
    <x v="106"/>
    <x v="6"/>
    <x v="2"/>
    <n v="20409318135"/>
    <s v="COPROIMPEX SOCIEDAD ANONIMA CERRADA"/>
    <s v="MORENO SANTOS DRAUCIN"/>
    <n v="9337.14"/>
    <n v="9300"/>
    <n v="9300"/>
    <s v="KG"/>
    <n v="9300"/>
    <s v="KG"/>
    <x v="99"/>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ROJO"/>
  </r>
  <r>
    <n v="713909000"/>
    <s v="DEMAS HORTALIZAS DE VAINAS SECAS DESVAINADAS,MONDADAS O PARTIDAS EXCEPTO PARA SIEMBRA"/>
    <s v="TUMBES"/>
    <s v="005831 | 4"/>
    <x v="107"/>
    <x v="1"/>
    <x v="2"/>
    <n v="20409318135"/>
    <s v="COPROIMPEX SOCIEDAD ANONIMA CERRADA"/>
    <s v="SUAREZ MORENO SEGUNDO ESTUARDO"/>
    <n v="10094.790000000001"/>
    <n v="10050"/>
    <n v="10050"/>
    <s v="KG"/>
    <n v="10050"/>
    <s v="KG"/>
    <x v="100"/>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6095 | 3"/>
    <x v="108"/>
    <x v="7"/>
    <x v="2"/>
    <n v="20409318135"/>
    <s v="COPROIMPEX SOCIEDAD ANONIMA CERRADA"/>
    <s v="MORENO SANTOS DRAUCIN"/>
    <n v="8282.77"/>
    <n v="8250"/>
    <n v="8250"/>
    <s v="KG"/>
    <n v="8250"/>
    <s v="KG"/>
    <x v="101"/>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6369 | 3"/>
    <x v="109"/>
    <x v="7"/>
    <x v="2"/>
    <n v="20409318135"/>
    <s v="COPROIMPEX SOCIEDAD ANONIMA CERRADA"/>
    <s v="SUAREZ MORENO SEGUNDO ESTUARDO"/>
    <n v="9294.9699999999993"/>
    <n v="9250"/>
    <n v="9250"/>
    <s v="KG"/>
    <n v="9250"/>
    <s v="KG"/>
    <x v="102"/>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5587 | 5"/>
    <x v="110"/>
    <x v="1"/>
    <x v="2"/>
    <n v="20409318135"/>
    <s v="COPROIMPEX SOCIEDAD ANONIMA CERRADA"/>
    <s v="SUAREZ MORENO SEGUNDO ESTUARDO"/>
    <n v="4518.99"/>
    <n v="4500"/>
    <n v="4500"/>
    <s v="KG"/>
    <n v="4500"/>
    <s v="KG"/>
    <x v="103"/>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5316 | 5"/>
    <x v="111"/>
    <x v="1"/>
    <x v="2"/>
    <n v="20409318135"/>
    <s v="COPROIMPEX SOCIEDAD ANONIMA CERRADA"/>
    <s v="MORENO SANTOS DRAUCIN"/>
    <n v="5023.83"/>
    <n v="5000"/>
    <n v="5000"/>
    <s v="KG"/>
    <n v="5000"/>
    <s v="KG"/>
    <x v="26"/>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ROJO"/>
  </r>
  <r>
    <n v="713909000"/>
    <s v="DEMAS HORTALIZAS DE VAINAS SECAS DESVAINADAS,MONDADAS O PARTIDAS EXCEPTO PARA SIEMBRA"/>
    <s v="TUMBES"/>
    <s v="004751 | 5"/>
    <x v="112"/>
    <x v="9"/>
    <x v="2"/>
    <n v="20409318135"/>
    <s v="COPROIMPEX SOCIEDAD ANONIMA CERRADA"/>
    <s v="MORENO SANTOS DRAUCIN"/>
    <n v="8538.69"/>
    <n v="8500"/>
    <n v="8500"/>
    <s v="KG"/>
    <n v="8500"/>
    <s v="KG"/>
    <x v="55"/>
    <n v="0.74"/>
    <n v="0.74"/>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MARITIMA DEL CALLAO"/>
    <s v="064622 | 5"/>
    <x v="76"/>
    <x v="7"/>
    <x v="0"/>
    <n v="20565443993"/>
    <s v="FUSION FOODS S.A.C."/>
    <s v="MI TIERRA FOOD LLC"/>
    <n v="741.82"/>
    <n v="715.05"/>
    <n v="715.05"/>
    <s v="KG"/>
    <n v="100"/>
    <s v="CAJ"/>
    <x v="104"/>
    <n v="5.9530000000000003"/>
    <n v="42.57"/>
    <x v="1"/>
    <s v="MIAMI"/>
    <s v="N/A"/>
    <s v="MARÍTIMO"/>
    <s v="CITIKOLD DEL PERU S.A.C."/>
    <s v="DESPACHOS ADUANEROS CHAVIMOCHIC SAC"/>
    <x v="85"/>
    <s v="CHOCHO ( 18 BAGS X 14 OZ) EN CAJAS PARA CONSUMO HUMANO"/>
    <s v="CHOCHO ( 18 BAGS X 14 OZ) EN CAJAS PARA CONSUMO HUMANO"/>
    <s v="CHOCHO ( 18 BAGS X 14 OZ) EN CAJAS PARA CONSUMO HUMANO"/>
    <s v="CHOCHO ( 18 BAGS X 14 OZ) EN CAJAS PARA CONSUMO HUMANO"/>
    <s v="CHOCHO ( 18 BAGS X 14 OZ) EN CAJAS PARA CONSUMO HUMANO"/>
    <s v="SEABOARD MARINE LTD"/>
    <s v="_x0000_"/>
    <s v="_x0000_"/>
    <s v="VERDE"/>
  </r>
  <r>
    <n v="713909000"/>
    <s v="DEMAS HORTALIZAS DE VAINAS SECAS DESVAINADAS,MONDADAS O PARTIDAS EXCEPTO PARA SIEMBRA"/>
    <s v="TUMBES"/>
    <s v="004215 | 2"/>
    <x v="113"/>
    <x v="9"/>
    <x v="2"/>
    <n v="20409318135"/>
    <s v="COPROIMPEX SOCIEDAD ANONIMA CERRADA"/>
    <s v="ZUKI GARCIA JORGE CARLOS"/>
    <n v="6669.1"/>
    <n v="6650"/>
    <n v="6650"/>
    <s v="KG"/>
    <n v="6650"/>
    <s v="KG"/>
    <x v="105"/>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03549 | 3"/>
    <x v="114"/>
    <x v="2"/>
    <x v="2"/>
    <n v="20409318135"/>
    <s v="COPROIMPEX SOCIEDAD ANONIMA CERRADA"/>
    <s v="JUMBO ORDINOLA JAMES MARTIN"/>
    <n v="4008.69"/>
    <n v="4000"/>
    <n v="4000"/>
    <s v="KG"/>
    <n v="4000"/>
    <s v="KG"/>
    <x v="106"/>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03280 | 3"/>
    <x v="115"/>
    <x v="2"/>
    <x v="2"/>
    <n v="20409318135"/>
    <s v="COPROIMPEX SOCIEDAD ANONIMA CERRADA"/>
    <s v="JUMBO ORDINOLA JAMES MARTIN"/>
    <n v="7963.79"/>
    <n v="7950"/>
    <n v="7950"/>
    <s v="KG"/>
    <n v="7950"/>
    <s v="KG"/>
    <x v="107"/>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MARITIMA DEL CALLAO"/>
    <s v="055938 | 2"/>
    <x v="116"/>
    <x v="7"/>
    <x v="2"/>
    <n v="20544535669"/>
    <s v="KALLPA FOODS S.A.C."/>
    <s v="GOYA EUROPA SLU"/>
    <n v="2271.2399999999998"/>
    <n v="2157.6799999999998"/>
    <n v="2157.6799999999998"/>
    <s v="KG"/>
    <n v="122"/>
    <s v="CAJ"/>
    <x v="108"/>
    <n v="1.9219999999999999"/>
    <n v="34"/>
    <x v="2"/>
    <s v="POSORJA"/>
    <s v="N/A"/>
    <s v="MARÍTIMO"/>
    <s v="TRAMARSA - TRABAJOS MARITIMOS S.A."/>
    <s v="JG ADUANAS LOGISTIC SOCIEDAD ANONIMA CERRADA"/>
    <x v="63"/>
    <s v="CHOCHOS 24 X 500 GRS NATIVO PARA CONSUMO HUMANO"/>
    <s v="CHOCHOS 24 X 500 GRS NATIVO PARA CONSUMO HUMANO"/>
    <s v="CHOCHOS 24 X 500 GRS NATIVO PARA CONSUMO HUMANO"/>
    <s v="CHOCHOS 24 X 500 GRS NATIVO PARA CONSUMO HUMANO"/>
    <s v="CHOCHOS 24 X 500 GRS NATIVO PARA CONSUMO HUMANO"/>
    <s v="CMA-CGM"/>
    <s v="_x0000_"/>
    <s v="_x0000_"/>
    <s v="VERDE"/>
  </r>
  <r>
    <n v="713909000"/>
    <s v="DEMAS HORTALIZAS DE VAINAS SECAS DESVAINADAS,MONDADAS O PARTIDAS EXCEPTO PARA SIEMBRA"/>
    <s v="TUMBES"/>
    <s v="003962 | 2"/>
    <x v="117"/>
    <x v="9"/>
    <x v="2"/>
    <n v="20409318135"/>
    <s v="COPROIMPEX SOCIEDAD ANONIMA CERRADA"/>
    <s v="JUMBO ORDINOLA JAMES MARTIN"/>
    <n v="3861.95"/>
    <n v="3850"/>
    <n v="3850"/>
    <s v="KG"/>
    <n v="3850"/>
    <s v="KG"/>
    <x v="109"/>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02749 | 4"/>
    <x v="118"/>
    <x v="2"/>
    <x v="2"/>
    <n v="20409318135"/>
    <s v="COPROIMPEX SOCIEDAD ANONIMA CERRADA"/>
    <s v="JUMBO ORDINOLA JAMES MARTIN"/>
    <n v="4508.97"/>
    <n v="4500"/>
    <n v="4500"/>
    <s v="KG"/>
    <n v="4500"/>
    <s v="KG"/>
    <x v="110"/>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MARITIMA DEL CALLAO"/>
    <s v="077328 | 135"/>
    <x v="119"/>
    <x v="6"/>
    <x v="0"/>
    <n v="20392854445"/>
    <s v="LAMAS IMPORT EXPORT S.A.C."/>
    <s v="VAPER FOODS. S.L."/>
    <n v="298.58"/>
    <n v="297"/>
    <n v="297"/>
    <s v="KG"/>
    <n v="33"/>
    <s v="CAJ"/>
    <x v="111"/>
    <n v="1.76"/>
    <n v="15.848000000000001"/>
    <x v="2"/>
    <s v="RODMAN"/>
    <s v="N/A"/>
    <s v="MARÍTIMO"/>
    <s v="MEDITERRANEAN SHIPPING CO.PERU S.A.C."/>
    <s v="JS PERU AGENCIA DE ADUANA S.A.C."/>
    <x v="87"/>
    <s v="CHOCHOS BOLSA 500 GR. 18 BOLSAS X CAJA"/>
    <s v="CHOCHOS BOLSA 500 GR. 18 BOLSAS X CAJA"/>
    <s v="CHOCHOS BOLSA 500 GR. 18 BOLSAS X CAJA"/>
    <s v="CHOCHOS BOLSA 500 GR. 18 BOLSAS X CAJA"/>
    <s v="CHOCHOS BOLSA 500 GR. 18 BOLSAS X CAJA"/>
    <s v="MEDITERRANEAN SHIPPING COMPANY"/>
    <s v="_x0000_"/>
    <s v="_x0000_"/>
    <s v="VERDE"/>
  </r>
  <r>
    <n v="713909000"/>
    <s v="DEMAS HORTALIZAS DE VAINAS SECAS DESVAINADAS,MONDADAS O PARTIDAS EXCEPTO PARA SIEMBRA"/>
    <s v="MARITIMA DEL CALLAO"/>
    <s v="059747 | 8"/>
    <x v="30"/>
    <x v="6"/>
    <x v="1"/>
    <n v="20565443993"/>
    <s v="FUSION FOODS S.A.C."/>
    <s v="TO THE ORDER OF SHIPPER"/>
    <n v="1279.04"/>
    <n v="1201.28"/>
    <n v="1201.28"/>
    <s v="KG"/>
    <n v="168"/>
    <s v="CAJ"/>
    <x v="112"/>
    <n v="3.93"/>
    <n v="28.105"/>
    <x v="1"/>
    <s v="MIAMI"/>
    <s v="N/A"/>
    <s v="MARÍTIMO"/>
    <s v="CITIKOLD DEL PERU S.A.C."/>
    <s v="DESPACHOS ADUANEROS CHAVIMOCHIC SAC"/>
    <x v="85"/>
    <s v="CHOCHO ( 18 BAGS X 14 OZ) EN CAJAS PARA CONSUMO HUMANO"/>
    <s v="CHOCHO ( 18 BAGS X 14 OZ) EN CAJAS PARA CONSUMO HUMANO"/>
    <s v="CHOCHO ( 18 BAGS X 14 OZ) EN CAJAS PARA CONSUMO HUMANO"/>
    <s v="CHOCHO ( 18 BAGS X 14 OZ) EN CAJAS PARA CONSUMO HUMANO"/>
    <s v="CHOCHO ( 18 BAGS X 14 OZ) EN CAJAS PARA CONSUMO HUMANO"/>
    <s v="SEABOARD MARINE LTD"/>
    <s v="_x0000_"/>
    <s v="_x0000_"/>
    <s v="VERDE"/>
  </r>
  <r>
    <n v="713909000"/>
    <s v="DEMAS HORTALIZAS DE VAINAS SECAS DESVAINADAS,MONDADAS O PARTIDAS EXCEPTO PARA SIEMBRA"/>
    <s v="MARITIMA DEL CALLAO"/>
    <s v="077328 | 55"/>
    <x v="119"/>
    <x v="6"/>
    <x v="0"/>
    <n v="20392854445"/>
    <s v="LAMAS IMPORT EXPORT S.A.C."/>
    <s v="VAPER FOODS. S.L."/>
    <n v="2.0099999999999998"/>
    <n v="2"/>
    <n v="2"/>
    <s v="KG"/>
    <n v="1"/>
    <s v="CAJ"/>
    <x v="113"/>
    <n v="1.5"/>
    <n v="3"/>
    <x v="2"/>
    <s v="RODMAN"/>
    <s v="N/A"/>
    <s v="MARÍTIMO"/>
    <s v="MEDITERRANEAN SHIPPING CO.PERU S.A.C."/>
    <s v="JS PERU AGENCIA DE ADUANA S.A.C."/>
    <x v="88"/>
    <s v="CHOCHOS BOLSA 500 GR. 4 BOLSAS X CAJA"/>
    <s v="CHOCHOS BOLSA 500 GR. 4 BOLSAS X CAJA"/>
    <s v="CHOCHOS BOLSA 500 GR. 4 BOLSAS X CAJA"/>
    <s v="CHOCHOS BOLSA 500 GR. 4 BOLSAS X CAJA"/>
    <s v="CHOCHOS BOLSA 500 GR. 4 BOLSAS X CAJA"/>
    <s v="MEDITERRANEAN SHIPPING COMPANY"/>
    <s v="_x0000_"/>
    <s v="_x0000_"/>
    <s v="VERDE"/>
  </r>
  <r>
    <n v="713909000"/>
    <s v="DEMAS HORTALIZAS DE VAINAS SECAS DESVAINADAS,MONDADAS O PARTIDAS EXCEPTO PARA SIEMBRA"/>
    <s v="MARITIMA DEL CALLAO"/>
    <s v="019201 | 6"/>
    <x v="120"/>
    <x v="3"/>
    <x v="2"/>
    <n v="20544535669"/>
    <s v="KALLPA FOODS S.A.C."/>
    <s v="GOYA EUROPA SL"/>
    <n v="3251.16"/>
    <n v="3036"/>
    <n v="3036"/>
    <s v="KG"/>
    <n v="253"/>
    <s v="CAJ"/>
    <x v="114"/>
    <n v="2.8330000000000002"/>
    <n v="34"/>
    <x v="2"/>
    <s v="RODMAN"/>
    <s v="N/A"/>
    <s v="MARÍTIMO"/>
    <s v="MEDITERRANEAN SHIPPING CO.PERU S.A.C."/>
    <s v="JG ADUANAS LOGISTIC SOCIEDAD ANONIMA CERRADA"/>
    <x v="63"/>
    <s v="CHOCHOS 24 X 500 GRS NATIVO PARA CONSUMO HUMANO"/>
    <s v="CHOCHOS 24 X 500 GRS NATIVO PARA CONSUMO HUMANO"/>
    <s v="CHOCHOS 24 X 500 GRS NATIVO PARA CONSUMO HUMANO"/>
    <s v="CHOCHOS 24 X 500 GRS NATIVO PARA CONSUMO HUMANO"/>
    <s v="CHOCHOS 24 X 500 GRS NATIVO PARA CONSUMO HUMANO"/>
    <s v="MEDITERRANEAN SHIPPING COMPANY"/>
    <s v="_x0000_"/>
    <s v="_x0000_"/>
    <s v="VERDE"/>
  </r>
  <r>
    <n v="713909000"/>
    <s v="DEMAS HORTALIZAS DE VAINAS SECAS DESVAINADAS,MONDADAS O PARTIDAS EXCEPTO PARA SIEMBRA"/>
    <s v="MARITIMA DEL CALLAO"/>
    <s v="042565 | 6"/>
    <x v="121"/>
    <x v="9"/>
    <x v="0"/>
    <n v="20565443993"/>
    <s v="FUSION FOODS S.A.C."/>
    <s v="MI TIERRA FOOD LLC"/>
    <n v="903.23"/>
    <n v="868.51"/>
    <n v="868.51"/>
    <s v="KG"/>
    <n v="92"/>
    <s v="CAJ"/>
    <x v="115"/>
    <n v="3.1619999999999999"/>
    <n v="29.858000000000001"/>
    <x v="1"/>
    <s v="MIAMI"/>
    <s v="N/A"/>
    <s v="MARÍTIMO"/>
    <s v="CITIKOLD DEL PERU S.A.C."/>
    <s v="DESPACHOS ADUANEROS CHAVIMOCHIC SAC"/>
    <x v="89"/>
    <s v="CHOCHO (18 BLS X 14 OZ) EN CAJAS"/>
    <s v="CHOCHO (18 BLS X 14 OZ) EN CAJAS"/>
    <s v="CHOCHO (18 BLS X 14 OZ) EN CAJAS"/>
    <s v="CHOCHO (18 BLS X 14 OZ) EN CAJAS"/>
    <s v="CHOCHO (18 BLS X 14 OZ) EN CAJAS"/>
    <s v="SEABOARD MARINE LTD"/>
    <s v="_x0000_"/>
    <s v="_x0000_"/>
    <s v="VERDE"/>
  </r>
  <r>
    <n v="713909000"/>
    <s v="DEMAS HORTALIZAS DE VAINAS SECAS DESVAINADAS,MONDADAS O PARTIDAS EXCEPTO PARA SIEMBRA"/>
    <s v="TUMBES"/>
    <s v="001596 | 1"/>
    <x v="122"/>
    <x v="3"/>
    <x v="2"/>
    <n v="20560159731"/>
    <s v="ARPUSA INVERSIONES S.A.C."/>
    <s v="MARIO BLADIMIR LAVERDE JIBAJA"/>
    <n v="30070"/>
    <n v="29970"/>
    <n v="29970"/>
    <s v="KG"/>
    <n v="666"/>
    <s v="SAC"/>
    <x v="116"/>
    <n v="2.355"/>
    <n v="106"/>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03221 | 1"/>
    <x v="123"/>
    <x v="2"/>
    <x v="2"/>
    <n v="20560159731"/>
    <s v="ARPUSA INVERSIONES S.A.C."/>
    <s v="MARIO BLADIMIR LAVERDE JIBAJA"/>
    <n v="30070"/>
    <n v="29970"/>
    <n v="29970"/>
    <s v="KG"/>
    <n v="666"/>
    <s v="SAC"/>
    <x v="117"/>
    <n v="2.4"/>
    <n v="108"/>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05195 | 1"/>
    <x v="124"/>
    <x v="1"/>
    <x v="2"/>
    <n v="20560159731"/>
    <s v="ARPUSA INVERSIONES S.A.C."/>
    <s v="MARIO BLADIMIR LAVERDE JIBAJA"/>
    <n v="30070"/>
    <n v="29970"/>
    <n v="29970"/>
    <s v="KG"/>
    <n v="666"/>
    <s v="SAC"/>
    <x v="118"/>
    <n v="2.4220000000000002"/>
    <n v="109"/>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07794 | 1"/>
    <x v="73"/>
    <x v="6"/>
    <x v="2"/>
    <n v="20560159731"/>
    <s v="ARPUSA INVERSIONES S.A.C."/>
    <s v="MARIO BLADIMIR LAVERDE JIBAJA"/>
    <n v="30070"/>
    <n v="29970"/>
    <n v="29970"/>
    <s v="KG"/>
    <n v="666"/>
    <s v="SAC"/>
    <x v="119"/>
    <n v="2.444"/>
    <n v="110"/>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10347 | 1"/>
    <x v="125"/>
    <x v="11"/>
    <x v="2"/>
    <n v="20560159731"/>
    <s v="ARPUSA INVERSIONES S.A.C."/>
    <s v="MARIO BLADIMIR LAVERDE JIBAJA"/>
    <n v="30070"/>
    <n v="29970"/>
    <n v="29970"/>
    <s v="KG"/>
    <n v="666"/>
    <s v="SAC"/>
    <x v="120"/>
    <n v="2.5110000000000001"/>
    <n v="113"/>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11672 | 1"/>
    <x v="126"/>
    <x v="5"/>
    <x v="2"/>
    <n v="20560159731"/>
    <s v="ARPUSA INVERSIONES S.A.C."/>
    <s v="MARIO BLADIMIR LAVERDE JIBAJA"/>
    <n v="30070"/>
    <n v="29970"/>
    <n v="29970"/>
    <s v="KG"/>
    <n v="666"/>
    <s v="SAC"/>
    <x v="120"/>
    <n v="2.5110000000000001"/>
    <n v="113"/>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01321 | 1"/>
    <x v="127"/>
    <x v="3"/>
    <x v="0"/>
    <n v="20560159731"/>
    <s v="ARPUSA INVERSIONES S.A.C."/>
    <s v="MARIO BLADIMIR LAVERDE JIBAJA"/>
    <n v="30070"/>
    <n v="29970"/>
    <n v="29970"/>
    <s v="KG"/>
    <n v="666"/>
    <s v="SAC"/>
    <x v="120"/>
    <n v="2.5110000000000001"/>
    <n v="113"/>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03684 | 1"/>
    <x v="128"/>
    <x v="9"/>
    <x v="0"/>
    <n v="20560159731"/>
    <s v="ARPUSA INVERSIONES S.A.C."/>
    <s v="MARIO BLADIMIR LAVERDE JIBAJA"/>
    <n v="30070"/>
    <n v="29970"/>
    <n v="29970"/>
    <s v="KG"/>
    <n v="666"/>
    <s v="SAC"/>
    <x v="121"/>
    <n v="2.6219999999999999"/>
    <n v="118"/>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05461 | 1"/>
    <x v="129"/>
    <x v="7"/>
    <x v="0"/>
    <n v="20560159731"/>
    <s v="ARPUSA INVERSIONES S.A.C."/>
    <s v="MARIO BLADIMIR LAVERDE JIBAJA"/>
    <n v="30070"/>
    <n v="29970"/>
    <n v="29970"/>
    <s v="KG"/>
    <n v="666"/>
    <s v="SAC"/>
    <x v="122"/>
    <n v="2.7109999999999999"/>
    <n v="122"/>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07584 | 1"/>
    <x v="130"/>
    <x v="0"/>
    <x v="0"/>
    <n v="20560159731"/>
    <s v="ARPUSA INVERSIONES S.A.C."/>
    <s v="MARIO BLADIMIR LAVERDE JIBAJA"/>
    <n v="30070"/>
    <n v="29970"/>
    <n v="29970"/>
    <s v="KG"/>
    <n v="666"/>
    <s v="SAC"/>
    <x v="123"/>
    <n v="2.8439999999999999"/>
    <n v="128"/>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09362 | 1"/>
    <x v="131"/>
    <x v="5"/>
    <x v="0"/>
    <n v="20560159731"/>
    <s v="ARPUSA INVERSIONES S.A.C."/>
    <s v="MARIO BLADIMIR LAVERDE JIBAJA"/>
    <n v="30070"/>
    <n v="29970"/>
    <n v="29970"/>
    <s v="KG"/>
    <n v="666"/>
    <s v="SAC"/>
    <x v="124"/>
    <n v="2.6659999999999999"/>
    <n v="120"/>
    <x v="0"/>
    <s v="QUITO"/>
    <s v="N/A"/>
    <s v="CARRETERO"/>
    <s v="N/A"/>
    <s v="BLOG ADUANAS S.A.C"/>
    <x v="91"/>
    <s v="CHOCHOS POR 45 KGRSEN SACOS X 45 KGCHOCHOS SECOSPARA SU COMERCIALIZACION"/>
    <s v="CHOCHOS POR 45 KGRSEN SACOS X 45 KGCHOCHOS SECOSPARA SU COMERCIALIZACION"/>
    <s v="CHOCHOS POR 45 KGRSEN SACOS X 45 KGCHOCHOS SECOSPARA SU COMERCIALIZACION"/>
    <s v="CHOCHOS POR 45 KGRSEN SACOS X 45 KGCHOCHOS SECOSPARA SU COMERCIALIZACION"/>
    <s v="CHOCHOS POR 45 KGRSEN SACOS X 45 KGCHOCHOS SECOSPARA SU COMERCIALIZACION"/>
    <s v=""/>
    <s v=""/>
    <s v=""/>
    <s v="VERDE"/>
  </r>
  <r>
    <n v="713909000"/>
    <s v="DEMAS HORTALIZAS DE VAINAS SECAS DESVAINADAS,MONDADAS O PARTIDAS EXCEPTO PARA SIEMBRA"/>
    <s v="TUMBES"/>
    <s v="000760 | 1"/>
    <x v="34"/>
    <x v="3"/>
    <x v="1"/>
    <n v="20560159731"/>
    <s v="ARPUSA INVERSIONES S.A.C."/>
    <s v="MARIO BLADIMIR LAVERDE JIBAJA"/>
    <n v="30070"/>
    <n v="29970"/>
    <n v="29970"/>
    <s v="KG"/>
    <n v="666"/>
    <s v="SAC"/>
    <x v="124"/>
    <n v="2.6659999999999999"/>
    <n v="120"/>
    <x v="0"/>
    <s v="QUITO"/>
    <s v="N/A"/>
    <s v="CARRETERO"/>
    <s v="N/A"/>
    <s v="BLOG ADUANAS S.A.C"/>
    <x v="91"/>
    <s v="CHOCHOS POR 45 KGRSEN SACOS X 45 KGCHOCHOS SECOSPARA SU COMERCIALIZACION"/>
    <s v="CHOCHOS POR 45 KGRSEN SACOS X 45 KGCHOCHOS SECOSPARA SU COMERCIALIZACION"/>
    <s v="CHOCHOS POR 45 KGRSEN SACOS X 45 KGCHOCHOS SECOSPARA SU COMERCIALIZACION"/>
    <s v="CHOCHOS POR 45 KGRSEN SACOS X 45 KGCHOCHOS SECOSPARA SU COMERCIALIZACION"/>
    <s v="CHOCHOS POR 45 KGRSEN SACOS X 45 KGCHOCHOS SECOSPARA SU COMERCIALIZACION"/>
    <s v=""/>
    <s v=""/>
    <s v=""/>
    <s v="VERDE"/>
  </r>
  <r>
    <n v="713909000"/>
    <s v="DEMAS HORTALIZAS DE VAINAS SECAS DESVAINADAS,MONDADAS O PARTIDAS EXCEPTO PARA SIEMBRA"/>
    <s v="MARITIMA DEL CALLAO"/>
    <s v="057386 | 4"/>
    <x v="132"/>
    <x v="7"/>
    <x v="1"/>
    <n v="20565443993"/>
    <s v="FUSION FOODS S.A.C."/>
    <s v="TO THE ORDER OF SHIPPER"/>
    <n v="1656.25"/>
    <n v="1624.84"/>
    <n v="1624.84"/>
    <s v="KG"/>
    <n v="100"/>
    <s v="SAC"/>
    <x v="125"/>
    <n v="3.4359999999999999"/>
    <n v="55.844000000000001"/>
    <x v="1"/>
    <s v="MIAMI"/>
    <s v="N/A"/>
    <s v="MARÍTIMO"/>
    <s v="CITIKOLD DEL PERU S.A.C."/>
    <s v="DESPACHOS ADUANEROS CHAVIMOCHIC SAC"/>
    <x v="92"/>
    <s v="CHOCHO ( 1 SACO X 50 LB) EN SACOS PARA CONSUMO HUMANO"/>
    <s v="CHOCHO ( 1 SACO X 50 LB) EN SACOS PARA CONSUMO HUMANO"/>
    <s v="CHOCHO ( 1 SACO X 50 LB) EN SACOS PARA CONSUMO HUMANO"/>
    <s v="CHOCHO ( 1 SACO X 50 LB) EN SACOS PARA CONSUMO HUMANO"/>
    <s v="CHOCHO ( 1 SACO X 50 LB) EN SACOS PARA CONSUMO HUMANO"/>
    <s v="SEABOARD MARINE LTD"/>
    <s v="_x0000_"/>
    <s v="_x0000_"/>
    <s v="VERDE"/>
  </r>
  <r>
    <n v="713909000"/>
    <s v="DEMAS HORTALIZAS DE VAINAS SECAS DESVAINADAS,MONDADAS O PARTIDAS EXCEPTO PARA SIEMBRA"/>
    <s v="MARITIMA DEL CALLAO"/>
    <s v="095386 | 9"/>
    <x v="133"/>
    <x v="11"/>
    <x v="2"/>
    <n v="20476152594"/>
    <s v="THE GREEN FARMER S.A.C."/>
    <s v="MI PERU TRADING INC"/>
    <n v="2214"/>
    <n v="2092.23"/>
    <n v="2092.23"/>
    <s v="KG"/>
    <n v="205"/>
    <s v="CAJ"/>
    <x v="126"/>
    <n v="2.7120000000000002"/>
    <n v="27.687000000000001"/>
    <x v="1"/>
    <s v="MANZANILLO"/>
    <s v="N/A"/>
    <s v="MARÍTIMO"/>
    <s v="MEDITERRANEAN SHIPPING CO.PERU S.A.C."/>
    <s v="SAN MIGUEL ADUANAS S.A.C."/>
    <x v="93"/>
    <s v="PAPA SECA X 15 OZEN CAJAS DE 24 BOLSASPARA CONSUMO HUMANOCODIGO Nº13 RESTITUCION DE DERECHOS ARANCEL"/>
    <s v="PAPA SECA X 15 OZEN CAJAS DE 24 BOLSASPARA CONSUMO HUMANOCODIGO Nº13 RESTITUCION DE DERECHOS ARANCEL"/>
    <s v="PAPA SECA X 15 OZEN CAJAS DE 24 BOLSASPARA CONSUMO HUMANOCODIGO Nº13 RESTITUCION DE DERECHOS ARANCEL"/>
    <s v="PAPA SECA X 15 OZEN CAJAS DE 24 BOLSASPARA CONSUMO HUMANOCODIGO Nº13 RESTITUCION DE DERECHOS ARANCEL"/>
    <s v="PAPA SECA X 15 OZEN CAJAS DE 24 BOLSASPARA CONSUMO HUMANOCODIGO Nº13 RESTITUCION DE DERECHOS ARANCEL"/>
    <s v="MEDITERRANEAN SHIPPING COMPANY"/>
    <s v="_x0000_"/>
    <s v="_x0000_"/>
    <s v="VERDE"/>
  </r>
  <r>
    <n v="713909000"/>
    <s v="DEMAS HORTALIZAS DE VAINAS SECAS DESVAINADAS,MONDADAS O PARTIDAS EXCEPTO PARA SIEMBRA"/>
    <s v="MARITIMA DEL CALLAO"/>
    <s v="051847 | 13"/>
    <x v="134"/>
    <x v="7"/>
    <x v="1"/>
    <n v="20565443993"/>
    <s v="FUSION FOODS S.A.C."/>
    <s v="MI TIERRA FOOD LLC"/>
    <n v="958.94"/>
    <n v="910.99"/>
    <n v="910.99"/>
    <s v="KG"/>
    <n v="109"/>
    <s v="CAJ"/>
    <x v="127"/>
    <n v="3.742"/>
    <n v="31.276"/>
    <x v="1"/>
    <s v="MIAMI"/>
    <s v="N/A"/>
    <s v="MARÍTIMO"/>
    <s v="CITIKOLD DEL PERU S.A.C."/>
    <s v="CL ADUANA S.A.C."/>
    <x v="94"/>
    <s v="CHOCHO ( 1 SACO X 50 LB) CHOCHO ( 1 SACK X 50 LB)"/>
    <s v="CHOCHO ( 1 SACO X 50 LB) CHOCHO ( 1 SACK X 50 LB)"/>
    <s v="CHOCHO ( 1 SACO X 50 LB) CHOCHO ( 1 SACK X 50 LB)"/>
    <s v="CHOCHO ( 1 SACO X 50 LB) CHOCHO ( 1 SACK X 50 LB)"/>
    <s v="CHOCHO ( 1 SACO X 50 LB) CHOCHO ( 1 SACK X 50 LB)"/>
    <s v="SEABOARD MARINE LTD"/>
    <s v="_x0000_"/>
    <s v="_x0000_"/>
    <s v="VERDE"/>
  </r>
  <r>
    <n v="713909000"/>
    <s v="DEMAS HORTALIZAS DE VAINAS SECAS DESVAINADAS,MONDADAS O PARTIDAS EXCEPTO PARA SIEMBRA"/>
    <s v="AEREA DEL CALLAO"/>
    <s v="039764 | 3"/>
    <x v="135"/>
    <x v="6"/>
    <x v="2"/>
    <n v="20600322878"/>
    <s v="NATURAL ANDINO E.I.R.L."/>
    <s v="HECTOR RODOLFO MALDONADO VEGA"/>
    <n v="0.49"/>
    <n v="0.49"/>
    <n v="0.49"/>
    <s v="KG"/>
    <n v="10"/>
    <s v="KG"/>
    <x v="128"/>
    <n v="4.0810000000000004"/>
    <n v="0.2"/>
    <x v="5"/>
    <s v="PANAMA CITY"/>
    <s v="N/A"/>
    <s v="AÉREO"/>
    <s v="COPA-COMPAYIA PANAMEYA"/>
    <s v="BLOG ADUANAS S.A.C"/>
    <x v="95"/>
    <s v="CHOCHO SIN MARCA"/>
    <s v="CHOCHO SIN MARCA"/>
    <s v="CHOCHO SIN MARCA"/>
    <s v="CHOCHO SIN MARCA"/>
    <s v="CHOCHO SIN MARCA"/>
    <s v="COMPAñIA PANAMEñA DE AVIACION SOCIEDAD ANONIMA (COPA) S"/>
    <s v="_x0000_"/>
    <s v="_x0000_"/>
    <s v="ROJO"/>
  </r>
  <r>
    <n v="713909000"/>
    <s v="DEMAS HORTALIZAS DE VAINAS SECAS DESVAINADAS,MONDADAS O PARTIDAS EXCEPTO PARA SIEMBRA"/>
    <s v="MARITIMA DEL CALLAO"/>
    <s v="080520 | 118"/>
    <x v="102"/>
    <x v="6"/>
    <x v="2"/>
    <n v="20392854445"/>
    <s v="LAMAS IMPORT EXPORT S.A.C."/>
    <s v="VAPER FOODS S.L."/>
    <n v="8.84"/>
    <n v="7"/>
    <n v="7"/>
    <s v="KG"/>
    <n v="1"/>
    <s v="CAJ"/>
    <x v="129"/>
    <n v="1.2849999999999999"/>
    <n v="9"/>
    <x v="2"/>
    <s v="BALBOA"/>
    <s v="N/A"/>
    <s v="MARÍTIMO"/>
    <s v="MAERSK LINE PERU S.A.C."/>
    <s v="GRUPO PML S.A.C AGENTES DE ADUANAS"/>
    <x v="96"/>
    <s v="CHOCHO 500 GR X 18 BOLSAS X CAJA CONSUMO HUMANO"/>
    <s v="CHOCHO 500 GR X 18 BOLSAS X CAJA CONSUMO HUMANO"/>
    <s v="CHOCHO 500 GR X 18 BOLSAS X CAJA CONSUMO HUMANO"/>
    <s v="CHOCHO 500 GR X 18 BOLSAS X CAJA CONSUMO HUMANO"/>
    <s v="CHOCHO 500 GR X 18 BOLSAS X CAJA CONSUMO HUMANO"/>
    <s v="MAERSK LINES, INC."/>
    <s v="YACZ CARGO SAC"/>
    <s v="ERHARDT TRANSITARIOS S.L."/>
    <s v="VERDE"/>
  </r>
  <r>
    <n v="713909000"/>
    <s v="DEMAS HORTALIZAS DE VAINAS SECAS DESVAINADAS,MONDADAS O PARTIDAS EXCEPTO PARA SIEMBRA"/>
    <s v="MARITIMA DEL CALLAO"/>
    <s v="080520 | 54"/>
    <x v="102"/>
    <x v="6"/>
    <x v="2"/>
    <n v="20392854445"/>
    <s v="LAMAS IMPORT EXPORT S.A.C."/>
    <s v="VAPER FOODS S.L."/>
    <n v="227.51"/>
    <n v="180"/>
    <n v="180"/>
    <s v="KG"/>
    <n v="20"/>
    <s v="CAJ"/>
    <x v="130"/>
    <n v="1.7589999999999999"/>
    <n v="15.839"/>
    <x v="2"/>
    <s v="BALBOA"/>
    <s v="N/A"/>
    <s v="MARÍTIMO"/>
    <s v="MAERSK LINE PERU S.A.C."/>
    <s v="GRUPO PML S.A.C AGENTES DE ADUANAS"/>
    <x v="96"/>
    <s v="CHOCHO 500 GR X 18 BOLSAS X CAJA CONSUMO HUMANO"/>
    <s v="CHOCHO 500 GR X 18 BOLSAS X CAJA CONSUMO HUMANO"/>
    <s v="CHOCHO 500 GR X 18 BOLSAS X CAJA CONSUMO HUMANO"/>
    <s v="CHOCHO 500 GR X 18 BOLSAS X CAJA CONSUMO HUMANO"/>
    <s v="CHOCHO 500 GR X 18 BOLSAS X CAJA CONSUMO HUMANO"/>
    <s v="MAERSK LINES, INC."/>
    <s v="YACZ CARGO SAC"/>
    <s v="ERHARDT TRANSITARIOS S.L."/>
    <s v="VERDE"/>
  </r>
  <r>
    <n v="713909000"/>
    <s v="DEMAS HORTALIZAS DE VAINAS SECAS DESVAINADAS,MONDADAS O PARTIDAS EXCEPTO PARA SIEMBRA"/>
    <s v="MARITIMA DEL CALLAO"/>
    <s v="051847 | 5"/>
    <x v="134"/>
    <x v="7"/>
    <x v="1"/>
    <n v="20565443993"/>
    <s v="FUSION FOODS S.A.C."/>
    <s v="MI TIERRA FOOD LLC"/>
    <n v="1741.93"/>
    <n v="1654.83"/>
    <n v="1654.83"/>
    <s v="KG"/>
    <n v="198"/>
    <s v="CAJ"/>
    <x v="131"/>
    <n v="3.742"/>
    <n v="31.276"/>
    <x v="1"/>
    <s v="MIAMI"/>
    <s v="N/A"/>
    <s v="MARÍTIMO"/>
    <s v="CITIKOLD DEL PERU S.A.C."/>
    <s v="CL ADUANA S.A.C."/>
    <x v="97"/>
    <s v="CHOCHO ( 18 BLS X 14 OZ) CHOCHO ( 18 BAGS X 14 OZ)"/>
    <s v="CHOCHO ( 18 BLS X 14 OZ) CHOCHO ( 18 BAGS X 14 OZ)"/>
    <s v="CHOCHO ( 18 BLS X 14 OZ) CHOCHO ( 18 BAGS X 14 OZ)"/>
    <s v="CHOCHO ( 18 BLS X 14 OZ) CHOCHO ( 18 BAGS X 14 OZ)"/>
    <s v="CHOCHO ( 18 BLS X 14 OZ) CHOCHO ( 18 BAGS X 14 OZ)"/>
    <s v="SEABOARD MARINE LTD"/>
    <s v="_x0000_"/>
    <s v="_x0000_"/>
    <s v="VERDE"/>
  </r>
  <r>
    <n v="713909000"/>
    <s v="DEMAS HORTALIZAS DE VAINAS SECAS DESVAINADAS,MONDADAS O PARTIDAS EXCEPTO PARA SIEMBRA"/>
    <s v="MARITIMA DEL CALLAO"/>
    <s v="013604 | 15"/>
    <x v="53"/>
    <x v="3"/>
    <x v="0"/>
    <n v="20565443993"/>
    <s v="FUSION FOODS S.A.C."/>
    <s v="MI TIERRA FOOD LLC"/>
    <n v="416.26"/>
    <n v="395.45"/>
    <n v="395.45"/>
    <s v="KG"/>
    <n v="44"/>
    <s v="CAJ"/>
    <x v="132"/>
    <n v="2.9940000000000002"/>
    <n v="26.908999999999999"/>
    <x v="1"/>
    <s v="MIAMI"/>
    <s v="N/A"/>
    <s v="MARÍTIMO"/>
    <s v="CITIKOLD DEL PERU S.A.C."/>
    <s v="CL ADUANA S.A.C."/>
    <x v="98"/>
    <s v="CHOCHO (18 BLS X 14 OZ) CHOCHO (18 BAGS X 14 OZ )"/>
    <s v="CHOCHO (18 BLS X 14 OZ) CHOCHO (18 BAGS X 14 OZ )"/>
    <s v="CHOCHO (18 BLS X 14 OZ) CHOCHO (18 BAGS X 14 OZ )"/>
    <s v="CHOCHO (18 BLS X 14 OZ) CHOCHO (18 BAGS X 14 OZ )"/>
    <s v="CHOCHO (18 BLS X 14 OZ) CHOCHO (18 BAGS X 14 OZ )"/>
    <s v="SEABOARD MARINE LTD"/>
    <s v="_x0000_"/>
    <s v="_x0000_"/>
    <s v="VERDE"/>
  </r>
  <r>
    <n v="713909000"/>
    <s v="DEMAS HORTALIZAS DE VAINAS SECAS DESVAINADAS,MONDADAS O PARTIDAS EXCEPTO PARA SIEMBRA"/>
    <s v="MARITIMA DEL CALLAO"/>
    <s v="063165 | 2"/>
    <x v="136"/>
    <x v="7"/>
    <x v="2"/>
    <n v="20509587877"/>
    <s v="PERU BEAN S.A.C."/>
    <s v="GONI DISTRIBUTION NETWORK. INC"/>
    <n v="1463.32"/>
    <n v="1390.16"/>
    <n v="1390.16"/>
    <s v="KG"/>
    <n v="70"/>
    <s v="CAJ"/>
    <x v="133"/>
    <n v="2.5779999999999998"/>
    <n v="51.2"/>
    <x v="1"/>
    <s v="GUAYAQUIL"/>
    <s v="N/A"/>
    <s v="MARÍTIMO"/>
    <s v="TRAMARSA - TRABAJOS MARITIMOS S.A."/>
    <s v="DESPACHOS ADUANEROS CHAVIMOCHIC SAC"/>
    <x v="99"/>
    <s v="CHOCHO 15 OZ. 426 GR X 40 UNITS. EN CAJAS"/>
    <s v="CHOCHO 15 OZ. 426 GR X 40 UNITS. EN CAJAS"/>
    <s v="CHOCHO 15 OZ. 426 GR X 40 UNITS. EN CAJAS"/>
    <s v="CHOCHO 15 OZ. 426 GR X 40 UNITS. EN CAJAS"/>
    <s v="CHOCHO 15 OZ. 426 GR X 40 UNITS. EN CAJAS"/>
    <s v="OCEAN NETWORK EXPRESS PTE. LTD."/>
    <s v="TRANSBER S.A.C."/>
    <s v="FLEISCHER FREIGHT SERVICES. INC"/>
    <s v="VERDE"/>
  </r>
  <r>
    <n v="713909000"/>
    <s v="DEMAS HORTALIZAS DE VAINAS SECAS DESVAINADAS,MONDADAS O PARTIDAS EXCEPTO PARA SIEMBRA"/>
    <s v="MARITIMA DEL CALLAO"/>
    <s v="085882 | 19"/>
    <x v="137"/>
    <x v="0"/>
    <x v="2"/>
    <n v="20170040938"/>
    <s v="DANPER TRUJILLO S.A.C."/>
    <s v="SALUD FOODGROUP EUROPE B.V."/>
    <n v="0.05"/>
    <n v="0.05"/>
    <n v="0.05"/>
    <s v="KG"/>
    <n v="2"/>
    <s v="U"/>
    <x v="134"/>
    <n v="4"/>
    <n v="0.1"/>
    <x v="6"/>
    <s v="POSORJA"/>
    <s v="N/A"/>
    <s v="MARÍTIMO"/>
    <s v="TRAMARSA - TRABAJOS MARITIMOS S.A."/>
    <s v="TRANSOCEANIC S.A."/>
    <x v="100"/>
    <s v="BOWL DE PROTEÍNAS GARBANZO, FARRO Y LENTEJAS"/>
    <s v="BOWL DE PROTEÍNAS GARBANZO, FARRO Y LENTEJAS"/>
    <s v="BOWL DE PROTEÍNAS GARBANZO, FARRO Y LENTEJAS"/>
    <s v="BOWL DE PROTEÍNAS GARBANZO, FARRO Y LENTEJAS"/>
    <s v="BOWL DE PROTEÍNAS GARBANZO, FARRO Y LENTEJAS"/>
    <s v="HAPAG-LLOYD A G"/>
    <s v="KUEHNE + NAGEL S.A."/>
    <s v="KUEHNE  NAGEL N.V."/>
    <s v="VERDE"/>
  </r>
  <r>
    <n v="713909000"/>
    <s v="DEMAS HORTALIZAS DE VAINAS SECAS DESVAINADAS,MONDADAS O PARTIDAS EXCEPTO PARA SIEMBRA"/>
    <s v="TUMBES"/>
    <s v="002409 | 1"/>
    <x v="138"/>
    <x v="9"/>
    <x v="1"/>
    <n v="0"/>
    <s v="N/A"/>
    <s v="JUMBO ORDINOLA JAMES MARTIN"/>
    <n v="15100"/>
    <n v="15000"/>
    <n v="15000"/>
    <s v="KG"/>
    <n v="15000"/>
    <s v="KG"/>
    <x v="135"/>
    <n v="0.7"/>
    <n v="0.7"/>
    <x v="0"/>
    <s v="HUAQUILLAS"/>
    <s v="N/A"/>
    <s v="CARRETERO"/>
    <s v="N/A"/>
    <s v="VEGA AGENTES AFIANZADOS DE ADUANAS S.A.C."/>
    <x v="101"/>
    <s v="CHOCHOSEMBALAJE : 300 SACOSX 50 KG CADA SACOPARA SU COMERCIALIZACION"/>
    <s v="CHOCHOSEMBALAJE : 300 SACOSX 50 KG CADA SACOPARA SU COMERCIALIZACION"/>
    <s v="CHOCHOSEMBALAJE : 300 SACOSX 50 KG CADA SACOPARA SU COMERCIALIZACION"/>
    <s v="CHOCHOSEMBALAJE : 300 SACOSX 50 KG CADA SACOPARA SU COMERCIALIZACION"/>
    <s v="CHOCHOSEMBALAJE : 300 SACOSX 50 KG CADA SACOPARA SU COMERCIALIZACION"/>
    <s v=""/>
    <s v=""/>
    <s v=""/>
    <s v="VERDE"/>
  </r>
  <r>
    <n v="713909000"/>
    <s v="DEMAS HORTALIZAS DE VAINAS SECAS DESVAINADAS,MONDADAS O PARTIDAS EXCEPTO PARA SIEMBRA"/>
    <s v="TACNA"/>
    <s v="000017 | 3"/>
    <x v="139"/>
    <x v="4"/>
    <x v="1"/>
    <n v="20602656315"/>
    <s v="MATFAL GLOBAL EXPORT E.I.R.L."/>
    <s v="MATFAL FOODS COMPANY LIMITADA"/>
    <n v="5130"/>
    <n v="5125"/>
    <n v="5125"/>
    <s v="KG"/>
    <n v="205"/>
    <s v="U"/>
    <x v="136"/>
    <n v="0.08"/>
    <n v="2"/>
    <x v="7"/>
    <s v="ARICA"/>
    <s v="N/A"/>
    <s v="CARRETERO"/>
    <s v="N/A"/>
    <s v="AGENCIA DE ADUANA DEL SUR SOCIEDAD ANONIMA CERRADA - AGE"/>
    <x v="102"/>
    <s v="FREJOL TARWI EN GRANO SECOEN SACOS X 25 KG C/UCODIGO Nº13 RESTITUCION DE DERECHOS ARANCELARIOS"/>
    <s v="FREJOL TARWI EN GRANO SECOEN SACOS X 25 KG C/UCODIGO Nº13 RESTITUCION DE DERECHOS ARANCELARIOS"/>
    <s v="FREJOL TARWI EN GRANO SECOEN SACOS X 25 KG C/UCODIGO Nº13 RESTITUCION DE DERECHOS ARANCELARIOS"/>
    <s v="FREJOL TARWI EN GRANO SECOEN SACOS X 25 KG C/UCODIGO Nº13 RESTITUCION DE DERECHOS ARANCELARIOS"/>
    <s v="FREJOL TARWI EN GRANO SECOEN SACOS X 25 KG C/UCODIGO Nº13 RESTITUCION DE DERECHOS ARANCELARIOS"/>
    <s v=""/>
    <s v=""/>
    <s v=""/>
    <s v="VERDE"/>
  </r>
  <r>
    <n v="713909000"/>
    <s v="DEMAS HORTALIZAS DE VAINAS SECAS DESVAINADAS,MONDADAS O PARTIDAS EXCEPTO PARA SIEMBRA"/>
    <s v="TUMBES"/>
    <s v="001680 | 1"/>
    <x v="140"/>
    <x v="2"/>
    <x v="1"/>
    <n v="0"/>
    <s v="N/A"/>
    <s v="TURPO GUDIEL DE SAITO UNDINA MARLENY"/>
    <n v="18021.8"/>
    <n v="17950"/>
    <n v="17950"/>
    <s v="KG"/>
    <n v="359"/>
    <s v="U"/>
    <x v="137"/>
    <n v="0.74"/>
    <n v="37"/>
    <x v="0"/>
    <s v="HUAQUILLAS"/>
    <s v="N/A"/>
    <s v="CARRETERO"/>
    <s v="N/A"/>
    <s v="MOCAYAS LOGISTICA ADUANERA S.A.C."/>
    <x v="103"/>
    <s v="359 SACOS CONTENIENDO CHOCHOS SECOSX50 KG C/SPARA SU COMERCIALIZACION"/>
    <s v="359 SACOS CONTENIENDO CHOCHOS SECOSX50 KG C/SPARA SU COMERCIALIZACION"/>
    <s v="359 SACOS CONTENIENDO CHOCHOS SECOSX50 KG C/SPARA SU COMERCIALIZACION"/>
    <s v="359 SACOS CONTENIENDO CHOCHOS SECOSX50 KG C/SPARA SU COMERCIALIZACION"/>
    <s v="359 SACOS CONTENIENDO CHOCHOS SECOSX50 KG C/SPARA SU COMERCIALIZACION"/>
    <s v=""/>
    <s v=""/>
    <s v=""/>
    <s v="ROJO"/>
  </r>
  <r>
    <n v="713909000"/>
    <s v="DEMAS HORTALIZAS DE VAINAS SECAS DESVAINADAS,MONDADAS O PARTIDAS EXCEPTO PARA SIEMBRA"/>
    <s v="TUMBES"/>
    <s v="001418 | 2"/>
    <x v="33"/>
    <x v="3"/>
    <x v="1"/>
    <n v="0"/>
    <s v="N/A"/>
    <s v="JUMBO ORDINOLA JAMES MARTIN"/>
    <n v="5030"/>
    <n v="5000"/>
    <n v="5000"/>
    <s v="KG"/>
    <n v="5000"/>
    <s v="KG"/>
    <x v="138"/>
    <n v="0.7"/>
    <n v="0.7"/>
    <x v="0"/>
    <s v="HUAQUILLAS"/>
    <s v="N/A"/>
    <s v="CARRETERO"/>
    <s v="N/A"/>
    <s v="VEGA AGENTES AFIANZADOS DE ADUANAS S.A.C."/>
    <x v="104"/>
    <s v="CHOCHOSEMBALAJE : 100 SACOSX 50 KG CADA SACOPARA SU COMERCIALIZACION"/>
    <s v="CHOCHOSEMBALAJE : 100 SACOSX 50 KG CADA SACOPARA SU COMERCIALIZACION"/>
    <s v="CHOCHOSEMBALAJE : 100 SACOSX 50 KG CADA SACOPARA SU COMERCIALIZACION"/>
    <s v="CHOCHOSEMBALAJE : 100 SACOSX 50 KG CADA SACOPARA SU COMERCIALIZACION"/>
    <s v="CHOCHOSEMBALAJE : 100 SACOSX 50 KG CADA SACOPARA SU COMERCIALIZACION"/>
    <s v=""/>
    <s v=""/>
    <s v=""/>
    <s v="VERDE"/>
  </r>
  <r>
    <n v="713909000"/>
    <s v="DEMAS HORTALIZAS DE VAINAS SECAS DESVAINADAS,MONDADAS O PARTIDAS EXCEPTO PARA SIEMBRA"/>
    <s v="TUMBES"/>
    <s v="010379 | 1"/>
    <x v="141"/>
    <x v="11"/>
    <x v="2"/>
    <n v="0"/>
    <s v="N/A"/>
    <s v="RITA PITA AGUAYO"/>
    <n v="11100"/>
    <n v="11050"/>
    <n v="11050"/>
    <s v="KG"/>
    <n v="11.05"/>
    <s v="KG"/>
    <x v="139"/>
    <n v="2.3199999999999998"/>
    <n v="2320"/>
    <x v="0"/>
    <s v="HUAQUILLAS"/>
    <s v="N/A"/>
    <s v="CARRETERO"/>
    <s v="N/A"/>
    <s v="OLZAA AGENCIA DE ADUANA S.A."/>
    <x v="105"/>
    <s v="CHOCHO O TARWI CLASIFICADOPESO NETO 11050 KG - PESO BRUTO: 11100 KGSACOS: 221 X 50 KG C/UUSO/APLICAC"/>
    <s v="CHOCHO O TARWI CLASIFICADOPESO NETO 11050 KG - PESO BRUTO: 11100 KGSACOS: 221 X 50 KG C/UUSO/APLICAC"/>
    <s v="CHOCHO O TARWI CLASIFICADOPESO NETO 11050 KG - PESO BRUTO: 11100 KGSACOS: 221 X 50 KG C/UUSO/APLICAC"/>
    <s v="CHOCHO O TARWI CLASIFICADOPESO NETO 11050 KG - PESO BRUTO: 11100 KGSACOS: 221 X 50 KG C/UUSO/APLICAC"/>
    <s v="CHOCHO O TARWI CLASIFICADOPESO NETO 11050 KG - PESO BRUTO: 11100 KGSACOS: 221 X 50 KG C/UUSO/APLICAC"/>
    <s v=""/>
    <s v=""/>
    <s v=""/>
    <s v="ROJO"/>
  </r>
  <r>
    <n v="713909000"/>
    <s v="DEMAS HORTALIZAS DE VAINAS SECAS DESVAINADAS,MONDADAS O PARTIDAS EXCEPTO PARA SIEMBRA"/>
    <s v="TUMBES"/>
    <s v="000426 | 3"/>
    <x v="36"/>
    <x v="4"/>
    <x v="1"/>
    <n v="0"/>
    <s v="N/A"/>
    <s v="JUMBO ORDINOLA JAMES MARTIN"/>
    <n v="3520"/>
    <n v="3500"/>
    <n v="3500"/>
    <s v="KG"/>
    <n v="3500"/>
    <s v="KG"/>
    <x v="140"/>
    <n v="0.7"/>
    <n v="0.7"/>
    <x v="0"/>
    <s v="HUAQUILLAS"/>
    <s v="N/A"/>
    <s v="CARRETERO"/>
    <s v="N/A"/>
    <s v="VEGA AGENTES AFIANZADOS DE ADUANAS S.A.C."/>
    <x v="106"/>
    <s v="TAMARINDOEMBALAJE : 70 SACOSX 50 KG CADA SACOPARA SU COMERCIALIZACION"/>
    <s v="TAMARINDOEMBALAJE : 70 SACOSX 50 KG CADA SACOPARA SU COMERCIALIZACION"/>
    <s v="TAMARINDOEMBALAJE : 70 SACOSX 50 KG CADA SACOPARA SU COMERCIALIZACION"/>
    <s v="TAMARINDOEMBALAJE : 70 SACOSX 50 KG CADA SACOPARA SU COMERCIALIZACION"/>
    <s v="TAMARINDOEMBALAJE : 70 SACOSX 50 KG CADA SACOPARA SU COMERCIALIZACION"/>
    <s v=""/>
    <s v=""/>
    <s v=""/>
    <s v="VERDE"/>
  </r>
  <r>
    <n v="713909000"/>
    <s v="DEMAS HORTALIZAS DE VAINAS SECAS DESVAINADAS,MONDADAS O PARTIDAS EXCEPTO PARA SIEMBRA"/>
    <s v="TUMBES"/>
    <s v="011230 | 2"/>
    <x v="142"/>
    <x v="8"/>
    <x v="0"/>
    <n v="0"/>
    <s v="N/A"/>
    <s v="JUMBO ORDINOLA JAMES MARTIN"/>
    <n v="3770"/>
    <n v="3750"/>
    <n v="3750"/>
    <s v="KG"/>
    <n v="3750"/>
    <s v="KG"/>
    <x v="141"/>
    <n v="0.8"/>
    <n v="0.8"/>
    <x v="0"/>
    <s v="HUAQUILLAS"/>
    <s v="N/A"/>
    <s v="CARRETERO"/>
    <s v="N/A"/>
    <s v="VEGA AGENTES AFIANZADOS DE ADUANAS S.A.C."/>
    <x v="107"/>
    <s v="CHOCHOSEMBALAJE : 75 SACOSX 50 KG CADA SACOPARA SU COMERCIALIZACION"/>
    <s v="CHOCHOSEMBALAJE : 75 SACOSX 50 KG CADA SACOPARA SU COMERCIALIZACION"/>
    <s v="CHOCHOSEMBALAJE : 75 SACOSX 50 KG CADA SACOPARA SU COMERCIALIZACION"/>
    <s v="CHOCHOSEMBALAJE : 75 SACOSX 50 KG CADA SACOPARA SU COMERCIALIZACION"/>
    <s v="CHOCHOSEMBALAJE : 75 SACOSX 50 KG CADA SACOPARA SU COMERCIALIZACION"/>
    <s v=""/>
    <s v=""/>
    <s v=""/>
    <s v="VERDE"/>
  </r>
  <r>
    <n v="713909000"/>
    <s v="DEMAS HORTALIZAS DE VAINAS SECAS DESVAINADAS,MONDADAS O PARTIDAS EXCEPTO PARA SIEMBRA"/>
    <s v="MARITIMA DEL CALLAO"/>
    <s v="042431 | 14"/>
    <x v="143"/>
    <x v="1"/>
    <x v="1"/>
    <n v="20450130908"/>
    <s v="INDUSTRIAS SISA S.A.C."/>
    <s v="PRODUCTOS LATINOS ROCO. SL"/>
    <n v="1546.01"/>
    <n v="1250"/>
    <n v="1250"/>
    <s v="KG"/>
    <n v="50"/>
    <s v="SAC"/>
    <x v="142"/>
    <n v="2.72"/>
    <n v="68"/>
    <x v="6"/>
    <s v="POSORJA"/>
    <s v="N/A"/>
    <s v="MARÍTIMO"/>
    <s v="TRAMARSA - TRABAJOS MARITIMOS S.A."/>
    <s v="LIP ADUANAS S.A."/>
    <x v="108"/>
    <s v="TARHUI EN SACOS X 25 KG DRAWBACK"/>
    <s v="TARHUI EN SACOS X 25 KG DRAWBACK"/>
    <s v="TARHUI EN SACOS X 25 KG DRAWBACK"/>
    <s v="TARHUI EN SACOS X 25 KG DRAWBACK"/>
    <s v="TARHUI EN SACOS X 25 KG DRAWBACK"/>
    <s v="CMA-CGM"/>
    <s v="_x0000_"/>
    <s v="_x0000_"/>
    <s v="VERDE"/>
  </r>
  <r>
    <n v="713909000"/>
    <s v="DEMAS HORTALIZAS DE VAINAS SECAS DESVAINADAS,MONDADAS O PARTIDAS EXCEPTO PARA SIEMBRA"/>
    <s v="MARITIMA DEL CALLAO"/>
    <s v="111600 | 7"/>
    <x v="144"/>
    <x v="5"/>
    <x v="2"/>
    <n v="20565443993"/>
    <s v="FUSION FOODS S.A.C."/>
    <s v="MI TIERRA FOOD LLC"/>
    <n v="3007.14"/>
    <n v="2856.78"/>
    <n v="2856.78"/>
    <s v="KG"/>
    <n v="174"/>
    <s v="CAJ"/>
    <x v="143"/>
    <n v="2.6139999999999999"/>
    <n v="42.930999999999997"/>
    <x v="1"/>
    <s v="MIAMI"/>
    <s v="N/A"/>
    <s v="MARÍTIMO"/>
    <s v="CITIKOLD DEL PERU S.A.C."/>
    <s v="CL ADUANA S.A.C."/>
    <x v="109"/>
    <s v="CHOCHO ( 1SACO X 50LB) CHOCHO (1SACK X 50LB)"/>
    <s v="CHOCHO ( 1SACO X 50LB) CHOCHO (1SACK X 50LB)"/>
    <s v="CHOCHO ( 1SACO X 50LB) CHOCHO (1SACK X 50LB)"/>
    <s v="CHOCHO ( 1SACO X 50LB) CHOCHO (1SACK X 50LB)"/>
    <s v="CHOCHO ( 1SACO X 50LB) CHOCHO (1SACK X 50LB)"/>
    <s v="SEABOARD MARINE LTD"/>
    <s v="_x0000_"/>
    <s v="_x0000_"/>
    <s v="VERDE"/>
  </r>
  <r>
    <n v="713909000"/>
    <s v="DEMAS HORTALIZAS DE VAINAS SECAS DESVAINADAS,MONDADAS O PARTIDAS EXCEPTO PARA SIEMBRA"/>
    <s v="TUMBES"/>
    <s v="010704 | 3"/>
    <x v="145"/>
    <x v="10"/>
    <x v="0"/>
    <n v="0"/>
    <s v="N/A"/>
    <s v="JUMBO ORDINOLA JAMES MARTIN"/>
    <n v="3770"/>
    <n v="3750"/>
    <n v="3750"/>
    <s v="KG"/>
    <n v="3750"/>
    <s v="KG"/>
    <x v="144"/>
    <n v="0.7"/>
    <n v="0.7"/>
    <x v="0"/>
    <s v="HUAQUILLAS"/>
    <s v="N/A"/>
    <s v="CARRETERO"/>
    <s v="N/A"/>
    <s v="VEGA AGENTES AFIANZADOS DE ADUANAS S.A.C."/>
    <x v="110"/>
    <s v="CHOCHOSEMBALAJE . 75 SACOSX 50 KILOS CADA SACOPARA SU COMERCIALIZACION"/>
    <s v="CHOCHOSEMBALAJE . 75 SACOSX 50 KILOS CADA SACOPARA SU COMERCIALIZACION"/>
    <s v="CHOCHOSEMBALAJE . 75 SACOSX 50 KILOS CADA SACOPARA SU COMERCIALIZACION"/>
    <s v="CHOCHOSEMBALAJE . 75 SACOSX 50 KILOS CADA SACOPARA SU COMERCIALIZACION"/>
    <s v="CHOCHOSEMBALAJE . 75 SACOSX 50 KILOS CADA SACOPARA SU COMERCIALIZACION"/>
    <s v=""/>
    <s v=""/>
    <s v=""/>
    <s v="VERDE"/>
  </r>
  <r>
    <n v="713909000"/>
    <s v="DEMAS HORTALIZAS DE VAINAS SECAS DESVAINADAS,MONDADAS O PARTIDAS EXCEPTO PARA SIEMBRA"/>
    <s v="TUMBES"/>
    <s v="010222 | 2"/>
    <x v="146"/>
    <x v="10"/>
    <x v="0"/>
    <n v="0"/>
    <s v="N/A"/>
    <s v="JUMBO ORDINOLA JAMES MARTIN"/>
    <n v="9520"/>
    <n v="9500"/>
    <n v="9500"/>
    <s v="KG"/>
    <n v="9500"/>
    <s v="KG"/>
    <x v="145"/>
    <n v="0.8"/>
    <n v="0.8"/>
    <x v="0"/>
    <s v="HUAQUILLAS"/>
    <s v="N/A"/>
    <s v="CARRETERO"/>
    <s v="N/A"/>
    <s v="VEGA AGENTES AFIANZADOS DE ADUANAS S.A.C."/>
    <x v="111"/>
    <s v="CHOCHOSEMBALAJE : 190 SACOSX 50 KG CADA SACOPARA SU COMERCIALIZACION"/>
    <s v="CHOCHOSEMBALAJE : 190 SACOSX 50 KG CADA SACOPARA SU COMERCIALIZACION"/>
    <s v="CHOCHOSEMBALAJE : 190 SACOSX 50 KG CADA SACOPARA SU COMERCIALIZACION"/>
    <s v="CHOCHOSEMBALAJE : 190 SACOSX 50 KG CADA SACOPARA SU COMERCIALIZACION"/>
    <s v="CHOCHOSEMBALAJE : 190 SACOSX 50 KG CADA SACOPARA SU COMERCIALIZACION"/>
    <s v=""/>
    <s v=""/>
    <s v=""/>
    <s v="VERDE"/>
  </r>
  <r>
    <n v="713909000"/>
    <s v="DEMAS HORTALIZAS DE VAINAS SECAS DESVAINADAS,MONDADAS O PARTIDAS EXCEPTO PARA SIEMBRA"/>
    <s v="TUMBES"/>
    <s v="009700 | 3"/>
    <x v="147"/>
    <x v="5"/>
    <x v="0"/>
    <n v="0"/>
    <s v="N/A"/>
    <s v="VASQUEZ LOPEZ EDGAR VINICIO"/>
    <n v="4320"/>
    <n v="4300"/>
    <n v="4300"/>
    <s v="KG"/>
    <n v="4300"/>
    <s v="KG"/>
    <x v="146"/>
    <n v="0.8"/>
    <n v="0.8"/>
    <x v="0"/>
    <s v="HUAQUILLAS"/>
    <s v="N/A"/>
    <s v="CARRETERO"/>
    <s v="N/A"/>
    <s v="VEGA AGENTES AFIANZADOS DE ADUANAS S.A.C."/>
    <x v="112"/>
    <s v="CHOCHOSEMBALAJE : 86 SACOSX 50 KILOS CADA SACOPARA SU COMERCIALIZACION"/>
    <s v="CHOCHOSEMBALAJE : 86 SACOSX 50 KILOS CADA SACOPARA SU COMERCIALIZACION"/>
    <s v="CHOCHOSEMBALAJE : 86 SACOSX 50 KILOS CADA SACOPARA SU COMERCIALIZACION"/>
    <s v="CHOCHOSEMBALAJE : 86 SACOSX 50 KILOS CADA SACOPARA SU COMERCIALIZACION"/>
    <s v="CHOCHOSEMBALAJE : 86 SACOSX 50 KILOS CADA SACOPARA SU COMERCIALIZACION"/>
    <s v=""/>
    <s v=""/>
    <s v=""/>
    <s v="VERDE"/>
  </r>
  <r>
    <n v="713909000"/>
    <s v="DEMAS HORTALIZAS DE VAINAS SECAS DESVAINADAS,MONDADAS O PARTIDAS EXCEPTO PARA SIEMBRA"/>
    <s v="AEREA DEL CALLAO"/>
    <s v="071715 | 16"/>
    <x v="148"/>
    <x v="10"/>
    <x v="2"/>
    <n v="20603444346"/>
    <s v="ADRIAN.LATI.NA S.A.C."/>
    <s v="SOCIETA LATINA DI LEON MENDOZA KAREN NICOL"/>
    <n v="114.6"/>
    <n v="108.87"/>
    <n v="108.87"/>
    <s v="KG"/>
    <n v="260"/>
    <s v="PAQ"/>
    <x v="147"/>
    <n v="3.8479999999999999"/>
    <n v="1.611"/>
    <x v="3"/>
    <s v="PEARSON INTERNATIONAL APT/TORONTO"/>
    <s v="N/A"/>
    <s v="AÉREO"/>
    <s v="AERO CHARTER"/>
    <s v="MANEJOS INTEGRALES ADUANEROS S.A."/>
    <x v="113"/>
    <s v="HABAS FRITAS FRESCO"/>
    <s v="HABAS FRITAS FRESCO"/>
    <s v="HABAS FRITAS FRESCO"/>
    <s v="HABAS FRITAS FRESCO"/>
    <s v="HABAS FRITAS FRESCO"/>
    <s v="AIR CANADA SUCURSAL DEL PERU"/>
    <s v="_x0000_"/>
    <s v="_x0000_"/>
    <s v="VERDE"/>
  </r>
  <r>
    <n v="713909000"/>
    <s v="DEMAS HORTALIZAS DE VAINAS SECAS DESVAINADAS,MONDADAS O PARTIDAS EXCEPTO PARA SIEMBRA"/>
    <s v="MARITIMA DEL CALLAO"/>
    <s v="007584 | 6"/>
    <x v="14"/>
    <x v="4"/>
    <x v="1"/>
    <n v="20565443993"/>
    <s v="FUSION FOODS S.A.C."/>
    <s v="MI TIERRA FOOD LLC"/>
    <n v="1864.2"/>
    <n v="1784.76"/>
    <n v="1784.76"/>
    <s v="KG"/>
    <n v="197"/>
    <s v="CAJ"/>
    <x v="148"/>
    <n v="3.5230000000000001"/>
    <n v="31.917000000000002"/>
    <x v="1"/>
    <s v="MIAMI"/>
    <s v="N/A"/>
    <s v="MARÍTIMO"/>
    <s v="CITIKOLD DEL PERU S.A.C."/>
    <s v="DESPACHOS ADUANEROS CHAVIMOCHIC SAC"/>
    <x v="114"/>
    <s v="CHOCHO (18 BLS X 14 OZ) EN CAJAS PARA CONSUMO HUMANO"/>
    <s v="CHOCHO (18 BLS X 14 OZ) EN CAJAS PARA CONSUMO HUMANO"/>
    <s v="CHOCHO (18 BLS X 14 OZ) EN CAJAS PARA CONSUMO HUMANO"/>
    <s v="CHOCHO (18 BLS X 14 OZ) EN CAJAS PARA CONSUMO HUMANO"/>
    <s v="CHOCHO (18 BLS X 14 OZ) EN CAJAS PARA CONSUMO HUMANO"/>
    <s v="SEABOARD MARINE LTD"/>
    <s v="_x0000_"/>
    <s v="_x0000_"/>
    <s v="VERDE"/>
  </r>
  <r>
    <n v="713909000"/>
    <s v="DEMAS HORTALIZAS DE VAINAS SECAS DESVAINADAS,MONDADAS O PARTIDAS EXCEPTO PARA SIEMBRA"/>
    <s v="AEREA DEL CALLAO"/>
    <s v="050663 | 17"/>
    <x v="149"/>
    <x v="0"/>
    <x v="2"/>
    <n v="20603444346"/>
    <s v="ADRIAN.LATI.NA S.A.C."/>
    <s v="SOCIETA LATINA DI LEON MENDOZA KAREN NICOL"/>
    <n v="51.57"/>
    <n v="48.99"/>
    <n v="48.99"/>
    <s v="KG"/>
    <n v="126"/>
    <s v="PAQ"/>
    <x v="149"/>
    <n v="4.1399999999999997"/>
    <n v="1.61"/>
    <x v="3"/>
    <s v="MADRID"/>
    <s v="N/A"/>
    <s v="AÉREO"/>
    <s v="AIR EUROPA LINEAS AÉREAS S.A. SUCURSAL DEL PERU"/>
    <s v="MANEJOS INTEGRALES ADUANEROS S.A."/>
    <x v="115"/>
    <s v="HABAS FRITAS"/>
    <s v="HABAS FRITAS"/>
    <s v="HABAS FRITAS"/>
    <s v="HABAS FRITAS"/>
    <s v="HABAS FRITAS"/>
    <s v="AIR EUROPA LINEAS AEREAS S.A. SUCURSAL DEL PERU"/>
    <s v="_x0000_"/>
    <s v="_x0000_"/>
    <s v="VERDE"/>
  </r>
  <r>
    <n v="713909000"/>
    <s v="DEMAS HORTALIZAS DE VAINAS SECAS DESVAINADAS,MONDADAS O PARTIDAS EXCEPTO PARA SIEMBRA"/>
    <s v="TUMBES"/>
    <s v="008804 | 3"/>
    <x v="150"/>
    <x v="11"/>
    <x v="0"/>
    <n v="0"/>
    <s v="N/A"/>
    <s v="JUMBO ORDINOLA JAMES MARTIN"/>
    <n v="10040"/>
    <n v="10000"/>
    <n v="10000"/>
    <s v="KG"/>
    <n v="10000"/>
    <s v="KG"/>
    <x v="150"/>
    <n v="0.8"/>
    <n v="0.8"/>
    <x v="0"/>
    <s v="HUAQUILLAS"/>
    <s v="N/A"/>
    <s v="CARRETERO"/>
    <s v="N/A"/>
    <s v="VEGA AGENTES AFIANZADOS DE ADUANAS S.A.C."/>
    <x v="116"/>
    <s v="CHOCHOSEMBALAJE :  200 SACOSX 50 KILOS CADA SACOPARA SU COMERCIALIZACION"/>
    <s v="CHOCHOSEMBALAJE :  200 SACOSX 50 KILOS CADA SACOPARA SU COMERCIALIZACION"/>
    <s v="CHOCHOSEMBALAJE :  200 SACOSX 50 KILOS CADA SACOPARA SU COMERCIALIZACION"/>
    <s v="CHOCHOSEMBALAJE :  200 SACOSX 50 KILOS CADA SACOPARA SU COMERCIALIZACION"/>
    <s v="CHOCHOSEMBALAJE :  200 SACOSX 50 KILOS CADA SACOPARA SU COMERCIALIZACION"/>
    <s v=""/>
    <s v=""/>
    <s v=""/>
    <s v="VERDE"/>
  </r>
  <r>
    <n v="713909000"/>
    <s v="DEMAS HORTALIZAS DE VAINAS SECAS DESVAINADAS,MONDADAS O PARTIDAS EXCEPTO PARA SIEMBRA"/>
    <s v="MARITIMA DEL CALLAO"/>
    <s v="047967 | 5"/>
    <x v="151"/>
    <x v="1"/>
    <x v="1"/>
    <n v="20552256647"/>
    <s v="AGRO FERGI S.A.C."/>
    <s v="DISTRIBUIDORA LATINOANDINA S.L"/>
    <n v="2054.12"/>
    <n v="2000"/>
    <n v="2000"/>
    <s v="KG"/>
    <n v="2"/>
    <s v="TM"/>
    <x v="151"/>
    <n v="3.13"/>
    <n v="3130"/>
    <x v="2"/>
    <s v="RODMAN"/>
    <s v="N/A"/>
    <s v="MARÍTIMO"/>
    <s v="MEDITERRANEAN SHIPPING CO.PERU S.A.C."/>
    <s v="AGENCIA DE ADUANA MACROMAR S.A."/>
    <x v="117"/>
    <s v="CHOCHO SECOSSACOS X 25 KGCONSUMO HUMANOCODIGO Nº13 RESTITUCION DE DERECHOS ARANCELARIOS"/>
    <s v="CHOCHO SECOSSACOS X 25 KGCONSUMO HUMANOCODIGO Nº13 RESTITUCION DE DERECHOS ARANCELARIOS"/>
    <s v="CHOCHO SECOSSACOS X 25 KGCONSUMO HUMANOCODIGO Nº13 RESTITUCION DE DERECHOS ARANCELARIOS"/>
    <s v="CHOCHO SECOSSACOS X 25 KGCONSUMO HUMANOCODIGO Nº13 RESTITUCION DE DERECHOS ARANCELARIOS"/>
    <s v="CHOCHO SECOSSACOS X 25 KGCONSUMO HUMANOCODIGO Nº13 RESTITUCION DE DERECHOS ARANCELARIOS"/>
    <s v="MEDITERRANEAN SHIPPING COMPANY"/>
    <s v="_x0000_"/>
    <s v="_x0000_"/>
    <s v="VERDE"/>
  </r>
  <r>
    <n v="713909000"/>
    <s v="DEMAS HORTALIZAS DE VAINAS SECAS DESVAINADAS,MONDADAS O PARTIDAS EXCEPTO PARA SIEMBRA"/>
    <s v="MARITIMA DEL CALLAO"/>
    <s v="057076 | 2"/>
    <x v="152"/>
    <x v="7"/>
    <x v="1"/>
    <n v="20552256647"/>
    <s v="AGRO FERGI S.A.C."/>
    <s v="DISTRIBUIDORA LATINOANDINA S.L"/>
    <n v="5111.58"/>
    <n v="5000"/>
    <n v="5000"/>
    <s v="KG"/>
    <n v="5"/>
    <s v="TM"/>
    <x v="152"/>
    <n v="3.09"/>
    <n v="3090"/>
    <x v="2"/>
    <s v="RODMAN"/>
    <s v="N/A"/>
    <s v="MARÍTIMO"/>
    <s v="MEDITERRANEAN SHIPPING CO.PERU S.A.C."/>
    <s v="AGENCIA DE ADUANA MACROMAR S.A."/>
    <x v="118"/>
    <s v="CHOCHOS SECOSSACOS X 25 KG  C/UCONSUMO HUMANOCODIGO Nº13 RESTITUCION DE DERECHOS ARANCELARIOS"/>
    <s v="CHOCHOS SECOSSACOS X 25 KG  C/UCONSUMO HUMANOCODIGO Nº13 RESTITUCION DE DERECHOS ARANCELARIOS"/>
    <s v="CHOCHOS SECOSSACOS X 25 KG  C/UCONSUMO HUMANOCODIGO Nº13 RESTITUCION DE DERECHOS ARANCELARIOS"/>
    <s v="CHOCHOS SECOSSACOS X 25 KG  C/UCONSUMO HUMANOCODIGO Nº13 RESTITUCION DE DERECHOS ARANCELARIOS"/>
    <s v="CHOCHOS SECOSSACOS X 25 KG  C/UCONSUMO HUMANOCODIGO Nº13 RESTITUCION DE DERECHOS ARANCELARIOS"/>
    <s v="MEDITERRANEAN SHIPPING COMPANY"/>
    <s v="_x0000_"/>
    <s v="_x0000_"/>
    <s v="VERDE"/>
  </r>
  <r>
    <n v="713909000"/>
    <s v="DEMAS HORTALIZAS DE VAINAS SECAS DESVAINADAS,MONDADAS O PARTIDAS EXCEPTO PARA SIEMBRA"/>
    <s v="MARITIMA DEL CALLAO"/>
    <s v="049952 | 4"/>
    <x v="153"/>
    <x v="1"/>
    <x v="1"/>
    <n v="20552256647"/>
    <s v="AGRO FERGI S.A.C."/>
    <s v="FABI-SAA INC."/>
    <n v="2038.52"/>
    <n v="1905.6"/>
    <n v="1905.6"/>
    <s v="KG"/>
    <n v="200"/>
    <s v="KG"/>
    <x v="153"/>
    <n v="3.0089999999999999"/>
    <n v="28.677"/>
    <x v="1"/>
    <s v="RODMAN"/>
    <s v="N/A"/>
    <s v="MARÍTIMO"/>
    <s v="MEDITERRANEAN SHIPPING CO.PERU S.A.C."/>
    <s v="AGENCIA DE ADUANA MACROMAR S.A."/>
    <x v="119"/>
    <s v="CHOCHOS SECOS (24 X 14 OZ)CAJAS  X 9.528 KGCODIGO Nº13 RESTITUCION DE DERECHOS ARANCELARIOS"/>
    <s v="CHOCHOS SECOS (24 X 14 OZ)CAJAS  X 9.528 KGCODIGO Nº13 RESTITUCION DE DERECHOS ARANCELARIOS"/>
    <s v="CHOCHOS SECOS (24 X 14 OZ)CAJAS  X 9.528 KGCODIGO Nº13 RESTITUCION DE DERECHOS ARANCELARIOS"/>
    <s v="CHOCHOS SECOS (24 X 14 OZ)CAJAS  X 9.528 KGCODIGO Nº13 RESTITUCION DE DERECHOS ARANCELARIOS"/>
    <s v="CHOCHOS SECOS (24 X 14 OZ)CAJAS  X 9.528 KGCODIGO Nº13 RESTITUCION DE DERECHOS ARANCELARIOS"/>
    <s v="MEDITERRANEAN SHIPPING COMPANY"/>
    <s v="_x0000_"/>
    <s v="_x0000_"/>
    <s v="VERDE"/>
  </r>
  <r>
    <n v="713909000"/>
    <s v="DEMAS HORTALIZAS DE VAINAS SECAS DESVAINADAS,MONDADAS O PARTIDAS EXCEPTO PARA SIEMBRA"/>
    <s v="MARITIMA DEL CALLAO"/>
    <s v="037555 | 8"/>
    <x v="24"/>
    <x v="9"/>
    <x v="1"/>
    <n v="20552256647"/>
    <s v="AGRO FERGI S.A.C."/>
    <s v="DISTRIBUIDORA LATINOANDINA S.L"/>
    <n v="1030.24"/>
    <n v="1000"/>
    <n v="1000"/>
    <s v="KG"/>
    <n v="1"/>
    <s v="TM"/>
    <x v="154"/>
    <n v="3.13"/>
    <n v="3130"/>
    <x v="2"/>
    <s v="RODMAN"/>
    <s v="N/A"/>
    <s v="MARÍTIMO"/>
    <s v="MEDITERRANEAN SHIPPING CO.PERU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s v="_x0000_"/>
    <s v="_x0000_"/>
    <s v="VERDE"/>
  </r>
  <r>
    <n v="713909000"/>
    <s v="DEMAS HORTALIZAS DE VAINAS SECAS DESVAINADAS,MONDADAS O PARTIDAS EXCEPTO PARA SIEMBRA"/>
    <s v="MARITIMA DEL CALLAO"/>
    <s v="034919 | 4"/>
    <x v="25"/>
    <x v="9"/>
    <x v="1"/>
    <n v="20552256647"/>
    <s v="AGRO FERGI S.A.C."/>
    <s v="DISTRIBUIDORA LATINOANDINA S.L"/>
    <n v="1005.3"/>
    <n v="1000"/>
    <n v="1000"/>
    <s v="KG"/>
    <n v="1"/>
    <s v="TM"/>
    <x v="155"/>
    <n v="2.98"/>
    <n v="2980"/>
    <x v="2"/>
    <s v="RODMAN"/>
    <s v="N/A"/>
    <s v="MARÍTIMO"/>
    <s v="MEDITERRANEAN SHIPPING CO.PERU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s v="_x0000_"/>
    <s v="_x0000_"/>
    <s v="VERDE"/>
  </r>
  <r>
    <n v="713909000"/>
    <s v="DEMAS HORTALIZAS DE VAINAS SECAS DESVAINADAS,MONDADAS O PARTIDAS EXCEPTO PARA SIEMBRA"/>
    <s v="MARITIMA DEL CALLAO"/>
    <s v="035054 | 6"/>
    <x v="154"/>
    <x v="9"/>
    <x v="1"/>
    <n v="20552256647"/>
    <s v="AGRO FERGI S.A.C."/>
    <s v="LA CASA DE JACK LTD"/>
    <n v="1326.2"/>
    <n v="1200"/>
    <n v="1200"/>
    <s v="KG"/>
    <n v="100"/>
    <s v="CAJ"/>
    <x v="156"/>
    <n v="3.6240000000000001"/>
    <n v="43.488"/>
    <x v="4"/>
    <s v="POSORJA"/>
    <s v="N/A"/>
    <s v="MARÍTIMO"/>
    <s v="TRAMARSA - TRABAJOS MARITIMOS S.A."/>
    <s v="AGENCIA DE ADUANA MACROMAR S.A."/>
    <x v="121"/>
    <s v="CHOCHOS SECOS (24X500 GR)CAJAS X 12 KG C/UCONSUMO HUMANOCODIGO Nº13 RESTITUCION DE DERECHOS ARANCELA"/>
    <s v="CHOCHOS SECOS (24X500 GR)CAJAS X 12 KG C/UCONSUMO HUMANOCODIGO Nº13 RESTITUCION DE DERECHOS ARANCELA"/>
    <s v="CHOCHOS SECOS (24X500 GR)CAJAS X 12 KG C/UCONSUMO HUMANOCODIGO Nº13 RESTITUCION DE DERECHOS ARANCELA"/>
    <s v="CHOCHOS SECOS (24X500 GR)CAJAS X 12 KG C/UCONSUMO HUMANOCODIGO Nº13 RESTITUCION DE DERECHOS ARANCELA"/>
    <s v="CHOCHOS SECOS (24X500 GR)CAJAS X 12 KG C/UCONSUMO HUMANOCODIGO Nº13 RESTITUCION DE DERECHOS ARANCELA"/>
    <s v="CMA-CGM"/>
    <s v="_x0000_"/>
    <s v="_x0000_"/>
    <s v="VERDE"/>
  </r>
  <r>
    <n v="713909000"/>
    <s v="DEMAS HORTALIZAS DE VAINAS SECAS DESVAINADAS,MONDADAS O PARTIDAS EXCEPTO PARA SIEMBRA"/>
    <s v="MARITIMA DEL CALLAO"/>
    <s v="023361 | 6"/>
    <x v="155"/>
    <x v="2"/>
    <x v="1"/>
    <n v="20552256647"/>
    <s v="AGRO FERGI S.A.C."/>
    <s v="DISTRIBUIDORA LATINOANDINA S.L"/>
    <n v="2026.87"/>
    <n v="2000"/>
    <n v="2000"/>
    <s v="KG"/>
    <n v="2"/>
    <s v="TM"/>
    <x v="157"/>
    <n v="3.09"/>
    <n v="3090"/>
    <x v="2"/>
    <s v="RODMAN"/>
    <s v="N/A"/>
    <s v="MARÍTIMO"/>
    <s v="MEDITERRANEAN SHIPPING CO.PERU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s v="_x0000_"/>
    <s v="_x0000_"/>
    <s v="VERDE"/>
  </r>
  <r>
    <n v="713909000"/>
    <s v="DEMAS HORTALIZAS DE VAINAS SECAS DESVAINADAS,MONDADAS O PARTIDAS EXCEPTO PARA SIEMBRA"/>
    <s v="MARITIMA DEL CALLAO"/>
    <s v="013484 | 9"/>
    <x v="156"/>
    <x v="3"/>
    <x v="1"/>
    <n v="20552256647"/>
    <s v="AGRO FERGI S.A.C."/>
    <s v="DISTRIBUIDORA LATINOANDINA S.L"/>
    <n v="1254"/>
    <n v="1250"/>
    <n v="1250"/>
    <s v="KG"/>
    <n v="1"/>
    <s v="TM"/>
    <x v="26"/>
    <n v="2.96"/>
    <n v="3700"/>
    <x v="2"/>
    <s v="RODMAN"/>
    <s v="N/A"/>
    <s v="MARÍTIMO"/>
    <s v="MEDITERRANEAN SHIPPING CO.PERU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s v="_x0000_"/>
    <s v="_x0000_"/>
    <s v="VERDE"/>
  </r>
  <r>
    <n v="713909000"/>
    <s v="DEMAS HORTALIZAS DE VAINAS SECAS DESVAINADAS,MONDADAS O PARTIDAS EXCEPTO PARA SIEMBRA"/>
    <s v="MARITIMA DEL CALLAO"/>
    <s v="006520 | 1"/>
    <x v="49"/>
    <x v="4"/>
    <x v="1"/>
    <n v="20552256647"/>
    <s v="AGRO FERGI S.A.C."/>
    <s v="N/A"/>
    <n v="4078.9"/>
    <n v="3811.2"/>
    <n v="3811.2"/>
    <s v="KG"/>
    <n v="400"/>
    <s v="CAJ"/>
    <x v="158"/>
    <n v="2.9809999999999999"/>
    <n v="28.41"/>
    <x v="1"/>
    <s v="RODMAN"/>
    <s v="N/A"/>
    <s v="MARÍTIMO"/>
    <s v="MEDITERRANEAN SHIPPING CO.PERU S.A.C."/>
    <s v="AGENCIA DE ADUANA MACROMAR S.A."/>
    <x v="122"/>
    <s v="CHOCHOS SECOS ( 24 X 14 OZ)CAJAS X 9.528 KGCONSUMO HUMANOCODIGO Nº13 RESTITUCION DE DERECHOS ARANCEL"/>
    <s v="CHOCHOS SECOS ( 24 X 14 OZ)CAJAS X 9.528 KGCONSUMO HUMANOCODIGO Nº13 RESTITUCION DE DERECHOS ARANCEL"/>
    <s v="CHOCHOS SECOS ( 24 X 14 OZ)CAJAS X 9.528 KGCONSUMO HUMANOCODIGO Nº13 RESTITUCION DE DERECHOS ARANCEL"/>
    <s v="CHOCHOS SECOS ( 24 X 14 OZ)CAJAS X 9.528 KGCONSUMO HUMANOCODIGO Nº13 RESTITUCION DE DERECHOS ARANCEL"/>
    <s v="CHOCHOS SECOS ( 24 X 14 OZ)CAJAS X 9.528 KGCONSUMO HUMANOCODIGO Nº13 RESTITUCION DE DERECHOS ARANCEL"/>
    <s v="MEDITERRANEAN SHIPPING COMPANY"/>
    <s v=""/>
    <s v=""/>
    <s v=""/>
  </r>
  <r>
    <n v="713909000"/>
    <s v="DEMAS HORTALIZAS DE VAINAS SECAS DESVAINADAS,MONDADAS O PARTIDAS EXCEPTO PARA SIEMBRA"/>
    <s v="MARITIMA DEL CALLAO"/>
    <s v="055564 | 6"/>
    <x v="79"/>
    <x v="1"/>
    <x v="2"/>
    <n v="20608502425"/>
    <s v="VASCO EXPORT S.A.C."/>
    <s v="NUTRIGLOBAL SAC SL"/>
    <n v="2007.07"/>
    <n v="2000"/>
    <n v="2000"/>
    <s v="KG"/>
    <n v="80"/>
    <s v="BLS"/>
    <x v="53"/>
    <n v="2.4"/>
    <n v="60"/>
    <x v="2"/>
    <s v="POSORJA"/>
    <s v="N/A"/>
    <s v="MARÍTIMO"/>
    <s v="IAN TAYLOR Y CIA S.A.C."/>
    <s v="JS PERU AGENCIA DE ADUANA S.A.C."/>
    <x v="123"/>
    <s v="TARWI EN SACOS DE 25 KG"/>
    <s v="TARWI EN SACOS DE 25 KG"/>
    <s v="TARWI EN SACOS DE 25 KG"/>
    <s v="TARWI EN SACOS DE 25 KG"/>
    <s v="TARWI EN SACOS DE 25 KG"/>
    <s v="CMA-CGM"/>
    <s v="JS PERU CARGO SAC"/>
    <s v="DATISA FORWARDERS. SLC/DOCTOR JJDOMINE N4 / PTAS12-1346011 V"/>
    <s v="VERDE"/>
  </r>
  <r>
    <n v="713909000"/>
    <s v="DEMAS HORTALIZAS DE VAINAS SECAS DESVAINADAS,MONDADAS O PARTIDAS EXCEPTO PARA SIEMBRA"/>
    <s v="MARITIMA DEL CALLAO"/>
    <s v="137683 | 7"/>
    <x v="139"/>
    <x v="4"/>
    <x v="1"/>
    <n v="20552256647"/>
    <s v="AGRO FERGI S.A.C."/>
    <s v="DISTRIBUIDORA LATINOANDINA S.L"/>
    <n v="2035.48"/>
    <n v="2000"/>
    <n v="2000"/>
    <s v="KG"/>
    <n v="2"/>
    <s v="TM"/>
    <x v="159"/>
    <n v="3.1"/>
    <n v="3100"/>
    <x v="2"/>
    <s v="RODMAN"/>
    <s v="N/A"/>
    <s v="MARÍTIMO"/>
    <s v="MEDITERRANEAN SHIPPING CO.PERU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DEL PERU SAC"/>
    <s v="_x0000_"/>
    <s v="_x0000_"/>
    <s v="VERDE"/>
  </r>
  <r>
    <n v="713909000"/>
    <s v="DEMAS HORTALIZAS DE VAINAS SECAS DESVAINADAS,MONDADAS O PARTIDAS EXCEPTO PARA SIEMBRA"/>
    <s v="MARITIMA DEL CALLAO"/>
    <s v="131401 | 11"/>
    <x v="64"/>
    <x v="8"/>
    <x v="0"/>
    <n v="20552256647"/>
    <s v="AGRO FERGI S.A.C."/>
    <s v="DISTRIBUIDORA LATINOANDINA S.L"/>
    <n v="1755.6"/>
    <n v="1750"/>
    <n v="1750"/>
    <s v="KG"/>
    <n v="1.75"/>
    <s v="TM"/>
    <x v="160"/>
    <n v="2.96"/>
    <n v="2960"/>
    <x v="2"/>
    <s v="RODMAN"/>
    <s v="N/A"/>
    <s v="MARÍTIMO"/>
    <s v="MEDITERRANEAN SHIPPING CO.PERU S.A.C."/>
    <s v="AGENCIA DE ADUANA MACROMAR S.A."/>
    <x v="124"/>
    <s v="CHOCHOS SECOSACOS X 25 KGCODIGO Nº13 RESTITUCION DE DERECHOS ARANCELARIOS"/>
    <s v="CHOCHOS SECOSACOS X 25 KGCODIGO Nº13 RESTITUCION DE DERECHOS ARANCELARIOS"/>
    <s v="CHOCHOS SECOSACOS X 25 KGCODIGO Nº13 RESTITUCION DE DERECHOS ARANCELARIOS"/>
    <s v="CHOCHOS SECOSACOS X 25 KGCODIGO Nº13 RESTITUCION DE DERECHOS ARANCELARIOS"/>
    <s v="CHOCHOS SECOSACOS X 25 KGCODIGO Nº13 RESTITUCION DE DERECHOS ARANCELARIOS"/>
    <s v="MEDITERRANEAN SHIPPING COMPANY"/>
    <s v="_x0000_"/>
    <s v="_x0000_"/>
    <s v="VERDE"/>
  </r>
  <r>
    <n v="713909000"/>
    <s v="DEMAS HORTALIZAS DE VAINAS SECAS DESVAINADAS,MONDADAS O PARTIDAS EXCEPTO PARA SIEMBRA"/>
    <s v="MARITIMA DEL CALLAO"/>
    <s v="133128 | 11"/>
    <x v="64"/>
    <x v="8"/>
    <x v="0"/>
    <n v="20552256647"/>
    <s v="AGRO FERGI S.A.C."/>
    <s v="FABI-SAA INC."/>
    <n v="1218.02"/>
    <n v="1136.4000000000001"/>
    <n v="1136.4000000000001"/>
    <s v="KG"/>
    <n v="50"/>
    <s v="SAC"/>
    <x v="161"/>
    <n v="2.9590000000000001"/>
    <n v="67.260999999999996"/>
    <x v="1"/>
    <s v="RODMAN"/>
    <s v="N/A"/>
    <s v="MARÍTIMO"/>
    <s v="MEDITERRANEAN SHIPPING CO.PERU S.A.C."/>
    <s v="AGENCIA DE ADUANA MACROMAR S.A."/>
    <x v="125"/>
    <s v="MAIZ CANCHA ( 1 X 50 LBS)SACOS X 22.727 KGCODIGO Nº13 RESTITUCION DE DERECHOS ARANCELARIOS"/>
    <s v="MAIZ CANCHA ( 1 X 50 LBS)SACOS X 22.727 KGCODIGO Nº13 RESTITUCION DE DERECHOS ARANCELARIOS"/>
    <s v="MAIZ CANCHA ( 1 X 50 LBS)SACOS X 22.727 KGCODIGO Nº13 RESTITUCION DE DERECHOS ARANCELARIOS"/>
    <s v="MAIZ CANCHA ( 1 X 50 LBS)SACOS X 22.727 KGCODIGO Nº13 RESTITUCION DE DERECHOS ARANCELARIOS"/>
    <s v="MAIZ CANCHA ( 1 X 50 LBS)SACOS X 22.727 KGCODIGO Nº13 RESTITUCION DE DERECHOS ARANCELARIOS"/>
    <s v="MEDITERRANEAN SHIPPING COMPANY"/>
    <s v="_x0000_"/>
    <s v="_x0000_"/>
    <s v="VERDE"/>
  </r>
  <r>
    <n v="713909000"/>
    <s v="DEMAS HORTALIZAS DE VAINAS SECAS DESVAINADAS,MONDADAS O PARTIDAS EXCEPTO PARA SIEMBRA"/>
    <s v="MARITIMA DEL CALLAO"/>
    <s v="135459 | 7"/>
    <x v="157"/>
    <x v="8"/>
    <x v="0"/>
    <n v="20552256647"/>
    <s v="AGRO FERGI S.A.C."/>
    <s v="DISTRIBUIDORA LATINOANDINA S.L"/>
    <n v="2038.59"/>
    <n v="2000"/>
    <n v="2000"/>
    <s v="KG"/>
    <n v="2"/>
    <s v="TM"/>
    <x v="159"/>
    <n v="3.1"/>
    <n v="3100"/>
    <x v="2"/>
    <s v="RODMAN"/>
    <s v="N/A"/>
    <s v="MARÍTIMO"/>
    <s v="MEDITERRANEAN SHIPPING CO.PERU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s v="_x0000_"/>
    <s v="_x0000_"/>
    <s v="VERDE"/>
  </r>
  <r>
    <n v="713909000"/>
    <s v="DEMAS HORTALIZAS DE VAINAS SECAS DESVAINADAS,MONDADAS O PARTIDAS EXCEPTO PARA SIEMBRA"/>
    <s v="MARITIMA DEL CALLAO"/>
    <s v="133128 | 1"/>
    <x v="64"/>
    <x v="8"/>
    <x v="0"/>
    <n v="20552256647"/>
    <s v="AGRO FERGI S.A.C."/>
    <s v="FABI-SAA INC."/>
    <n v="6127.43"/>
    <n v="5716.8"/>
    <n v="5716.8"/>
    <s v="KG"/>
    <n v="600"/>
    <s v="CAJ"/>
    <x v="162"/>
    <n v="2.9910000000000001"/>
    <n v="28.5"/>
    <x v="1"/>
    <s v="RODMAN"/>
    <s v="N/A"/>
    <s v="MARÍTIMO"/>
    <s v="MEDITERRANEAN SHIPPING CO.PERU S.A.C."/>
    <s v="AGENCIA DE ADUANA MACROMAR S.A."/>
    <x v="126"/>
    <s v="CHOCHOS SECOS ( 24 X 14 OZ)CAJAS X 9.528 KGCONSUMO  HUMANOCODIGO Nº13 RESTITUCION DE DERECHOS ARANCE"/>
    <s v="CHOCHOS SECOS ( 24 X 14 OZ)CAJAS X 9.528 KGCONSUMO  HUMANOCODIGO Nº13 RESTITUCION DE DERECHOS ARANCE"/>
    <s v="CHOCHOS SECOS ( 24 X 14 OZ)CAJAS X 9.528 KGCONSUMO  HUMANOCODIGO Nº13 RESTITUCION DE DERECHOS ARANCE"/>
    <s v="CHOCHOS SECOS ( 24 X 14 OZ)CAJAS X 9.528 KGCONSUMO  HUMANOCODIGO Nº13 RESTITUCION DE DERECHOS ARANCE"/>
    <s v="CHOCHOS SECOS ( 24 X 14 OZ)CAJAS X 9.528 KGCONSUMO  HUMANOCODIGO Nº13 RESTITUCION DE DERECHOS ARANCE"/>
    <s v="MEDITERRANEAN SHIPPING COMPANY"/>
    <s v="_x0000_"/>
    <s v="_x0000_"/>
    <s v="VERDE"/>
  </r>
  <r>
    <n v="713909000"/>
    <s v="DEMAS HORTALIZAS DE VAINAS SECAS DESVAINADAS,MONDADAS O PARTIDAS EXCEPTO PARA SIEMBRA"/>
    <s v="MARITIMA DEL CALLAO"/>
    <s v="116872 | 2"/>
    <x v="158"/>
    <x v="10"/>
    <x v="0"/>
    <n v="20552256647"/>
    <s v="AGRO FERGI S.A.C."/>
    <s v="FABI-SAA INC."/>
    <n v="2038.92"/>
    <n v="1905.6"/>
    <n v="1905.6"/>
    <s v="KG"/>
    <n v="200"/>
    <s v="CAJ"/>
    <x v="163"/>
    <n v="3.1589999999999998"/>
    <n v="30.105"/>
    <x v="1"/>
    <s v="RODMAN"/>
    <s v="N/A"/>
    <s v="MARÍTIMO"/>
    <s v="MEDITERRANEAN SHIPPING CO.PERU S.A.C."/>
    <s v="AGENCIA DE ADUANA MACROMAR S.A."/>
    <x v="127"/>
    <s v="CHOCHOS SECOS (24X14 OZ)CAJAS X 9.528 KGCONSUMO HUMANOCODIGO Nº13 RESTITUCION DE DERECHOS ARANCELARI"/>
    <s v="CHOCHOS SECOS (24X14 OZ)CAJAS X 9.528 KGCONSUMO HUMANOCODIGO Nº13 RESTITUCION DE DERECHOS ARANCELARI"/>
    <s v="CHOCHOS SECOS (24X14 OZ)CAJAS X 9.528 KGCONSUMO HUMANOCODIGO Nº13 RESTITUCION DE DERECHOS ARANCELARI"/>
    <s v="CHOCHOS SECOS (24X14 OZ)CAJAS X 9.528 KGCONSUMO HUMANOCODIGO Nº13 RESTITUCION DE DERECHOS ARANCELARI"/>
    <s v="CHOCHOS SECOS (24X14 OZ)CAJAS X 9.528 KGCONSUMO HUMANOCODIGO Nº13 RESTITUCION DE DERECHOS ARANCELARI"/>
    <s v="MEDITERRANEAN SHIPPING COMPANY"/>
    <s v="_x0000_"/>
    <s v="_x0000_"/>
    <s v="VERDE"/>
  </r>
  <r>
    <n v="713909000"/>
    <s v="DEMAS HORTALIZAS DE VAINAS SECAS DESVAINADAS,MONDADAS O PARTIDAS EXCEPTO PARA SIEMBRA"/>
    <s v="MARITIMA DEL CALLAO"/>
    <s v="113891 | 5"/>
    <x v="28"/>
    <x v="10"/>
    <x v="0"/>
    <n v="20552256647"/>
    <s v="AGRO FERGI S.A.C."/>
    <s v="DISTRIBUIDORA LATINOANDINA S.L"/>
    <n v="1043.1300000000001"/>
    <n v="1000"/>
    <n v="1000"/>
    <s v="KG"/>
    <n v="1"/>
    <s v="TM"/>
    <x v="164"/>
    <n v="2.99"/>
    <n v="2990"/>
    <x v="2"/>
    <s v="RODMAN"/>
    <s v="N/A"/>
    <s v="MARÍTIMO"/>
    <s v="MEDITERRANEAN SHIPPING CO.PERU S.A.C."/>
    <s v="AGENCIA DE ADUANA MACROMAR S.A."/>
    <x v="128"/>
    <s v="CHOCHO SECOSSACOS DE 25 KGCONSUMO HUMANOCODIGO Nº13 RESTITUCION DE DERECHOS ARANCELARIOS"/>
    <s v="CHOCHO SECOSSACOS DE 25 KGCONSUMO HUMANOCODIGO Nº13 RESTITUCION DE DERECHOS ARANCELARIOS"/>
    <s v="CHOCHO SECOSSACOS DE 25 KGCONSUMO HUMANOCODIGO Nº13 RESTITUCION DE DERECHOS ARANCELARIOS"/>
    <s v="CHOCHO SECOSSACOS DE 25 KGCONSUMO HUMANOCODIGO Nº13 RESTITUCION DE DERECHOS ARANCELARIOS"/>
    <s v="CHOCHO SECOSSACOS DE 25 KGCONSUMO HUMANOCODIGO Nº13 RESTITUCION DE DERECHOS ARANCELARIOS"/>
    <s v="MEDITERRANEAN SHIPPING COMPANY"/>
    <s v="_x0000_"/>
    <s v="_x0000_"/>
    <s v="ROJO"/>
  </r>
  <r>
    <n v="713909000"/>
    <s v="DEMAS HORTALIZAS DE VAINAS SECAS DESVAINADAS,MONDADAS O PARTIDAS EXCEPTO PARA SIEMBRA"/>
    <s v="MARITIMA DEL CALLAO"/>
    <s v="104050 | 8"/>
    <x v="159"/>
    <x v="5"/>
    <x v="0"/>
    <n v="20552256647"/>
    <s v="AGRO FERGI S.A.C."/>
    <s v="DISTRIBUIDORA LATINOANDINA S.L"/>
    <n v="2004.02"/>
    <n v="2000"/>
    <n v="2000"/>
    <s v="KG"/>
    <n v="2"/>
    <s v="TM"/>
    <x v="165"/>
    <n v="2.58"/>
    <n v="2580"/>
    <x v="2"/>
    <s v="RODMAN"/>
    <s v="N/A"/>
    <s v="MARÍTIMO"/>
    <s v="MEDITERRANEAN SHIPPING CO.PERU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s v="_x0000_"/>
    <s v="_x0000_"/>
    <s v="VERDE"/>
  </r>
  <r>
    <n v="713909000"/>
    <s v="DEMAS HORTALIZAS DE VAINAS SECAS DESVAINADAS,MONDADAS O PARTIDAS EXCEPTO PARA SIEMBRA"/>
    <s v="MARITIMA DEL CALLAO"/>
    <s v="093455 | 9"/>
    <x v="50"/>
    <x v="11"/>
    <x v="0"/>
    <n v="20552256647"/>
    <s v="AGRO FERGI S.A.C."/>
    <s v="DISTRIBUIDORA LATINOANDINA S.L"/>
    <n v="1012.4"/>
    <n v="1000"/>
    <n v="1000"/>
    <s v="KG"/>
    <n v="1"/>
    <s v="TM"/>
    <x v="166"/>
    <n v="2.57"/>
    <n v="2570"/>
    <x v="2"/>
    <s v="RODMAN"/>
    <s v="N/A"/>
    <s v="MARÍTIMO"/>
    <s v="MEDITERRANEAN SHIPPING CO.PERU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s v="_x0000_"/>
    <s v="_x0000_"/>
    <s v="VERDE"/>
  </r>
  <r>
    <n v="713909000"/>
    <s v="DEMAS HORTALIZAS DE VAINAS SECAS DESVAINADAS,MONDADAS O PARTIDAS EXCEPTO PARA SIEMBRA"/>
    <s v="MARITIMA DEL CALLAO"/>
    <s v="084619 | 7"/>
    <x v="160"/>
    <x v="0"/>
    <x v="0"/>
    <n v="20552256647"/>
    <s v="AGRO FERGI S.A.C."/>
    <s v="DISTRIBUIDORA LATINOANDINA S.L"/>
    <n v="1897.99"/>
    <n v="1875"/>
    <n v="1875"/>
    <s v="KG"/>
    <n v="1.87"/>
    <s v="TM"/>
    <x v="167"/>
    <n v="2.57"/>
    <n v="2577.0050000000001"/>
    <x v="2"/>
    <s v="GUAYAQUIL"/>
    <s v="N/A"/>
    <s v="MARÍTIMO"/>
    <s v="TRAMARSA - TRABAJOS MARITIMOS S.A."/>
    <s v="AGENCIA DE ADUANA MACROMAR S.A."/>
    <x v="129"/>
    <s v="CHOCHOS SECOSCAJAS X 25 KGCONSUMO HUMANOCODIGO Nº13 RESTITUCION DE DERECHOS ARANCELARIOS"/>
    <s v="CHOCHOS SECOSCAJAS X 25 KGCONSUMO HUMANOCODIGO Nº13 RESTITUCION DE DERECHOS ARANCELARIOS"/>
    <s v="CHOCHOS SECOSCAJAS X 25 KGCONSUMO HUMANOCODIGO Nº13 RESTITUCION DE DERECHOS ARANCELARIOS"/>
    <s v="CHOCHOS SECOSCAJAS X 25 KGCONSUMO HUMANOCODIGO Nº13 RESTITUCION DE DERECHOS ARANCELARIOS"/>
    <s v="CHOCHOS SECOSCAJAS X 25 KGCONSUMO HUMANOCODIGO Nº13 RESTITUCION DE DERECHOS ARANCELARIOS"/>
    <s v="MEDITERRANEAN SHIPPING COMPANY"/>
    <s v="_x0000_"/>
    <s v="_x0000_"/>
    <s v="VERDE"/>
  </r>
  <r>
    <n v="713909000"/>
    <s v="DEMAS HORTALIZAS DE VAINAS SECAS DESVAINADAS,MONDADAS O PARTIDAS EXCEPTO PARA SIEMBRA"/>
    <s v="MARITIMA DEL CALLAO"/>
    <s v="078880 | 8"/>
    <x v="58"/>
    <x v="0"/>
    <x v="0"/>
    <n v="20552256647"/>
    <s v="AGRO FERGI S.A.C."/>
    <s v="LA CASA DE JACK LTD"/>
    <n v="741.76"/>
    <n v="600"/>
    <n v="600"/>
    <s v="KG"/>
    <n v="50"/>
    <s v="CAJ"/>
    <x v="168"/>
    <n v="2.8260000000000001"/>
    <n v="33.92"/>
    <x v="4"/>
    <s v="BALBOA"/>
    <s v="N/A"/>
    <s v="MARÍTIMO"/>
    <s v="MAERSK LINE PERU S.A.C."/>
    <s v="AGENCIA DE ADUANA MACROMAR S.A."/>
    <x v="130"/>
    <s v="CHOCHOS SECOS (24 X 500 GR)CONSUMO HUMANOCODIGO Nº13 RESTITUCION DE DERECHOS ARANCELARIOS"/>
    <s v="CHOCHOS SECOS (24 X 500 GR)CONSUMO HUMANOCODIGO Nº13 RESTITUCION DE DERECHOS ARANCELARIOS"/>
    <s v="CHOCHOS SECOS (24 X 500 GR)CONSUMO HUMANOCODIGO Nº13 RESTITUCION DE DERECHOS ARANCELARIOS"/>
    <s v="CHOCHOS SECOS (24 X 500 GR)CONSUMO HUMANOCODIGO Nº13 RESTITUCION DE DERECHOS ARANCELARIOS"/>
    <s v="CHOCHOS SECOS (24 X 500 GR)CONSUMO HUMANOCODIGO Nº13 RESTITUCION DE DERECHOS ARANCELARIOS"/>
    <s v="MAERSK LINES, INC."/>
    <s v="_x0000_"/>
    <s v="_x0000_"/>
    <s v="VERDE"/>
  </r>
  <r>
    <n v="713909000"/>
    <s v="DEMAS HORTALIZAS DE VAINAS SECAS DESVAINADAS,MONDADAS O PARTIDAS EXCEPTO PARA SIEMBRA"/>
    <s v="MARITIMA DEL CALLAO"/>
    <s v="061114 | 4"/>
    <x v="161"/>
    <x v="7"/>
    <x v="0"/>
    <n v="20552256647"/>
    <s v="AGRO FERGI S.A.C."/>
    <s v="DISTRIBUIDORA LATINOANDINA S.L"/>
    <n v="2030"/>
    <n v="2000"/>
    <n v="2000"/>
    <s v="KG"/>
    <n v="2"/>
    <s v="TM"/>
    <x v="169"/>
    <n v="2.5350000000000001"/>
    <n v="2535"/>
    <x v="2"/>
    <s v="RODMAN"/>
    <s v="N/A"/>
    <s v="MARÍTIMO"/>
    <s v="MEDITERRANEAN SHIPPING CO.PERU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s v="_x0000_"/>
    <s v="_x0000_"/>
    <s v="VERDE"/>
  </r>
  <r>
    <n v="713909000"/>
    <s v="DEMAS HORTALIZAS DE VAINAS SECAS DESVAINADAS,MONDADAS O PARTIDAS EXCEPTO PARA SIEMBRA"/>
    <s v="TUMBES"/>
    <s v="001801 | 4"/>
    <x v="162"/>
    <x v="3"/>
    <x v="2"/>
    <n v="20607909637"/>
    <s v="ASND INTERCOMEXIMP GRUP EMPRESA INDIVIDU"/>
    <s v="JUMBO ORDINOLA JAMES MARTIN"/>
    <n v="19002.36"/>
    <n v="18950"/>
    <n v="18950"/>
    <s v="KG"/>
    <n v="18950"/>
    <s v="KG"/>
    <x v="170"/>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MARITIMA DEL CALLAO"/>
    <s v="030678 | 4"/>
    <x v="163"/>
    <x v="2"/>
    <x v="0"/>
    <n v="20552256647"/>
    <s v="AGRO FERGI S.A.C."/>
    <s v="FABI-SAA INC."/>
    <n v="2100"/>
    <n v="1905.6"/>
    <n v="1905.6"/>
    <s v="KG"/>
    <n v="200"/>
    <s v="CAJ"/>
    <x v="171"/>
    <n v="2.5640000000000001"/>
    <n v="24.434999999999999"/>
    <x v="1"/>
    <s v="POSORJA"/>
    <s v="N/A"/>
    <s v="MARÍTIMO"/>
    <s v="TRAMARSA - TRABAJOS MARITIMOS S.A."/>
    <s v="AGENCIA DE ADUANA MACROMAR S.A."/>
    <x v="131"/>
    <s v="CHOCHOS SECOSCAJAS X 9.528 KG(24 BOLSAS X 14 OZ)CONSUMO HUMANOCODIGO Nº13 RESTITUCION DE DERECHOS AR"/>
    <s v="CHOCHOS SECOSCAJAS X 9.528 KG(24 BOLSAS X 14 OZ)CONSUMO HUMANOCODIGO Nº13 RESTITUCION DE DERECHOS AR"/>
    <s v="CHOCHOS SECOSCAJAS X 9.528 KG(24 BOLSAS X 14 OZ)CONSUMO HUMANOCODIGO Nº13 RESTITUCION DE DERECHOS AR"/>
    <s v="CHOCHOS SECOSCAJAS X 9.528 KG(24 BOLSAS X 14 OZ)CONSUMO HUMANOCODIGO Nº13 RESTITUCION DE DERECHOS AR"/>
    <s v="CHOCHOS SECOSCAJAS X 9.528 KG(24 BOLSAS X 14 OZ)CONSUMO HUMANOCODIGO Nº13 RESTITUCION DE DERECHOS AR"/>
    <s v="HAPAG-LLOYD A G"/>
    <s v="_x0000_"/>
    <s v="_x0000_"/>
    <s v="VERDE"/>
  </r>
  <r>
    <n v="713909000"/>
    <s v="DEMAS HORTALIZAS DE VAINAS SECAS DESVAINADAS,MONDADAS O PARTIDAS EXCEPTO PARA SIEMBRA"/>
    <s v="MARITIMA DEL CALLAO"/>
    <s v="012930 | 1"/>
    <x v="164"/>
    <x v="3"/>
    <x v="0"/>
    <n v="20552256647"/>
    <s v="AGRO FERGI S.A.C."/>
    <s v="DISTRIBUIDORA LATINOANDINA S.L"/>
    <n v="4060"/>
    <n v="4000"/>
    <n v="4000"/>
    <s v="KG"/>
    <n v="4"/>
    <s v="TM"/>
    <x v="172"/>
    <n v="2.4449999999999998"/>
    <n v="2445"/>
    <x v="2"/>
    <s v="RODMAN"/>
    <s v="N/A"/>
    <s v="MARÍTIMO"/>
    <s v="MEDITERRANEAN SHIPPING CO.PERU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s v="_x0000_"/>
    <s v="_x0000_"/>
    <s v="VERDE"/>
  </r>
  <r>
    <n v="713909000"/>
    <s v="DEMAS HORTALIZAS DE VAINAS SECAS DESVAINADAS,MONDADAS O PARTIDAS EXCEPTO PARA SIEMBRA"/>
    <s v="MARITIMA DEL CALLAO"/>
    <s v="140354 | 2"/>
    <x v="165"/>
    <x v="4"/>
    <x v="0"/>
    <n v="20552256647"/>
    <s v="AGRO FERGI S.A.C."/>
    <s v="FABI-SAA INC."/>
    <n v="3939.11"/>
    <n v="3811.2"/>
    <n v="3811.2"/>
    <s v="KG"/>
    <n v="400"/>
    <s v="CAJ"/>
    <x v="173"/>
    <n v="2.5670000000000002"/>
    <n v="24.466999999999999"/>
    <x v="1"/>
    <s v="POSORJA"/>
    <s v="N/A"/>
    <s v="MARÍTIMO"/>
    <s v="TRAMARSA - TRABAJOS MARITIMOS S.A."/>
    <s v="AGENCIA DE ADUANA MACROMAR S.A."/>
    <x v="132"/>
    <s v="CHOCHOS SECOS(24 X 14 OZ)CONSUMO HUMANOCODIGO Nº13 RESTITUCION DE DERECHOS ARANCELARIOS"/>
    <s v="CHOCHOS SECOS(24 X 14 OZ)CONSUMO HUMANOCODIGO Nº13 RESTITUCION DE DERECHOS ARANCELARIOS"/>
    <s v="CHOCHOS SECOS(24 X 14 OZ)CONSUMO HUMANOCODIGO Nº13 RESTITUCION DE DERECHOS ARANCELARIOS"/>
    <s v="CHOCHOS SECOS(24 X 14 OZ)CONSUMO HUMANOCODIGO Nº13 RESTITUCION DE DERECHOS ARANCELARIOS"/>
    <s v="CHOCHOS SECOS(24 X 14 OZ)CONSUMO HUMANOCODIGO Nº13 RESTITUCION DE DERECHOS ARANCELARIOS"/>
    <s v="TRABAJOS MARITIMOS S.A."/>
    <s v="TIAMAT PERU S.A.C."/>
    <s v="TIAMAT FORWARDER. LLC"/>
    <s v="VERDE"/>
  </r>
  <r>
    <n v="713909000"/>
    <s v="DEMAS HORTALIZAS DE VAINAS SECAS DESVAINADAS,MONDADAS O PARTIDAS EXCEPTO PARA SIEMBRA"/>
    <s v="MARITIMA DEL CALLAO"/>
    <s v="142436 | 9"/>
    <x v="165"/>
    <x v="4"/>
    <x v="0"/>
    <n v="20552256647"/>
    <s v="AGRO FERGI S.A.C."/>
    <s v="LA CASA DE JACK LTD66 DRUID STREET A??LONDON SE 1 2HQVAT REG"/>
    <n v="1582.88"/>
    <n v="1200"/>
    <n v="1200"/>
    <s v="KG"/>
    <n v="100"/>
    <s v="CAJ"/>
    <x v="174"/>
    <n v="2.7189999999999999"/>
    <n v="32.630000000000003"/>
    <x v="4"/>
    <s v="POSORJA"/>
    <s v="N/A"/>
    <s v="MARÍTIMO"/>
    <s v="TRAMARSA - TRABAJOS MARITIMOS S.A."/>
    <s v="AGENCIA DE ADUANA MACROMAR S.A."/>
    <x v="133"/>
    <s v="CHOCHOS SECOS ( 24 X 500 GR)CAJAS X 12 KGSCONSUMO HUMANOCODIGO Nº13 RESTITUCION DE DERECHOS ARANCELA"/>
    <s v="CHOCHOS SECOS ( 24 X 500 GR)CAJAS X 12 KGSCONSUMO HUMANOCODIGO Nº13 RESTITUCION DE DERECHOS ARANCELA"/>
    <s v="CHOCHOS SECOS ( 24 X 500 GR)CAJAS X 12 KGSCONSUMO HUMANOCODIGO Nº13 RESTITUCION DE DERECHOS ARANCELA"/>
    <s v="CHOCHOS SECOS ( 24 X 500 GR)CAJAS X 12 KGSCONSUMO HUMANOCODIGO Nº13 RESTITUCION DE DERECHOS ARANCELA"/>
    <s v="CHOCHOS SECOS ( 24 X 500 GR)CAJAS X 12 KGSCONSUMO HUMANOCODIGO Nº13 RESTITUCION DE DERECHOS ARANCELA"/>
    <s v="TRABAJOS MARITIMOS S.A."/>
    <s v="_x0000_"/>
    <s v="_x0000_"/>
    <s v="VERDE"/>
  </r>
  <r>
    <n v="713909000"/>
    <s v="DEMAS HORTALIZAS DE VAINAS SECAS DESVAINADAS,MONDADAS O PARTIDAS EXCEPTO PARA SIEMBRA"/>
    <s v="MARITIMA DEL CALLAO"/>
    <s v="076296 | 7"/>
    <x v="102"/>
    <x v="6"/>
    <x v="2"/>
    <n v="20552256647"/>
    <s v="AGRO FERGI S.A.C."/>
    <s v="DISTRIBUIDORA LATINOANDINA SLAVDA MANOTERAS. 38 BL B OF 4082"/>
    <n v="5090"/>
    <n v="5000"/>
    <n v="5000"/>
    <s v="KG"/>
    <n v="5"/>
    <s v="TM"/>
    <x v="175"/>
    <n v="2.5"/>
    <n v="2500"/>
    <x v="2"/>
    <s v="POSORJA"/>
    <s v="N/A"/>
    <s v="MARÍTIMO"/>
    <s v="COSCO PERU S.A."/>
    <s v="AGENCIA DE ADUANA MACROMAR S.A."/>
    <x v="134"/>
    <s v="CHOCHOS SECOSSACOS X 25 KGCODIGO Nº13 RESTITUCION DE DERECHOS ARANCELARIOS"/>
    <s v="CHOCHOS SECOSSACOS X 25 KGCODIGO Nº13 RESTITUCION DE DERECHOS ARANCELARIOS"/>
    <s v="CHOCHOS SECOSSACOS X 25 KGCODIGO Nº13 RESTITUCION DE DERECHOS ARANCELARIOS"/>
    <s v="CHOCHOS SECOSSACOS X 25 KGCODIGO Nº13 RESTITUCION DE DERECHOS ARANCELARIOS"/>
    <s v="CHOCHOS SECOSSACOS X 25 KGCODIGO Nº13 RESTITUCION DE DERECHOS ARANCELARIOS"/>
    <s v="CMA-CGM"/>
    <s v="_x0000_"/>
    <s v="_x0000_"/>
    <s v="VERDE"/>
  </r>
  <r>
    <n v="713909000"/>
    <s v="DEMAS HORTALIZAS DE VAINAS SECAS DESVAINADAS,MONDADAS O PARTIDAS EXCEPTO PARA SIEMBRA"/>
    <s v="MARITIMA DEL CALLAO"/>
    <s v="065151 | 9"/>
    <x v="166"/>
    <x v="7"/>
    <x v="2"/>
    <n v="20552256647"/>
    <s v="AGRO FERGI S.A.C."/>
    <s v="LA CASA DE JACK LTD66 DRUID STREET - LONDON SE 1 2HQVAT REG"/>
    <n v="1932.48"/>
    <n v="1740"/>
    <n v="1740"/>
    <s v="KG"/>
    <n v="145"/>
    <s v="CAJ"/>
    <x v="176"/>
    <n v="2.9449999999999998"/>
    <n v="35.340000000000003"/>
    <x v="4"/>
    <s v="POSORJA"/>
    <s v="N/A"/>
    <s v="MARÍTIMO"/>
    <s v="TRAMARSA - TRABAJOS MARITIMOS S.A."/>
    <s v="AGENCIA DE ADUANA MACROMAR S.A."/>
    <x v="135"/>
    <s v="CHOCHOS SECOSCAJAS X 12 KGCODIGO Nº13 RESTITUCION DE DERECHOS ARANCELARIOS"/>
    <s v="CHOCHOS SECOSCAJAS X 12 KGCODIGO Nº13 RESTITUCION DE DERECHOS ARANCELARIOS"/>
    <s v="CHOCHOS SECOSCAJAS X 12 KGCODIGO Nº13 RESTITUCION DE DERECHOS ARANCELARIOS"/>
    <s v="CHOCHOS SECOSCAJAS X 12 KGCODIGO Nº13 RESTITUCION DE DERECHOS ARANCELARIOS"/>
    <s v="CHOCHOS SECOSCAJAS X 12 KGCODIGO Nº13 RESTITUCION DE DERECHOS ARANCELARIOS"/>
    <s v="CMA-CGM"/>
    <s v="_x0000_"/>
    <s v="_x0000_"/>
    <s v="VERDE"/>
  </r>
  <r>
    <n v="713909000"/>
    <s v="DEMAS HORTALIZAS DE VAINAS SECAS DESVAINADAS,MONDADAS O PARTIDAS EXCEPTO PARA SIEMBRA"/>
    <s v="TUMBES"/>
    <s v="001111 | 2"/>
    <x v="167"/>
    <x v="4"/>
    <x v="2"/>
    <n v="20607909637"/>
    <s v="ASND INTERCOMEXIMP GRUP EMPRESA INDIVIDU"/>
    <s v="JUMBO ORDINOLA JAMES MARTIN"/>
    <n v="14937.88"/>
    <n v="14900"/>
    <n v="14900"/>
    <s v="KG"/>
    <n v="14900"/>
    <s v="KG"/>
    <x v="177"/>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00765 | 2"/>
    <x v="168"/>
    <x v="4"/>
    <x v="2"/>
    <n v="20607909637"/>
    <s v="ASND INTERCOMEXIMP GRUP EMPRESA INDIVIDU"/>
    <s v="JUMBO ORDINOLA JAMES MARTIN"/>
    <n v="3012"/>
    <n v="3000"/>
    <n v="3000"/>
    <s v="KG"/>
    <n v="3000"/>
    <s v="KG"/>
    <x v="178"/>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MARITIMA DEL CALLAO"/>
    <s v="049374 | 13"/>
    <x v="169"/>
    <x v="1"/>
    <x v="2"/>
    <n v="20552256647"/>
    <s v="AGRO FERGI S.A.C."/>
    <s v="DISTRIBUIDORA LATINOANDINA S.L."/>
    <n v="3081.04"/>
    <n v="3000"/>
    <n v="3000"/>
    <s v="KG"/>
    <n v="3"/>
    <s v="TM"/>
    <x v="179"/>
    <n v="2.4750000000000001"/>
    <n v="2475"/>
    <x v="2"/>
    <s v="BALBOA"/>
    <s v="N/A"/>
    <s v="MARÍTIMO"/>
    <s v="MAERSK LINE PERU S.A.C."/>
    <s v="AGENCIA DE ADUANA MACROMAR S.A."/>
    <x v="134"/>
    <s v="CHOCHOS SECOSSACOS X 25 KGCODIGO Nº13 RESTITUCION DE DERECHOS ARANCELARIOS"/>
    <s v="CHOCHOS SECOSSACOS X 25 KGCODIGO Nº13 RESTITUCION DE DERECHOS ARANCELARIOS"/>
    <s v="CHOCHOS SECOSSACOS X 25 KGCODIGO Nº13 RESTITUCION DE DERECHOS ARANCELARIOS"/>
    <s v="CHOCHOS SECOSSACOS X 25 KGCODIGO Nº13 RESTITUCION DE DERECHOS ARANCELARIOS"/>
    <s v="CHOCHOS SECOSSACOS X 25 KGCODIGO Nº13 RESTITUCION DE DERECHOS ARANCELARIOS"/>
    <s v="MAERSK LINES, INC."/>
    <s v="_x0000_"/>
    <s v="_x0000_"/>
    <s v="VERDE"/>
  </r>
  <r>
    <n v="713909000"/>
    <s v="DEMAS HORTALIZAS DE VAINAS SECAS DESVAINADAS,MONDADAS O PARTIDAS EXCEPTO PARA SIEMBRA"/>
    <s v="MARITIMA DEL CALLAO"/>
    <s v="038697 | 3"/>
    <x v="170"/>
    <x v="9"/>
    <x v="2"/>
    <n v="20552256647"/>
    <s v="AGRO FERGI S.A.C."/>
    <s v="FABI-SAA INC."/>
    <n v="5063.04"/>
    <n v="4764"/>
    <n v="4764"/>
    <s v="KG"/>
    <n v="500"/>
    <s v="CAJ"/>
    <x v="180"/>
    <n v="2.5099999999999998"/>
    <n v="23.916"/>
    <x v="1"/>
    <s v="JAWAHARLAL NEHRU (NHAVA SHEVA)"/>
    <s v="N/A"/>
    <s v="MARÍTIMO"/>
    <s v="TRAMARSA - TRABAJOS MARITIMOS S.A."/>
    <s v="AGENCIA DE ADUANA MACROMAR S.A."/>
    <x v="136"/>
    <s v="CHOCHOS SECOSCAJAS (24 X 14 OZ)CODIGO Nº13 RESTITUCION DE DERECHOS ARANCELARIOS"/>
    <s v="CHOCHOS SECOSCAJAS (24 X 14 OZ)CODIGO Nº13 RESTITUCION DE DERECHOS ARANCELARIOS"/>
    <s v="CHOCHOS SECOSCAJAS (24 X 14 OZ)CODIGO Nº13 RESTITUCION DE DERECHOS ARANCELARIOS"/>
    <s v="CHOCHOS SECOSCAJAS (24 X 14 OZ)CODIGO Nº13 RESTITUCION DE DERECHOS ARANCELARIOS"/>
    <s v="CHOCHOS SECOSCAJAS (24 X 14 OZ)CODIGO Nº13 RESTITUCION DE DERECHOS ARANCELARIOS"/>
    <s v="CHINA OCEAN STEAMSHIP LTD"/>
    <s v="TIAMAT PERU S.A.C."/>
    <s v="SCM FORWARDER LLCTAX NUMBER: 85-4263902 8306 NW SOUT"/>
    <s v="VERDE"/>
  </r>
  <r>
    <n v="713909000"/>
    <s v="DEMAS HORTALIZAS DE VAINAS SECAS DESVAINADAS,MONDADAS O PARTIDAS EXCEPTO PARA SIEMBRA"/>
    <s v="MARITIMA DEL CALLAO"/>
    <s v="007160 | 2"/>
    <x v="171"/>
    <x v="3"/>
    <x v="2"/>
    <n v="20552256647"/>
    <s v="AGRO FERGI S.A.C."/>
    <s v="FABI-SAA INC."/>
    <n v="2995.24"/>
    <n v="2858.4"/>
    <n v="2858.4"/>
    <s v="KG"/>
    <n v="300"/>
    <s v="CAJ"/>
    <x v="181"/>
    <n v="2.3570000000000002"/>
    <n v="22.466000000000001"/>
    <x v="1"/>
    <s v="POSORJA"/>
    <s v="N/A"/>
    <s v="MARÍTIMO"/>
    <s v="TRAMARSA - TRABAJOS MARITIMOS S.A."/>
    <s v="TRANSOCEANIC S.A."/>
    <x v="137"/>
    <s v="CHOCHOS SECOS ( 24 X 14 OZ)"/>
    <s v="CHOCHOS SECOS ( 24 X 14 OZ)"/>
    <s v="CHOCHOS SECOS ( 24 X 14 OZ)"/>
    <s v="CHOCHOS SECOS ( 24 X 14 OZ)"/>
    <s v="CHOCHOS SECOS ( 24 X 14 OZ)"/>
    <s v="CHINA OCEAN STEAMSHIP LTD"/>
    <s v="TIAMAT PERU S.A.C."/>
    <s v="SCM FORWARDER LLC"/>
    <s v="VERDE"/>
  </r>
  <r>
    <n v="713909000"/>
    <s v="DEMAS HORTALIZAS DE VAINAS SECAS DESVAINADAS,MONDADAS O PARTIDAS EXCEPTO PARA SIEMBRA"/>
    <s v="TUMBES"/>
    <s v="000438 | 2"/>
    <x v="172"/>
    <x v="4"/>
    <x v="2"/>
    <n v="20607909637"/>
    <s v="ASND INTERCOMEXIMP GRUP EMPRESA INDIVIDU"/>
    <s v="JUMBO ORDINOLA JAMES MARTIN"/>
    <n v="5565.81"/>
    <n v="5550"/>
    <n v="5550"/>
    <s v="KG"/>
    <n v="5550"/>
    <s v="KG"/>
    <x v="56"/>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MARITIMA DEL CALLAO"/>
    <s v="126774 | 15"/>
    <x v="95"/>
    <x v="10"/>
    <x v="2"/>
    <n v="20605379070"/>
    <s v="JACA AGRO EXPORT S.A.C."/>
    <s v="QHATU IMPORT S.L."/>
    <n v="147"/>
    <n v="140"/>
    <n v="140"/>
    <s v="KG"/>
    <n v="7"/>
    <s v="U"/>
    <x v="182"/>
    <n v="2.528"/>
    <n v="50.570999999999998"/>
    <x v="2"/>
    <s v="POSORJA"/>
    <s v="N/A"/>
    <s v="MARÍTIMO"/>
    <s v="IAN TAYLOR AGENCIAS S.A.C."/>
    <s v="ALEFERO OPERADOR INTERNACIONAL S.A.C."/>
    <x v="138"/>
    <s v="TARWI PRESENTACION: SACO  X  20  KILOS USO: CONSUMO HUMANO"/>
    <s v="TARWI PRESENTACION: SACO  X  20  KILOS USO: CONSUMO HUMANO"/>
    <s v="TARWI PRESENTACION: SACO  X  20  KILOS USO: CONSUMO HUMANO"/>
    <s v="TARWI PRESENTACION: SACO  X  20  KILOS USO: CONSUMO HUMANO"/>
    <s v="TARWI PRESENTACION: SACO  X  20  KILOS USO: CONSUMO HUMANO"/>
    <s v="HAPAG-LLOYD A G"/>
    <s v=""/>
    <s v=""/>
    <s v="VERDE"/>
  </r>
  <r>
    <n v="713909000"/>
    <s v="DEMAS HORTALIZAS DE VAINAS SECAS DESVAINADAS,MONDADAS O PARTIDAS EXCEPTO PARA SIEMBRA"/>
    <s v="MARITIMA DEL CALLAO"/>
    <s v="126774 | 4"/>
    <x v="95"/>
    <x v="10"/>
    <x v="2"/>
    <n v="20605379070"/>
    <s v="JACA AGRO EXPORT S.A.C."/>
    <s v="QHATU IMPORT S.L."/>
    <n v="150"/>
    <n v="144"/>
    <n v="144"/>
    <s v="KG"/>
    <n v="12"/>
    <s v="U"/>
    <x v="183"/>
    <n v="3.1659999999999999"/>
    <n v="38"/>
    <x v="2"/>
    <s v="POSORJA"/>
    <s v="N/A"/>
    <s v="MARÍTIMO"/>
    <s v="IAN TAYLOR AGENCIAS S.A.C."/>
    <s v="ALEFERO OPERADOR INTERNACIONAL S.A.C."/>
    <x v="139"/>
    <s v="TARWI PRESENTACION: CAJA X 24 BOLSAS / 500 GR USO: CONSUMO HUMANO"/>
    <s v="TARWI PRESENTACION: CAJA X 24 BOLSAS / 500 GR USO: CONSUMO HUMANO"/>
    <s v="TARWI PRESENTACION: CAJA X 24 BOLSAS / 500 GR USO: CONSUMO HUMANO"/>
    <s v="TARWI PRESENTACION: CAJA X 24 BOLSAS / 500 GR USO: CONSUMO HUMANO"/>
    <s v="TARWI PRESENTACION: CAJA X 24 BOLSAS / 500 GR USO: CONSUMO HUMANO"/>
    <s v="HAPAG-LLOYD A G"/>
    <s v=""/>
    <s v=""/>
    <s v="VERDE"/>
  </r>
  <r>
    <n v="713909000"/>
    <s v="DEMAS HORTALIZAS DE VAINAS SECAS DESVAINADAS,MONDADAS O PARTIDAS EXCEPTO PARA SIEMBRA"/>
    <s v="MARITIMA DEL CALLAO"/>
    <s v="041090 | 29"/>
    <x v="173"/>
    <x v="9"/>
    <x v="2"/>
    <n v="20605379070"/>
    <s v="JACA AGRO EXPORT S.A.C."/>
    <s v="QHATU IMPORT S.L."/>
    <n v="66.7"/>
    <n v="63.36"/>
    <n v="63.36"/>
    <s v="KG"/>
    <n v="7"/>
    <s v="CAJ"/>
    <x v="184"/>
    <n v="3.8660000000000001"/>
    <n v="35"/>
    <x v="2"/>
    <s v="RODMAN"/>
    <s v="N/A"/>
    <s v="MARÍTIMO"/>
    <s v="MEDITERRANEAN SHIPPING CO.PERU S.A.C."/>
    <s v="ALEFERO OPERADOR INTERNACIONAL S.A.C."/>
    <x v="140"/>
    <s v="TARWI PRESENTACION: CAJA X 14 KILOS USO: CONSUMO HUMANO"/>
    <s v="TARWI PRESENTACION: CAJA X 14 KILOS USO: CONSUMO HUMANO"/>
    <s v="TARWI PRESENTACION: CAJA X 14 KILOS USO: CONSUMO HUMANO"/>
    <s v="TARWI PRESENTACION: CAJA X 14 KILOS USO: CONSUMO HUMANO"/>
    <s v="TARWI PRESENTACION: CAJA X 14 KILOS USO: CONSUMO HUMANO"/>
    <s v="MEDITERRANEAN SHIPPING COMPANY"/>
    <s v="LOGISTICA SUARDIAZ PERU SOCIEDAD ANONIMA CERRADA"/>
    <s v="VAPORES SUARDIAZ SUR ATLANTICO. S.L."/>
    <s v="VERDE"/>
  </r>
  <r>
    <n v="713909000"/>
    <s v="DEMAS HORTALIZAS DE VAINAS SECAS DESVAINADAS,MONDADAS O PARTIDAS EXCEPTO PARA SIEMBRA"/>
    <s v="MARITIMA DEL CALLAO"/>
    <s v="018391 | 2"/>
    <x v="174"/>
    <x v="3"/>
    <x v="1"/>
    <n v="20605997253"/>
    <s v="SIMPLI GOOD PERU S.A.C."/>
    <s v="SIMPLI GROUP INC."/>
    <n v="1353.63"/>
    <n v="1327.81"/>
    <n v="1327.81"/>
    <s v="KG"/>
    <n v="31"/>
    <s v="BLS"/>
    <x v="185"/>
    <n v="3.1930000000000001"/>
    <n v="136.79900000000001"/>
    <x v="1"/>
    <s v="RODMAN"/>
    <s v="N/A"/>
    <s v="MARÍTIMO"/>
    <s v="MEDITERRANEAN SHIPPING CO.PERU S.A.C."/>
    <s v="IJI S.A.C. AGENTES DE ADUANA"/>
    <x v="141"/>
    <s v="HABAS DE ALTRAMUZ ORGANICA REGENERATIVA REGENERATIVE ORGANIC LUPINI BEANS, 50LB LOT CODE: PER2214109"/>
    <s v="HABAS DE ALTRAMUZ ORGANICA REGENERATIVA REGENERATIVE ORGANIC LUPINI BEANS, 50LB LOT CODE: PER2214109"/>
    <s v="HABAS DE ALTRAMUZ ORGANICA REGENERATIVA REGENERATIVE ORGANIC LUPINI BEANS, 50LB LOT CODE: PER2214109"/>
    <s v="HABAS DE ALTRAMUZ ORGANICA REGENERATIVA REGENERATIVE ORGANIC LUPINI BEANS, 50LB LOT CODE: PER2214109"/>
    <s v="HABAS DE ALTRAMUZ ORGANICA REGENERATIVA REGENERATIVE ORGANIC LUPINI BEANS, 50LB LOT CODE: PER2214109"/>
    <s v="MEDITERRANEAN SHIPPING COMPANY"/>
    <s v="PERUVIAN SHIPPING S.A.C."/>
    <s v="GCS LOGISTICS INC."/>
    <s v="VERDE"/>
  </r>
  <r>
    <n v="713909000"/>
    <s v="DEMAS HORTALIZAS DE VAINAS SECAS DESVAINADAS,MONDADAS O PARTIDAS EXCEPTO PARA SIEMBRA"/>
    <s v="MARITIMA DEL CALLAO"/>
    <s v="006423 | 3"/>
    <x v="49"/>
    <x v="4"/>
    <x v="1"/>
    <n v="20605997253"/>
    <s v="SIMPLI GOOD PERU S.A.C."/>
    <s v="N/A"/>
    <n v="2315.79"/>
    <n v="2268.61"/>
    <n v="2268.61"/>
    <s v="KG"/>
    <n v="100"/>
    <s v="BLS"/>
    <x v="186"/>
    <n v="10.884"/>
    <n v="246.928"/>
    <x v="1"/>
    <s v="RODMAN"/>
    <s v="N/A"/>
    <s v="MARÍTIMO"/>
    <s v="MEDITERRANEAN SHIPPING CO.PERU S.A.C."/>
    <s v="IJI S.A.C. AGENTES DE ADUANA"/>
    <x v="142"/>
    <s v="HABAS DE ALTRAMUZ ORGANICAS BOLSAS DE 50 LB LOT CODE: PE240408913 CONSUMO HUMANO"/>
    <s v="HABAS DE ALTRAMUZ ORGANICAS BOLSAS DE 50 LB LOT CODE: PE240408913 CONSUMO HUMANO"/>
    <s v="HABAS DE ALTRAMUZ ORGANICAS BOLSAS DE 50 LB LOT CODE: PE240408913 CONSUMO HUMANO"/>
    <s v="HABAS DE ALTRAMUZ ORGANICAS BOLSAS DE 50 LB LOT CODE: PE240408913 CONSUMO HUMANO"/>
    <s v="HABAS DE ALTRAMUZ ORGANICAS BOLSAS DE 50 LB LOT CODE: PE240408913 CONSUMO HUMANO"/>
    <s v="MEDITERRANEAN SHIPPING COMPANY"/>
    <s v=""/>
    <s v=""/>
    <s v=""/>
  </r>
  <r>
    <n v="713909000"/>
    <s v="DEMAS HORTALIZAS DE VAINAS SECAS DESVAINADAS,MONDADAS O PARTIDAS EXCEPTO PARA SIEMBRA"/>
    <s v="MARITIMA DEL CALLAO"/>
    <s v="001161 | 2"/>
    <x v="175"/>
    <x v="4"/>
    <x v="1"/>
    <n v="20605997253"/>
    <s v="SIMPLI GOOD PERU S.A.C."/>
    <s v="SIMPLI GROUP INC."/>
    <n v="2307"/>
    <n v="2268.61"/>
    <n v="2268.61"/>
    <s v="KG"/>
    <n v="100"/>
    <s v="BLS"/>
    <x v="186"/>
    <n v="10.884"/>
    <n v="246.928"/>
    <x v="1"/>
    <s v="RODMAN"/>
    <s v="N/A"/>
    <s v="MARÍTIMO"/>
    <s v="MEDITERRANEAN SHIPPING CO.PERU S.A.C."/>
    <s v="IJI S.A.C. AGENTES DE ADUANA"/>
    <x v="143"/>
    <s v="HABAS DE ALTRAMUZ ORGANICAS BOLSAS DE 50 LB LOT CODE: PE330409612 CONSUMO HUMANO"/>
    <s v="HABAS DE ALTRAMUZ ORGANICAS BOLSAS DE 50 LB LOT CODE: PE330409612 CONSUMO HUMANO"/>
    <s v="HABAS DE ALTRAMUZ ORGANICAS BOLSAS DE 50 LB LOT CODE: PE330409612 CONSUMO HUMANO"/>
    <s v="HABAS DE ALTRAMUZ ORGANICAS BOLSAS DE 50 LB LOT CODE: PE330409612 CONSUMO HUMANO"/>
    <s v="HABAS DE ALTRAMUZ ORGANICAS BOLSAS DE 50 LB LOT CODE: PE330409612 CONSUMO HUMANO"/>
    <s v="MEDITERRANEAN SHIPPING COMPANY"/>
    <s v="PERUVIAN SHIPPING S.A.C."/>
    <s v="GCS LOGISTICS INC."/>
    <s v="VERDE"/>
  </r>
  <r>
    <n v="713909000"/>
    <s v="DEMAS HORTALIZAS DE VAINAS SECAS DESVAINADAS,MONDADAS O PARTIDAS EXCEPTO PARA SIEMBRA"/>
    <s v="MARITIMA DEL CALLAO"/>
    <s v="118565 | 2"/>
    <x v="176"/>
    <x v="10"/>
    <x v="0"/>
    <n v="20605997253"/>
    <s v="SIMPLI GOOD PERU S.A.C."/>
    <s v="SIMPLI GROUP INC 3365 HOLLINS FERRY RD. LANSDOWNE. MD 21227"/>
    <n v="1299.17"/>
    <n v="1270"/>
    <n v="1270"/>
    <s v="KG"/>
    <n v="56"/>
    <s v="BLS"/>
    <x v="187"/>
    <n v="10.888"/>
    <n v="246.928"/>
    <x v="1"/>
    <s v="RODMAN"/>
    <s v="N/A"/>
    <s v="MARÍTIMO"/>
    <s v="MEDITERRANEAN SHIPPING CO.PERU S.A.C."/>
    <s v="IJI S.A.C. AGENTES DE ADUANA"/>
    <x v="144"/>
    <s v="FRIJOLES LUPINI EN BOLSAS DE 50 LB. LOTE CODE: PE240408912 CONSUMO HUMANO"/>
    <s v="FRIJOLES LUPINI EN BOLSAS DE 50 LB. LOTE CODE: PE240408912 CONSUMO HUMANO"/>
    <s v="FRIJOLES LUPINI EN BOLSAS DE 50 LB. LOTE CODE: PE240408912 CONSUMO HUMANO"/>
    <s v="FRIJOLES LUPINI EN BOLSAS DE 50 LB. LOTE CODE: PE240408912 CONSUMO HUMANO"/>
    <s v="FRIJOLES LUPINI EN BOLSAS DE 50 LB. LOTE CODE: PE240408912 CONSUMO HUMANO"/>
    <s v="MEDITERRANEAN SHIPPING COMPANY"/>
    <s v="PERUVIAN SHIPPING S.A.C."/>
    <s v="GCS LOGISTICS INC."/>
    <s v="VERDE"/>
  </r>
  <r>
    <n v="713909000"/>
    <s v="DEMAS HORTALIZAS DE VAINAS SECAS DESVAINADAS,MONDADAS O PARTIDAS EXCEPTO PARA SIEMBRA"/>
    <s v="AEREA DEL CALLAO"/>
    <s v="076286 | 8"/>
    <x v="177"/>
    <x v="8"/>
    <x v="2"/>
    <n v="20609062551"/>
    <s v="FLORA AGROSERVICIOS E.I.R.L."/>
    <s v="TUMI DE ORO SARL CO DUNNER MARIA"/>
    <n v="12.77"/>
    <n v="12.13"/>
    <n v="12.13"/>
    <s v="KG"/>
    <n v="10"/>
    <s v="KG"/>
    <x v="188"/>
    <n v="3.7090000000000001"/>
    <n v="4.5"/>
    <x v="8"/>
    <s v="PEARSON INTERNATIONAL APT/TORONTO"/>
    <s v="N/A"/>
    <s v="AÉREO"/>
    <s v="AERO CHARTER"/>
    <s v="MANEJOS INTEGRALES ADUANEROS S.A."/>
    <x v="145"/>
    <s v="HABAS FRESCO"/>
    <s v="HABAS FRESCO"/>
    <s v="HABAS FRESCO"/>
    <s v="HABAS FRESCO"/>
    <s v="HABAS FRESCO"/>
    <s v="AIR CANADA SUCURSAL DEL PERU"/>
    <s v="_x0000_"/>
    <s v="_x0000_"/>
    <s v="VERDE"/>
  </r>
  <r>
    <n v="713909000"/>
    <s v="DEMAS HORTALIZAS DE VAINAS SECAS DESVAINADAS,MONDADAS O PARTIDAS EXCEPTO PARA SIEMBRA"/>
    <s v="AEREA DEL CALLAO"/>
    <s v="047164 | 3"/>
    <x v="178"/>
    <x v="0"/>
    <x v="2"/>
    <n v="20609062551"/>
    <s v="FLORA AGROSERVICIOS E.I.R.L."/>
    <s v="TUMI DE ORO SARL CO DUNNER MARIA"/>
    <n v="21.05"/>
    <n v="20"/>
    <n v="20"/>
    <s v="KG"/>
    <n v="30"/>
    <s v="KG"/>
    <x v="189"/>
    <n v="4.47"/>
    <n v="2.98"/>
    <x v="8"/>
    <s v="MADRID"/>
    <s v="N/A"/>
    <s v="AÉREO"/>
    <s v="IBERIA"/>
    <s v="LOGISTICA ADUANERA ILO S.A.C."/>
    <x v="146"/>
    <s v="MENESTRA - CARAPULCRA"/>
    <s v="MENESTRA - CARAPULCRA"/>
    <s v="MENESTRA - CARAPULCRA"/>
    <s v="MENESTRA - CARAPULCRA"/>
    <s v="MENESTRA - CARAPULCRA"/>
    <s v="IBERIA LINEAS AEREAS DE ESPAÑA SOCIEDAD ANONIMA OPERADO"/>
    <s v="_x0000_"/>
    <s v="_x0000_"/>
    <s v="ROJO"/>
  </r>
  <r>
    <n v="713909000"/>
    <s v="DEMAS HORTALIZAS DE VAINAS SECAS DESVAINADAS,MONDADAS O PARTIDAS EXCEPTO PARA SIEMBRA"/>
    <s v="MARITIMA DEL CALLAO"/>
    <s v="098747 | 9"/>
    <x v="150"/>
    <x v="11"/>
    <x v="0"/>
    <n v="20601698928"/>
    <s v="JM IMPORTADORA EXPORTADORA Y SERVICIOS S.A.C."/>
    <s v="JOTA JOTA ALIMENTOS GLOBAL S.L."/>
    <n v="1618.35"/>
    <n v="1536"/>
    <n v="1536"/>
    <s v="KG"/>
    <n v="128"/>
    <s v="CAJ"/>
    <x v="190"/>
    <n v="1.958"/>
    <n v="23.5"/>
    <x v="2"/>
    <s v="RODMAN"/>
    <s v="N/A"/>
    <s v="MARÍTIMO"/>
    <s v="MEDITERRANEAN SHIPPING CO.PERU S.A.C."/>
    <s v="JG ADUANAS LOGISTIC SOCIEDAD ANONIMA CERRADA"/>
    <x v="147"/>
    <s v="GANDUL 24 bolsas X 500 GR COEXITO PARA CONSUMO HUMANO"/>
    <s v="GANDUL 24 bolsas X 500 GR COEXITO PARA CONSUMO HUMANO"/>
    <s v="GANDUL 24 bolsas X 500 GR COEXITO PARA CONSUMO HUMANO"/>
    <s v="GANDUL 24 bolsas X 500 GR COEXITO PARA CONSUMO HUMANO"/>
    <s v="GANDUL 24 bolsas X 500 GR COEXITO PARA CONSUMO HUMANO"/>
    <s v="MEDITERRANEAN SHIPPING COMPANY"/>
    <s v="_x0000_"/>
    <s v="_x0000_"/>
    <s v="VERDE"/>
  </r>
  <r>
    <n v="713909000"/>
    <s v="DEMAS HORTALIZAS DE VAINAS SECAS DESVAINADAS,MONDADAS O PARTIDAS EXCEPTO PARA SIEMBRA"/>
    <s v="MARITIMA DEL CALLAO"/>
    <s v="064664 | 13"/>
    <x v="166"/>
    <x v="7"/>
    <x v="2"/>
    <n v="20601698928"/>
    <s v="JM IMPORTADORA EXPORTADORA Y SERVICIOS S.A.C."/>
    <s v="JOTA JOTA ALIMENTOS GLOBAL. S.L."/>
    <n v="1376.84"/>
    <n v="1308"/>
    <n v="1308"/>
    <s v="KG"/>
    <n v="109"/>
    <s v="CAJ"/>
    <x v="191"/>
    <n v="1.6"/>
    <n v="19.2"/>
    <x v="2"/>
    <s v="POSORJA"/>
    <s v="N/A"/>
    <s v="MARÍTIMO"/>
    <s v="TRAMARSA - TRABAJOS MARITIMOS S.A."/>
    <s v="JG ADUANAS LOGISTIC SOCIEDAD ANONIMA CERRADA"/>
    <x v="147"/>
    <s v="GANDUL 24 BOLSAS X 500 GR COEXITO PARA CONSUMO HUMANO"/>
    <s v="GANDUL 24 BOLSAS X 500 GR COEXITO PARA CONSUMO HUMANO"/>
    <s v="GANDUL 24 BOLSAS X 500 GR COEXITO PARA CONSUMO HUMANO"/>
    <s v="GANDUL 24 BOLSAS X 500 GR COEXITO PARA CONSUMO HUMANO"/>
    <s v="GANDUL 24 BOLSAS X 500 GR COEXITO PARA CONSUMO HUMANO"/>
    <s v="HAPAG-LLOYD A G"/>
    <s v="INTERNATIONAL FREIGHT SHIPPING S.A.C."/>
    <s v="BYMAR TRANSFORWARDING S.L."/>
    <s v="VERDE"/>
  </r>
  <r>
    <n v="713909000"/>
    <s v="DEMAS HORTALIZAS DE VAINAS SECAS DESVAINADAS,MONDADAS O PARTIDAS EXCEPTO PARA SIEMBRA"/>
    <s v="MARITIMA DEL CALLAO"/>
    <s v="057159 | 12"/>
    <x v="63"/>
    <x v="7"/>
    <x v="0"/>
    <n v="20601698928"/>
    <s v="JM IMPORTADORA EXPORTADORA Y SERVICIOS S.A.C."/>
    <s v="JOTA JOTA ALIMENTOS GLOBAL S.L."/>
    <n v="1243.69"/>
    <n v="1116"/>
    <n v="1116"/>
    <s v="KG"/>
    <n v="93"/>
    <s v="CAJ"/>
    <x v="192"/>
    <n v="1.6020000000000001"/>
    <n v="19.225000000000001"/>
    <x v="2"/>
    <s v="RODMAN"/>
    <s v="N/A"/>
    <s v="MARÍTIMO"/>
    <s v="MEDITERRANEAN SHIPPING CO.PERU S.A.C."/>
    <s v="JG ADUANAS LOGISTIC SOCIEDAD ANONIMA CERRADA"/>
    <x v="147"/>
    <s v="GANDUL 24 BOLSAS X 500 GR COEXITO PARA CONSUMO HUMANO"/>
    <s v="GANDUL 24 BOLSAS X 500 GR COEXITO PARA CONSUMO HUMANO"/>
    <s v="GANDUL 24 BOLSAS X 500 GR COEXITO PARA CONSUMO HUMANO"/>
    <s v="GANDUL 24 BOLSAS X 500 GR COEXITO PARA CONSUMO HUMANO"/>
    <s v="GANDUL 24 BOLSAS X 500 GR COEXITO PARA CONSUMO HUMANO"/>
    <s v="MEDITERRANEAN SHIPPING COMPANY"/>
    <s v="_x0000_"/>
    <s v="_x0000_"/>
    <s v="VERDE"/>
  </r>
  <r>
    <n v="713909000"/>
    <s v="DEMAS HORTALIZAS DE VAINAS SECAS DESVAINADAS,MONDADAS O PARTIDAS EXCEPTO PARA SIEMBRA"/>
    <s v="AEREA DEL CALLAO"/>
    <s v="009647 | 21"/>
    <x v="179"/>
    <x v="3"/>
    <x v="1"/>
    <n v="20603351755"/>
    <s v="NOVAL COMPANY S.A.C."/>
    <s v="LA PIURANITA AG"/>
    <n v="2"/>
    <n v="1"/>
    <n v="1"/>
    <s v="KG"/>
    <n v="10"/>
    <s v="PAQ"/>
    <x v="128"/>
    <n v="2"/>
    <n v="0.2"/>
    <x v="8"/>
    <s v="PEARSON INTERNATIONAL APT/TORONTO"/>
    <s v="N/A"/>
    <s v="AÉREO"/>
    <s v="AERO CHARTER"/>
    <s v="ASESORES INTEGRALES V &amp; V AGENCIA DE ADUANA S.A.C."/>
    <x v="148"/>
    <s v="PALLARES 500 GCODIGO Nº13 RESTITUCION DE DERECHOS ARANCELARIOS"/>
    <s v="PALLARES 500 GCODIGO Nº13 RESTITUCION DE DERECHOS ARANCELARIOS"/>
    <s v="PALLARES 500 GCODIGO Nº13 RESTITUCION DE DERECHOS ARANCELARIOS"/>
    <s v="PALLARES 500 GCODIGO Nº13 RESTITUCION DE DERECHOS ARANCELARIOS"/>
    <s v="PALLARES 500 GCODIGO Nº13 RESTITUCION DE DERECHOS ARANCELARIOS"/>
    <s v="AIR CANADA SUCURSAL DEL PERU"/>
    <s v="_x0000_"/>
    <s v="_x0000_"/>
    <s v="VERDE"/>
  </r>
  <r>
    <n v="713909000"/>
    <s v="DEMAS HORTALIZAS DE VAINAS SECAS DESVAINADAS,MONDADAS O PARTIDAS EXCEPTO PARA SIEMBRA"/>
    <s v="TUMBES"/>
    <s v="000123 | 4"/>
    <x v="180"/>
    <x v="4"/>
    <x v="2"/>
    <n v="20603844468"/>
    <s v="COMERCIAL NAMUCHE E.I.R.L."/>
    <s v="SUAREZ MORENO SEGUNDO ESTUARDO"/>
    <n v="5022.8900000000003"/>
    <n v="5000"/>
    <n v="5000"/>
    <s v="KG"/>
    <n v="5000"/>
    <s v="KG"/>
    <x v="193"/>
    <n v="0.8"/>
    <n v="0.8"/>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2818 | 2"/>
    <x v="181"/>
    <x v="2"/>
    <x v="0"/>
    <n v="20603844468"/>
    <s v="COMERCIAL NAMUCHE E.I.R.L."/>
    <s v="JUMBO ARBOLEDA JAMES NICANOR"/>
    <n v="3010"/>
    <n v="3000"/>
    <n v="3000"/>
    <s v="KG"/>
    <n v="3000"/>
    <s v="KG"/>
    <x v="178"/>
    <n v="0.8"/>
    <n v="0.8"/>
    <x v="0"/>
    <s v="HUAQUILLAS"/>
    <s v="N/A"/>
    <s v="CARRETERO"/>
    <s v="N/A"/>
    <s v="VEGA AGENTES AFIANZADOS DE ADUANAS S.A.C."/>
    <x v="149"/>
    <s v="CHOCHOSEMBALAJE : 60 SACOSX 50 KG CADA SACOPARA SU COMERCIALIZACION"/>
    <s v="CHOCHOSEMBALAJE : 60 SACOSX 50 KG CADA SACOPARA SU COMERCIALIZACION"/>
    <s v="CHOCHOSEMBALAJE : 60 SACOSX 50 KG CADA SACOPARA SU COMERCIALIZACION"/>
    <s v="CHOCHOSEMBALAJE : 60 SACOSX 50 KG CADA SACOPARA SU COMERCIALIZACION"/>
    <s v="CHOCHOSEMBALAJE : 60 SACOSX 50 KG CADA SACOPARA SU COMERCIALIZACION"/>
    <s v=""/>
    <s v=""/>
    <s v=""/>
    <s v="VERDE"/>
  </r>
  <r>
    <n v="713909000"/>
    <s v="DEMAS HORTALIZAS DE VAINAS SECAS DESVAINADAS,MONDADAS O PARTIDAS EXCEPTO PARA SIEMBRA"/>
    <s v="TUMBES"/>
    <s v="003227 | 2"/>
    <x v="182"/>
    <x v="2"/>
    <x v="0"/>
    <n v="20603844468"/>
    <s v="COMERCIAL NAMUCHE E.I.R.L."/>
    <s v="JUMBO ARBOLEDA JAMES NICANOR"/>
    <n v="8025"/>
    <n v="8000"/>
    <n v="8000"/>
    <s v="KG"/>
    <n v="8000"/>
    <s v="KG"/>
    <x v="194"/>
    <n v="0.8"/>
    <n v="0.8"/>
    <x v="0"/>
    <s v="HUAQUILLAS"/>
    <s v="N/A"/>
    <s v="CARRETERO"/>
    <s v="N/A"/>
    <s v="ADM ADUANAS S.A.C."/>
    <x v="150"/>
    <s v="CHOCHOS X 50 KG C/S EMBALADO EN SACOS"/>
    <s v="CHOCHOS X 50 KG C/S EMBALADO EN SACOS"/>
    <s v="CHOCHOS X 50 KG C/S EMBALADO EN SACOS"/>
    <s v="CHOCHOS X 50 KG C/S EMBALADO EN SACOS"/>
    <s v="CHOCHOS X 50 KG C/S EMBALADO EN SACOS"/>
    <s v=""/>
    <s v=""/>
    <s v=""/>
    <s v="VERDE"/>
  </r>
  <r>
    <n v="713909000"/>
    <s v="DEMAS HORTALIZAS DE VAINAS SECAS DESVAINADAS,MONDADAS O PARTIDAS EXCEPTO PARA SIEMBRA"/>
    <s v="TUMBES"/>
    <s v="004028 | 2"/>
    <x v="183"/>
    <x v="9"/>
    <x v="0"/>
    <n v="20603844468"/>
    <s v="COMERCIAL NAMUCHE E.I.R.L."/>
    <s v="ZUKI GARCIA JORGE CARLOS"/>
    <n v="4030"/>
    <n v="4000"/>
    <n v="4000"/>
    <s v="KG"/>
    <n v="4000"/>
    <s v="KG"/>
    <x v="106"/>
    <n v="0.8"/>
    <n v="0.8"/>
    <x v="0"/>
    <s v="HUAQUILLAS"/>
    <s v="N/A"/>
    <s v="CARRETERO"/>
    <s v="N/A"/>
    <s v="VEGA AGENTES AFIANZADOS DE ADUANAS S.A.C."/>
    <x v="151"/>
    <s v="CHOCHOSEMBALAJE : 80 SACOSX 50 KG CADA SACOPARA SU COMERCIALIZACION"/>
    <s v="CHOCHOSEMBALAJE : 80 SACOSX 50 KG CADA SACOPARA SU COMERCIALIZACION"/>
    <s v="CHOCHOSEMBALAJE : 80 SACOSX 50 KG CADA SACOPARA SU COMERCIALIZACION"/>
    <s v="CHOCHOSEMBALAJE : 80 SACOSX 50 KG CADA SACOPARA SU COMERCIALIZACION"/>
    <s v="CHOCHOSEMBALAJE : 80 SACOSX 50 KG CADA SACOPARA SU COMERCIALIZACION"/>
    <s v=""/>
    <s v=""/>
    <s v=""/>
    <s v="VERDE"/>
  </r>
  <r>
    <n v="713909000"/>
    <s v="DEMAS HORTALIZAS DE VAINAS SECAS DESVAINADAS,MONDADAS O PARTIDAS EXCEPTO PARA SIEMBRA"/>
    <s v="TUMBES"/>
    <s v="000794 | 2"/>
    <x v="184"/>
    <x v="4"/>
    <x v="0"/>
    <n v="20603844468"/>
    <s v="COMERCIAL NAMUCHE E.I.R.L."/>
    <s v="JUMBO ORDINOLA ANTHONY JAHIR"/>
    <n v="2520"/>
    <n v="2500"/>
    <n v="2500"/>
    <s v="KG"/>
    <n v="2500"/>
    <s v="KG"/>
    <x v="195"/>
    <n v="0.8"/>
    <n v="0.8"/>
    <x v="0"/>
    <s v="HUAQUILLAS"/>
    <s v="N/A"/>
    <s v="CARRETERO"/>
    <s v="N/A"/>
    <s v="VEGA AGENTES AFIANZADOS DE ADUANAS S.A.C."/>
    <x v="152"/>
    <s v="CHOCHOSEMBALAJE : 50 SACOSX 50 KG CADA SACOPARA SU COMERCIALIZACION"/>
    <s v="CHOCHOSEMBALAJE : 50 SACOSX 50 KG CADA SACOPARA SU COMERCIALIZACION"/>
    <s v="CHOCHOSEMBALAJE : 50 SACOSX 50 KG CADA SACOPARA SU COMERCIALIZACION"/>
    <s v="CHOCHOSEMBALAJE : 50 SACOSX 50 KG CADA SACOPARA SU COMERCIALIZACION"/>
    <s v="CHOCHOSEMBALAJE : 50 SACOSX 50 KG CADA SACOPARA SU COMERCIALIZACION"/>
    <s v=""/>
    <s v=""/>
    <s v=""/>
    <s v="VERDE"/>
  </r>
  <r>
    <n v="713909000"/>
    <s v="DEMAS HORTALIZAS DE VAINAS SECAS DESVAINADAS,MONDADAS O PARTIDAS EXCEPTO PARA SIEMBRA"/>
    <s v="TUMBES"/>
    <s v="001459 | 3"/>
    <x v="78"/>
    <x v="3"/>
    <x v="0"/>
    <n v="20603844468"/>
    <s v="COMERCIAL NAMUCHE E.I.R.L."/>
    <s v="JUMBO ORDINOLA ANTHONY JAHIR"/>
    <n v="3280"/>
    <n v="3250"/>
    <n v="3250"/>
    <s v="KG"/>
    <n v="3250"/>
    <s v="KG"/>
    <x v="4"/>
    <n v="0.8"/>
    <n v="0.8"/>
    <x v="0"/>
    <s v="HUAQUILLAS"/>
    <s v="N/A"/>
    <s v="CARRETERO"/>
    <s v="N/A"/>
    <s v="VEGA AGENTES AFIANZADOS DE ADUANAS S.A.C."/>
    <x v="153"/>
    <s v="CHOCHOSEMBALAJE: 65 SACOSX 50 KG CADA SACOPARA SU COMERCIALIZACION"/>
    <s v="CHOCHOSEMBALAJE: 65 SACOSX 50 KG CADA SACOPARA SU COMERCIALIZACION"/>
    <s v="CHOCHOSEMBALAJE: 65 SACOSX 50 KG CADA SACOPARA SU COMERCIALIZACION"/>
    <s v="CHOCHOSEMBALAJE: 65 SACOSX 50 KG CADA SACOPARA SU COMERCIALIZACION"/>
    <s v="CHOCHOSEMBALAJE: 65 SACOSX 50 KG CADA SACOPARA SU COMERCIALIZACION"/>
    <s v=""/>
    <s v=""/>
    <s v=""/>
    <s v="VERDE"/>
  </r>
  <r>
    <n v="713909000"/>
    <s v="DEMAS HORTALIZAS DE VAINAS SECAS DESVAINADAS,MONDADAS O PARTIDAS EXCEPTO PARA SIEMBRA"/>
    <s v="TUMBES"/>
    <s v="013450 | 2"/>
    <x v="185"/>
    <x v="10"/>
    <x v="2"/>
    <n v="20603844468"/>
    <s v="COMERCIAL NAMUCHE E.I.R.L."/>
    <s v="SAAVEDRA ALBURQUEQUE LAURA MERCEDES"/>
    <n v="3760"/>
    <n v="3750"/>
    <n v="3750"/>
    <s v="KG"/>
    <n v="3750"/>
    <s v="KG"/>
    <x v="141"/>
    <n v="0.8"/>
    <n v="0.8"/>
    <x v="0"/>
    <s v="HUAQUILLAS"/>
    <s v="N/A"/>
    <s v="CARRETERO"/>
    <s v="N/A"/>
    <s v="VEGA AGENTES AFIANZADOS DE ADUANAS S.A.C."/>
    <x v="107"/>
    <s v="CHOCHOSEMBALAJE : 75 SACOSX 50 KG CADA SACOPARA SU COMERCIALIZACION"/>
    <s v="CHOCHOSEMBALAJE : 75 SACOSX 50 KG CADA SACOPARA SU COMERCIALIZACION"/>
    <s v="CHOCHOSEMBALAJE : 75 SACOSX 50 KG CADA SACOPARA SU COMERCIALIZACION"/>
    <s v="CHOCHOSEMBALAJE : 75 SACOSX 50 KG CADA SACOPARA SU COMERCIALIZACION"/>
    <s v="CHOCHOSEMBALAJE : 75 SACOSX 50 KG CADA SACOPARA SU COMERCIALIZACION"/>
    <s v=""/>
    <s v=""/>
    <s v=""/>
    <s v="ROJO"/>
  </r>
  <r>
    <n v="713909000"/>
    <s v="DEMAS HORTALIZAS DE VAINAS SECAS DESVAINADAS,MONDADAS O PARTIDAS EXCEPTO PARA SIEMBRA"/>
    <s v="TUMBES"/>
    <s v="012743 | 2"/>
    <x v="186"/>
    <x v="10"/>
    <x v="2"/>
    <n v="20603844468"/>
    <s v="COMERCIAL NAMUCHE E.I.R.L."/>
    <s v="SAAVEDRA ALBURQUEQUE LAURA MERCEDES"/>
    <n v="10037.950000000001"/>
    <n v="10000"/>
    <n v="10000"/>
    <s v="KG"/>
    <n v="10000"/>
    <s v="KG"/>
    <x v="150"/>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ROJO"/>
  </r>
  <r>
    <n v="713909000"/>
    <s v="DEMAS HORTALIZAS DE VAINAS SECAS DESVAINADAS,MONDADAS O PARTIDAS EXCEPTO PARA SIEMBRA"/>
    <s v="TUMBES"/>
    <s v="011865 | 2"/>
    <x v="187"/>
    <x v="5"/>
    <x v="2"/>
    <n v="20603844468"/>
    <s v="COMERCIAL NAMUCHE E.I.R.L."/>
    <s v="SAAVEDRA ALBURQUEQUE LAURA MERCEDES"/>
    <n v="6513.59"/>
    <n v="6500"/>
    <n v="6500"/>
    <s v="KG"/>
    <n v="6500"/>
    <s v="KG"/>
    <x v="196"/>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11213 | 3"/>
    <x v="90"/>
    <x v="5"/>
    <x v="2"/>
    <n v="20603844468"/>
    <s v="COMERCIAL NAMUCHE E.I.R.L."/>
    <s v="SAAVEDRA ALBURQUEQUE LAURA MERCEDES"/>
    <n v="9020.35"/>
    <n v="9000"/>
    <n v="9000"/>
    <s v="KG"/>
    <n v="9000"/>
    <s v="KG"/>
    <x v="197"/>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10553 | 3"/>
    <x v="93"/>
    <x v="11"/>
    <x v="2"/>
    <n v="20603844468"/>
    <s v="COMERCIAL NAMUCHE E.I.R.L."/>
    <s v="JUMBO ORDINOLA ANTHONY JAHIR"/>
    <n v="9085.6299999999992"/>
    <n v="9050"/>
    <n v="9050"/>
    <s v="KG"/>
    <n v="9050"/>
    <s v="KG"/>
    <x v="198"/>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09915 | 3"/>
    <x v="94"/>
    <x v="11"/>
    <x v="2"/>
    <n v="20603844468"/>
    <s v="COMERCIAL NAMUCHE E.I.R.L."/>
    <s v="JUMBO ARBOLEDA JAMES NICANOR"/>
    <n v="5019.54"/>
    <n v="5000"/>
    <n v="5000"/>
    <s v="KG"/>
    <n v="5000"/>
    <s v="KG"/>
    <x v="193"/>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ROJO"/>
  </r>
  <r>
    <n v="713909000"/>
    <s v="DEMAS HORTALIZAS DE VAINAS SECAS DESVAINADAS,MONDADAS O PARTIDAS EXCEPTO PARA SIEMBRA"/>
    <s v="TUMBES"/>
    <s v="010204 | 2"/>
    <x v="97"/>
    <x v="11"/>
    <x v="2"/>
    <n v="20603844468"/>
    <s v="COMERCIAL NAMUCHE E.I.R.L."/>
    <s v="JUMBO ORDINOLA ANTHONY JAHIR"/>
    <n v="4775"/>
    <n v="4750"/>
    <n v="4750"/>
    <s v="KG"/>
    <n v="4750"/>
    <s v="KG"/>
    <x v="199"/>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08406 | 1"/>
    <x v="101"/>
    <x v="0"/>
    <x v="2"/>
    <n v="20603844468"/>
    <s v="COMERCIAL NAMUCHE E.I.R.L."/>
    <s v="JUMBO ORDINOLA ANTHONY JAHIR"/>
    <n v="10026.17"/>
    <n v="10000"/>
    <n v="10000"/>
    <s v="KG"/>
    <n v="10000"/>
    <s v="KG"/>
    <x v="150"/>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08698 | 1"/>
    <x v="100"/>
    <x v="0"/>
    <x v="2"/>
    <n v="20603844468"/>
    <s v="COMERCIAL NAMUCHE E.I.R.L."/>
    <s v="JUMBO ORDINOLA ANTHONY JAHIR"/>
    <n v="10484.219999999999"/>
    <n v="10450"/>
    <n v="10450"/>
    <s v="KG"/>
    <n v="10450"/>
    <s v="KG"/>
    <x v="200"/>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ROJO"/>
  </r>
  <r>
    <n v="713909000"/>
    <s v="DEMAS HORTALIZAS DE VAINAS SECAS DESVAINADAS,MONDADAS O PARTIDAS EXCEPTO PARA SIEMBRA"/>
    <s v="TUMBES"/>
    <s v="007875 | 3"/>
    <x v="103"/>
    <x v="6"/>
    <x v="2"/>
    <n v="20603844468"/>
    <s v="COMERCIAL NAMUCHE E.I.R.L."/>
    <s v="JUMBO ARBOLEDA JAMES NICANOR"/>
    <n v="11538.44"/>
    <n v="11500"/>
    <n v="11500"/>
    <s v="KG"/>
    <n v="11500"/>
    <s v="KG"/>
    <x v="201"/>
    <n v="0.8"/>
    <n v="0.8"/>
    <x v="0"/>
    <s v="GUAYAQUIL"/>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ROJO"/>
  </r>
  <r>
    <n v="713909000"/>
    <s v="DEMAS HORTALIZAS DE VAINAS SECAS DESVAINADAS,MONDADAS O PARTIDAS EXCEPTO PARA SIEMBRA"/>
    <s v="TUMBES"/>
    <s v="007597 | 3"/>
    <x v="104"/>
    <x v="6"/>
    <x v="2"/>
    <n v="20603844468"/>
    <s v="COMERCIAL NAMUCHE E.I.R.L."/>
    <s v="JUMBO ORDINOLA ANTHONY JAHIR"/>
    <n v="3409.14"/>
    <n v="3400"/>
    <n v="3400"/>
    <s v="KG"/>
    <n v="3400"/>
    <s v="KG"/>
    <x v="202"/>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ROJO"/>
  </r>
  <r>
    <n v="713909000"/>
    <s v="DEMAS HORTALIZAS DE VAINAS SECAS DESVAINADAS,MONDADAS O PARTIDAS EXCEPTO PARA SIEMBRA"/>
    <s v="TUMBES"/>
    <s v="007301 | 3"/>
    <x v="105"/>
    <x v="6"/>
    <x v="2"/>
    <n v="20603844468"/>
    <s v="COMERCIAL NAMUCHE E.I.R.L."/>
    <s v="JUMBO ORDINOLA JAMES MARTIN"/>
    <n v="4964.88"/>
    <n v="4950"/>
    <n v="4950"/>
    <s v="KG"/>
    <n v="4950"/>
    <s v="KG"/>
    <x v="203"/>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ROJO"/>
  </r>
  <r>
    <n v="713909000"/>
    <s v="DEMAS HORTALIZAS DE VAINAS SECAS DESVAINADAS,MONDADAS O PARTIDAS EXCEPTO PARA SIEMBRA"/>
    <s v="TUMBES"/>
    <s v="006655 | 3"/>
    <x v="188"/>
    <x v="7"/>
    <x v="2"/>
    <n v="20603844468"/>
    <s v="COMERCIAL NAMUCHE E.I.R.L."/>
    <s v="ZUKI GARCIA JORGE CARLOS"/>
    <n v="16802.689999999999"/>
    <n v="16750"/>
    <n v="16750"/>
    <s v="KG"/>
    <n v="16750"/>
    <s v="KG"/>
    <x v="204"/>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05852 | 3"/>
    <x v="189"/>
    <x v="1"/>
    <x v="2"/>
    <n v="20603844468"/>
    <s v="COMERCIAL NAMUCHE E.I.R.L."/>
    <s v="ZUKI GARCIA JORGE CARLOS"/>
    <n v="7369.9"/>
    <n v="7350"/>
    <n v="7350"/>
    <s v="KG"/>
    <n v="7350"/>
    <s v="KG"/>
    <x v="205"/>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ROJO"/>
  </r>
  <r>
    <n v="713909000"/>
    <s v="DEMAS HORTALIZAS DE VAINAS SECAS DESVAINADAS,MONDADAS O PARTIDAS EXCEPTO PARA SIEMBRA"/>
    <s v="TUMBES"/>
    <s v="006383 | 2"/>
    <x v="109"/>
    <x v="7"/>
    <x v="2"/>
    <n v="20603844468"/>
    <s v="COMERCIAL NAMUCHE E.I.R.L."/>
    <s v="JUMBO ORDINOLA ANTHONY JAHIR"/>
    <n v="4313.95"/>
    <n v="4300"/>
    <n v="4300"/>
    <s v="KG"/>
    <n v="4300"/>
    <s v="KG"/>
    <x v="146"/>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05330 | 4"/>
    <x v="111"/>
    <x v="1"/>
    <x v="2"/>
    <n v="20603844468"/>
    <s v="COMERCIAL NAMUCHE E.I.R.L."/>
    <s v="ZUKI GARCIA JORGE CARLOS"/>
    <n v="15942.92"/>
    <n v="15900"/>
    <n v="15900"/>
    <s v="KG"/>
    <n v="15900"/>
    <s v="KG"/>
    <x v="206"/>
    <n v="0.8"/>
    <n v="0.8"/>
    <x v="0"/>
    <s v="HUAQUILLAS"/>
    <s v="N/A"/>
    <s v="CARRETERO"/>
    <s v="N/A"/>
    <s v="BLOG ADUANAS S.A.C"/>
    <x v="86"/>
    <s v="CHOCHOSEN SACOS X 50 KGCHOCHOS SECOSPARA SU COMERCIALIZACION"/>
    <s v="CHOCHOSEN SACOS X 50 KGCHOCHOS SECOSPARA SU COMERCIALIZACION"/>
    <s v="CHOCHOSEN SACOS X 50 KGCHOCHOS SECOSPARA SU COMERCIALIZACION"/>
    <s v="CHOCHOSEN SACOS X 50 KGCHOCHOS SECOSPARA SU COMERCIALIZACION"/>
    <s v="CHOCHOSEN SACOS X 50 KGCHOCHOS SECOSPARA SU COMERCIALIZACION"/>
    <s v=""/>
    <s v=""/>
    <s v=""/>
    <s v="VERDE"/>
  </r>
  <r>
    <n v="713909000"/>
    <s v="DEMAS HORTALIZAS DE VAINAS SECAS DESVAINADAS,MONDADAS O PARTIDAS EXCEPTO PARA SIEMBRA"/>
    <s v="TUMBES"/>
    <s v="004466 | 3"/>
    <x v="190"/>
    <x v="9"/>
    <x v="2"/>
    <n v="20603844468"/>
    <s v="COMERCIAL NAMUCHE E.I.R.L."/>
    <s v="SUAREZ MORENO SEGUNDO ESTUARDO"/>
    <n v="22108.79"/>
    <n v="22000"/>
    <n v="22000"/>
    <s v="KG"/>
    <n v="22000"/>
    <s v="KG"/>
    <x v="207"/>
    <n v="0.8"/>
    <n v="0.8"/>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3274 | 4"/>
    <x v="115"/>
    <x v="2"/>
    <x v="2"/>
    <n v="20603844468"/>
    <s v="COMERCIAL NAMUCHE E.I.R.L."/>
    <s v="MORENO SANTOS DRAUCIN"/>
    <n v="10044.5"/>
    <n v="10000"/>
    <n v="10000"/>
    <s v="KG"/>
    <n v="10000"/>
    <s v="KG"/>
    <x v="150"/>
    <n v="0.8"/>
    <n v="0.8"/>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3958 | 4"/>
    <x v="117"/>
    <x v="9"/>
    <x v="2"/>
    <n v="20603844468"/>
    <s v="COMERCIAL NAMUCHE E.I.R.L."/>
    <s v="SUAREZ MORENO SEGUNDO ESTUARDO"/>
    <n v="10799.23"/>
    <n v="10750"/>
    <n v="10750"/>
    <s v="KG"/>
    <n v="10750"/>
    <s v="KG"/>
    <x v="208"/>
    <n v="0.8"/>
    <n v="0.8"/>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AEREA DEL CALLAO"/>
    <s v="072652 | 12"/>
    <x v="191"/>
    <x v="8"/>
    <x v="0"/>
    <n v="20603351755"/>
    <s v="NOVAL COMPANY S.A.C."/>
    <s v="LA PIURANITA AG"/>
    <n v="12.33"/>
    <n v="11.67"/>
    <n v="11.67"/>
    <s v="KG"/>
    <n v="24"/>
    <s v="PAQ"/>
    <x v="209"/>
    <n v="3.1869999999999998"/>
    <n v="1.55"/>
    <x v="8"/>
    <s v="PEARSON INTERNATIONAL APT/TORONTO"/>
    <s v="N/A"/>
    <s v="AÉREO"/>
    <s v="AERO CHARTER"/>
    <s v="ASESORES INTEGRALES V &amp; V AGENCIA DE ADUANA S.A.C."/>
    <x v="154"/>
    <s v="NOVAL PALLAR 500 GCODIGO Nº13 RESTITUCION DE DERECHOS ARANCELARIOS"/>
    <s v="NOVAL PALLAR 500 GCODIGO Nº13 RESTITUCION DE DERECHOS ARANCELARIOS"/>
    <s v="NOVAL PALLAR 500 GCODIGO Nº13 RESTITUCION DE DERECHOS ARANCELARIOS"/>
    <s v="NOVAL PALLAR 500 GCODIGO Nº13 RESTITUCION DE DERECHOS ARANCELARIOS"/>
    <s v="NOVAL PALLAR 500 GCODIGO Nº13 RESTITUCION DE DERECHOS ARANCELARIOS"/>
    <s v="AIR CANADA SUCURSAL DEL PERU"/>
    <s v="_x0000_"/>
    <s v="_x0000_"/>
    <s v="VERDE"/>
  </r>
  <r>
    <n v="713909000"/>
    <s v="DEMAS HORTALIZAS DE VAINAS SECAS DESVAINADAS,MONDADAS O PARTIDAS EXCEPTO PARA SIEMBRA"/>
    <s v="TUMBES"/>
    <s v="003002 | 5"/>
    <x v="192"/>
    <x v="2"/>
    <x v="2"/>
    <n v="20603844468"/>
    <s v="COMERCIAL NAMUCHE E.I.R.L."/>
    <s v="SUAREZ MORENO SEGUNDO ESTUARDO"/>
    <n v="2562.7199999999998"/>
    <n v="2550"/>
    <n v="2550"/>
    <s v="KG"/>
    <n v="2550"/>
    <s v="KG"/>
    <x v="210"/>
    <n v="0.8"/>
    <n v="0.8"/>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0742 | 1"/>
    <x v="168"/>
    <x v="4"/>
    <x v="2"/>
    <n v="20603844468"/>
    <s v="COMERCIAL NAMUCHE E.I.R.L."/>
    <s v="ESCOBEDO LALANGUI JONATHAN ISRAEL"/>
    <n v="24050"/>
    <n v="24000"/>
    <n v="24000"/>
    <s v="KG"/>
    <n v="24000"/>
    <s v="KG"/>
    <x v="211"/>
    <n v="0.78"/>
    <n v="0.78"/>
    <x v="0"/>
    <s v="QUITO"/>
    <s v="N/A"/>
    <s v="CARRETERO"/>
    <s v="N/A"/>
    <s v="VEGA AGENTES AFIANZADOS DE ADUANAS S.A.C."/>
    <x v="155"/>
    <s v="CHOCHOS SECOSEMBALAJE: 480 SACOSX 50 KG CADA SACOPARA SU COMERCIALIZACION"/>
    <s v="CHOCHOS SECOSEMBALAJE: 480 SACOSX 50 KG CADA SACOPARA SU COMERCIALIZACION"/>
    <s v="CHOCHOS SECOSEMBALAJE: 480 SACOSX 50 KG CADA SACOPARA SU COMERCIALIZACION"/>
    <s v="CHOCHOS SECOSEMBALAJE: 480 SACOSX 50 KG CADA SACOPARA SU COMERCIALIZACION"/>
    <s v="CHOCHOS SECOSEMBALAJE: 480 SACOSX 50 KG CADA SACOPARA SU COMERCIALIZACION"/>
    <s v=""/>
    <s v=""/>
    <s v=""/>
    <s v="VERDE"/>
  </r>
  <r>
    <n v="713909000"/>
    <s v="DEMAS HORTALIZAS DE VAINAS SECAS DESVAINADAS,MONDADAS O PARTIDAS EXCEPTO PARA SIEMBRA"/>
    <s v="TUMBES"/>
    <s v="000757 | 4"/>
    <x v="168"/>
    <x v="4"/>
    <x v="2"/>
    <n v="20603844468"/>
    <s v="COMERCIAL NAMUCHE E.I.R.L."/>
    <s v="SUAREZ MORENO SEGUNDO ESTUARDO"/>
    <n v="3517.77"/>
    <n v="3500"/>
    <n v="3500"/>
    <s v="KG"/>
    <n v="3500"/>
    <s v="KG"/>
    <x v="212"/>
    <n v="0.8"/>
    <n v="0.8"/>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UMBES"/>
    <s v="000431 | 5"/>
    <x v="172"/>
    <x v="4"/>
    <x v="2"/>
    <n v="20603844468"/>
    <s v="COMERCIAL NAMUCHE E.I.R.L."/>
    <s v="MORENO SANTOS DRAUCIN"/>
    <n v="5926.24"/>
    <n v="5900"/>
    <n v="5900"/>
    <s v="KG"/>
    <n v="5900"/>
    <s v="KG"/>
    <x v="213"/>
    <n v="0.8"/>
    <n v="0.8"/>
    <x v="0"/>
    <s v="HUAQUILLAS"/>
    <s v="N/A"/>
    <s v="CARRETERO"/>
    <s v="N/A"/>
    <s v="PAZLEY ADUANA SOCIEDAD ANONIMA CERRADA - PAZLEY ADUANA S"/>
    <x v="81"/>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CHOCHOS SECOS X 50 KG, C/SACOEMBALADOS EN SACOSPARA SU COMERCIALIZACION"/>
    <s v=""/>
    <s v=""/>
    <s v=""/>
    <s v="VERDE"/>
  </r>
  <r>
    <n v="713909000"/>
    <s v="DEMAS HORTALIZAS DE VAINAS SECAS DESVAINADAS,MONDADAS O PARTIDAS EXCEPTO PARA SIEMBRA"/>
    <s v="TACNA"/>
    <s v="009330 | 24"/>
    <x v="193"/>
    <x v="11"/>
    <x v="2"/>
    <n v="20601703425"/>
    <s v="INVERSIONES Y EXPORTACIONES ORDOÑEZ S.A.C."/>
    <s v="PAULO TOMAS ALVARADO TANGARA"/>
    <n v="6.17"/>
    <n v="5.91"/>
    <n v="5.91"/>
    <s v="KG"/>
    <n v="1"/>
    <s v="12U"/>
    <x v="214"/>
    <n v="0"/>
    <n v="0"/>
    <x v="7"/>
    <s v="ARICA"/>
    <s v="N/A"/>
    <s v="CARRETERO"/>
    <s v="N/A"/>
    <s v="AGENCIA DE ADUANA DEL SUR SOCIEDAD ANONIMA CERRADA - AGE"/>
    <x v="156"/>
    <s v="POROTO NEGRO TAUSY EN CONSERVA X 250 GR"/>
    <s v="POROTO NEGRO TAUSY EN CONSERVA X 250 GR"/>
    <s v="POROTO NEGRO TAUSY EN CONSERVA X 250 GR"/>
    <s v="POROTO NEGRO TAUSY EN CONSERVA X 250 GR"/>
    <s v="POROTO NEGRO TAUSY EN CONSERVA X 250 GR"/>
    <s v=""/>
    <s v=""/>
    <s v=""/>
    <s v="VERDE"/>
  </r>
  <r>
    <n v="713909000"/>
    <s v="DEMAS HORTALIZAS DE VAINAS SECAS DESVAINADAS,MONDADAS O PARTIDAS EXCEPTO PARA SIEMBRA"/>
    <s v="AEREA DEL CALLAO"/>
    <s v="058638 | 9"/>
    <x v="194"/>
    <x v="5"/>
    <x v="0"/>
    <n v="20603351755"/>
    <s v="NOVAL COMPANY S.A.C."/>
    <s v="LA PIURANITA AG"/>
    <n v="6.85"/>
    <n v="6.42"/>
    <n v="6.42"/>
    <s v="KG"/>
    <n v="10"/>
    <s v="PAQ"/>
    <x v="215"/>
    <n v="2.492"/>
    <n v="1.6"/>
    <x v="8"/>
    <s v="MADRID"/>
    <s v="N/A"/>
    <s v="AÉREO"/>
    <s v="AIR EUROPA LINEAS AÉREAS S.A. SUCURSAL DEL PERU"/>
    <s v="ASESORES INTEGRALES V &amp; V AGENCIA DE ADUANA S.A.C."/>
    <x v="157"/>
    <s v="NOVAL PALLARES 500 GCODIGO Nº13 RESTITUCION DE DERECHOS ARANCELARIOS"/>
    <s v="NOVAL PALLARES 500 GCODIGO Nº13 RESTITUCION DE DERECHOS ARANCELARIOS"/>
    <s v="NOVAL PALLARES 500 GCODIGO Nº13 RESTITUCION DE DERECHOS ARANCELARIOS"/>
    <s v="NOVAL PALLARES 500 GCODIGO Nº13 RESTITUCION DE DERECHOS ARANCELARIOS"/>
    <s v="NOVAL PALLARES 500 GCODIGO Nº13 RESTITUCION DE DERECHOS ARANCELARIOS"/>
    <s v="AIR EUROPA LINEAS AEREAS S.A. SUCURSAL DEL PERU"/>
    <s v="_x0000_"/>
    <s v="_x0000_"/>
    <s v="VERDE"/>
  </r>
  <r>
    <n v="713909000"/>
    <s v="DEMAS HORTALIZAS DE VAINAS SECAS DESVAINADAS,MONDADAS O PARTIDAS EXCEPTO PARA SIEMBRA"/>
    <s v="AEREA DEL CALLAO"/>
    <s v="057363 | 10"/>
    <x v="195"/>
    <x v="11"/>
    <x v="2"/>
    <n v="20600553675"/>
    <s v="MULTISERVICIOS ROMERO'S &amp; MORENO'S S.A.C."/>
    <s v="LA STRANIERA SRL"/>
    <n v="13.18"/>
    <n v="12.52"/>
    <n v="12.52"/>
    <s v="KG"/>
    <n v="38.4"/>
    <s v="PAQ"/>
    <x v="216"/>
    <n v="4.0730000000000004"/>
    <n v="1.3280000000000001"/>
    <x v="3"/>
    <s v="MADRID"/>
    <s v="N/A"/>
    <s v="AÉREO"/>
    <s v="AIR EUROPA LINEAS AÉREAS S.A. SUCURSAL DEL PERU"/>
    <s v="MANEJOS INTEGRALES ADUANEROS S.A."/>
    <x v="158"/>
    <s v="HABAS FRITAS (768 UNID 50 GR C/U)"/>
    <s v="HABAS FRITAS (768 UNID 50 GR C/U)"/>
    <s v="HABAS FRITAS (768 UNID 50 GR C/U)"/>
    <s v="HABAS FRITAS (768 UNID 50 GR C/U)"/>
    <s v="HABAS FRITAS (768 UNID 50 GR C/U)"/>
    <s v="AIR EUROPA LINEAS AEREAS S.A. SUCURSAL DEL PERU"/>
    <s v="_x0000_"/>
    <s v="_x0000_"/>
    <s v="VERDE"/>
  </r>
  <r>
    <n v="713909000"/>
    <s v="DEMAS HORTALIZAS DE VAINAS SECAS DESVAINADAS,MONDADAS O PARTIDAS EXCEPTO PARA SIEMBRA"/>
    <s v="AEREA DEL CALLAO"/>
    <s v="045045 | 15"/>
    <x v="2"/>
    <x v="0"/>
    <x v="0"/>
    <n v="20603351755"/>
    <s v="NOVAL COMPANY S.A.C."/>
    <s v="LA PIURANITA AG"/>
    <n v="3.83"/>
    <n v="3.63"/>
    <n v="3.63"/>
    <s v="KG"/>
    <n v="10"/>
    <s v="PAQ"/>
    <x v="215"/>
    <n v="4.407"/>
    <n v="1.6"/>
    <x v="8"/>
    <s v="PEARSON INTERNATIONAL APT/TORONTO"/>
    <s v="N/A"/>
    <s v="AÉREO"/>
    <s v="AERO CHARTER"/>
    <s v="ASESORES INTEGRALES V &amp; V AGENCIA DE ADUANA S.A.C."/>
    <x v="154"/>
    <s v="NOVAL PALLAR 500 GCODIGO Nº13 RESTITUCION DE DERECHOS ARANCELARIOS"/>
    <s v="NOVAL PALLAR 500 GCODIGO Nº13 RESTITUCION DE DERECHOS ARANCELARIOS"/>
    <s v="NOVAL PALLAR 500 GCODIGO Nº13 RESTITUCION DE DERECHOS ARANCELARIOS"/>
    <s v="NOVAL PALLAR 500 GCODIGO Nº13 RESTITUCION DE DERECHOS ARANCELARIOS"/>
    <s v="NOVAL PALLAR 500 GCODIGO Nº13 RESTITUCION DE DERECHOS ARANCELARIOS"/>
    <s v="AIR CANADA SUCURSAL DEL PERU"/>
    <s v="_x0000_"/>
    <s v="_x0000_"/>
    <s v="VERDE"/>
  </r>
  <r>
    <n v="713909000"/>
    <s v="DEMAS HORTALIZAS DE VAINAS SECAS DESVAINADAS,MONDADAS O PARTIDAS EXCEPTO PARA SIEMBRA"/>
    <s v="MARITIMA DEL CALLAO"/>
    <s v="123840 | 7"/>
    <x v="196"/>
    <x v="10"/>
    <x v="2"/>
    <n v="20607438031"/>
    <s v="SAMI - AGROSERVICIOS PERU E.I.R.L."/>
    <s v="IBERO EXPRESS SL28860 PARACUELLOS DE JARAMAESPANA NIF B84254"/>
    <n v="859.96"/>
    <n v="759"/>
    <n v="759"/>
    <s v="KG"/>
    <n v="30"/>
    <s v="PAQ"/>
    <x v="217"/>
    <n v="2.5289999999999999"/>
    <n v="64"/>
    <x v="2"/>
    <s v="POSORJA"/>
    <s v="N/A"/>
    <s v="MARÍTIMO"/>
    <s v="TRAMARSA - TRABAJOS MARITIMOS S.A."/>
    <s v="JS PERU AGENCIA DE ADUANA S.A.C."/>
    <x v="159"/>
    <s v="CHOCHOS SACOS X 25 KG"/>
    <s v="CHOCHOS SACOS X 25 KG"/>
    <s v="CHOCHOS SACOS X 25 KG"/>
    <s v="CHOCHOS SACOS X 25 KG"/>
    <s v="CHOCHOS SACOS X 25 KG"/>
    <s v="CMA-CGM"/>
    <s v="_x0000_"/>
    <s v="_x0000_"/>
    <s v="ROJO"/>
  </r>
  <r>
    <n v="713909000"/>
    <s v="DEMAS HORTALIZAS DE VAINAS SECAS DESVAINADAS,MONDADAS O PARTIDAS EXCEPTO PARA SIEMBRA"/>
    <s v="MARITIMA DEL CALLAO"/>
    <s v="101721 | 8"/>
    <x v="141"/>
    <x v="11"/>
    <x v="2"/>
    <n v="20607438031"/>
    <s v="SAMI - AGROSERVICIOS PERU E.I.R.L."/>
    <s v="IBERO EXPRESS SL28860 PARACUELLOS DE JARAMAESPANA NIF B84254"/>
    <n v="1324.77"/>
    <n v="1250"/>
    <n v="1250"/>
    <s v="KG"/>
    <n v="50"/>
    <s v="PAQ"/>
    <x v="106"/>
    <n v="2.56"/>
    <n v="64"/>
    <x v="2"/>
    <s v="POSORJA"/>
    <s v="N/A"/>
    <s v="MARÍTIMO"/>
    <s v="TRAMARSA - TRABAJOS MARITIMOS S.A."/>
    <s v="JS PERU AGENCIA DE ADUANA S.A.C."/>
    <x v="160"/>
    <s v="CHOCHOS,SACOS X 25 KG"/>
    <s v="CHOCHOS,SACOS X 25 KG"/>
    <s v="CHOCHOS,SACOS X 25 KG"/>
    <s v="CHOCHOS,SACOS X 25 KG"/>
    <s v="CHOCHOS,SACOS X 25 KG"/>
    <s v="CMA-CGM"/>
    <s v="_x0000_"/>
    <s v="_x0000_"/>
    <s v="ROJO"/>
  </r>
  <r>
    <n v="713909000"/>
    <s v="DEMAS HORTALIZAS DE VAINAS SECAS DESVAINADAS,MONDADAS O PARTIDAS EXCEPTO PARA SIEMBRA"/>
    <s v="MARITIMA DEL CALLAO"/>
    <s v="033552 | 6"/>
    <x v="197"/>
    <x v="2"/>
    <x v="2"/>
    <n v="20607438031"/>
    <s v="SAMI - AGROSERVICIOS PERU E.I.R.L."/>
    <s v="IBERO EXPRESS S.L"/>
    <n v="1598.38"/>
    <n v="1585.35"/>
    <n v="1585.35"/>
    <s v="KG"/>
    <n v="50"/>
    <s v="CAJ"/>
    <x v="218"/>
    <n v="1.976"/>
    <n v="62.66"/>
    <x v="2"/>
    <s v="BALBOA"/>
    <s v="N/A"/>
    <s v="MARÍTIMO"/>
    <s v="MAERSK LINE PERU S.A.C."/>
    <s v="ADM ADUANAS S.A.C."/>
    <x v="161"/>
    <s v="FRIJOL CHOCHOS SECO SACOS X 25 KG PARA CONSUMO HUMANO"/>
    <s v="FRIJOL CHOCHOS SECO SACOS X 25 KG PARA CONSUMO HUMANO"/>
    <s v="FRIJOL CHOCHOS SECO SACOS X 25 KG PARA CONSUMO HUMANO"/>
    <s v="FRIJOL CHOCHOS SECO SACOS X 25 KG PARA CONSUMO HUMANO"/>
    <s v="FRIJOL CHOCHOS SECO SACOS X 25 KG PARA CONSUMO HUMANO"/>
    <s v="MAERSK LINES, INC."/>
    <s v="EZ SHIP SOCIEDAD ANONIMA CERRADA - EZ SHIP S.A.C."/>
    <s v="MPG GLOBAL LOGISTICS PROVIDERS. S.L."/>
    <s v="VERDE"/>
  </r>
  <r>
    <n v="713909000"/>
    <s v="DEMAS HORTALIZAS DE VAINAS SECAS DESVAINADAS,MONDADAS O PARTIDAS EXCEPTO PARA SIEMBRA"/>
    <s v="MARITIMA DEL CALLAO"/>
    <s v="073181 | 4"/>
    <x v="198"/>
    <x v="6"/>
    <x v="1"/>
    <n v="20515713710"/>
    <s v="INDUSTRIAS KATROC S.A.C (KATROC S.A.C)"/>
    <s v="T&amp;C SPECIALTIES LLC"/>
    <n v="485.16"/>
    <n v="431.2"/>
    <n v="431.2"/>
    <s v="KG"/>
    <n v="40"/>
    <s v="CAJ"/>
    <x v="219"/>
    <n v="2.597"/>
    <n v="28"/>
    <x v="1"/>
    <s v="RODMAN"/>
    <s v="N/A"/>
    <s v="MARÍTIMO"/>
    <s v="MEDITERRANEAN SHIPPING CO.PERU S.A.C."/>
    <s v="ADM ADUANAS S.A.C."/>
    <x v="162"/>
    <s v="CHOCHO / LUPINI BEANS 24 X 15OZ TAMBO FOOD LT CH071224TF"/>
    <s v="CHOCHO / LUPINI BEANS 24 X 15OZ TAMBO FOOD LT CH071224TF"/>
    <s v="CHOCHO / LUPINI BEANS 24 X 15OZ TAMBO FOOD LT CH071224TF"/>
    <s v="CHOCHO / LUPINI BEANS 24 X 15OZ TAMBO FOOD LT CH071224TF"/>
    <s v="CHOCHO / LUPINI BEANS 24 X 15OZ TAMBO FOOD LT CH071224TF"/>
    <s v="MEDITERRANEAN SHIPPING COMPANY"/>
    <s v="ANDES LOGISTICS DEL PERU S.A.C"/>
    <s v="ALL-WAYS FORWARDING INT´L"/>
    <s v="VERDE"/>
  </r>
  <r>
    <n v="713909000"/>
    <s v="DEMAS HORTALIZAS DE VAINAS SECAS DESVAINADAS,MONDADAS O PARTIDAS EXCEPTO PARA SIEMBRA"/>
    <s v="MARITIMA DEL CALLAO"/>
    <s v="058731 | 2"/>
    <x v="152"/>
    <x v="7"/>
    <x v="1"/>
    <n v="20515713710"/>
    <s v="INDUSTRIAS KATROC S.A.C (KATROC S.A.C)"/>
    <s v="FAMILY FOOD DISTRIBUTORS"/>
    <n v="1489.1"/>
    <n v="1486.36"/>
    <n v="1486.36"/>
    <s v="KG"/>
    <n v="156"/>
    <s v="U"/>
    <x v="6"/>
    <n v="4.4080000000000004"/>
    <n v="42"/>
    <x v="1"/>
    <s v="GUAYAQUIL"/>
    <s v="N/A"/>
    <s v="MARÍTIMO"/>
    <s v="IAN TAYLOR AGENCIAS S.A.C."/>
    <s v="ADM ADUANAS S.A.C."/>
    <x v="163"/>
    <s v="CHOCHO / LUPINI BEANS 24 X 14OZ (397GR) IN EACH BOX MAMA TERE LOT CH053024MT"/>
    <s v="CHOCHO / LUPINI BEANS 24 X 14OZ (397GR) IN EACH BOX MAMA TERE LOT CH053024MT"/>
    <s v="CHOCHO / LUPINI BEANS 24 X 14OZ (397GR) IN EACH BOX MAMA TERE LOT CH053024MT"/>
    <s v="CHOCHO / LUPINI BEANS 24 X 14OZ (397GR) IN EACH BOX MAMA TERE LOT CH053024MT"/>
    <s v="CHOCHO / LUPINI BEANS 24 X 14OZ (397GR) IN EACH BOX MAMA TERE LOT CH053024MT"/>
    <s v="CHINA OCEAN STEAMSHIP LTD"/>
    <s v="ANDES LOGISTICS DEL PERU S.A.C"/>
    <s v="ALLWAYS FORWARDING INT L. INC."/>
    <s v="VERDE"/>
  </r>
  <r>
    <n v="713909000"/>
    <s v="DEMAS HORTALIZAS DE VAINAS SECAS DESVAINADAS,MONDADAS O PARTIDAS EXCEPTO PARA SIEMBRA"/>
    <s v="TUMBES"/>
    <s v="014092 | 1"/>
    <x v="16"/>
    <x v="8"/>
    <x v="2"/>
    <n v="20606376147"/>
    <s v="INVERSIONES JHOMAX E.I.R.L."/>
    <s v="MARIO BLADIMIR LAVERDE JIBAJA"/>
    <n v="30070"/>
    <n v="29970"/>
    <n v="29970"/>
    <s v="KG"/>
    <n v="666"/>
    <s v="SAC"/>
    <x v="119"/>
    <n v="2.444"/>
    <n v="110"/>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02795 | 1"/>
    <x v="199"/>
    <x v="9"/>
    <x v="1"/>
    <n v="20606376147"/>
    <s v="INVERSIONES JHOMAX E.I.R.L."/>
    <s v="MARIO BLADIMIR LAVERDE JIBAJA"/>
    <n v="30070"/>
    <n v="29970"/>
    <n v="29970"/>
    <s v="KG"/>
    <n v="666"/>
    <s v="SAC"/>
    <x v="124"/>
    <n v="2.6659999999999999"/>
    <n v="120"/>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TUMBES"/>
    <s v="005350 | 1"/>
    <x v="200"/>
    <x v="6"/>
    <x v="1"/>
    <n v="20606376147"/>
    <s v="INVERSIONES JHOMAX E.I.R.L."/>
    <s v="MARIO BLADIMIR LAVERDE JIBAJA"/>
    <n v="30070"/>
    <n v="29970"/>
    <n v="29970"/>
    <s v="KG"/>
    <n v="666"/>
    <s v="SAC"/>
    <x v="122"/>
    <n v="2.7109999999999999"/>
    <n v="122"/>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MARITIMA DEL CALLAO"/>
    <s v="084407 | 8"/>
    <x v="201"/>
    <x v="0"/>
    <x v="1"/>
    <n v="20515713710"/>
    <s v="INDUSTRIAS KATROC S.A.C (KATROC S.A.C)"/>
    <s v="FAMILY FOOD DISTRIBUTORS. INC 969 NEWARK"/>
    <n v="1066.1600000000001"/>
    <n v="990.91"/>
    <n v="990.91"/>
    <s v="KG"/>
    <n v="104"/>
    <s v="U"/>
    <x v="220"/>
    <n v="4.4080000000000004"/>
    <n v="42"/>
    <x v="1"/>
    <s v="GUAYAQUIL"/>
    <s v="N/A"/>
    <s v="MARÍTIMO"/>
    <s v="IAN TAYLOR AGENCIAS S.A.C."/>
    <s v="ADM ADUANAS S.A.C."/>
    <x v="164"/>
    <s v="CHOCHO / LUPINI BEANS 24 X 14OZ (397GR) IN BOX MAMA TERE - LOT CH072224MT"/>
    <s v="CHOCHO / LUPINI BEANS 24 X 14OZ (397GR) IN BOX MAMA TERE - LOT CH072224MT"/>
    <s v="CHOCHO / LUPINI BEANS 24 X 14OZ (397GR) IN BOX MAMA TERE - LOT CH072224MT"/>
    <s v="CHOCHO / LUPINI BEANS 24 X 14OZ (397GR) IN BOX MAMA TERE - LOT CH072224MT"/>
    <s v="CHOCHO / LUPINI BEANS 24 X 14OZ (397GR) IN BOX MAMA TERE - LOT CH072224MT"/>
    <s v="OCEAN NETWORK EXPRESS PTE. LTD."/>
    <s v="ANDES LOGISTICS DEL PERU S.A.C"/>
    <s v="ALL-WAYS FORWARDING INT L. INC."/>
    <s v="VERDE"/>
  </r>
  <r>
    <n v="713909000"/>
    <s v="DEMAS HORTALIZAS DE VAINAS SECAS DESVAINADAS,MONDADAS O PARTIDAS EXCEPTO PARA SIEMBRA"/>
    <s v="TUMBES"/>
    <s v="007211 | 1"/>
    <x v="202"/>
    <x v="0"/>
    <x v="1"/>
    <n v="20409318135"/>
    <s v="COPROIMPEX SOCIEDAD ANONIMA CERRADA"/>
    <s v="CEVALLOS MEJIA PATRICIA ELIZABETH"/>
    <n v="16568.27"/>
    <n v="16500"/>
    <n v="16500"/>
    <s v="KG"/>
    <n v="16500"/>
    <s v="KG"/>
    <x v="47"/>
    <n v="0.74"/>
    <n v="0.74"/>
    <x v="0"/>
    <s v="HUAQUILLAS"/>
    <s v="N/A"/>
    <s v="CARRETERO"/>
    <s v="N/A"/>
    <s v="MOCAYAS LOGISTICA ADUANERA S.A.C."/>
    <x v="49"/>
    <s v="330 SACOS CONTENIENDO CHOCHOS SECOSX50 KG C/SPARA SU COMERCIALIZACION"/>
    <s v="330 SACOS CONTENIENDO CHOCHOS SECOSX50 KG C/SPARA SU COMERCIALIZACION"/>
    <s v="330 SACOS CONTENIENDO CHOCHOS SECOSX50 KG C/SPARA SU COMERCIALIZACION"/>
    <s v="330 SACOS CONTENIENDO CHOCHOS SECOSX50 KG C/SPARA SU COMERCIALIZACION"/>
    <s v="330 SACOS CONTENIENDO CHOCHOS SECOSX50 KG C/SPARA SU COMERCIALIZACION"/>
    <s v=""/>
    <s v=""/>
    <s v=""/>
    <s v="VERDE"/>
  </r>
  <r>
    <n v="713909000"/>
    <s v="DEMAS HORTALIZAS DE VAINAS SECAS DESVAINADAS,MONDADAS O PARTIDAS EXCEPTO PARA SIEMBRA"/>
    <s v="TUMBES"/>
    <s v="007143 | 1"/>
    <x v="203"/>
    <x v="0"/>
    <x v="1"/>
    <n v="20606376147"/>
    <s v="INVERSIONES JHOMAX E.I.R.L."/>
    <s v="MARIO BLADIMIR LAVERDE JIBAJA"/>
    <n v="30070"/>
    <n v="29970"/>
    <n v="29970"/>
    <s v="KG"/>
    <n v="666"/>
    <s v="SAC"/>
    <x v="122"/>
    <n v="2.7109999999999999"/>
    <n v="122"/>
    <x v="0"/>
    <s v="QUITO"/>
    <s v="N/A"/>
    <s v="CARRETERO"/>
    <s v="N/A"/>
    <s v="BLOG ADUANAS S.A.C"/>
    <x v="90"/>
    <s v="CHOCHOSEN SACOS X 45 KGCHOCHOS SECOSPARA SU COMERCIALIZACION"/>
    <s v="CHOCHOSEN SACOS X 45 KGCHOCHOS SECOSPARA SU COMERCIALIZACION"/>
    <s v="CHOCHOSEN SACOS X 45 KGCHOCHOS SECOSPARA SU COMERCIALIZACION"/>
    <s v="CHOCHOSEN SACOS X 45 KGCHOCHOS SECOSPARA SU COMERCIALIZACION"/>
    <s v="CHOCHOSEN SACOS X 45 KGCHOCHOS SECOSPARA SU COMERCIALIZACION"/>
    <s v=""/>
    <s v=""/>
    <s v=""/>
    <s v="VERDE"/>
  </r>
  <r>
    <n v="713909000"/>
    <s v="DEMAS HORTALIZAS DE VAINAS SECAS DESVAINADAS,MONDADAS O PARTIDAS EXCEPTO PARA SIEMBRA"/>
    <s v="MARITIMA DEL CALLAO"/>
    <s v="084782 | 11"/>
    <x v="204"/>
    <x v="0"/>
    <x v="1"/>
    <n v="20523273265"/>
    <s v="MIRANDA - LANGA AGRO EXPORT S.A.C - MIRANDA - LANGA S.A.C"/>
    <s v="JP TRADING AND GLOBAL IMPORTS LLC"/>
    <n v="1161.93"/>
    <n v="1079.04"/>
    <n v="1079.04"/>
    <s v="KG"/>
    <n v="151"/>
    <s v="CAJ"/>
    <x v="221"/>
    <n v="4.093"/>
    <n v="29.25"/>
    <x v="1"/>
    <s v="MIAMI"/>
    <s v="N/A"/>
    <s v="MARÍTIMO"/>
    <s v="CITIKOLD DEL PERU S.A.C."/>
    <s v="DESPACHOS ADUANEROS CHAVIMOCHIC SAC"/>
    <x v="5"/>
    <s v="CHOCHOS VALLES ANDINOS EN CAJAS PARA CONSUMO HUMANO"/>
    <s v="CHOCHOS VALLES ANDINOS EN CAJAS PARA CONSUMO HUMANO"/>
    <s v="CHOCHOS VALLES ANDINOS EN CAJAS PARA CONSUMO HUMANO"/>
    <s v="CHOCHOS VALLES ANDINOS EN CAJAS PARA CONSUMO HUMANO"/>
    <s v="CHOCHOS VALLES ANDINOS EN CAJAS PARA CONSUMO HUMANO"/>
    <s v="SEABOARD MARINE LTD"/>
    <s v="_x0000_"/>
    <s v="_x0000_"/>
    <s v="VERDE"/>
  </r>
  <r>
    <n v="713909000"/>
    <s v="DEMAS HORTALIZAS DE VAINAS SECAS DESVAINADAS,MONDADAS O PARTIDAS EXCEPTO PARA SIEMBRA"/>
    <s v="TUMBES"/>
    <s v="007616 | 1"/>
    <x v="205"/>
    <x v="11"/>
    <x v="1"/>
    <n v="20409318135"/>
    <s v="COPROIMPEX SOCIEDAD ANONIMA CERRADA"/>
    <s v="CEVALLOS MEJIA PATRICIA ELIZABETH"/>
    <n v="15063.15"/>
    <n v="15000"/>
    <n v="15000"/>
    <s v="KG"/>
    <n v="15000"/>
    <s v="KG"/>
    <x v="17"/>
    <n v="0.74"/>
    <n v="0.74"/>
    <x v="0"/>
    <s v="HUAQUILLAS"/>
    <s v="N/A"/>
    <s v="CARRETERO"/>
    <s v="N/A"/>
    <s v="MOCAYAS LOGISTICA ADUANERA S.A.C."/>
    <x v="18"/>
    <s v="300 SACOS CONTENIENDO CHOCHOS SECOSX50 KG C/SPARA SU COMERCIALIZACION"/>
    <s v="300 SACOS CONTENIENDO CHOCHOS SECOSX50 KG C/SPARA SU COMERCIALIZACION"/>
    <s v="300 SACOS CONTENIENDO CHOCHOS SECOSX50 KG C/SPARA SU COMERCIALIZACION"/>
    <s v="300 SACOS CONTENIENDO CHOCHOS SECOSX50 KG C/SPARA SU COMERCIALIZACION"/>
    <s v="300 SACOS CONTENIENDO CHOCHOS SECOSX50 KG C/SPARA SU COMERCIALIZACION"/>
    <s v=""/>
    <s v=""/>
    <s v=""/>
    <s v="VERDE"/>
  </r>
  <r>
    <n v="713909000"/>
    <s v="DEMAS HORTALIZAS DE VAINAS SECAS DESVAINADAS,MONDADAS O PARTIDAS EXCEPTO PARA SIEMBRA"/>
    <s v="MARITIMA DEL CALLAO"/>
    <s v="087211 | 5"/>
    <x v="206"/>
    <x v="0"/>
    <x v="1"/>
    <n v="20544535669"/>
    <s v="KALLPA FOODS S.A.C."/>
    <s v="GOYA EUROPA SLU"/>
    <n v="1529.28"/>
    <n v="1296"/>
    <n v="1296"/>
    <s v="KG"/>
    <n v="108"/>
    <s v="CAJ"/>
    <x v="222"/>
    <n v="3.375"/>
    <n v="40.5"/>
    <x v="2"/>
    <s v="POSORJA"/>
    <s v="N/A"/>
    <s v="MARÍTIMO"/>
    <s v="TRAMARSA - TRABAJOS MARITIMOS S.A."/>
    <s v="JG ADUANAS LOGISTIC SOCIEDAD ANONIMA CERRADA"/>
    <x v="30"/>
    <s v="CHOCHOS 24 X 500 GRS - NATIVO MARCA: NATIVO PARA CONSUMO HUMANO"/>
    <s v="CHOCHOS 24 X 500 GRS - NATIVO MARCA: NATIVO PARA CONSUMO HUMANO"/>
    <s v="CHOCHOS 24 X 500 GRS - NATIVO MARCA: NATIVO PARA CONSUMO HUMANO"/>
    <s v="CHOCHOS 24 X 500 GRS - NATIVO MARCA: NATIVO PARA CONSUMO HUMANO"/>
    <s v="CHOCHOS 24 X 500 GRS - NATIVO MARCA: NATIVO PARA CONSUMO HUMANO"/>
    <s v="CMA-CGM"/>
    <s v="_x0000_"/>
    <s v="_x0000_"/>
    <s v="VERDE"/>
  </r>
  <r>
    <n v="713909000"/>
    <s v="DEMAS HORTALIZAS DE VAINAS SECAS DESVAINADAS,MONDADAS O PARTIDAS EXCEPTO PARA SIEMBRA"/>
    <s v="MARITIMA DEL CALLAO"/>
    <s v="093575 | 12"/>
    <x v="207"/>
    <x v="11"/>
    <x v="1"/>
    <n v="20565443993"/>
    <s v="FUSION FOODS S.A.C."/>
    <s v="TO THE ORDER OF SHIPPER"/>
    <n v="499.37"/>
    <n v="476.7"/>
    <n v="476.7"/>
    <s v="KG"/>
    <n v="21"/>
    <s v="SAC"/>
    <x v="223"/>
    <n v="1.288"/>
    <n v="29.241"/>
    <x v="1"/>
    <s v="MIAMI"/>
    <s v="N/A"/>
    <s v="MARÍTIMO"/>
    <s v="CITIKOLD DEL PERU S.A.C."/>
    <s v="DESPACHOS ADUANEROS CHAVIMOCHIC SAC"/>
    <x v="165"/>
    <s v="CHOCHO (1 SACO X 50 LB) EN SACOS"/>
    <s v="CHOCHO (1 SACO X 50 LB) EN SACOS"/>
    <s v="CHOCHO (1 SACO X 50 LB) EN SACOS"/>
    <s v="CHOCHO (1 SACO X 50 LB) EN SACOS"/>
    <s v="CHOCHO (1 SACO X 50 LB) EN SACOS"/>
    <s v="SEABOARD MARINE LTD"/>
    <s v="_x0000_"/>
    <s v="_x0000_"/>
    <s v="VERDE"/>
  </r>
  <r>
    <n v="713909000"/>
    <s v="DEMAS HORTALIZAS DE VAINAS SECAS DESVAINADAS,MONDADAS O PARTIDAS EXCEPTO PARA SIEMBRA"/>
    <s v="AEREA DEL CALLAO"/>
    <s v="059121 | 1"/>
    <x v="208"/>
    <x v="11"/>
    <x v="1"/>
    <n v="20510807694"/>
    <s v="MAPA LOGISTICA INTERNACIONAL SAC"/>
    <s v="PERU ALIMENTA DI MANZO QUISPE ANTONIO GILBERTO"/>
    <n v="50"/>
    <n v="50"/>
    <n v="50"/>
    <s v="KG"/>
    <n v="50"/>
    <s v="KG"/>
    <x v="39"/>
    <n v="1.5"/>
    <n v="1.5"/>
    <x v="3"/>
    <s v="MADRID"/>
    <s v="N/A"/>
    <s v="AÉREO"/>
    <s v="AIR EUROPA LINEAS AÉREAS S.A. SUCURSAL DEL PERU"/>
    <s v="PAZLEY ADUANA SOCIEDAD ANONIMA CERRADA - PAZLEY ADUANA S"/>
    <x v="40"/>
    <s v="FRIJOL BLANCO"/>
    <s v="FRIJOL BLANCO"/>
    <s v="FRIJOL BLANCO"/>
    <s v="FRIJOL BLANCO"/>
    <s v="FRIJOL BLANCO"/>
    <s v="AIR EUROPA LINEAS AEREAS S.A. SUCURSAL DEL PERU"/>
    <s v="_x0000_"/>
    <s v="_x0000_"/>
    <s v="VERDE"/>
  </r>
  <r>
    <n v="713909000"/>
    <s v="DEMAS HORTALIZAS DE VAINAS SECAS DESVAINADAS,MONDADAS O PARTIDAS EXCEPTO PARA SIEMBRA"/>
    <s v="MARITIMA DEL CALLAO"/>
    <s v="097690 | 11"/>
    <x v="209"/>
    <x v="11"/>
    <x v="1"/>
    <n v="20552256647"/>
    <s v="AGRO FERGI S.A.C."/>
    <s v="LA CASA DE JACK LTD"/>
    <n v="737.23"/>
    <n v="600"/>
    <n v="600"/>
    <s v="KG"/>
    <n v="50"/>
    <s v="CAJ"/>
    <x v="224"/>
    <n v="3.7469999999999999"/>
    <n v="44.963999999999999"/>
    <x v="4"/>
    <s v="BUENAVENTURA"/>
    <s v="N/A"/>
    <s v="MARÍTIMO"/>
    <s v="MAERSK LINE PERU S.A.C."/>
    <s v="AGENCIA DE ADUANA MACROMAR S.A."/>
    <x v="166"/>
    <s v="CHOCHO SECOSCAJAS X 12 KGCONSUMO HUMANOCODIGO Nº13 RESTITUCION DE DERECHOS ARANCELARIOS"/>
    <s v="CHOCHO SECOSCAJAS X 12 KGCONSUMO HUMANOCODIGO Nº13 RESTITUCION DE DERECHOS ARANCELARIOS"/>
    <s v="CHOCHO SECOSCAJAS X 12 KGCONSUMO HUMANOCODIGO Nº13 RESTITUCION DE DERECHOS ARANCELARIOS"/>
    <s v="CHOCHO SECOSCAJAS X 12 KGCONSUMO HUMANOCODIGO Nº13 RESTITUCION DE DERECHOS ARANCELARIOS"/>
    <s v="CHOCHO SECOSCAJAS X 12 KGCONSUMO HUMANOCODIGO Nº13 RESTITUCION DE DERECHOS ARANCELARIOS"/>
    <s v="MAERSK LINES, INC."/>
    <s v="_x0000_"/>
    <s v="_x0000_"/>
    <s v="VERDE"/>
  </r>
  <r>
    <n v="713909000"/>
    <s v="DEMAS HORTALIZAS DE VAINAS SECAS DESVAINADAS,MONDADAS O PARTIDAS EXCEPTO PARA SIEMBRA"/>
    <s v="TUMBES"/>
    <s v="008708 | 1"/>
    <x v="210"/>
    <x v="5"/>
    <x v="1"/>
    <n v="20409318135"/>
    <s v="COPROIMPEX SOCIEDAD ANONIMA CERRADA"/>
    <s v="CEVALLOS MEJIA PATRICIA ELIZABETH"/>
    <n v="16819.310000000001"/>
    <n v="16750"/>
    <n v="16750"/>
    <s v="KG"/>
    <n v="16750"/>
    <s v="KG"/>
    <x v="225"/>
    <n v="0.74"/>
    <n v="0.74"/>
    <x v="0"/>
    <s v="HUAQUILLAS"/>
    <s v="N/A"/>
    <s v="CARRETERO"/>
    <s v="N/A"/>
    <s v="MOCAYAS LOGISTICA ADUANERA S.A.C."/>
    <x v="167"/>
    <s v="335 SACOS CONTENIENDO CHOCHOS SECOSX50 KG C/SPARA SU COMERCIALIZACION"/>
    <s v="335 SACOS CONTENIENDO CHOCHOS SECOSX50 KG C/SPARA SU COMERCIALIZACION"/>
    <s v="335 SACOS CONTENIENDO CHOCHOS SECOSX50 KG C/SPARA SU COMERCIALIZACION"/>
    <s v="335 SACOS CONTENIENDO CHOCHOS SECOSX50 KG C/SPARA SU COMERCIALIZACION"/>
    <s v="335 SACOS CONTENIENDO CHOCHOS SECOSX50 KG C/SPARA SU COMERCIALIZACION"/>
    <s v=""/>
    <s v=""/>
    <s v=""/>
    <s v="VERDE"/>
  </r>
  <r>
    <n v="713909000"/>
    <s v="DEMAS HORTALIZAS DE VAINAS SECAS DESVAINADAS,MONDADAS O PARTIDAS EXCEPTO PARA SIEMBRA"/>
    <s v="TUMBES"/>
    <s v="008532 | 1"/>
    <x v="211"/>
    <x v="5"/>
    <x v="1"/>
    <n v="0"/>
    <s v="N/A"/>
    <s v="SUAREZ MORENO SEGUNDO ESTUARDO"/>
    <n v="11561.33"/>
    <n v="11500"/>
    <n v="11500"/>
    <s v="KG"/>
    <n v="11500"/>
    <s v="KG"/>
    <x v="226"/>
    <n v="0.7"/>
    <n v="0.7"/>
    <x v="0"/>
    <s v="HUAQUILLAS"/>
    <s v="N/A"/>
    <s v="CARRETERO"/>
    <s v="N/A"/>
    <s v="PAZLEY ADUANA SOCIEDAD ANONIMA CERRADA - PAZLEY ADUANA S"/>
    <x v="168"/>
    <s v="CHOCHOS X 50 KG C/UEMBALADOS EN 230 BULTOSPAAR SU COMERCIALIZACION"/>
    <s v="CHOCHOS X 50 KG C/UEMBALADOS EN 230 BULTOSPAAR SU COMERCIALIZACION"/>
    <s v="CHOCHOS X 50 KG C/UEMBALADOS EN 230 BULTOSPAAR SU COMERCIALIZACION"/>
    <s v="CHOCHOS X 50 KG C/UEMBALADOS EN 230 BULTOSPAAR SU COMERCIALIZACION"/>
    <s v="CHOCHOS X 50 KG C/UEMBALADOS EN 230 BULTOSPAAR SU COMERCIALIZACION"/>
    <s v=""/>
    <s v=""/>
    <s v=""/>
    <s v="VERDE"/>
  </r>
  <r>
    <n v="713909000"/>
    <s v="DEMAS HORTALIZAS DE VAINAS SECAS DESVAINADAS,MONDADAS O PARTIDAS EXCEPTO PARA SIEMBRA"/>
    <s v="MARITIMA DEL CALLAO"/>
    <s v="110621 | 12"/>
    <x v="212"/>
    <x v="5"/>
    <x v="1"/>
    <n v="20523273265"/>
    <s v="MIRANDA - LANGA AGRO EXPORT S.A.C - MIRANDA - LANGA S.A.C"/>
    <s v="JP TRADING AND GLOBAL IMPORTS LLC"/>
    <n v="1190.4100000000001"/>
    <n v="1114.78"/>
    <n v="1114.78"/>
    <s v="KG"/>
    <n v="156"/>
    <s v="CAJ"/>
    <x v="227"/>
    <n v="4.1870000000000003"/>
    <n v="29.925000000000001"/>
    <x v="1"/>
    <s v="MIAMI"/>
    <s v="N/A"/>
    <s v="MARÍTIMO"/>
    <s v="CITIKOLD DEL PERU S.A.C."/>
    <s v="DESPACHOS ADUANEROS CHAVIMOCHIC SAC"/>
    <x v="5"/>
    <s v="CHOCHOS VALLES ANDINOS EN CAJAS PARA CONSUMO HUMANO"/>
    <s v="CHOCHOS VALLES ANDINOS EN CAJAS PARA CONSUMO HUMANO"/>
    <s v="CHOCHOS VALLES ANDINOS EN CAJAS PARA CONSUMO HUMANO"/>
    <s v="CHOCHOS VALLES ANDINOS EN CAJAS PARA CONSUMO HUMANO"/>
    <s v="CHOCHOS VALLES ANDINOS EN CAJAS PARA CONSUMO HUMANO"/>
    <s v="SEABOARD MARINE LTD"/>
    <s v="_x0000_"/>
    <s v="_x0000_"/>
    <s v="VERDE"/>
  </r>
  <r>
    <n v="713909000"/>
    <s v="DEMAS HORTALIZAS DE VAINAS SECAS DESVAINADAS,MONDADAS O PARTIDAS EXCEPTO PARA SIEMBRA"/>
    <s v="MARITIMA DEL CALLAO"/>
    <s v="103430 | 12"/>
    <x v="213"/>
    <x v="5"/>
    <x v="1"/>
    <n v="20565443993"/>
    <s v="FUSION FOODS S.A.C."/>
    <s v="TO THE ORDER OF SHIPPER"/>
    <n v="4341.05"/>
    <n v="4154.1000000000004"/>
    <n v="4154.1000000000004"/>
    <s v="KG"/>
    <n v="183"/>
    <s v="SAC"/>
    <x v="228"/>
    <n v="1.282"/>
    <n v="29.11"/>
    <x v="1"/>
    <s v="MIAMI"/>
    <s v="N/A"/>
    <s v="MARÍTIMO"/>
    <s v="CITIKOLD DEL PERU S.A.C."/>
    <s v="DESPACHOS ADUANEROS CHAVIMOCHIC SAC"/>
    <x v="169"/>
    <s v="CHOCHO ( 1 SACO X 50 LB) EN SACOS"/>
    <s v="CHOCHO ( 1 SACO X 50 LB) EN SACOS"/>
    <s v="CHOCHO ( 1 SACO X 50 LB) EN SACOS"/>
    <s v="CHOCHO ( 1 SACO X 50 LB) EN SACOS"/>
    <s v="CHOCHO ( 1 SACO X 50 LB) EN SACOS"/>
    <s v="SEABOARD MARINE LTD"/>
    <s v="_x0000_"/>
    <s v="_x0000_"/>
    <s v="VERDE"/>
  </r>
  <r>
    <n v="713909000"/>
    <s v="DEMAS HORTALIZAS DE VAINAS SECAS DESVAINADAS,MONDADAS O PARTIDAS EXCEPTO PARA SIEMBRA"/>
    <s v="MARITIMA DEL CALLAO"/>
    <s v="105617 | 3"/>
    <x v="214"/>
    <x v="5"/>
    <x v="1"/>
    <n v="20515713710"/>
    <s v="INDUSTRIAS KATROC S.A.C (KATROC S.A.C)"/>
    <s v="FAMILY FOOD DISTRIBUTORS. INC"/>
    <n v="536.34"/>
    <n v="495.46"/>
    <n v="495.46"/>
    <s v="KG"/>
    <n v="52"/>
    <s v="U"/>
    <x v="229"/>
    <n v="4.4080000000000004"/>
    <n v="42"/>
    <x v="1"/>
    <s v="LIRQUEN"/>
    <s v="N/A"/>
    <s v="MARÍTIMO"/>
    <s v="COSMOS AGENCIA MARITIMA S.A."/>
    <s v="ADM ADUANAS S.A.C."/>
    <x v="170"/>
    <s v="CHOCHO / LUPINI BEANS 24 X 14OZ (397GR) IN BOX MAMA TERE LOT CH082624MT"/>
    <s v="CHOCHO / LUPINI BEANS 24 X 14OZ (397GR) IN BOX MAMA TERE LOT CH082624MT"/>
    <s v="CHOCHO / LUPINI BEANS 24 X 14OZ (397GR) IN BOX MAMA TERE LOT CH082624MT"/>
    <s v="CHOCHO / LUPINI BEANS 24 X 14OZ (397GR) IN BOX MAMA TERE LOT CH082624MT"/>
    <s v="CHOCHO / LUPINI BEANS 24 X 14OZ (397GR) IN BOX MAMA TERE LOT CH082624MT"/>
    <s v="ZIM ISRAEL NAVIGATION CO"/>
    <s v="TRANSMODAL LOGISTICS PERU SOCIEDAD ANONIMA CERRADA"/>
    <s v="ALL WAYS FORWARDING INT'L INC"/>
    <s v="VERDE"/>
  </r>
  <r>
    <n v="713909000"/>
    <s v="DEMAS HORTALIZAS DE VAINAS SECAS DESVAINADAS,MONDADAS O PARTIDAS EXCEPTO PARA SIEMBRA"/>
    <s v="MARITIMA DEL CALLAO"/>
    <s v="109669 | 7"/>
    <x v="215"/>
    <x v="5"/>
    <x v="1"/>
    <n v="20552256647"/>
    <s v="AGRO FERGI S.A.C."/>
    <s v="DISTRIBUIDORA LATINOANDINA S.L"/>
    <n v="3023.2"/>
    <n v="3000"/>
    <n v="3000"/>
    <s v="KG"/>
    <n v="3"/>
    <s v="TM"/>
    <x v="230"/>
    <n v="3.1150000000000002"/>
    <n v="3115"/>
    <x v="2"/>
    <s v="GUAYAQUIL"/>
    <s v="N/A"/>
    <s v="MARÍTIMO"/>
    <s v="MERCATOR PERU - OPERADOR LOGISTICO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s v="_x0000_"/>
    <s v="_x0000_"/>
    <s v="VERDE"/>
  </r>
  <r>
    <n v="713909000"/>
    <s v="DEMAS HORTALIZAS DE VAINAS SECAS DESVAINADAS,MONDADAS O PARTIDAS EXCEPTO PARA SIEMBRA"/>
    <s v="TUMBES"/>
    <s v="009392 | 1"/>
    <x v="216"/>
    <x v="5"/>
    <x v="1"/>
    <n v="20606861011"/>
    <s v="JOYAS ANDINAS S.A.C."/>
    <s v="MARIO BLADIMIR LAVERDE JIBAJA"/>
    <n v="30070"/>
    <n v="29970"/>
    <n v="29970"/>
    <s v="KG"/>
    <n v="29970"/>
    <s v="KG"/>
    <x v="231"/>
    <n v="2.1459999999999999"/>
    <n v="2.1459999999999999"/>
    <x v="0"/>
    <s v="QUITO"/>
    <s v="N/A"/>
    <s v="CARRETERO"/>
    <s v="N/A"/>
    <s v="BLOG ADUANAS S.A.C"/>
    <x v="171"/>
    <s v="CHOCHOSCHOCHOS SECOS,  EN SACOS X 45 KGPARA SU COMERCIALIZACIONCODIGO Nº13 RESTITUCION DE DERECHOS A"/>
    <s v="CHOCHOSCHOCHOS SECOS,  EN SACOS X 45 KGPARA SU COMERCIALIZACIONCODIGO Nº13 RESTITUCION DE DERECHOS A"/>
    <s v="CHOCHOSCHOCHOS SECOS,  EN SACOS X 45 KGPARA SU COMERCIALIZACIONCODIGO Nº13 RESTITUCION DE DERECHOS A"/>
    <s v="CHOCHOSCHOCHOS SECOS,  EN SACOS X 45 KGPARA SU COMERCIALIZACIONCODIGO Nº13 RESTITUCION DE DERECHOS A"/>
    <s v="CHOCHOSCHOCHOS SECOS,  EN SACOS X 45 KGPARA SU COMERCIALIZACIONCODIGO Nº13 RESTITUCION DE DERECHOS A"/>
    <s v=""/>
    <s v=""/>
    <s v=""/>
    <s v="ROJO"/>
  </r>
  <r>
    <n v="713909000"/>
    <s v="DEMAS HORTALIZAS DE VAINAS SECAS DESVAINADAS,MONDADAS O PARTIDAS EXCEPTO PARA SIEMBRA"/>
    <s v="MARITIMA DEL CALLAO"/>
    <s v="120610 | 3"/>
    <x v="217"/>
    <x v="10"/>
    <x v="1"/>
    <n v="20552256647"/>
    <s v="AGRO FERGI S.A.C."/>
    <s v="FABI SAA INC"/>
    <n v="4176.22"/>
    <n v="3811.2"/>
    <n v="3811.2"/>
    <s v="KG"/>
    <n v="400"/>
    <s v="CAJ"/>
    <x v="232"/>
    <n v="2.8"/>
    <n v="26.68"/>
    <x v="1"/>
    <s v="MIAMI"/>
    <s v="N/A"/>
    <s v="MARÍTIMO"/>
    <s v="CITIKOLD DEL PERU S.A.C."/>
    <s v="AGENCIA DE ADUANA MACROMAR S.A."/>
    <x v="172"/>
    <s v="CHOCHOS SECOS (24 X 14 OZ)CAJAS X 9.528 KGCONSUMO HUMANOCODIGO Nº13 RESTITUCION DE DERECHOS ARANCELA"/>
    <s v="CHOCHOS SECOS (24 X 14 OZ)CAJAS X 9.528 KGCONSUMO HUMANOCODIGO Nº13 RESTITUCION DE DERECHOS ARANCELA"/>
    <s v="CHOCHOS SECOS (24 X 14 OZ)CAJAS X 9.528 KGCONSUMO HUMANOCODIGO Nº13 RESTITUCION DE DERECHOS ARANCELA"/>
    <s v="CHOCHOS SECOS (24 X 14 OZ)CAJAS X 9.528 KGCONSUMO HUMANOCODIGO Nº13 RESTITUCION DE DERECHOS ARANCELA"/>
    <s v="CHOCHOS SECOS (24 X 14 OZ)CAJAS X 9.528 KGCONSUMO HUMANOCODIGO Nº13 RESTITUCION DE DERECHOS ARANCELA"/>
    <s v="CITIKOLD DEL PERU S.A.C."/>
    <s v="_x0000_"/>
    <s v="_x0000_"/>
    <s v="VERDE"/>
  </r>
  <r>
    <n v="713909000"/>
    <s v="DEMAS HORTALIZAS DE VAINAS SECAS DESVAINADAS,MONDADAS O PARTIDAS EXCEPTO PARA SIEMBRA"/>
    <s v="TUMBES"/>
    <s v="011030 | 1"/>
    <x v="218"/>
    <x v="8"/>
    <x v="1"/>
    <n v="20409318135"/>
    <s v="COPROIMPEX SOCIEDAD ANONIMA CERRADA"/>
    <s v="MEJIA ZAMORA LIGIA YOLANDA"/>
    <n v="22591.01"/>
    <n v="22500"/>
    <n v="22500"/>
    <s v="KG"/>
    <n v="22500"/>
    <s v="KG"/>
    <x v="25"/>
    <n v="0.74"/>
    <n v="0.74"/>
    <x v="0"/>
    <s v="HUAQUILLAS"/>
    <s v="N/A"/>
    <s v="CARRETERO"/>
    <s v="N/A"/>
    <s v="MOCAYAS LOGISTICA ADUANERA S.A.C."/>
    <x v="27"/>
    <s v="450 SACOS CONTENIENDO CHOCHOS SECOSX50 KG C/SPARA SU COMERCIALIZACION"/>
    <s v="450 SACOS CONTENIENDO CHOCHOS SECOSX50 KG C/SPARA SU COMERCIALIZACION"/>
    <s v="450 SACOS CONTENIENDO CHOCHOS SECOSX50 KG C/SPARA SU COMERCIALIZACION"/>
    <s v="450 SACOS CONTENIENDO CHOCHOS SECOSX50 KG C/SPARA SU COMERCIALIZACION"/>
    <s v="450 SACOS CONTENIENDO CHOCHOS SECOSX50 KG C/SPARA SU COMERCIALIZACION"/>
    <s v=""/>
    <s v=""/>
    <s v=""/>
    <s v="VERDE"/>
  </r>
  <r>
    <n v="713909000"/>
    <s v="DEMAS HORTALIZAS DE VAINAS SECAS DESVAINADAS,MONDADAS O PARTIDAS EXCEPTO PARA SIEMBRA"/>
    <s v="TUMBES"/>
    <s v="010775 | 1"/>
    <x v="219"/>
    <x v="10"/>
    <x v="1"/>
    <n v="20606861011"/>
    <s v="JOYAS ANDINAS S.A.C."/>
    <s v="MARIO BLADIMIR LAVERDE JIBAJA"/>
    <n v="30070"/>
    <n v="29970"/>
    <n v="29970"/>
    <s v="KG"/>
    <n v="29970"/>
    <s v="KG"/>
    <x v="233"/>
    <n v="2.306"/>
    <n v="2.306"/>
    <x v="0"/>
    <s v="QUITO"/>
    <s v="N/A"/>
    <s v="CARRETERO"/>
    <s v="N/A"/>
    <s v="BLOG ADUANAS S.A.C"/>
    <x v="171"/>
    <s v="CHOCHOSCHOCHOS SECOS,  EN SACOS X 45 KGPARA SU COMERCIALIZACIONCODIGO Nº13 RESTITUCION DE DERECHOS A"/>
    <s v="CHOCHOSCHOCHOS SECOS,  EN SACOS X 45 KGPARA SU COMERCIALIZACIONCODIGO Nº13 RESTITUCION DE DERECHOS A"/>
    <s v="CHOCHOSCHOCHOS SECOS,  EN SACOS X 45 KGPARA SU COMERCIALIZACIONCODIGO Nº13 RESTITUCION DE DERECHOS A"/>
    <s v="CHOCHOSCHOCHOS SECOS,  EN SACOS X 45 KGPARA SU COMERCIALIZACIONCODIGO Nº13 RESTITUCION DE DERECHOS A"/>
    <s v="CHOCHOSCHOCHOS SECOS,  EN SACOS X 45 KGPARA SU COMERCIALIZACIONCODIGO Nº13 RESTITUCION DE DERECHOS A"/>
    <s v=""/>
    <s v=""/>
    <s v=""/>
    <s v="ROJO"/>
  </r>
  <r>
    <n v="713909000"/>
    <s v="DEMAS HORTALIZAS DE VAINAS SECAS DESVAINADAS,MONDADAS O PARTIDAS EXCEPTO PARA SIEMBRA"/>
    <s v="TUMBES"/>
    <s v="010737 | 2"/>
    <x v="220"/>
    <x v="10"/>
    <x v="1"/>
    <n v="20409318135"/>
    <s v="COPROIMPEX SOCIEDAD ANONIMA CERRADA"/>
    <s v="PATRICIA ELIZABETH CEVALLOS MEJIA"/>
    <n v="15060"/>
    <n v="15000"/>
    <n v="15000"/>
    <s v="KG"/>
    <n v="15000"/>
    <s v="KG"/>
    <x v="17"/>
    <n v="0.74"/>
    <n v="0.74"/>
    <x v="0"/>
    <s v="HUAQUILLAS"/>
    <s v="N/A"/>
    <s v="CARRETERO"/>
    <s v="N/A"/>
    <s v="MOCAYAS LOGISTICA ADUANERA S.A.C."/>
    <x v="18"/>
    <s v="300 SACOS CONTENIENDO CHOCHOS SECOSX50 KG C/SPARA SU COMERCIALIZACION"/>
    <s v="300 SACOS CONTENIENDO CHOCHOS SECOSX50 KG C/SPARA SU COMERCIALIZACION"/>
    <s v="300 SACOS CONTENIENDO CHOCHOS SECOSX50 KG C/SPARA SU COMERCIALIZACION"/>
    <s v="300 SACOS CONTENIENDO CHOCHOS SECOSX50 KG C/SPARA SU COMERCIALIZACION"/>
    <s v="300 SACOS CONTENIENDO CHOCHOS SECOSX50 KG C/SPARA SU COMERCIALIZACION"/>
    <s v=""/>
    <s v=""/>
    <s v=""/>
    <s v="VERDE"/>
  </r>
  <r>
    <n v="713909000"/>
    <s v="DEMAS HORTALIZAS DE VAINAS SECAS DESVAINADAS,MONDADAS O PARTIDAS EXCEPTO PARA SIEMBRA"/>
    <s v="TUMBES"/>
    <s v="011332 | 1"/>
    <x v="221"/>
    <x v="8"/>
    <x v="1"/>
    <n v="20409318135"/>
    <s v="COPROIMPEX SOCIEDAD ANONIMA CERRADA"/>
    <s v="PATRICIA ELIZABETH CEVALLOS MEJIA"/>
    <n v="20934.87"/>
    <n v="20850"/>
    <n v="20850"/>
    <s v="KG"/>
    <n v="20850"/>
    <s v="KG"/>
    <x v="234"/>
    <n v="0.74"/>
    <n v="0.74"/>
    <x v="0"/>
    <s v="HUAQUILLAS"/>
    <s v="N/A"/>
    <s v="CARRETERO"/>
    <s v="N/A"/>
    <s v="MOCAYAS LOGISTICA ADUANERA S.A.C."/>
    <x v="173"/>
    <s v="417 SACOS CONTENIENDO CHOCHOS SECOSX50 KG C/SPARA SU COMERCIALIZACION"/>
    <s v="417 SACOS CONTENIENDO CHOCHOS SECOSX50 KG C/SPARA SU COMERCIALIZACION"/>
    <s v="417 SACOS CONTENIENDO CHOCHOS SECOSX50 KG C/SPARA SU COMERCIALIZACION"/>
    <s v="417 SACOS CONTENIENDO CHOCHOS SECOSX50 KG C/SPARA SU COMERCIALIZACION"/>
    <s v="417 SACOS CONTENIENDO CHOCHOS SECOSX50 KG C/SPARA SU COMERCIALIZACION"/>
    <s v=""/>
    <s v=""/>
    <s v=""/>
    <s v="VERDE"/>
  </r>
  <r>
    <n v="713909000"/>
    <s v="DEMAS HORTALIZAS DE VAINAS SECAS DESVAINADAS,MONDADAS O PARTIDAS EXCEPTO PARA SIEMBRA"/>
    <s v="MARITIMA DEL CALLAO"/>
    <s v="129132 | 5"/>
    <x v="222"/>
    <x v="8"/>
    <x v="1"/>
    <n v="20612342017"/>
    <s v="JP GLOBAL TRADE S.A.C."/>
    <s v="JOTA JOTA ALIMENTOS GLOBAL S.L."/>
    <n v="3005.05"/>
    <n v="3000"/>
    <n v="3000"/>
    <s v="KG"/>
    <n v="3000"/>
    <s v="KG"/>
    <x v="235"/>
    <n v="1.98"/>
    <n v="1.98"/>
    <x v="2"/>
    <s v="BUENAVENTURA"/>
    <s v="N/A"/>
    <s v="MARÍTIMO"/>
    <s v="MAERSK LINE PERU S.A.C."/>
    <s v="MARINA LOGISTICS S.A.C."/>
    <x v="174"/>
    <s v="FREJOL GANDUL X 25 KG USO: CONSUMO HUMANO EN SACOS"/>
    <s v="FREJOL GANDUL X 25 KG USO: CONSUMO HUMANO EN SACOS"/>
    <s v="FREJOL GANDUL X 25 KG USO: CONSUMO HUMANO EN SACOS"/>
    <s v="FREJOL GANDUL X 25 KG USO: CONSUMO HUMANO EN SACOS"/>
    <s v="FREJOL GANDUL X 25 KG USO: CONSUMO HUMANO EN SACOS"/>
    <s v="MAERSK LINES. INC."/>
    <s v="GRUPO HOMERO LOGISTIC SOCIEDAD ANONIMA CERRADA - G"/>
    <s v="SILMAR FREIGHT SLU Avda.Mare Nostru"/>
    <s v="VERDE"/>
  </r>
  <r>
    <n v="713909000"/>
    <s v="DEMAS HORTALIZAS DE VAINAS SECAS DESVAINADAS,MONDADAS O PARTIDAS EXCEPTO PARA SIEMBRA"/>
    <s v="MARITIMA DEL CALLAO"/>
    <s v="129132 | 6"/>
    <x v="222"/>
    <x v="8"/>
    <x v="1"/>
    <n v="20612342017"/>
    <s v="JP GLOBAL TRADE S.A.C."/>
    <s v="JOTA JOTA ALIMENTOS GLOBAL S.L."/>
    <n v="3005.05"/>
    <n v="3000"/>
    <n v="3000"/>
    <s v="KG"/>
    <n v="3000"/>
    <s v="KG"/>
    <x v="236"/>
    <n v="2.2869999999999999"/>
    <n v="2.2869999999999999"/>
    <x v="2"/>
    <s v="BUENAVENTURA"/>
    <s v="N/A"/>
    <s v="MARÍTIMO"/>
    <s v="MAERSK LINE PERU S.A.C."/>
    <s v="MARINA LOGISTICS S.A.C."/>
    <x v="175"/>
    <s v="FREJOL CANARIO X 25 KG USO: CONSUMO HUMANO EN SACOS"/>
    <s v="FREJOL CANARIO X 25 KG USO: CONSUMO HUMANO EN SACOS"/>
    <s v="FREJOL CANARIO X 25 KG USO: CONSUMO HUMANO EN SACOS"/>
    <s v="FREJOL CANARIO X 25 KG USO: CONSUMO HUMANO EN SACOS"/>
    <s v="FREJOL CANARIO X 25 KG USO: CONSUMO HUMANO EN SACOS"/>
    <s v="MAERSK LINES. INC."/>
    <s v="GRUPO HOMERO LOGISTIC SOCIEDAD ANONIMA CERRADA - G"/>
    <s v="SILMAR FREIGHT SLU Avda.Mare Nostru"/>
    <s v="VERDE"/>
  </r>
  <r>
    <n v="713909000"/>
    <s v="DEMAS HORTALIZAS DE VAINAS SECAS DESVAINADAS,MONDADAS O PARTIDAS EXCEPTO PARA SIEMBRA"/>
    <s v="MARITIMA DEL CALLAO"/>
    <s v="127134 | 8"/>
    <x v="223"/>
    <x v="8"/>
    <x v="1"/>
    <n v="20565443993"/>
    <s v="FUSION FOODS S.A.C."/>
    <s v="TO ORDER"/>
    <n v="1474.2"/>
    <n v="1415.8"/>
    <n v="1415.8"/>
    <s v="KG"/>
    <n v="198"/>
    <s v="CAJ"/>
    <x v="237"/>
    <n v="3.927"/>
    <n v="28.085000000000001"/>
    <x v="1"/>
    <s v="MIAMI"/>
    <s v="N/A"/>
    <s v="MARÍTIMO"/>
    <s v="CITIKOLD DEL PERU S.A.C."/>
    <s v="DESPACHOS ADUANEROS CHAVIMOCHIC SAC"/>
    <x v="176"/>
    <s v="CHOCHO ( 18 BLS X 14 OZ) EN CAJAS PARA CONSUMO HUMANO"/>
    <s v="CHOCHO ( 18 BLS X 14 OZ) EN CAJAS PARA CONSUMO HUMANO"/>
    <s v="CHOCHO ( 18 BLS X 14 OZ) EN CAJAS PARA CONSUMO HUMANO"/>
    <s v="CHOCHO ( 18 BLS X 14 OZ) EN CAJAS PARA CONSUMO HUMANO"/>
    <s v="CHOCHO ( 18 BLS X 14 OZ) EN CAJAS PARA CONSUMO HUMANO"/>
    <s v="SEABOARD MARINE LTD"/>
    <s v="_x0000_"/>
    <s v="_x0000_"/>
    <s v="VERDE"/>
  </r>
  <r>
    <n v="713909000"/>
    <s v="DEMAS HORTALIZAS DE VAINAS SECAS DESVAINADAS,MONDADAS O PARTIDAS EXCEPTO PARA SIEMBRA"/>
    <s v="MARITIMA DEL CALLAO"/>
    <s v="133374 | 7"/>
    <x v="224"/>
    <x v="8"/>
    <x v="1"/>
    <n v="20552256647"/>
    <s v="AGRO FERGI S.A.C."/>
    <s v="DISTRIBUIDORA LATINOANDINA S.L"/>
    <n v="7033.6"/>
    <n v="7000"/>
    <n v="7000"/>
    <s v="KG"/>
    <n v="7"/>
    <s v="TM"/>
    <x v="238"/>
    <n v="3.11"/>
    <n v="3110"/>
    <x v="2"/>
    <s v="RODMAN"/>
    <s v="N/A"/>
    <s v="MARÍTIMO"/>
    <s v="MEDITERRANEAN SHIPPING CO.PERU S.A.C."/>
    <s v="AGENCIA DE ADUANA MACROMAR S.A."/>
    <x v="120"/>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CHOCHOS SECOSSACOS X 25 KGCONSUMO HUMANOCODIGO Nº13 RESTITUCION DE DERECHOS ARANCELARIOS"/>
    <s v="MEDITERRANEAN SHIPPING COMPANY"/>
    <s v="_x0000_"/>
    <s v="_x0000_"/>
    <s v="VERD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E5F341-703F-4FAD-94B8-5BB824618B95}" name="TablaDinámica1" cacheId="14"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location ref="A3:E11" firstHeaderRow="1" firstDataRow="2" firstDataCol="1" rowPageCount="1" colPageCount="1"/>
  <pivotFields count="37">
    <pivotField numFmtId="49"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numFmtId="4" showAll="0"/>
    <pivotField numFmtId="4" showAll="0"/>
    <pivotField numFmtId="4" showAll="0"/>
    <pivotField showAll="0"/>
    <pivotField numFmtId="4" showAll="0"/>
    <pivotField showAll="0"/>
    <pivotField dataField="1" numFmtId="4" showAll="0"/>
    <pivotField numFmtId="164" showAll="0"/>
    <pivotField numFmtId="164" showAll="0"/>
    <pivotField axis="axisRow" showAll="0" sortType="descending">
      <items count="10">
        <item x="8"/>
        <item x="4"/>
        <item x="5"/>
        <item x="6"/>
        <item x="3"/>
        <item x="1"/>
        <item x="2"/>
        <item x="0"/>
        <item x="7"/>
        <item t="default"/>
      </items>
    </pivotField>
    <pivotField showAll="0"/>
    <pivotField showAll="0"/>
    <pivotField showAll="0"/>
    <pivotField showAll="0"/>
    <pivotField showAll="0"/>
    <pivotField axis="axisPage" multipleItemSelectionAllowed="1" showAll="0">
      <items count="178">
        <item x="28"/>
        <item x="57"/>
        <item x="32"/>
        <item x="35"/>
        <item x="56"/>
        <item x="17"/>
        <item h="1" x="13"/>
        <item x="18"/>
        <item x="49"/>
        <item x="167"/>
        <item x="103"/>
        <item x="23"/>
        <item x="173"/>
        <item x="27"/>
        <item x="26"/>
        <item x="60"/>
        <item x="44"/>
        <item x="37"/>
        <item x="48"/>
        <item x="45"/>
        <item x="42"/>
        <item x="39"/>
        <item h="1" x="100"/>
        <item x="29"/>
        <item x="77"/>
        <item x="94"/>
        <item x="169"/>
        <item x="92"/>
        <item x="15"/>
        <item x="85"/>
        <item x="97"/>
        <item x="176"/>
        <item x="109"/>
        <item x="51"/>
        <item x="82"/>
        <item x="165"/>
        <item x="98"/>
        <item x="89"/>
        <item x="114"/>
        <item x="164"/>
        <item x="170"/>
        <item x="6"/>
        <item x="163"/>
        <item x="162"/>
        <item x="99"/>
        <item x="16"/>
        <item x="22"/>
        <item x="14"/>
        <item x="21"/>
        <item x="20"/>
        <item x="62"/>
        <item x="96"/>
        <item x="66"/>
        <item x="105"/>
        <item x="166"/>
        <item x="128"/>
        <item x="117"/>
        <item x="95"/>
        <item x="11"/>
        <item x="12"/>
        <item x="7"/>
        <item x="30"/>
        <item x="84"/>
        <item x="63"/>
        <item x="87"/>
        <item x="88"/>
        <item x="10"/>
        <item x="8"/>
        <item x="31"/>
        <item x="91"/>
        <item x="159"/>
        <item x="137"/>
        <item x="126"/>
        <item x="122"/>
        <item x="133"/>
        <item x="119"/>
        <item x="172"/>
        <item x="130"/>
        <item x="127"/>
        <item x="121"/>
        <item x="71"/>
        <item x="67"/>
        <item x="34"/>
        <item x="80"/>
        <item x="68"/>
        <item x="73"/>
        <item x="78"/>
        <item x="47"/>
        <item x="50"/>
        <item x="64"/>
        <item x="38"/>
        <item x="79"/>
        <item x="69"/>
        <item x="76"/>
        <item x="74"/>
        <item x="65"/>
        <item x="58"/>
        <item x="43"/>
        <item x="36"/>
        <item x="75"/>
        <item x="59"/>
        <item x="61"/>
        <item x="46"/>
        <item x="81"/>
        <item x="72"/>
        <item x="132"/>
        <item x="124"/>
        <item x="136"/>
        <item x="135"/>
        <item x="129"/>
        <item x="131"/>
        <item x="155"/>
        <item x="118"/>
        <item x="134"/>
        <item x="120"/>
        <item x="70"/>
        <item x="53"/>
        <item x="5"/>
        <item x="150"/>
        <item x="168"/>
        <item x="160"/>
        <item x="171"/>
        <item x="110"/>
        <item x="2"/>
        <item x="116"/>
        <item x="1"/>
        <item x="4"/>
        <item x="104"/>
        <item x="54"/>
        <item x="111"/>
        <item x="101"/>
        <item x="152"/>
        <item x="149"/>
        <item x="107"/>
        <item x="151"/>
        <item x="112"/>
        <item x="153"/>
        <item x="90"/>
        <item x="86"/>
        <item h="1" x="25"/>
        <item h="1" x="19"/>
        <item h="1" x="33"/>
        <item h="1" x="24"/>
        <item h="1" x="175"/>
        <item x="52"/>
        <item x="41"/>
        <item h="1" x="174"/>
        <item h="1" x="102"/>
        <item h="1" x="40"/>
        <item x="55"/>
        <item x="161"/>
        <item h="1" x="144"/>
        <item h="1" x="147"/>
        <item h="1" x="141"/>
        <item h="1" x="142"/>
        <item h="1" x="143"/>
        <item h="1" x="145"/>
        <item h="1" x="158"/>
        <item h="1" x="113"/>
        <item h="1" x="115"/>
        <item h="1" x="83"/>
        <item h="1" x="0"/>
        <item h="1" x="3"/>
        <item h="1" x="125"/>
        <item h="1" x="146"/>
        <item h="1" x="154"/>
        <item h="1" x="157"/>
        <item h="1" x="148"/>
        <item h="1" x="93"/>
        <item h="1" x="156"/>
        <item h="1" x="106"/>
        <item h="1" x="108"/>
        <item h="1" x="123"/>
        <item h="1" x="9"/>
        <item h="1" x="140"/>
        <item h="1" x="139"/>
        <item h="1" x="138"/>
        <item t="default"/>
      </items>
    </pivotField>
    <pivotField showAll="0"/>
    <pivotField showAll="0"/>
    <pivotField showAll="0"/>
    <pivotField showAll="0"/>
    <pivotField showAll="0"/>
    <pivotField showAll="0"/>
    <pivotField showAll="0"/>
    <pivotField showAll="0"/>
    <pivotField showAll="0"/>
    <pivotField showAll="0">
      <items count="7">
        <item sd="0" x="1"/>
        <item sd="0" x="2"/>
        <item sd="0" x="3"/>
        <item sd="0" x="4"/>
        <item x="0"/>
        <item x="5"/>
        <item t="default"/>
      </items>
    </pivotField>
    <pivotField axis="axisCol" showAll="0">
      <items count="6">
        <item sd="0" x="1"/>
        <item sd="0" x="2"/>
        <item sd="0" x="3"/>
        <item x="0"/>
        <item x="4"/>
        <item t="default"/>
      </items>
    </pivotField>
  </pivotFields>
  <rowFields count="1">
    <field x="19"/>
  </rowFields>
  <rowItems count="7">
    <i>
      <x v="1"/>
    </i>
    <i>
      <x v="2"/>
    </i>
    <i>
      <x v="4"/>
    </i>
    <i>
      <x v="5"/>
    </i>
    <i>
      <x v="6"/>
    </i>
    <i>
      <x v="7"/>
    </i>
    <i t="grand">
      <x/>
    </i>
  </rowItems>
  <colFields count="1">
    <field x="36"/>
  </colFields>
  <colItems count="4">
    <i>
      <x/>
    </i>
    <i>
      <x v="1"/>
    </i>
    <i>
      <x v="2"/>
    </i>
    <i t="grand">
      <x/>
    </i>
  </colItems>
  <pageFields count="1">
    <pageField fld="25" hier="-1"/>
  </pageFields>
  <dataFields count="1">
    <dataField name="Suma de U$ FOB Tot" fld="16" baseField="0" baseItem="0"/>
  </dataFields>
  <chartFormats count="3">
    <chartFormat chart="2" format="0" series="1">
      <pivotArea type="data" outline="0" fieldPosition="0">
        <references count="2">
          <reference field="4294967294" count="1" selected="0">
            <x v="0"/>
          </reference>
          <reference field="36" count="1" selected="0">
            <x v="0"/>
          </reference>
        </references>
      </pivotArea>
    </chartFormat>
    <chartFormat chart="2" format="1" series="1">
      <pivotArea type="data" outline="0" fieldPosition="0">
        <references count="2">
          <reference field="4294967294" count="1" selected="0">
            <x v="0"/>
          </reference>
          <reference field="36" count="1" selected="0">
            <x v="1"/>
          </reference>
        </references>
      </pivotArea>
    </chartFormat>
    <chartFormat chart="2" format="2" series="1">
      <pivotArea type="data" outline="0" fieldPosition="0">
        <references count="2">
          <reference field="4294967294" count="1" selected="0">
            <x v="0"/>
          </reference>
          <reference field="36"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E61622-D6AE-4D91-9866-16B785C461A0}" name="TablaDinámica2" cacheId="14"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N8" firstHeaderRow="1" firstDataRow="2" firstDataCol="1"/>
  <pivotFields count="37">
    <pivotField numFmtId="49" showAll="0"/>
    <pivotField showAll="0"/>
    <pivotField showAll="0"/>
    <pivotField showAll="0"/>
    <pivotField numFmtId="14" showAll="0"/>
    <pivotField axis="axisCol" showAll="0">
      <items count="13">
        <item x="4"/>
        <item x="3"/>
        <item x="2"/>
        <item x="9"/>
        <item x="1"/>
        <item x="7"/>
        <item x="6"/>
        <item x="0"/>
        <item x="11"/>
        <item x="5"/>
        <item x="10"/>
        <item x="8"/>
        <item t="default"/>
      </items>
    </pivotField>
    <pivotField axis="axisRow" showAll="0">
      <items count="4">
        <item x="2"/>
        <item x="0"/>
        <item x="1"/>
        <item t="default"/>
      </items>
    </pivotField>
    <pivotField showAll="0"/>
    <pivotField showAll="0"/>
    <pivotField showAll="0"/>
    <pivotField numFmtId="4" showAll="0"/>
    <pivotField numFmtId="4" showAll="0"/>
    <pivotField numFmtId="4" showAll="0"/>
    <pivotField showAll="0"/>
    <pivotField numFmtId="4" showAll="0"/>
    <pivotField showAll="0"/>
    <pivotField dataField="1" numFmtId="4" showAll="0">
      <items count="240">
        <item x="214"/>
        <item x="134"/>
        <item x="128"/>
        <item x="113"/>
        <item x="129"/>
        <item x="215"/>
        <item x="209"/>
        <item x="188"/>
        <item x="216"/>
        <item x="38"/>
        <item x="39"/>
        <item x="189"/>
        <item x="54"/>
        <item x="90"/>
        <item x="149"/>
        <item x="184"/>
        <item x="130"/>
        <item x="182"/>
        <item x="70"/>
        <item x="136"/>
        <item x="147"/>
        <item x="183"/>
        <item x="111"/>
        <item x="223"/>
        <item x="65"/>
        <item x="219"/>
        <item x="132"/>
        <item x="20"/>
        <item x="74"/>
        <item x="14"/>
        <item x="50"/>
        <item x="168"/>
        <item x="15"/>
        <item x="192"/>
        <item x="58"/>
        <item x="217"/>
        <item x="59"/>
        <item x="72"/>
        <item x="10"/>
        <item x="195"/>
        <item x="210"/>
        <item x="191"/>
        <item x="229"/>
        <item x="60"/>
        <item x="224"/>
        <item x="75"/>
        <item x="178"/>
        <item x="140"/>
        <item x="16"/>
        <item x="166"/>
        <item x="4"/>
        <item x="144"/>
        <item x="202"/>
        <item x="115"/>
        <item x="212"/>
        <item x="8"/>
        <item x="87"/>
        <item x="98"/>
        <item x="27"/>
        <item x="155"/>
        <item x="164"/>
        <item x="141"/>
        <item x="190"/>
        <item x="5"/>
        <item x="109"/>
        <item x="12"/>
        <item x="154"/>
        <item x="218"/>
        <item x="106"/>
        <item x="174"/>
        <item x="103"/>
        <item x="161"/>
        <item x="142"/>
        <item x="127"/>
        <item x="146"/>
        <item x="138"/>
        <item x="61"/>
        <item x="62"/>
        <item x="133"/>
        <item x="52"/>
        <item x="110"/>
        <item x="93"/>
        <item x="71"/>
        <item x="26"/>
        <item x="19"/>
        <item x="0"/>
        <item x="199"/>
        <item x="84"/>
        <item x="11"/>
        <item x="203"/>
        <item x="193"/>
        <item x="68"/>
        <item x="29"/>
        <item x="91"/>
        <item x="108"/>
        <item x="185"/>
        <item x="79"/>
        <item x="23"/>
        <item x="104"/>
        <item x="156"/>
        <item x="220"/>
        <item x="222"/>
        <item x="221"/>
        <item x="56"/>
        <item x="30"/>
        <item x="48"/>
        <item x="227"/>
        <item x="213"/>
        <item x="112"/>
        <item x="53"/>
        <item x="31"/>
        <item x="167"/>
        <item x="171"/>
        <item x="66"/>
        <item x="169"/>
        <item x="176"/>
        <item x="165"/>
        <item x="160"/>
        <item x="196"/>
        <item x="3"/>
        <item x="105"/>
        <item x="228"/>
        <item x="96"/>
        <item x="33"/>
        <item x="40"/>
        <item x="237"/>
        <item x="125"/>
        <item x="126"/>
        <item x="153"/>
        <item x="205"/>
        <item x="92"/>
        <item x="235"/>
        <item x="94"/>
        <item x="163"/>
        <item x="101"/>
        <item x="69"/>
        <item x="157"/>
        <item x="131"/>
        <item x="159"/>
        <item x="151"/>
        <item x="148"/>
        <item x="55"/>
        <item x="107"/>
        <item x="194"/>
        <item x="97"/>
        <item x="6"/>
        <item x="73"/>
        <item x="181"/>
        <item x="102"/>
        <item x="236"/>
        <item x="99"/>
        <item x="80"/>
        <item x="2"/>
        <item x="197"/>
        <item x="198"/>
        <item x="51"/>
        <item x="13"/>
        <item x="179"/>
        <item x="100"/>
        <item x="143"/>
        <item x="145"/>
        <item x="85"/>
        <item x="83"/>
        <item x="150"/>
        <item x="226"/>
        <item x="49"/>
        <item x="28"/>
        <item x="200"/>
        <item x="63"/>
        <item x="208"/>
        <item x="114"/>
        <item x="18"/>
        <item x="36"/>
        <item x="7"/>
        <item x="201"/>
        <item x="81"/>
        <item x="88"/>
        <item x="230"/>
        <item x="32"/>
        <item x="172"/>
        <item x="173"/>
        <item x="67"/>
        <item x="1"/>
        <item x="135"/>
        <item x="232"/>
        <item x="17"/>
        <item x="78"/>
        <item x="158"/>
        <item x="76"/>
        <item x="82"/>
        <item x="64"/>
        <item x="177"/>
        <item x="180"/>
        <item x="57"/>
        <item x="47"/>
        <item x="225"/>
        <item x="175"/>
        <item x="42"/>
        <item x="206"/>
        <item x="137"/>
        <item x="34"/>
        <item x="204"/>
        <item x="22"/>
        <item x="187"/>
        <item x="89"/>
        <item x="21"/>
        <item x="95"/>
        <item x="86"/>
        <item x="170"/>
        <item x="234"/>
        <item x="152"/>
        <item x="77"/>
        <item x="25"/>
        <item x="162"/>
        <item x="207"/>
        <item x="24"/>
        <item x="211"/>
        <item x="9"/>
        <item x="43"/>
        <item x="35"/>
        <item x="238"/>
        <item x="46"/>
        <item x="45"/>
        <item x="186"/>
        <item x="139"/>
        <item x="44"/>
        <item x="41"/>
        <item x="37"/>
        <item x="231"/>
        <item x="233"/>
        <item x="116"/>
        <item x="117"/>
        <item x="118"/>
        <item x="119"/>
        <item x="120"/>
        <item x="121"/>
        <item x="124"/>
        <item x="122"/>
        <item x="123"/>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6"/>
  </rowFields>
  <rowItems count="4">
    <i>
      <x/>
    </i>
    <i>
      <x v="1"/>
    </i>
    <i>
      <x v="2"/>
    </i>
    <i t="grand">
      <x/>
    </i>
  </rowItems>
  <colFields count="1">
    <field x="5"/>
  </colFields>
  <colItems count="13">
    <i>
      <x/>
    </i>
    <i>
      <x v="1"/>
    </i>
    <i>
      <x v="2"/>
    </i>
    <i>
      <x v="3"/>
    </i>
    <i>
      <x v="4"/>
    </i>
    <i>
      <x v="5"/>
    </i>
    <i>
      <x v="6"/>
    </i>
    <i>
      <x v="7"/>
    </i>
    <i>
      <x v="8"/>
    </i>
    <i>
      <x v="9"/>
    </i>
    <i>
      <x v="10"/>
    </i>
    <i>
      <x v="11"/>
    </i>
    <i t="grand">
      <x/>
    </i>
  </colItems>
  <dataFields count="1">
    <dataField name="Suma de U$ FOB Tot" fld="16" baseField="6"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197C-747F-4D4D-B879-7A2E0C119256}">
  <dimension ref="A1:P12"/>
  <sheetViews>
    <sheetView workbookViewId="0">
      <selection activeCell="B28" sqref="B28"/>
    </sheetView>
  </sheetViews>
  <sheetFormatPr baseColWidth="10" defaultRowHeight="14.4" x14ac:dyDescent="0.3"/>
  <cols>
    <col min="1" max="1" width="19.21875" bestFit="1" customWidth="1"/>
    <col min="2" max="2" width="21.44140625" bestFit="1" customWidth="1"/>
    <col min="3" max="4" width="10" bestFit="1" customWidth="1"/>
    <col min="5" max="5" width="11.88671875" bestFit="1" customWidth="1"/>
    <col min="6" max="7" width="10" bestFit="1" customWidth="1"/>
    <col min="8" max="8" width="11.88671875" bestFit="1" customWidth="1"/>
    <col min="14" max="14" width="26" bestFit="1" customWidth="1"/>
  </cols>
  <sheetData>
    <row r="1" spans="1:16" x14ac:dyDescent="0.3">
      <c r="A1" s="10" t="s">
        <v>27</v>
      </c>
      <c r="B1" s="2" t="s">
        <v>924</v>
      </c>
    </row>
    <row r="2" spans="1:16" ht="15" thickBot="1" x14ac:dyDescent="0.35"/>
    <row r="3" spans="1:16" x14ac:dyDescent="0.3">
      <c r="A3" s="10" t="s">
        <v>923</v>
      </c>
      <c r="B3" s="10" t="s">
        <v>928</v>
      </c>
      <c r="H3" s="22" t="s">
        <v>929</v>
      </c>
      <c r="I3" s="22">
        <v>2020</v>
      </c>
      <c r="J3" s="22">
        <v>2021</v>
      </c>
      <c r="K3" s="22">
        <v>2022</v>
      </c>
      <c r="L3" s="22">
        <v>2023</v>
      </c>
      <c r="M3" s="22">
        <v>2024</v>
      </c>
      <c r="N3" s="11" t="s">
        <v>930</v>
      </c>
      <c r="O3" s="11" t="s">
        <v>931</v>
      </c>
      <c r="P3" s="11" t="s">
        <v>932</v>
      </c>
    </row>
    <row r="4" spans="1:16" ht="15" thickBot="1" x14ac:dyDescent="0.35">
      <c r="A4" s="10" t="s">
        <v>921</v>
      </c>
      <c r="B4" s="2" t="s">
        <v>925</v>
      </c>
      <c r="C4" s="2" t="s">
        <v>926</v>
      </c>
      <c r="D4" s="2" t="s">
        <v>927</v>
      </c>
      <c r="E4" s="2" t="s">
        <v>922</v>
      </c>
      <c r="H4" s="23"/>
      <c r="I4" s="23"/>
      <c r="J4" s="23"/>
      <c r="K4" s="23"/>
      <c r="L4" s="23"/>
      <c r="M4" s="23"/>
      <c r="N4" s="12">
        <v>2024</v>
      </c>
      <c r="O4" s="12" t="s">
        <v>938</v>
      </c>
      <c r="P4" s="12" t="s">
        <v>939</v>
      </c>
    </row>
    <row r="5" spans="1:16" ht="15" thickBot="1" x14ac:dyDescent="0.35">
      <c r="A5" s="5" t="s">
        <v>338</v>
      </c>
      <c r="B5" s="2">
        <v>5904.37</v>
      </c>
      <c r="C5" s="2">
        <v>4959</v>
      </c>
      <c r="D5" s="2">
        <v>6597.08</v>
      </c>
      <c r="E5" s="2">
        <v>17460.449999999997</v>
      </c>
      <c r="H5" s="13" t="s">
        <v>933</v>
      </c>
      <c r="I5" s="14"/>
      <c r="J5" s="14"/>
      <c r="K5" s="14"/>
      <c r="L5" s="14"/>
      <c r="M5" s="14"/>
      <c r="N5" s="15" t="s">
        <v>934</v>
      </c>
      <c r="O5" s="15" t="s">
        <v>935</v>
      </c>
      <c r="P5" s="15" t="s">
        <v>936</v>
      </c>
    </row>
    <row r="6" spans="1:16" ht="15" thickBot="1" x14ac:dyDescent="0.35">
      <c r="A6" s="5" t="s">
        <v>498</v>
      </c>
      <c r="B6" s="2">
        <v>2</v>
      </c>
      <c r="C6" s="2"/>
      <c r="D6" s="2"/>
      <c r="E6" s="2">
        <v>2</v>
      </c>
      <c r="H6" s="16" t="s">
        <v>338</v>
      </c>
      <c r="I6" s="17"/>
      <c r="J6" s="17"/>
      <c r="K6" s="17">
        <v>5904.37</v>
      </c>
      <c r="L6" s="17">
        <v>4959</v>
      </c>
      <c r="M6" s="17">
        <v>6597.08</v>
      </c>
      <c r="N6" s="21">
        <f>+M6/M$12</f>
        <v>7.375147598983129E-3</v>
      </c>
      <c r="O6" s="19">
        <f>+(M6-L6)/M6</f>
        <v>0.24830379501233879</v>
      </c>
      <c r="P6" s="20">
        <f>+((M6/K6)^(1/2)-1)</f>
        <v>5.7034331074061084E-2</v>
      </c>
    </row>
    <row r="7" spans="1:16" ht="15" thickBot="1" x14ac:dyDescent="0.35">
      <c r="A7" s="5" t="s">
        <v>237</v>
      </c>
      <c r="B7" s="2"/>
      <c r="C7" s="2"/>
      <c r="D7" s="2">
        <v>125</v>
      </c>
      <c r="E7" s="2">
        <v>125</v>
      </c>
      <c r="H7" s="16" t="s">
        <v>498</v>
      </c>
      <c r="I7" s="17"/>
      <c r="J7" s="17"/>
      <c r="K7" s="17">
        <v>2</v>
      </c>
      <c r="L7" s="17">
        <v>0</v>
      </c>
      <c r="M7" s="17">
        <v>0</v>
      </c>
      <c r="N7" s="21">
        <f t="shared" ref="N7:N11" si="0">+M7/M$12</f>
        <v>0</v>
      </c>
      <c r="O7" s="19" t="s">
        <v>940</v>
      </c>
      <c r="P7" s="20">
        <f t="shared" ref="P7:P11" si="1">+((M7/K7)^(1/2)-1)</f>
        <v>-1</v>
      </c>
    </row>
    <row r="8" spans="1:16" ht="15" thickBot="1" x14ac:dyDescent="0.35">
      <c r="A8" s="5" t="s">
        <v>68</v>
      </c>
      <c r="B8" s="2">
        <v>63726.95</v>
      </c>
      <c r="C8" s="2">
        <v>70768.52</v>
      </c>
      <c r="D8" s="2">
        <v>117734.54000000001</v>
      </c>
      <c r="E8" s="2">
        <v>252230.01</v>
      </c>
      <c r="H8" s="16" t="s">
        <v>237</v>
      </c>
      <c r="I8" s="17"/>
      <c r="J8" s="17"/>
      <c r="K8" s="17">
        <v>0</v>
      </c>
      <c r="L8" s="17">
        <v>0</v>
      </c>
      <c r="M8" s="17">
        <v>125</v>
      </c>
      <c r="N8" s="21">
        <f t="shared" si="0"/>
        <v>1.3974265127494152E-4</v>
      </c>
      <c r="O8" s="19">
        <f t="shared" ref="O8:O11" si="2">+(M8-L8)/M8</f>
        <v>1</v>
      </c>
      <c r="P8" s="20"/>
    </row>
    <row r="9" spans="1:16" ht="28.2" thickBot="1" x14ac:dyDescent="0.35">
      <c r="A9" s="5" t="s">
        <v>197</v>
      </c>
      <c r="B9" s="2">
        <v>45367.79</v>
      </c>
      <c r="C9" s="2">
        <v>71101.5</v>
      </c>
      <c r="D9" s="2">
        <v>100854</v>
      </c>
      <c r="E9" s="2">
        <v>217323.29</v>
      </c>
      <c r="H9" s="16" t="s">
        <v>68</v>
      </c>
      <c r="I9" s="17"/>
      <c r="J9" s="17"/>
      <c r="K9" s="17">
        <v>63726.95</v>
      </c>
      <c r="L9" s="17">
        <v>70768.52</v>
      </c>
      <c r="M9" s="17">
        <v>117734.54000000001</v>
      </c>
      <c r="N9" s="21">
        <f t="shared" si="0"/>
        <v>0.13162029412988524</v>
      </c>
      <c r="O9" s="19">
        <f t="shared" si="2"/>
        <v>0.39891454113635644</v>
      </c>
      <c r="P9" s="20">
        <f t="shared" si="1"/>
        <v>0.35922194879654623</v>
      </c>
    </row>
    <row r="10" spans="1:16" ht="15" thickBot="1" x14ac:dyDescent="0.35">
      <c r="A10" s="5" t="s">
        <v>43</v>
      </c>
      <c r="B10" s="2">
        <v>979841</v>
      </c>
      <c r="C10" s="2">
        <v>812959</v>
      </c>
      <c r="D10" s="2">
        <v>669190.80000000005</v>
      </c>
      <c r="E10" s="2">
        <v>2461990.7999999998</v>
      </c>
      <c r="H10" s="16" t="s">
        <v>197</v>
      </c>
      <c r="I10" s="17"/>
      <c r="J10" s="17"/>
      <c r="K10" s="17">
        <v>45367.79</v>
      </c>
      <c r="L10" s="17">
        <v>71101.5</v>
      </c>
      <c r="M10" s="17">
        <v>100854</v>
      </c>
      <c r="N10" s="21">
        <f t="shared" si="0"/>
        <v>0.11274884281346362</v>
      </c>
      <c r="O10" s="19">
        <f t="shared" si="2"/>
        <v>0.29500565173419002</v>
      </c>
      <c r="P10" s="20">
        <f t="shared" si="1"/>
        <v>0.49098320623572667</v>
      </c>
    </row>
    <row r="11" spans="1:16" ht="15" thickBot="1" x14ac:dyDescent="0.35">
      <c r="A11" s="5" t="s">
        <v>922</v>
      </c>
      <c r="B11" s="2">
        <v>1094842.1099999999</v>
      </c>
      <c r="C11" s="2">
        <v>959788.02</v>
      </c>
      <c r="D11" s="2">
        <v>894501.42</v>
      </c>
      <c r="E11" s="2">
        <v>2949131.55</v>
      </c>
      <c r="H11" s="16" t="s">
        <v>43</v>
      </c>
      <c r="I11" s="17"/>
      <c r="J11" s="17"/>
      <c r="K11" s="17">
        <v>979841</v>
      </c>
      <c r="L11" s="17">
        <v>812959</v>
      </c>
      <c r="M11" s="17">
        <v>669190.80000000005</v>
      </c>
      <c r="N11" s="21">
        <f t="shared" si="0"/>
        <v>0.74811597280639308</v>
      </c>
      <c r="O11" s="19">
        <f t="shared" si="2"/>
        <v>-0.21483887704373691</v>
      </c>
      <c r="P11" s="20">
        <f t="shared" si="1"/>
        <v>-0.17358693037671213</v>
      </c>
    </row>
    <row r="12" spans="1:16" x14ac:dyDescent="0.3">
      <c r="H12" s="18" t="s">
        <v>937</v>
      </c>
      <c r="K12">
        <f>+SUM(K6:K11)</f>
        <v>1094842.1099999999</v>
      </c>
      <c r="L12" s="2">
        <f t="shared" ref="L12:M12" si="3">+SUM(L6:L11)</f>
        <v>959788.02</v>
      </c>
      <c r="M12" s="2">
        <f t="shared" si="3"/>
        <v>894501.42</v>
      </c>
    </row>
  </sheetData>
  <mergeCells count="6">
    <mergeCell ref="M3:M4"/>
    <mergeCell ref="H3:H4"/>
    <mergeCell ref="I3:I4"/>
    <mergeCell ref="J3:J4"/>
    <mergeCell ref="K3:K4"/>
    <mergeCell ref="L3:L4"/>
  </mergeCell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FC1D-6B6E-4A90-8CE0-3E47CBC39996}">
  <dimension ref="A3:N16"/>
  <sheetViews>
    <sheetView tabSelected="1" topLeftCell="A6" workbookViewId="0">
      <selection activeCell="E19" sqref="E19"/>
    </sheetView>
  </sheetViews>
  <sheetFormatPr baseColWidth="10" defaultRowHeight="14.4" x14ac:dyDescent="0.3"/>
  <cols>
    <col min="1" max="1" width="18.21875" bestFit="1" customWidth="1"/>
    <col min="2" max="2" width="21.44140625" bestFit="1" customWidth="1"/>
    <col min="3" max="11" width="10" bestFit="1" customWidth="1"/>
    <col min="12" max="12" width="9" bestFit="1" customWidth="1"/>
    <col min="13" max="13" width="10" bestFit="1" customWidth="1"/>
    <col min="14" max="14" width="11.88671875" bestFit="1" customWidth="1"/>
    <col min="15" max="26" width="6.5546875" bestFit="1" customWidth="1"/>
    <col min="27" max="183" width="8.109375" bestFit="1" customWidth="1"/>
    <col min="184" max="240" width="9.109375" bestFit="1" customWidth="1"/>
    <col min="241" max="241" width="11.88671875" bestFit="1" customWidth="1"/>
  </cols>
  <sheetData>
    <row r="3" spans="1:14" x14ac:dyDescent="0.3">
      <c r="A3" s="10" t="s">
        <v>923</v>
      </c>
      <c r="B3" s="10" t="s">
        <v>928</v>
      </c>
    </row>
    <row r="4" spans="1:14" x14ac:dyDescent="0.3">
      <c r="A4" s="10" t="s">
        <v>921</v>
      </c>
      <c r="B4" s="2">
        <v>1</v>
      </c>
      <c r="C4" s="2">
        <v>2</v>
      </c>
      <c r="D4" s="2">
        <v>3</v>
      </c>
      <c r="E4" s="2">
        <v>4</v>
      </c>
      <c r="F4" s="2">
        <v>5</v>
      </c>
      <c r="G4" s="2">
        <v>6</v>
      </c>
      <c r="H4" s="2">
        <v>7</v>
      </c>
      <c r="I4" s="2">
        <v>8</v>
      </c>
      <c r="J4" s="2">
        <v>9</v>
      </c>
      <c r="K4" s="2">
        <v>10</v>
      </c>
      <c r="L4" s="2">
        <v>11</v>
      </c>
      <c r="M4" s="2">
        <v>12</v>
      </c>
      <c r="N4" s="2" t="s">
        <v>922</v>
      </c>
    </row>
    <row r="5" spans="1:14" x14ac:dyDescent="0.3">
      <c r="A5" s="5">
        <v>2022</v>
      </c>
      <c r="B5" s="2">
        <v>49000</v>
      </c>
      <c r="C5" s="2">
        <v>107839</v>
      </c>
      <c r="D5" s="2">
        <v>98261</v>
      </c>
      <c r="E5" s="2">
        <v>54341</v>
      </c>
      <c r="F5" s="2">
        <v>123318</v>
      </c>
      <c r="G5" s="2">
        <v>45115.369999999995</v>
      </c>
      <c r="H5" s="2">
        <v>152091.53999999998</v>
      </c>
      <c r="I5" s="2">
        <v>37830.460000000006</v>
      </c>
      <c r="J5" s="2">
        <v>176476</v>
      </c>
      <c r="K5" s="2">
        <v>127839</v>
      </c>
      <c r="L5" s="2">
        <v>30613</v>
      </c>
      <c r="M5" s="2">
        <v>106696</v>
      </c>
      <c r="N5" s="2">
        <v>1109420.3699999999</v>
      </c>
    </row>
    <row r="6" spans="1:14" x14ac:dyDescent="0.3">
      <c r="A6" s="5">
        <v>2023</v>
      </c>
      <c r="B6" s="2">
        <v>28481</v>
      </c>
      <c r="C6" s="2">
        <v>120275</v>
      </c>
      <c r="D6" s="2">
        <v>26057</v>
      </c>
      <c r="E6" s="2">
        <v>94293</v>
      </c>
      <c r="F6" s="2">
        <v>23470</v>
      </c>
      <c r="G6" s="2">
        <v>131811</v>
      </c>
      <c r="H6" s="2">
        <v>26493</v>
      </c>
      <c r="I6" s="2">
        <v>133868</v>
      </c>
      <c r="J6" s="2">
        <v>35265</v>
      </c>
      <c r="K6" s="2">
        <v>123618</v>
      </c>
      <c r="L6" s="2">
        <v>117804</v>
      </c>
      <c r="M6" s="2">
        <v>129409.28</v>
      </c>
      <c r="N6" s="2">
        <v>990844.28</v>
      </c>
    </row>
    <row r="7" spans="1:14" x14ac:dyDescent="0.3">
      <c r="A7" s="5">
        <v>2024</v>
      </c>
      <c r="B7" s="2">
        <v>109586.41</v>
      </c>
      <c r="C7" s="2">
        <v>116044.77</v>
      </c>
      <c r="D7" s="2">
        <v>75936.88</v>
      </c>
      <c r="E7" s="2">
        <v>135473.84</v>
      </c>
      <c r="F7" s="2">
        <v>45574.520000000004</v>
      </c>
      <c r="G7" s="2">
        <v>55688.42</v>
      </c>
      <c r="H7" s="2">
        <v>95349.64</v>
      </c>
      <c r="I7" s="2">
        <v>114095.45</v>
      </c>
      <c r="J7" s="2">
        <v>14037.31</v>
      </c>
      <c r="K7" s="2">
        <v>106306.88</v>
      </c>
      <c r="L7" s="2">
        <v>90904.5</v>
      </c>
      <c r="M7" s="2">
        <v>72214.34</v>
      </c>
      <c r="N7" s="2">
        <v>1031212.9600000001</v>
      </c>
    </row>
    <row r="8" spans="1:14" x14ac:dyDescent="0.3">
      <c r="A8" s="5" t="s">
        <v>922</v>
      </c>
      <c r="B8" s="2">
        <v>187067.41</v>
      </c>
      <c r="C8" s="2">
        <v>344158.77</v>
      </c>
      <c r="D8" s="2">
        <v>200254.88</v>
      </c>
      <c r="E8" s="2">
        <v>284107.83999999997</v>
      </c>
      <c r="F8" s="2">
        <v>192362.52000000002</v>
      </c>
      <c r="G8" s="2">
        <v>232614.78999999998</v>
      </c>
      <c r="H8" s="2">
        <v>273934.18</v>
      </c>
      <c r="I8" s="2">
        <v>285793.91000000003</v>
      </c>
      <c r="J8" s="2">
        <v>225778.31</v>
      </c>
      <c r="K8" s="2">
        <v>357763.88</v>
      </c>
      <c r="L8" s="2">
        <v>239321.5</v>
      </c>
      <c r="M8" s="2">
        <v>308319.62</v>
      </c>
      <c r="N8" s="2">
        <v>3131477.61</v>
      </c>
    </row>
    <row r="11" spans="1:14" x14ac:dyDescent="0.3">
      <c r="A11" t="s">
        <v>923</v>
      </c>
      <c r="B11" t="s">
        <v>928</v>
      </c>
    </row>
    <row r="12" spans="1:14" x14ac:dyDescent="0.3">
      <c r="A12" t="s">
        <v>943</v>
      </c>
      <c r="B12" t="s">
        <v>944</v>
      </c>
      <c r="C12" t="s">
        <v>945</v>
      </c>
      <c r="D12" s="2" t="s">
        <v>946</v>
      </c>
      <c r="E12" s="2" t="s">
        <v>947</v>
      </c>
      <c r="F12" s="2" t="s">
        <v>948</v>
      </c>
      <c r="G12" s="2" t="s">
        <v>949</v>
      </c>
      <c r="H12" s="2" t="s">
        <v>950</v>
      </c>
      <c r="I12" s="2" t="s">
        <v>951</v>
      </c>
      <c r="J12" s="2" t="s">
        <v>952</v>
      </c>
      <c r="K12" s="2" t="s">
        <v>953</v>
      </c>
      <c r="L12" s="2" t="s">
        <v>954</v>
      </c>
      <c r="M12" s="2" t="s">
        <v>955</v>
      </c>
      <c r="N12" t="s">
        <v>922</v>
      </c>
    </row>
    <row r="13" spans="1:14" x14ac:dyDescent="0.3">
      <c r="A13">
        <v>2022</v>
      </c>
      <c r="B13">
        <v>49000</v>
      </c>
      <c r="C13">
        <v>107839</v>
      </c>
      <c r="D13">
        <v>98261</v>
      </c>
      <c r="E13">
        <v>54341</v>
      </c>
      <c r="F13">
        <v>123318</v>
      </c>
      <c r="G13">
        <v>45115.369999999995</v>
      </c>
      <c r="H13">
        <v>152091.53999999998</v>
      </c>
      <c r="I13">
        <v>37830.460000000006</v>
      </c>
      <c r="J13">
        <v>176476</v>
      </c>
      <c r="K13">
        <v>127839</v>
      </c>
      <c r="L13">
        <v>30613</v>
      </c>
      <c r="M13">
        <v>106696</v>
      </c>
      <c r="N13">
        <v>1109420.3699999999</v>
      </c>
    </row>
    <row r="14" spans="1:14" x14ac:dyDescent="0.3">
      <c r="A14">
        <v>2023</v>
      </c>
      <c r="B14">
        <v>28481</v>
      </c>
      <c r="C14">
        <v>120275</v>
      </c>
      <c r="D14">
        <v>26057</v>
      </c>
      <c r="E14">
        <v>94293</v>
      </c>
      <c r="F14">
        <v>23470</v>
      </c>
      <c r="G14">
        <v>131811</v>
      </c>
      <c r="H14">
        <v>26493</v>
      </c>
      <c r="I14">
        <v>133868</v>
      </c>
      <c r="J14">
        <v>35265</v>
      </c>
      <c r="K14">
        <v>123618</v>
      </c>
      <c r="L14">
        <v>117804</v>
      </c>
      <c r="M14">
        <v>129409.28</v>
      </c>
      <c r="N14">
        <v>990844.28</v>
      </c>
    </row>
    <row r="15" spans="1:14" x14ac:dyDescent="0.3">
      <c r="A15">
        <v>2024</v>
      </c>
      <c r="B15">
        <v>109586.41</v>
      </c>
      <c r="C15">
        <v>116044.77</v>
      </c>
      <c r="D15">
        <v>75936.88</v>
      </c>
      <c r="E15">
        <v>135473.84</v>
      </c>
      <c r="F15">
        <v>45574.520000000004</v>
      </c>
      <c r="G15">
        <v>55688.42</v>
      </c>
      <c r="H15">
        <v>95349.64</v>
      </c>
      <c r="I15">
        <v>114095.45</v>
      </c>
      <c r="J15">
        <v>14037.31</v>
      </c>
      <c r="K15">
        <v>106306.88</v>
      </c>
      <c r="L15">
        <v>90904.5</v>
      </c>
      <c r="M15">
        <v>72214.34</v>
      </c>
      <c r="N15">
        <v>1031212.9600000001</v>
      </c>
    </row>
    <row r="16" spans="1:14" x14ac:dyDescent="0.3">
      <c r="A16" t="s">
        <v>922</v>
      </c>
      <c r="B16">
        <v>187067.41</v>
      </c>
      <c r="C16">
        <v>344158.77</v>
      </c>
      <c r="D16">
        <v>200254.88</v>
      </c>
      <c r="E16">
        <v>284107.83999999997</v>
      </c>
      <c r="F16">
        <v>192362.52000000002</v>
      </c>
      <c r="G16">
        <v>232614.78999999998</v>
      </c>
      <c r="H16">
        <v>273934.18</v>
      </c>
      <c r="I16">
        <v>285793.91000000003</v>
      </c>
      <c r="J16">
        <v>225778.31</v>
      </c>
      <c r="K16">
        <v>357763.88</v>
      </c>
      <c r="L16">
        <v>239321.5</v>
      </c>
      <c r="M16">
        <v>308319.62</v>
      </c>
      <c r="N16">
        <v>3131477.61</v>
      </c>
    </row>
  </sheetData>
  <phoneticPr fontId="8"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95"/>
  <sheetViews>
    <sheetView topLeftCell="X1" zoomScale="80" zoomScaleNormal="80" workbookViewId="0">
      <pane ySplit="6" topLeftCell="A7" activePane="bottomLeft" state="frozen"/>
      <selection pane="bottomLeft" activeCell="Z52" sqref="Z52:Z54"/>
    </sheetView>
  </sheetViews>
  <sheetFormatPr baseColWidth="10" defaultColWidth="8.6640625" defaultRowHeight="14.4" x14ac:dyDescent="0.3"/>
  <cols>
    <col min="1" max="1" width="20.6640625" style="4" customWidth="1"/>
    <col min="2" max="2" width="80" style="5" customWidth="1"/>
    <col min="3" max="3" width="22.109375" style="5" customWidth="1"/>
    <col min="4" max="4" width="14.21875" style="5" customWidth="1"/>
    <col min="5" max="7" width="11.77734375" style="7" customWidth="1"/>
    <col min="8" max="8" width="17.109375" style="5" customWidth="1"/>
    <col min="9" max="9" width="59.21875" style="5" customWidth="1"/>
    <col min="10" max="10" width="66.88671875" style="5" customWidth="1"/>
    <col min="11" max="11" width="11.44140625" style="8" customWidth="1"/>
    <col min="12" max="12" width="10.77734375" style="8" customWidth="1"/>
    <col min="13" max="13" width="10.109375" style="8" customWidth="1"/>
    <col min="14" max="14" width="9" style="5" customWidth="1"/>
    <col min="15" max="15" width="10.109375" style="8" customWidth="1"/>
    <col min="16" max="16" width="9" style="5" customWidth="1"/>
    <col min="17" max="17" width="13.77734375" style="8" customWidth="1"/>
    <col min="18" max="19" width="16.109375" style="9" customWidth="1"/>
    <col min="20" max="20" width="17.44140625" style="5" customWidth="1"/>
    <col min="21" max="21" width="38.44140625" style="5" customWidth="1"/>
    <col min="22" max="22" width="26" style="5" customWidth="1"/>
    <col min="23" max="23" width="11.88671875" style="5" customWidth="1"/>
    <col min="24" max="24" width="48.6640625" style="5" customWidth="1"/>
    <col min="25" max="25" width="62" style="5" customWidth="1"/>
    <col min="26" max="31" width="80" style="5" customWidth="1"/>
    <col min="32" max="32" width="61.44140625" style="5" customWidth="1"/>
    <col min="33" max="33" width="56.6640625" style="5" customWidth="1"/>
    <col min="34" max="34" width="64.109375" style="5" customWidth="1"/>
    <col min="35" max="35" width="8.6640625" style="5" customWidth="1"/>
    <col min="36" max="36" width="8.6640625" style="2" customWidth="1"/>
    <col min="37" max="16384" width="8.6640625" style="2"/>
  </cols>
  <sheetData>
    <row r="1" spans="1:35" s="1" customFormat="1" x14ac:dyDescent="0.3">
      <c r="B1" s="1" t="s">
        <v>0</v>
      </c>
    </row>
    <row r="2" spans="1:35" s="1" customFormat="1" x14ac:dyDescent="0.3">
      <c r="B2" s="1" t="s">
        <v>1</v>
      </c>
    </row>
    <row r="3" spans="1:35" s="1" customFormat="1" x14ac:dyDescent="0.3">
      <c r="B3" s="1" t="s">
        <v>2</v>
      </c>
    </row>
    <row r="4" spans="1:35" s="1" customFormat="1" x14ac:dyDescent="0.3">
      <c r="B4" s="1" t="s">
        <v>3</v>
      </c>
    </row>
    <row r="5" spans="1:35" s="1" customFormat="1" x14ac:dyDescent="0.3">
      <c r="B5" s="6"/>
    </row>
    <row r="6" spans="1:35" s="3" customFormat="1" ht="32.1" customHeight="1" x14ac:dyDescent="0.3">
      <c r="A6" s="3" t="s">
        <v>4</v>
      </c>
      <c r="B6" s="3" t="s">
        <v>5</v>
      </c>
      <c r="C6" s="3" t="s">
        <v>6</v>
      </c>
      <c r="D6" s="3" t="s">
        <v>7</v>
      </c>
      <c r="E6" s="3" t="s">
        <v>8</v>
      </c>
      <c r="F6" s="3" t="s">
        <v>941</v>
      </c>
      <c r="G6" s="3" t="s">
        <v>942</v>
      </c>
      <c r="H6" s="3" t="s">
        <v>9</v>
      </c>
      <c r="I6" s="3" t="s">
        <v>10</v>
      </c>
      <c r="J6" s="3" t="s">
        <v>11</v>
      </c>
      <c r="K6" s="3" t="s">
        <v>12</v>
      </c>
      <c r="L6" s="3" t="s">
        <v>13</v>
      </c>
      <c r="M6" s="3" t="s">
        <v>14</v>
      </c>
      <c r="N6" s="3" t="s">
        <v>15</v>
      </c>
      <c r="O6" s="3" t="s">
        <v>16</v>
      </c>
      <c r="P6" s="3" t="s">
        <v>17</v>
      </c>
      <c r="Q6" s="3" t="s">
        <v>18</v>
      </c>
      <c r="R6" s="3" t="s">
        <v>19</v>
      </c>
      <c r="S6" s="3" t="s">
        <v>20</v>
      </c>
      <c r="T6" s="3" t="s">
        <v>21</v>
      </c>
      <c r="U6" s="3" t="s">
        <v>22</v>
      </c>
      <c r="V6" s="3" t="s">
        <v>23</v>
      </c>
      <c r="W6" s="3" t="s">
        <v>24</v>
      </c>
      <c r="X6" s="3" t="s">
        <v>25</v>
      </c>
      <c r="Y6" s="3" t="s">
        <v>26</v>
      </c>
      <c r="Z6" s="3" t="s">
        <v>27</v>
      </c>
      <c r="AA6" s="3" t="s">
        <v>28</v>
      </c>
      <c r="AB6" s="3" t="s">
        <v>29</v>
      </c>
      <c r="AC6" s="3" t="s">
        <v>30</v>
      </c>
      <c r="AD6" s="3" t="s">
        <v>31</v>
      </c>
      <c r="AE6" s="3" t="s">
        <v>32</v>
      </c>
      <c r="AF6" s="3" t="s">
        <v>33</v>
      </c>
      <c r="AG6" s="3" t="s">
        <v>34</v>
      </c>
      <c r="AH6" s="3" t="s">
        <v>35</v>
      </c>
      <c r="AI6" s="3" t="s">
        <v>36</v>
      </c>
    </row>
    <row r="7" spans="1:35" x14ac:dyDescent="0.3">
      <c r="A7" s="4">
        <v>713909000</v>
      </c>
      <c r="B7" s="5" t="s">
        <v>37</v>
      </c>
      <c r="C7" s="5" t="s">
        <v>38</v>
      </c>
      <c r="D7" s="5" t="s">
        <v>39</v>
      </c>
      <c r="E7" s="7">
        <v>45169</v>
      </c>
      <c r="F7" s="24">
        <f>MONTH(E7)</f>
        <v>8</v>
      </c>
      <c r="G7" s="24">
        <f>YEAR(E7)</f>
        <v>2023</v>
      </c>
      <c r="H7" s="5">
        <v>0</v>
      </c>
      <c r="I7" s="5" t="s">
        <v>40</v>
      </c>
      <c r="J7" s="5" t="s">
        <v>41</v>
      </c>
      <c r="K7" s="8">
        <v>5020</v>
      </c>
      <c r="L7" s="8">
        <v>5000</v>
      </c>
      <c r="M7" s="8">
        <v>5000</v>
      </c>
      <c r="N7" s="5" t="s">
        <v>42</v>
      </c>
      <c r="O7" s="8">
        <v>5000</v>
      </c>
      <c r="P7" s="5" t="s">
        <v>42</v>
      </c>
      <c r="Q7" s="8">
        <v>3750</v>
      </c>
      <c r="R7" s="9">
        <v>0.75</v>
      </c>
      <c r="S7" s="9">
        <v>0.75</v>
      </c>
      <c r="T7" s="5" t="s">
        <v>43</v>
      </c>
      <c r="U7" s="5" t="s">
        <v>44</v>
      </c>
      <c r="V7" s="5" t="s">
        <v>40</v>
      </c>
      <c r="W7" s="5" t="s">
        <v>45</v>
      </c>
      <c r="X7" s="5" t="s">
        <v>40</v>
      </c>
      <c r="Y7" s="5" t="s">
        <v>46</v>
      </c>
      <c r="Z7" s="5" t="s">
        <v>47</v>
      </c>
      <c r="AA7" s="5" t="s">
        <v>48</v>
      </c>
      <c r="AB7" s="5" t="s">
        <v>48</v>
      </c>
      <c r="AC7" s="5" t="s">
        <v>48</v>
      </c>
      <c r="AD7" s="5" t="s">
        <v>48</v>
      </c>
      <c r="AE7" s="5" t="s">
        <v>48</v>
      </c>
      <c r="AF7" s="5" t="s">
        <v>49</v>
      </c>
      <c r="AG7" s="5" t="s">
        <v>49</v>
      </c>
      <c r="AH7" s="5" t="s">
        <v>49</v>
      </c>
      <c r="AI7" s="5" t="s">
        <v>50</v>
      </c>
    </row>
    <row r="8" spans="1:35" x14ac:dyDescent="0.3">
      <c r="A8" s="4">
        <v>713909000</v>
      </c>
      <c r="B8" s="5" t="s">
        <v>37</v>
      </c>
      <c r="C8" s="5" t="s">
        <v>38</v>
      </c>
      <c r="D8" s="5" t="s">
        <v>51</v>
      </c>
      <c r="E8" s="7">
        <v>45169</v>
      </c>
      <c r="F8" s="24">
        <f t="shared" ref="F8:F71" si="0">MONTH(E8)</f>
        <v>8</v>
      </c>
      <c r="G8" s="24">
        <f t="shared" ref="G8:G71" si="1">YEAR(E8)</f>
        <v>2023</v>
      </c>
      <c r="H8" s="5">
        <v>0</v>
      </c>
      <c r="I8" s="5" t="s">
        <v>40</v>
      </c>
      <c r="J8" s="5" t="s">
        <v>41</v>
      </c>
      <c r="K8" s="8">
        <v>13040</v>
      </c>
      <c r="L8" s="8">
        <v>13000</v>
      </c>
      <c r="M8" s="8">
        <v>13000</v>
      </c>
      <c r="N8" s="5" t="s">
        <v>42</v>
      </c>
      <c r="O8" s="8">
        <v>13000</v>
      </c>
      <c r="P8" s="5" t="s">
        <v>42</v>
      </c>
      <c r="Q8" s="8">
        <v>10400</v>
      </c>
      <c r="R8" s="9">
        <v>0.8</v>
      </c>
      <c r="S8" s="9">
        <v>0.8</v>
      </c>
      <c r="T8" s="5" t="s">
        <v>43</v>
      </c>
      <c r="U8" s="5" t="s">
        <v>44</v>
      </c>
      <c r="V8" s="5" t="s">
        <v>40</v>
      </c>
      <c r="W8" s="5" t="s">
        <v>45</v>
      </c>
      <c r="X8" s="5" t="s">
        <v>40</v>
      </c>
      <c r="Y8" s="5" t="s">
        <v>46</v>
      </c>
      <c r="Z8" s="5" t="s">
        <v>52</v>
      </c>
      <c r="AA8" s="5" t="s">
        <v>53</v>
      </c>
      <c r="AB8" s="5" t="s">
        <v>53</v>
      </c>
      <c r="AC8" s="5" t="s">
        <v>53</v>
      </c>
      <c r="AD8" s="5" t="s">
        <v>53</v>
      </c>
      <c r="AE8" s="5" t="s">
        <v>53</v>
      </c>
      <c r="AF8" s="5" t="s">
        <v>49</v>
      </c>
      <c r="AG8" s="5" t="s">
        <v>49</v>
      </c>
      <c r="AH8" s="5" t="s">
        <v>49</v>
      </c>
      <c r="AI8" s="5" t="s">
        <v>50</v>
      </c>
    </row>
    <row r="9" spans="1:35" x14ac:dyDescent="0.3">
      <c r="A9" s="4">
        <v>713909000</v>
      </c>
      <c r="B9" s="5" t="s">
        <v>37</v>
      </c>
      <c r="C9" s="5" t="s">
        <v>38</v>
      </c>
      <c r="D9" s="5" t="s">
        <v>54</v>
      </c>
      <c r="E9" s="7">
        <v>45155</v>
      </c>
      <c r="F9" s="24">
        <f t="shared" si="0"/>
        <v>8</v>
      </c>
      <c r="G9" s="24">
        <f t="shared" si="1"/>
        <v>2023</v>
      </c>
      <c r="H9" s="5">
        <v>0</v>
      </c>
      <c r="I9" s="5" t="s">
        <v>40</v>
      </c>
      <c r="J9" s="5" t="s">
        <v>41</v>
      </c>
      <c r="K9" s="8">
        <v>8960</v>
      </c>
      <c r="L9" s="8">
        <v>8950</v>
      </c>
      <c r="M9" s="8">
        <v>8950</v>
      </c>
      <c r="N9" s="5" t="s">
        <v>42</v>
      </c>
      <c r="O9" s="8">
        <v>8950</v>
      </c>
      <c r="P9" s="5" t="s">
        <v>42</v>
      </c>
      <c r="Q9" s="8">
        <v>7160</v>
      </c>
      <c r="R9" s="9">
        <v>0.8</v>
      </c>
      <c r="S9" s="9">
        <v>0.8</v>
      </c>
      <c r="T9" s="5" t="s">
        <v>43</v>
      </c>
      <c r="U9" s="5" t="s">
        <v>44</v>
      </c>
      <c r="V9" s="5" t="s">
        <v>40</v>
      </c>
      <c r="W9" s="5" t="s">
        <v>45</v>
      </c>
      <c r="X9" s="5" t="s">
        <v>40</v>
      </c>
      <c r="Y9" s="5" t="s">
        <v>46</v>
      </c>
      <c r="Z9" s="5" t="s">
        <v>55</v>
      </c>
      <c r="AA9" s="5" t="s">
        <v>56</v>
      </c>
      <c r="AB9" s="5" t="s">
        <v>56</v>
      </c>
      <c r="AC9" s="5" t="s">
        <v>56</v>
      </c>
      <c r="AD9" s="5" t="s">
        <v>56</v>
      </c>
      <c r="AE9" s="5" t="s">
        <v>56</v>
      </c>
      <c r="AF9" s="5" t="s">
        <v>49</v>
      </c>
      <c r="AG9" s="5" t="s">
        <v>49</v>
      </c>
      <c r="AH9" s="5" t="s">
        <v>49</v>
      </c>
      <c r="AI9" s="5" t="s">
        <v>50</v>
      </c>
    </row>
    <row r="10" spans="1:35" x14ac:dyDescent="0.3">
      <c r="A10" s="4">
        <v>713909000</v>
      </c>
      <c r="B10" s="5" t="s">
        <v>37</v>
      </c>
      <c r="C10" s="5" t="s">
        <v>38</v>
      </c>
      <c r="D10" s="5" t="s">
        <v>57</v>
      </c>
      <c r="E10" s="7">
        <v>45155</v>
      </c>
      <c r="F10" s="24">
        <f t="shared" si="0"/>
        <v>8</v>
      </c>
      <c r="G10" s="24">
        <f t="shared" si="1"/>
        <v>2023</v>
      </c>
      <c r="H10" s="5">
        <v>0</v>
      </c>
      <c r="I10" s="5" t="s">
        <v>40</v>
      </c>
      <c r="J10" s="5" t="s">
        <v>41</v>
      </c>
      <c r="K10" s="8">
        <v>7020</v>
      </c>
      <c r="L10" s="8">
        <v>7000</v>
      </c>
      <c r="M10" s="8">
        <v>7000</v>
      </c>
      <c r="N10" s="5" t="s">
        <v>42</v>
      </c>
      <c r="O10" s="8">
        <v>7000</v>
      </c>
      <c r="P10" s="5" t="s">
        <v>42</v>
      </c>
      <c r="Q10" s="8">
        <v>5250</v>
      </c>
      <c r="R10" s="9">
        <v>0.75</v>
      </c>
      <c r="S10" s="9">
        <v>0.75</v>
      </c>
      <c r="T10" s="5" t="s">
        <v>43</v>
      </c>
      <c r="U10" s="5" t="s">
        <v>44</v>
      </c>
      <c r="V10" s="5" t="s">
        <v>40</v>
      </c>
      <c r="W10" s="5" t="s">
        <v>45</v>
      </c>
      <c r="X10" s="5" t="s">
        <v>40</v>
      </c>
      <c r="Y10" s="5" t="s">
        <v>46</v>
      </c>
      <c r="Z10" s="5" t="s">
        <v>58</v>
      </c>
      <c r="AA10" s="5" t="s">
        <v>59</v>
      </c>
      <c r="AB10" s="5" t="s">
        <v>59</v>
      </c>
      <c r="AC10" s="5" t="s">
        <v>59</v>
      </c>
      <c r="AD10" s="5" t="s">
        <v>59</v>
      </c>
      <c r="AE10" s="5" t="s">
        <v>59</v>
      </c>
      <c r="AF10" s="5" t="s">
        <v>49</v>
      </c>
      <c r="AG10" s="5" t="s">
        <v>49</v>
      </c>
      <c r="AH10" s="5" t="s">
        <v>49</v>
      </c>
      <c r="AI10" s="5" t="s">
        <v>50</v>
      </c>
    </row>
    <row r="11" spans="1:35" x14ac:dyDescent="0.3">
      <c r="A11" s="4">
        <v>713909000</v>
      </c>
      <c r="B11" s="5" t="s">
        <v>37</v>
      </c>
      <c r="C11" s="5" t="s">
        <v>38</v>
      </c>
      <c r="D11" s="5" t="s">
        <v>60</v>
      </c>
      <c r="E11" s="7">
        <v>45147</v>
      </c>
      <c r="F11" s="24">
        <f t="shared" si="0"/>
        <v>8</v>
      </c>
      <c r="G11" s="24">
        <f t="shared" si="1"/>
        <v>2023</v>
      </c>
      <c r="H11" s="5">
        <v>0</v>
      </c>
      <c r="I11" s="5" t="s">
        <v>40</v>
      </c>
      <c r="J11" s="5" t="s">
        <v>41</v>
      </c>
      <c r="K11" s="8">
        <v>3300</v>
      </c>
      <c r="L11" s="8">
        <v>3250</v>
      </c>
      <c r="M11" s="8">
        <v>3250</v>
      </c>
      <c r="N11" s="5" t="s">
        <v>42</v>
      </c>
      <c r="O11" s="8">
        <v>3250</v>
      </c>
      <c r="P11" s="5" t="s">
        <v>42</v>
      </c>
      <c r="Q11" s="8">
        <v>2600</v>
      </c>
      <c r="R11" s="9">
        <v>0.8</v>
      </c>
      <c r="S11" s="9">
        <v>0.8</v>
      </c>
      <c r="T11" s="5" t="s">
        <v>43</v>
      </c>
      <c r="U11" s="5" t="s">
        <v>44</v>
      </c>
      <c r="V11" s="5" t="s">
        <v>40</v>
      </c>
      <c r="W11" s="5" t="s">
        <v>45</v>
      </c>
      <c r="X11" s="5" t="s">
        <v>40</v>
      </c>
      <c r="Y11" s="5" t="s">
        <v>46</v>
      </c>
      <c r="Z11" s="5" t="s">
        <v>61</v>
      </c>
      <c r="AA11" s="5" t="s">
        <v>62</v>
      </c>
      <c r="AB11" s="5" t="s">
        <v>62</v>
      </c>
      <c r="AC11" s="5" t="s">
        <v>62</v>
      </c>
      <c r="AD11" s="5" t="s">
        <v>62</v>
      </c>
      <c r="AE11" s="5" t="s">
        <v>62</v>
      </c>
      <c r="AF11" s="5" t="s">
        <v>49</v>
      </c>
      <c r="AG11" s="5" t="s">
        <v>49</v>
      </c>
      <c r="AH11" s="5" t="s">
        <v>49</v>
      </c>
      <c r="AI11" s="5" t="s">
        <v>50</v>
      </c>
    </row>
    <row r="12" spans="1:35" x14ac:dyDescent="0.3">
      <c r="A12" s="4">
        <v>713909000</v>
      </c>
      <c r="B12" s="5" t="s">
        <v>37</v>
      </c>
      <c r="C12" s="5" t="s">
        <v>63</v>
      </c>
      <c r="D12" s="5" t="s">
        <v>64</v>
      </c>
      <c r="E12" s="7">
        <v>45419</v>
      </c>
      <c r="F12" s="24">
        <f t="shared" si="0"/>
        <v>5</v>
      </c>
      <c r="G12" s="24">
        <f t="shared" si="1"/>
        <v>2024</v>
      </c>
      <c r="H12" s="5">
        <v>20523273265</v>
      </c>
      <c r="I12" s="5" t="s">
        <v>65</v>
      </c>
      <c r="J12" s="5" t="s">
        <v>66</v>
      </c>
      <c r="K12" s="8">
        <v>840.99</v>
      </c>
      <c r="L12" s="8">
        <v>771.77</v>
      </c>
      <c r="M12" s="8">
        <v>771.77</v>
      </c>
      <c r="N12" s="5" t="s">
        <v>42</v>
      </c>
      <c r="O12" s="8">
        <v>108</v>
      </c>
      <c r="P12" s="5" t="s">
        <v>67</v>
      </c>
      <c r="Q12" s="8">
        <v>3037.5</v>
      </c>
      <c r="R12" s="9">
        <v>3.9350000000000001</v>
      </c>
      <c r="S12" s="9">
        <v>28.125</v>
      </c>
      <c r="T12" s="5" t="s">
        <v>68</v>
      </c>
      <c r="U12" s="5" t="s">
        <v>69</v>
      </c>
      <c r="V12" s="5" t="s">
        <v>40</v>
      </c>
      <c r="W12" s="5" t="s">
        <v>70</v>
      </c>
      <c r="X12" s="5" t="s">
        <v>71</v>
      </c>
      <c r="Y12" s="5" t="s">
        <v>72</v>
      </c>
      <c r="Z12" s="5" t="s">
        <v>73</v>
      </c>
      <c r="AA12" s="5" t="s">
        <v>74</v>
      </c>
      <c r="AB12" s="5" t="s">
        <v>74</v>
      </c>
      <c r="AC12" s="5" t="s">
        <v>74</v>
      </c>
      <c r="AD12" s="5" t="s">
        <v>74</v>
      </c>
      <c r="AE12" s="5" t="s">
        <v>74</v>
      </c>
      <c r="AF12" s="5" t="s">
        <v>75</v>
      </c>
      <c r="AG12" s="5" t="s">
        <v>76</v>
      </c>
      <c r="AH12" s="5" t="s">
        <v>76</v>
      </c>
      <c r="AI12" s="5" t="s">
        <v>50</v>
      </c>
    </row>
    <row r="13" spans="1:35" x14ac:dyDescent="0.3">
      <c r="A13" s="4">
        <v>713909000</v>
      </c>
      <c r="B13" s="5" t="s">
        <v>37</v>
      </c>
      <c r="C13" s="5" t="s">
        <v>63</v>
      </c>
      <c r="D13" s="5" t="s">
        <v>77</v>
      </c>
      <c r="E13" s="7">
        <v>45378</v>
      </c>
      <c r="F13" s="24">
        <f t="shared" si="0"/>
        <v>3</v>
      </c>
      <c r="G13" s="24">
        <f t="shared" si="1"/>
        <v>2024</v>
      </c>
      <c r="H13" s="5">
        <v>20503662354</v>
      </c>
      <c r="I13" s="5" t="s">
        <v>78</v>
      </c>
      <c r="J13" s="5" t="s">
        <v>79</v>
      </c>
      <c r="K13" s="8">
        <v>1595.36</v>
      </c>
      <c r="L13" s="8">
        <v>1486.36</v>
      </c>
      <c r="M13" s="8">
        <v>1486.36</v>
      </c>
      <c r="N13" s="5" t="s">
        <v>42</v>
      </c>
      <c r="O13" s="8">
        <v>156</v>
      </c>
      <c r="P13" s="5" t="s">
        <v>80</v>
      </c>
      <c r="Q13" s="8">
        <v>6552</v>
      </c>
      <c r="R13" s="9">
        <v>4.4080000000000004</v>
      </c>
      <c r="S13" s="9">
        <v>42</v>
      </c>
      <c r="T13" s="5" t="s">
        <v>68</v>
      </c>
      <c r="U13" s="5" t="s">
        <v>81</v>
      </c>
      <c r="V13" s="5" t="s">
        <v>40</v>
      </c>
      <c r="W13" s="5" t="s">
        <v>70</v>
      </c>
      <c r="X13" s="5" t="s">
        <v>82</v>
      </c>
      <c r="Y13" s="5" t="s">
        <v>83</v>
      </c>
      <c r="Z13" s="5" t="s">
        <v>84</v>
      </c>
      <c r="AA13" s="5" t="s">
        <v>85</v>
      </c>
      <c r="AB13" s="5" t="s">
        <v>85</v>
      </c>
      <c r="AC13" s="5" t="s">
        <v>85</v>
      </c>
      <c r="AD13" s="5" t="s">
        <v>85</v>
      </c>
      <c r="AE13" s="5" t="s">
        <v>85</v>
      </c>
      <c r="AF13" s="5" t="s">
        <v>86</v>
      </c>
      <c r="AG13" s="5" t="s">
        <v>87</v>
      </c>
      <c r="AH13" s="5" t="s">
        <v>88</v>
      </c>
      <c r="AI13" s="5" t="s">
        <v>50</v>
      </c>
    </row>
    <row r="14" spans="1:35" x14ac:dyDescent="0.3">
      <c r="A14" s="4">
        <v>713909000</v>
      </c>
      <c r="B14" s="5" t="s">
        <v>37</v>
      </c>
      <c r="C14" s="5" t="s">
        <v>63</v>
      </c>
      <c r="D14" s="5" t="s">
        <v>89</v>
      </c>
      <c r="E14" s="7">
        <v>45343</v>
      </c>
      <c r="F14" s="24">
        <f t="shared" si="0"/>
        <v>2</v>
      </c>
      <c r="G14" s="24">
        <f t="shared" si="1"/>
        <v>2024</v>
      </c>
      <c r="H14" s="5">
        <v>20503662354</v>
      </c>
      <c r="I14" s="5" t="s">
        <v>78</v>
      </c>
      <c r="J14" s="5" t="s">
        <v>90</v>
      </c>
      <c r="K14" s="8">
        <v>396.8</v>
      </c>
      <c r="L14" s="8">
        <v>61.93</v>
      </c>
      <c r="M14" s="8">
        <v>61.93</v>
      </c>
      <c r="N14" s="5" t="s">
        <v>42</v>
      </c>
      <c r="O14" s="8">
        <v>156</v>
      </c>
      <c r="P14" s="5" t="s">
        <v>80</v>
      </c>
      <c r="Q14" s="8">
        <v>6552</v>
      </c>
      <c r="R14" s="9">
        <v>105.79600000000001</v>
      </c>
      <c r="S14" s="9">
        <v>42</v>
      </c>
      <c r="T14" s="5" t="s">
        <v>68</v>
      </c>
      <c r="U14" s="5" t="s">
        <v>81</v>
      </c>
      <c r="V14" s="5" t="s">
        <v>40</v>
      </c>
      <c r="W14" s="5" t="s">
        <v>70</v>
      </c>
      <c r="X14" s="5" t="s">
        <v>82</v>
      </c>
      <c r="Y14" s="5" t="s">
        <v>83</v>
      </c>
      <c r="Z14" s="5" t="s">
        <v>91</v>
      </c>
      <c r="AA14" s="5" t="s">
        <v>92</v>
      </c>
      <c r="AB14" s="5" t="s">
        <v>92</v>
      </c>
      <c r="AC14" s="5" t="s">
        <v>92</v>
      </c>
      <c r="AD14" s="5" t="s">
        <v>92</v>
      </c>
      <c r="AE14" s="5" t="s">
        <v>92</v>
      </c>
      <c r="AF14" s="5" t="s">
        <v>86</v>
      </c>
      <c r="AG14" s="5" t="s">
        <v>87</v>
      </c>
      <c r="AH14" s="5" t="s">
        <v>88</v>
      </c>
      <c r="AI14" s="5" t="s">
        <v>50</v>
      </c>
    </row>
    <row r="15" spans="1:35" x14ac:dyDescent="0.3">
      <c r="A15" s="4">
        <v>713909000</v>
      </c>
      <c r="B15" s="5" t="s">
        <v>37</v>
      </c>
      <c r="C15" s="5" t="s">
        <v>63</v>
      </c>
      <c r="D15" s="5" t="s">
        <v>93</v>
      </c>
      <c r="E15" s="7">
        <v>45316</v>
      </c>
      <c r="F15" s="24">
        <f t="shared" si="0"/>
        <v>1</v>
      </c>
      <c r="G15" s="24">
        <f t="shared" si="1"/>
        <v>2024</v>
      </c>
      <c r="H15" s="5">
        <v>20503662354</v>
      </c>
      <c r="I15" s="5" t="s">
        <v>78</v>
      </c>
      <c r="J15" s="5" t="s">
        <v>90</v>
      </c>
      <c r="K15" s="8">
        <v>2653.22</v>
      </c>
      <c r="L15" s="8">
        <v>82.58</v>
      </c>
      <c r="M15" s="8">
        <v>82.58</v>
      </c>
      <c r="N15" s="5" t="s">
        <v>42</v>
      </c>
      <c r="O15" s="8">
        <v>208</v>
      </c>
      <c r="P15" s="5" t="s">
        <v>67</v>
      </c>
      <c r="Q15" s="8">
        <v>8736</v>
      </c>
      <c r="R15" s="9">
        <v>105.788</v>
      </c>
      <c r="S15" s="9">
        <v>42</v>
      </c>
      <c r="T15" s="5" t="s">
        <v>68</v>
      </c>
      <c r="U15" s="5" t="s">
        <v>94</v>
      </c>
      <c r="V15" s="5" t="s">
        <v>40</v>
      </c>
      <c r="W15" s="5" t="s">
        <v>70</v>
      </c>
      <c r="X15" s="5" t="s">
        <v>95</v>
      </c>
      <c r="Y15" s="5" t="s">
        <v>83</v>
      </c>
      <c r="Z15" s="5" t="s">
        <v>96</v>
      </c>
      <c r="AA15" s="5" t="s">
        <v>97</v>
      </c>
      <c r="AB15" s="5" t="s">
        <v>97</v>
      </c>
      <c r="AC15" s="5" t="s">
        <v>97</v>
      </c>
      <c r="AD15" s="5" t="s">
        <v>97</v>
      </c>
      <c r="AE15" s="5" t="s">
        <v>97</v>
      </c>
      <c r="AF15" s="5" t="s">
        <v>98</v>
      </c>
      <c r="AG15" s="5" t="s">
        <v>87</v>
      </c>
      <c r="AH15" s="5" t="s">
        <v>99</v>
      </c>
      <c r="AI15" s="5" t="s">
        <v>50</v>
      </c>
    </row>
    <row r="16" spans="1:35" x14ac:dyDescent="0.3">
      <c r="A16" s="4">
        <v>713909000</v>
      </c>
      <c r="B16" s="5" t="s">
        <v>37</v>
      </c>
      <c r="C16" s="5" t="s">
        <v>63</v>
      </c>
      <c r="D16" s="5" t="s">
        <v>100</v>
      </c>
      <c r="E16" s="7">
        <v>45378</v>
      </c>
      <c r="F16" s="24">
        <f t="shared" si="0"/>
        <v>3</v>
      </c>
      <c r="G16" s="24">
        <f t="shared" si="1"/>
        <v>2024</v>
      </c>
      <c r="H16" s="5">
        <v>20523273265</v>
      </c>
      <c r="I16" s="5" t="s">
        <v>65</v>
      </c>
      <c r="J16" s="5" t="s">
        <v>66</v>
      </c>
      <c r="K16" s="8">
        <v>777.2</v>
      </c>
      <c r="L16" s="8">
        <v>714.6</v>
      </c>
      <c r="M16" s="8">
        <v>714.6</v>
      </c>
      <c r="N16" s="5" t="s">
        <v>42</v>
      </c>
      <c r="O16" s="8">
        <v>100</v>
      </c>
      <c r="P16" s="5" t="s">
        <v>67</v>
      </c>
      <c r="Q16" s="8">
        <v>2812.5</v>
      </c>
      <c r="R16" s="9">
        <v>3.9350000000000001</v>
      </c>
      <c r="S16" s="9">
        <v>28.125</v>
      </c>
      <c r="T16" s="5" t="s">
        <v>68</v>
      </c>
      <c r="U16" s="5" t="s">
        <v>69</v>
      </c>
      <c r="V16" s="5" t="s">
        <v>40</v>
      </c>
      <c r="W16" s="5" t="s">
        <v>70</v>
      </c>
      <c r="X16" s="5" t="s">
        <v>71</v>
      </c>
      <c r="Y16" s="5" t="s">
        <v>72</v>
      </c>
      <c r="Z16" s="5" t="s">
        <v>73</v>
      </c>
      <c r="AA16" s="5" t="s">
        <v>74</v>
      </c>
      <c r="AB16" s="5" t="s">
        <v>74</v>
      </c>
      <c r="AC16" s="5" t="s">
        <v>74</v>
      </c>
      <c r="AD16" s="5" t="s">
        <v>74</v>
      </c>
      <c r="AE16" s="5" t="s">
        <v>74</v>
      </c>
      <c r="AF16" s="5" t="s">
        <v>75</v>
      </c>
      <c r="AG16" s="5" t="s">
        <v>76</v>
      </c>
      <c r="AH16" s="5" t="s">
        <v>76</v>
      </c>
      <c r="AI16" s="5" t="s">
        <v>50</v>
      </c>
    </row>
    <row r="17" spans="1:35" x14ac:dyDescent="0.3">
      <c r="A17" s="4">
        <v>713909000</v>
      </c>
      <c r="B17" s="5" t="s">
        <v>37</v>
      </c>
      <c r="C17" s="5" t="s">
        <v>63</v>
      </c>
      <c r="D17" s="5" t="s">
        <v>101</v>
      </c>
      <c r="E17" s="7">
        <v>45372</v>
      </c>
      <c r="F17" s="24">
        <f t="shared" si="0"/>
        <v>3</v>
      </c>
      <c r="G17" s="24">
        <f t="shared" si="1"/>
        <v>2024</v>
      </c>
      <c r="H17" s="5">
        <v>20523273265</v>
      </c>
      <c r="I17" s="5" t="s">
        <v>65</v>
      </c>
      <c r="J17" s="5" t="s">
        <v>102</v>
      </c>
      <c r="K17" s="8">
        <v>6212</v>
      </c>
      <c r="L17" s="8">
        <v>6123.6</v>
      </c>
      <c r="M17" s="8">
        <v>6123.6</v>
      </c>
      <c r="N17" s="5" t="s">
        <v>42</v>
      </c>
      <c r="O17" s="8">
        <v>270</v>
      </c>
      <c r="P17" s="5" t="s">
        <v>103</v>
      </c>
      <c r="Q17" s="8">
        <v>20207.88</v>
      </c>
      <c r="R17" s="9">
        <v>3.3</v>
      </c>
      <c r="S17" s="9">
        <v>74.843999999999994</v>
      </c>
      <c r="T17" s="5" t="s">
        <v>68</v>
      </c>
      <c r="U17" s="5" t="s">
        <v>94</v>
      </c>
      <c r="V17" s="5" t="s">
        <v>40</v>
      </c>
      <c r="W17" s="5" t="s">
        <v>70</v>
      </c>
      <c r="X17" s="5" t="s">
        <v>95</v>
      </c>
      <c r="Y17" s="5" t="s">
        <v>72</v>
      </c>
      <c r="Z17" s="5" t="s">
        <v>104</v>
      </c>
      <c r="AA17" s="5" t="s">
        <v>105</v>
      </c>
      <c r="AB17" s="5" t="s">
        <v>105</v>
      </c>
      <c r="AC17" s="5" t="s">
        <v>105</v>
      </c>
      <c r="AD17" s="5" t="s">
        <v>105</v>
      </c>
      <c r="AE17" s="5" t="s">
        <v>105</v>
      </c>
      <c r="AF17" s="5" t="s">
        <v>98</v>
      </c>
      <c r="AG17" s="5" t="s">
        <v>106</v>
      </c>
      <c r="AH17" s="5" t="s">
        <v>107</v>
      </c>
      <c r="AI17" s="5" t="s">
        <v>50</v>
      </c>
    </row>
    <row r="18" spans="1:35" x14ac:dyDescent="0.3">
      <c r="A18" s="4">
        <v>713909000</v>
      </c>
      <c r="B18" s="5" t="s">
        <v>37</v>
      </c>
      <c r="C18" s="5" t="s">
        <v>63</v>
      </c>
      <c r="D18" s="5" t="s">
        <v>108</v>
      </c>
      <c r="E18" s="7">
        <v>45210</v>
      </c>
      <c r="F18" s="24">
        <f t="shared" si="0"/>
        <v>10</v>
      </c>
      <c r="G18" s="24">
        <f t="shared" si="1"/>
        <v>2023</v>
      </c>
      <c r="H18" s="5">
        <v>20503662354</v>
      </c>
      <c r="I18" s="5" t="s">
        <v>78</v>
      </c>
      <c r="J18" s="5" t="s">
        <v>90</v>
      </c>
      <c r="K18" s="8">
        <v>557.14</v>
      </c>
      <c r="L18" s="8">
        <v>495.46</v>
      </c>
      <c r="M18" s="8">
        <v>495.46</v>
      </c>
      <c r="N18" s="5" t="s">
        <v>42</v>
      </c>
      <c r="O18" s="8">
        <v>52</v>
      </c>
      <c r="P18" s="5" t="s">
        <v>67</v>
      </c>
      <c r="Q18" s="8">
        <v>1976</v>
      </c>
      <c r="R18" s="9">
        <v>3.988</v>
      </c>
      <c r="S18" s="9">
        <v>38</v>
      </c>
      <c r="T18" s="5" t="s">
        <v>68</v>
      </c>
      <c r="U18" s="5" t="s">
        <v>94</v>
      </c>
      <c r="V18" s="5" t="s">
        <v>40</v>
      </c>
      <c r="W18" s="5" t="s">
        <v>70</v>
      </c>
      <c r="X18" s="5" t="s">
        <v>109</v>
      </c>
      <c r="Y18" s="5" t="s">
        <v>83</v>
      </c>
      <c r="Z18" s="5" t="s">
        <v>110</v>
      </c>
      <c r="AA18" s="5" t="s">
        <v>111</v>
      </c>
      <c r="AB18" s="5" t="s">
        <v>111</v>
      </c>
      <c r="AC18" s="5" t="s">
        <v>111</v>
      </c>
      <c r="AD18" s="5" t="s">
        <v>111</v>
      </c>
      <c r="AE18" s="5" t="s">
        <v>111</v>
      </c>
      <c r="AF18" s="5" t="s">
        <v>112</v>
      </c>
      <c r="AG18" s="5" t="s">
        <v>87</v>
      </c>
      <c r="AH18" s="5" t="s">
        <v>113</v>
      </c>
      <c r="AI18" s="5" t="s">
        <v>50</v>
      </c>
    </row>
    <row r="19" spans="1:35" x14ac:dyDescent="0.3">
      <c r="A19" s="4">
        <v>713909000</v>
      </c>
      <c r="B19" s="5" t="s">
        <v>37</v>
      </c>
      <c r="C19" s="5" t="s">
        <v>63</v>
      </c>
      <c r="D19" s="5" t="s">
        <v>114</v>
      </c>
      <c r="E19" s="7">
        <v>45126</v>
      </c>
      <c r="F19" s="24">
        <f t="shared" si="0"/>
        <v>7</v>
      </c>
      <c r="G19" s="24">
        <f t="shared" si="1"/>
        <v>2023</v>
      </c>
      <c r="H19" s="5">
        <v>20503662354</v>
      </c>
      <c r="I19" s="5" t="s">
        <v>78</v>
      </c>
      <c r="J19" s="5" t="s">
        <v>115</v>
      </c>
      <c r="K19" s="8">
        <v>990.91</v>
      </c>
      <c r="L19" s="8">
        <v>990.91</v>
      </c>
      <c r="M19" s="8">
        <v>990.91</v>
      </c>
      <c r="N19" s="5" t="s">
        <v>42</v>
      </c>
      <c r="O19" s="8">
        <v>104</v>
      </c>
      <c r="P19" s="5" t="s">
        <v>80</v>
      </c>
      <c r="Q19" s="8">
        <v>3952</v>
      </c>
      <c r="R19" s="9">
        <v>3.988</v>
      </c>
      <c r="S19" s="9">
        <v>38</v>
      </c>
      <c r="T19" s="5" t="s">
        <v>68</v>
      </c>
      <c r="U19" s="5" t="s">
        <v>116</v>
      </c>
      <c r="V19" s="5" t="s">
        <v>40</v>
      </c>
      <c r="W19" s="5" t="s">
        <v>70</v>
      </c>
      <c r="X19" s="5" t="s">
        <v>117</v>
      </c>
      <c r="Y19" s="5" t="s">
        <v>118</v>
      </c>
      <c r="Z19" s="5" t="s">
        <v>119</v>
      </c>
      <c r="AA19" s="5" t="s">
        <v>120</v>
      </c>
      <c r="AB19" s="5" t="s">
        <v>120</v>
      </c>
      <c r="AC19" s="5" t="s">
        <v>120</v>
      </c>
      <c r="AD19" s="5" t="s">
        <v>120</v>
      </c>
      <c r="AE19" s="5" t="s">
        <v>120</v>
      </c>
      <c r="AF19" s="5" t="s">
        <v>121</v>
      </c>
      <c r="AG19" s="5" t="s">
        <v>122</v>
      </c>
      <c r="AH19" s="5" t="s">
        <v>123</v>
      </c>
      <c r="AI19" s="5" t="s">
        <v>50</v>
      </c>
    </row>
    <row r="20" spans="1:35" x14ac:dyDescent="0.3">
      <c r="A20" s="4">
        <v>713909000</v>
      </c>
      <c r="B20" s="5" t="s">
        <v>37</v>
      </c>
      <c r="C20" s="5" t="s">
        <v>63</v>
      </c>
      <c r="D20" s="5" t="s">
        <v>124</v>
      </c>
      <c r="E20" s="7">
        <v>45098</v>
      </c>
      <c r="F20" s="24">
        <f t="shared" si="0"/>
        <v>6</v>
      </c>
      <c r="G20" s="24">
        <f t="shared" si="1"/>
        <v>2023</v>
      </c>
      <c r="H20" s="5">
        <v>20503662354</v>
      </c>
      <c r="I20" s="5" t="s">
        <v>78</v>
      </c>
      <c r="J20" s="5" t="s">
        <v>115</v>
      </c>
      <c r="K20" s="8">
        <v>1064.33</v>
      </c>
      <c r="L20" s="8">
        <v>990.91</v>
      </c>
      <c r="M20" s="8">
        <v>990.91</v>
      </c>
      <c r="N20" s="5" t="s">
        <v>42</v>
      </c>
      <c r="O20" s="8">
        <v>104</v>
      </c>
      <c r="P20" s="5" t="s">
        <v>80</v>
      </c>
      <c r="Q20" s="8">
        <v>3120</v>
      </c>
      <c r="R20" s="9">
        <v>3.1480000000000001</v>
      </c>
      <c r="S20" s="9">
        <v>30</v>
      </c>
      <c r="T20" s="5" t="s">
        <v>68</v>
      </c>
      <c r="U20" s="5" t="s">
        <v>116</v>
      </c>
      <c r="V20" s="5" t="s">
        <v>40</v>
      </c>
      <c r="W20" s="5" t="s">
        <v>70</v>
      </c>
      <c r="X20" s="5" t="s">
        <v>109</v>
      </c>
      <c r="Y20" s="5" t="s">
        <v>118</v>
      </c>
      <c r="Z20" s="5" t="s">
        <v>125</v>
      </c>
      <c r="AA20" s="5" t="s">
        <v>126</v>
      </c>
      <c r="AB20" s="5" t="s">
        <v>126</v>
      </c>
      <c r="AC20" s="5" t="s">
        <v>126</v>
      </c>
      <c r="AD20" s="5" t="s">
        <v>126</v>
      </c>
      <c r="AE20" s="5" t="s">
        <v>126</v>
      </c>
      <c r="AF20" s="5" t="s">
        <v>121</v>
      </c>
      <c r="AG20" s="5" t="s">
        <v>122</v>
      </c>
      <c r="AH20" s="5" t="s">
        <v>127</v>
      </c>
      <c r="AI20" s="5" t="s">
        <v>49</v>
      </c>
    </row>
    <row r="21" spans="1:35" x14ac:dyDescent="0.3">
      <c r="A21" s="4">
        <v>713909000</v>
      </c>
      <c r="B21" s="5" t="s">
        <v>37</v>
      </c>
      <c r="C21" s="5" t="s">
        <v>63</v>
      </c>
      <c r="D21" s="5" t="s">
        <v>128</v>
      </c>
      <c r="E21" s="7">
        <v>45062</v>
      </c>
      <c r="F21" s="24">
        <f t="shared" si="0"/>
        <v>5</v>
      </c>
      <c r="G21" s="24">
        <f t="shared" si="1"/>
        <v>2023</v>
      </c>
      <c r="H21" s="5">
        <v>20503662354</v>
      </c>
      <c r="I21" s="5" t="s">
        <v>78</v>
      </c>
      <c r="J21" s="5" t="s">
        <v>115</v>
      </c>
      <c r="K21" s="8">
        <v>1140.26</v>
      </c>
      <c r="L21" s="8">
        <v>1052.72</v>
      </c>
      <c r="M21" s="8">
        <v>1052.72</v>
      </c>
      <c r="N21" s="5" t="s">
        <v>42</v>
      </c>
      <c r="O21" s="8">
        <v>104</v>
      </c>
      <c r="P21" s="5" t="s">
        <v>80</v>
      </c>
      <c r="Q21" s="8">
        <v>3120</v>
      </c>
      <c r="R21" s="9">
        <v>2.9630000000000001</v>
      </c>
      <c r="S21" s="9">
        <v>30</v>
      </c>
      <c r="T21" s="5" t="s">
        <v>68</v>
      </c>
      <c r="U21" s="5" t="s">
        <v>69</v>
      </c>
      <c r="V21" s="5" t="s">
        <v>40</v>
      </c>
      <c r="W21" s="5" t="s">
        <v>70</v>
      </c>
      <c r="X21" s="5" t="s">
        <v>71</v>
      </c>
      <c r="Y21" s="5" t="s">
        <v>118</v>
      </c>
      <c r="Z21" s="5" t="s">
        <v>125</v>
      </c>
      <c r="AA21" s="5" t="s">
        <v>126</v>
      </c>
      <c r="AB21" s="5" t="s">
        <v>126</v>
      </c>
      <c r="AC21" s="5" t="s">
        <v>126</v>
      </c>
      <c r="AD21" s="5" t="s">
        <v>126</v>
      </c>
      <c r="AE21" s="5" t="s">
        <v>126</v>
      </c>
      <c r="AF21" s="5" t="s">
        <v>75</v>
      </c>
      <c r="AG21" s="5" t="s">
        <v>122</v>
      </c>
      <c r="AH21" s="5" t="s">
        <v>127</v>
      </c>
      <c r="AI21" s="5" t="s">
        <v>50</v>
      </c>
    </row>
    <row r="22" spans="1:35" x14ac:dyDescent="0.3">
      <c r="A22" s="4">
        <v>713909000</v>
      </c>
      <c r="B22" s="5" t="s">
        <v>37</v>
      </c>
      <c r="C22" s="5" t="s">
        <v>38</v>
      </c>
      <c r="D22" s="5" t="s">
        <v>129</v>
      </c>
      <c r="E22" s="7">
        <v>45505</v>
      </c>
      <c r="F22" s="24">
        <f t="shared" si="0"/>
        <v>8</v>
      </c>
      <c r="G22" s="24">
        <f t="shared" si="1"/>
        <v>2024</v>
      </c>
      <c r="H22" s="5">
        <v>20409318135</v>
      </c>
      <c r="I22" s="5" t="s">
        <v>130</v>
      </c>
      <c r="J22" s="5" t="s">
        <v>131</v>
      </c>
      <c r="K22" s="8">
        <v>10039.209999999999</v>
      </c>
      <c r="L22" s="8">
        <v>10000</v>
      </c>
      <c r="M22" s="8">
        <v>10000</v>
      </c>
      <c r="N22" s="5" t="s">
        <v>42</v>
      </c>
      <c r="O22" s="8">
        <v>10000</v>
      </c>
      <c r="P22" s="5" t="s">
        <v>42</v>
      </c>
      <c r="Q22" s="8">
        <v>7400</v>
      </c>
      <c r="R22" s="9">
        <v>0.74</v>
      </c>
      <c r="S22" s="9">
        <v>0.74</v>
      </c>
      <c r="T22" s="5" t="s">
        <v>43</v>
      </c>
      <c r="U22" s="5" t="s">
        <v>44</v>
      </c>
      <c r="V22" s="5" t="s">
        <v>40</v>
      </c>
      <c r="W22" s="5" t="s">
        <v>45</v>
      </c>
      <c r="X22" s="5" t="s">
        <v>40</v>
      </c>
      <c r="Y22" s="5" t="s">
        <v>132</v>
      </c>
      <c r="Z22" s="5" t="s">
        <v>133</v>
      </c>
      <c r="AA22" s="5" t="s">
        <v>134</v>
      </c>
      <c r="AB22" s="5" t="s">
        <v>134</v>
      </c>
      <c r="AC22" s="5" t="s">
        <v>134</v>
      </c>
      <c r="AD22" s="5" t="s">
        <v>134</v>
      </c>
      <c r="AE22" s="5" t="s">
        <v>134</v>
      </c>
      <c r="AF22" s="5" t="s">
        <v>49</v>
      </c>
      <c r="AG22" s="5" t="s">
        <v>49</v>
      </c>
      <c r="AH22" s="5" t="s">
        <v>49</v>
      </c>
      <c r="AI22" s="5" t="s">
        <v>50</v>
      </c>
    </row>
    <row r="23" spans="1:35" x14ac:dyDescent="0.3">
      <c r="A23" s="4">
        <v>713909000</v>
      </c>
      <c r="B23" s="5" t="s">
        <v>37</v>
      </c>
      <c r="C23" s="5" t="s">
        <v>63</v>
      </c>
      <c r="D23" s="5" t="s">
        <v>135</v>
      </c>
      <c r="E23" s="7">
        <v>44999</v>
      </c>
      <c r="F23" s="24">
        <f t="shared" si="0"/>
        <v>3</v>
      </c>
      <c r="G23" s="24">
        <f t="shared" si="1"/>
        <v>2023</v>
      </c>
      <c r="H23" s="5">
        <v>20503662354</v>
      </c>
      <c r="I23" s="5" t="s">
        <v>78</v>
      </c>
      <c r="J23" s="5" t="s">
        <v>90</v>
      </c>
      <c r="K23" s="8">
        <v>1065.24</v>
      </c>
      <c r="L23" s="8">
        <v>990.91</v>
      </c>
      <c r="M23" s="8">
        <v>990.91</v>
      </c>
      <c r="N23" s="5" t="s">
        <v>42</v>
      </c>
      <c r="O23" s="8">
        <v>104</v>
      </c>
      <c r="P23" s="5" t="s">
        <v>80</v>
      </c>
      <c r="Q23" s="8">
        <v>3120</v>
      </c>
      <c r="R23" s="9">
        <v>3.1480000000000001</v>
      </c>
      <c r="S23" s="9">
        <v>30</v>
      </c>
      <c r="T23" s="5" t="s">
        <v>68</v>
      </c>
      <c r="U23" s="5" t="s">
        <v>69</v>
      </c>
      <c r="V23" s="5" t="s">
        <v>40</v>
      </c>
      <c r="W23" s="5" t="s">
        <v>70</v>
      </c>
      <c r="X23" s="5" t="s">
        <v>71</v>
      </c>
      <c r="Y23" s="5" t="s">
        <v>136</v>
      </c>
      <c r="Z23" s="5" t="s">
        <v>137</v>
      </c>
      <c r="AA23" s="5" t="s">
        <v>138</v>
      </c>
      <c r="AB23" s="5" t="s">
        <v>138</v>
      </c>
      <c r="AC23" s="5" t="s">
        <v>138</v>
      </c>
      <c r="AD23" s="5" t="s">
        <v>138</v>
      </c>
      <c r="AE23" s="5" t="s">
        <v>138</v>
      </c>
      <c r="AF23" s="5" t="s">
        <v>75</v>
      </c>
      <c r="AG23" s="5" t="s">
        <v>139</v>
      </c>
      <c r="AH23" s="5" t="s">
        <v>140</v>
      </c>
      <c r="AI23" s="5" t="s">
        <v>49</v>
      </c>
    </row>
    <row r="24" spans="1:35" x14ac:dyDescent="0.3">
      <c r="A24" s="4">
        <v>713909000</v>
      </c>
      <c r="B24" s="5" t="s">
        <v>37</v>
      </c>
      <c r="C24" s="5" t="s">
        <v>63</v>
      </c>
      <c r="D24" s="5" t="s">
        <v>141</v>
      </c>
      <c r="E24" s="7">
        <v>45321</v>
      </c>
      <c r="F24" s="24">
        <f t="shared" si="0"/>
        <v>1</v>
      </c>
      <c r="G24" s="24">
        <f t="shared" si="1"/>
        <v>2024</v>
      </c>
      <c r="H24" s="5">
        <v>20523273265</v>
      </c>
      <c r="I24" s="5" t="s">
        <v>65</v>
      </c>
      <c r="J24" s="5" t="s">
        <v>66</v>
      </c>
      <c r="K24" s="8">
        <v>360.49</v>
      </c>
      <c r="L24" s="8">
        <v>321.57</v>
      </c>
      <c r="M24" s="8">
        <v>321.57</v>
      </c>
      <c r="N24" s="5" t="s">
        <v>42</v>
      </c>
      <c r="O24" s="8">
        <v>45</v>
      </c>
      <c r="P24" s="5" t="s">
        <v>67</v>
      </c>
      <c r="Q24" s="8">
        <v>1265.6300000000001</v>
      </c>
      <c r="R24" s="9">
        <v>3.9350000000000001</v>
      </c>
      <c r="S24" s="9">
        <v>28.125</v>
      </c>
      <c r="T24" s="5" t="s">
        <v>68</v>
      </c>
      <c r="U24" s="5" t="s">
        <v>69</v>
      </c>
      <c r="V24" s="5" t="s">
        <v>40</v>
      </c>
      <c r="W24" s="5" t="s">
        <v>70</v>
      </c>
      <c r="X24" s="5" t="s">
        <v>71</v>
      </c>
      <c r="Y24" s="5" t="s">
        <v>72</v>
      </c>
      <c r="Z24" s="5" t="s">
        <v>73</v>
      </c>
      <c r="AA24" s="5" t="s">
        <v>74</v>
      </c>
      <c r="AB24" s="5" t="s">
        <v>74</v>
      </c>
      <c r="AC24" s="5" t="s">
        <v>74</v>
      </c>
      <c r="AD24" s="5" t="s">
        <v>74</v>
      </c>
      <c r="AE24" s="5" t="s">
        <v>74</v>
      </c>
      <c r="AF24" s="5" t="s">
        <v>75</v>
      </c>
      <c r="AG24" s="5" t="s">
        <v>76</v>
      </c>
      <c r="AH24" s="5" t="s">
        <v>76</v>
      </c>
      <c r="AI24" s="5" t="s">
        <v>50</v>
      </c>
    </row>
    <row r="25" spans="1:35" x14ac:dyDescent="0.3">
      <c r="A25" s="4">
        <v>713909000</v>
      </c>
      <c r="B25" s="5" t="s">
        <v>37</v>
      </c>
      <c r="C25" s="5" t="s">
        <v>63</v>
      </c>
      <c r="D25" s="5" t="s">
        <v>142</v>
      </c>
      <c r="E25" s="7">
        <v>44692</v>
      </c>
      <c r="F25" s="24">
        <f t="shared" si="0"/>
        <v>5</v>
      </c>
      <c r="G25" s="24">
        <f t="shared" si="1"/>
        <v>2022</v>
      </c>
      <c r="H25" s="5">
        <v>20565443993</v>
      </c>
      <c r="I25" s="5" t="s">
        <v>143</v>
      </c>
      <c r="J25" s="5" t="s">
        <v>144</v>
      </c>
      <c r="K25" s="8">
        <v>1192.19</v>
      </c>
      <c r="L25" s="8">
        <v>1157.7</v>
      </c>
      <c r="M25" s="8">
        <v>1157.7</v>
      </c>
      <c r="N25" s="5" t="s">
        <v>42</v>
      </c>
      <c r="O25" s="8">
        <v>51</v>
      </c>
      <c r="P25" s="5" t="s">
        <v>67</v>
      </c>
      <c r="Q25" s="8">
        <v>1787</v>
      </c>
      <c r="R25" s="9">
        <v>1.5429999999999999</v>
      </c>
      <c r="S25" s="9">
        <v>35.039000000000001</v>
      </c>
      <c r="T25" s="5" t="s">
        <v>68</v>
      </c>
      <c r="U25" s="5" t="s">
        <v>69</v>
      </c>
      <c r="V25" s="5" t="s">
        <v>40</v>
      </c>
      <c r="W25" s="5" t="s">
        <v>70</v>
      </c>
      <c r="X25" s="5" t="s">
        <v>71</v>
      </c>
      <c r="Y25" s="5" t="s">
        <v>72</v>
      </c>
      <c r="Z25" s="5" t="s">
        <v>145</v>
      </c>
      <c r="AA25" s="5" t="s">
        <v>146</v>
      </c>
      <c r="AB25" s="5" t="s">
        <v>146</v>
      </c>
      <c r="AC25" s="5" t="s">
        <v>146</v>
      </c>
      <c r="AD25" s="5" t="s">
        <v>146</v>
      </c>
      <c r="AE25" s="5" t="s">
        <v>146</v>
      </c>
      <c r="AF25" s="5" t="s">
        <v>75</v>
      </c>
      <c r="AG25" s="5" t="s">
        <v>76</v>
      </c>
      <c r="AH25" s="5" t="s">
        <v>76</v>
      </c>
      <c r="AI25" s="5" t="s">
        <v>50</v>
      </c>
    </row>
    <row r="26" spans="1:35" x14ac:dyDescent="0.3">
      <c r="A26" s="4">
        <v>713909000</v>
      </c>
      <c r="B26" s="5" t="s">
        <v>37</v>
      </c>
      <c r="C26" s="5" t="s">
        <v>63</v>
      </c>
      <c r="D26" s="5" t="s">
        <v>147</v>
      </c>
      <c r="E26" s="7">
        <v>44902</v>
      </c>
      <c r="F26" s="24">
        <f t="shared" si="0"/>
        <v>12</v>
      </c>
      <c r="G26" s="24">
        <f t="shared" si="1"/>
        <v>2022</v>
      </c>
      <c r="H26" s="5">
        <v>20503662354</v>
      </c>
      <c r="I26" s="5" t="s">
        <v>78</v>
      </c>
      <c r="J26" s="5" t="s">
        <v>90</v>
      </c>
      <c r="K26" s="8">
        <v>1063.26</v>
      </c>
      <c r="L26" s="8">
        <v>990.91</v>
      </c>
      <c r="M26" s="8">
        <v>990.91</v>
      </c>
      <c r="N26" s="5" t="s">
        <v>42</v>
      </c>
      <c r="O26" s="8">
        <v>104</v>
      </c>
      <c r="P26" s="5" t="s">
        <v>80</v>
      </c>
      <c r="Q26" s="8">
        <v>2496</v>
      </c>
      <c r="R26" s="9">
        <v>2.5179999999999998</v>
      </c>
      <c r="S26" s="9">
        <v>24</v>
      </c>
      <c r="T26" s="5" t="s">
        <v>68</v>
      </c>
      <c r="U26" s="5" t="s">
        <v>69</v>
      </c>
      <c r="V26" s="5" t="s">
        <v>40</v>
      </c>
      <c r="W26" s="5" t="s">
        <v>70</v>
      </c>
      <c r="X26" s="5" t="s">
        <v>71</v>
      </c>
      <c r="Y26" s="5" t="s">
        <v>136</v>
      </c>
      <c r="Z26" s="5" t="s">
        <v>148</v>
      </c>
      <c r="AA26" s="5" t="s">
        <v>149</v>
      </c>
      <c r="AB26" s="5" t="s">
        <v>149</v>
      </c>
      <c r="AC26" s="5" t="s">
        <v>149</v>
      </c>
      <c r="AD26" s="5" t="s">
        <v>149</v>
      </c>
      <c r="AE26" s="5" t="s">
        <v>149</v>
      </c>
      <c r="AF26" s="5" t="s">
        <v>75</v>
      </c>
      <c r="AG26" s="5" t="s">
        <v>139</v>
      </c>
      <c r="AH26" s="5" t="s">
        <v>140</v>
      </c>
      <c r="AI26" s="5" t="s">
        <v>49</v>
      </c>
    </row>
    <row r="27" spans="1:35" x14ac:dyDescent="0.3">
      <c r="A27" s="4">
        <v>713909000</v>
      </c>
      <c r="B27" s="5" t="s">
        <v>37</v>
      </c>
      <c r="C27" s="5" t="s">
        <v>38</v>
      </c>
      <c r="D27" s="5" t="s">
        <v>150</v>
      </c>
      <c r="E27" s="7">
        <v>45449</v>
      </c>
      <c r="F27" s="24">
        <f t="shared" si="0"/>
        <v>6</v>
      </c>
      <c r="G27" s="24">
        <f t="shared" si="1"/>
        <v>2024</v>
      </c>
      <c r="H27" s="5">
        <v>20409318135</v>
      </c>
      <c r="I27" s="5" t="s">
        <v>130</v>
      </c>
      <c r="J27" s="5" t="s">
        <v>131</v>
      </c>
      <c r="K27" s="8">
        <v>10050</v>
      </c>
      <c r="L27" s="8">
        <v>10000</v>
      </c>
      <c r="M27" s="8">
        <v>10000</v>
      </c>
      <c r="N27" s="5" t="s">
        <v>42</v>
      </c>
      <c r="O27" s="8">
        <v>10000</v>
      </c>
      <c r="P27" s="5" t="s">
        <v>42</v>
      </c>
      <c r="Q27" s="8">
        <v>7400</v>
      </c>
      <c r="R27" s="9">
        <v>0.74</v>
      </c>
      <c r="S27" s="9">
        <v>0.74</v>
      </c>
      <c r="T27" s="5" t="s">
        <v>43</v>
      </c>
      <c r="U27" s="5" t="s">
        <v>44</v>
      </c>
      <c r="V27" s="5" t="s">
        <v>40</v>
      </c>
      <c r="W27" s="5" t="s">
        <v>45</v>
      </c>
      <c r="X27" s="5" t="s">
        <v>40</v>
      </c>
      <c r="Y27" s="5" t="s">
        <v>132</v>
      </c>
      <c r="Z27" s="5" t="s">
        <v>151</v>
      </c>
      <c r="AA27" s="5" t="s">
        <v>152</v>
      </c>
      <c r="AB27" s="5" t="s">
        <v>152</v>
      </c>
      <c r="AC27" s="5" t="s">
        <v>152</v>
      </c>
      <c r="AD27" s="5" t="s">
        <v>152</v>
      </c>
      <c r="AE27" s="5" t="s">
        <v>152</v>
      </c>
      <c r="AF27" s="5" t="s">
        <v>49</v>
      </c>
      <c r="AG27" s="5" t="s">
        <v>49</v>
      </c>
      <c r="AH27" s="5" t="s">
        <v>49</v>
      </c>
      <c r="AI27" s="5" t="s">
        <v>50</v>
      </c>
    </row>
    <row r="28" spans="1:35" x14ac:dyDescent="0.3">
      <c r="A28" s="4">
        <v>713909000</v>
      </c>
      <c r="B28" s="5" t="s">
        <v>37</v>
      </c>
      <c r="C28" s="5" t="s">
        <v>38</v>
      </c>
      <c r="D28" s="5" t="s">
        <v>153</v>
      </c>
      <c r="E28" s="7">
        <v>45456</v>
      </c>
      <c r="F28" s="24">
        <f t="shared" si="0"/>
        <v>6</v>
      </c>
      <c r="G28" s="24">
        <f t="shared" si="1"/>
        <v>2024</v>
      </c>
      <c r="H28" s="5">
        <v>20409318135</v>
      </c>
      <c r="I28" s="5" t="s">
        <v>130</v>
      </c>
      <c r="J28" s="5" t="s">
        <v>131</v>
      </c>
      <c r="K28" s="8">
        <v>15058.92</v>
      </c>
      <c r="L28" s="8">
        <v>15000</v>
      </c>
      <c r="M28" s="8">
        <v>15000</v>
      </c>
      <c r="N28" s="5" t="s">
        <v>42</v>
      </c>
      <c r="O28" s="8">
        <v>15000</v>
      </c>
      <c r="P28" s="5" t="s">
        <v>42</v>
      </c>
      <c r="Q28" s="8">
        <v>11100</v>
      </c>
      <c r="R28" s="9">
        <v>0.74</v>
      </c>
      <c r="S28" s="9">
        <v>0.74</v>
      </c>
      <c r="T28" s="5" t="s">
        <v>43</v>
      </c>
      <c r="U28" s="5" t="s">
        <v>44</v>
      </c>
      <c r="V28" s="5" t="s">
        <v>40</v>
      </c>
      <c r="W28" s="5" t="s">
        <v>45</v>
      </c>
      <c r="X28" s="5" t="s">
        <v>40</v>
      </c>
      <c r="Y28" s="5" t="s">
        <v>132</v>
      </c>
      <c r="Z28" s="5" t="s">
        <v>154</v>
      </c>
      <c r="AA28" s="5" t="s">
        <v>155</v>
      </c>
      <c r="AB28" s="5" t="s">
        <v>155</v>
      </c>
      <c r="AC28" s="5" t="s">
        <v>155</v>
      </c>
      <c r="AD28" s="5" t="s">
        <v>155</v>
      </c>
      <c r="AE28" s="5" t="s">
        <v>155</v>
      </c>
      <c r="AF28" s="5" t="s">
        <v>49</v>
      </c>
      <c r="AG28" s="5" t="s">
        <v>49</v>
      </c>
      <c r="AH28" s="5" t="s">
        <v>49</v>
      </c>
      <c r="AI28" s="5" t="s">
        <v>50</v>
      </c>
    </row>
    <row r="29" spans="1:35" x14ac:dyDescent="0.3">
      <c r="A29" s="4">
        <v>713909000</v>
      </c>
      <c r="B29" s="5" t="s">
        <v>37</v>
      </c>
      <c r="C29" s="5" t="s">
        <v>38</v>
      </c>
      <c r="D29" s="5" t="s">
        <v>156</v>
      </c>
      <c r="E29" s="7">
        <v>45428</v>
      </c>
      <c r="F29" s="24">
        <f t="shared" si="0"/>
        <v>5</v>
      </c>
      <c r="G29" s="24">
        <f t="shared" si="1"/>
        <v>2024</v>
      </c>
      <c r="H29" s="5">
        <v>20409318135</v>
      </c>
      <c r="I29" s="5" t="s">
        <v>130</v>
      </c>
      <c r="J29" s="5" t="s">
        <v>157</v>
      </c>
      <c r="K29" s="8">
        <v>11690.69</v>
      </c>
      <c r="L29" s="8">
        <v>11650</v>
      </c>
      <c r="M29" s="8">
        <v>11650</v>
      </c>
      <c r="N29" s="5" t="s">
        <v>42</v>
      </c>
      <c r="O29" s="8">
        <v>11650</v>
      </c>
      <c r="P29" s="5" t="s">
        <v>42</v>
      </c>
      <c r="Q29" s="8">
        <v>8621</v>
      </c>
      <c r="R29" s="9">
        <v>0.74</v>
      </c>
      <c r="S29" s="9">
        <v>0.74</v>
      </c>
      <c r="T29" s="5" t="s">
        <v>43</v>
      </c>
      <c r="U29" s="5" t="s">
        <v>44</v>
      </c>
      <c r="V29" s="5" t="s">
        <v>40</v>
      </c>
      <c r="W29" s="5" t="s">
        <v>45</v>
      </c>
      <c r="X29" s="5" t="s">
        <v>40</v>
      </c>
      <c r="Y29" s="5" t="s">
        <v>158</v>
      </c>
      <c r="Z29" s="5" t="s">
        <v>159</v>
      </c>
      <c r="AA29" s="5" t="s">
        <v>160</v>
      </c>
      <c r="AB29" s="5" t="s">
        <v>160</v>
      </c>
      <c r="AC29" s="5" t="s">
        <v>160</v>
      </c>
      <c r="AD29" s="5" t="s">
        <v>160</v>
      </c>
      <c r="AE29" s="5" t="s">
        <v>160</v>
      </c>
      <c r="AF29" s="5" t="s">
        <v>49</v>
      </c>
      <c r="AG29" s="5" t="s">
        <v>49</v>
      </c>
      <c r="AH29" s="5" t="s">
        <v>49</v>
      </c>
      <c r="AI29" s="5" t="s">
        <v>50</v>
      </c>
    </row>
    <row r="30" spans="1:35" x14ac:dyDescent="0.3">
      <c r="A30" s="4">
        <v>713909000</v>
      </c>
      <c r="B30" s="5" t="s">
        <v>37</v>
      </c>
      <c r="C30" s="5" t="s">
        <v>63</v>
      </c>
      <c r="D30" s="5" t="s">
        <v>161</v>
      </c>
      <c r="E30" s="7">
        <v>44774</v>
      </c>
      <c r="F30" s="24">
        <f t="shared" si="0"/>
        <v>8</v>
      </c>
      <c r="G30" s="24">
        <f t="shared" si="1"/>
        <v>2022</v>
      </c>
      <c r="H30" s="5">
        <v>20503662354</v>
      </c>
      <c r="I30" s="5" t="s">
        <v>78</v>
      </c>
      <c r="J30" s="5" t="s">
        <v>90</v>
      </c>
      <c r="K30" s="8">
        <v>1635.55</v>
      </c>
      <c r="L30" s="8">
        <v>1553.77</v>
      </c>
      <c r="M30" s="8">
        <v>1553.77</v>
      </c>
      <c r="N30" s="5" t="s">
        <v>42</v>
      </c>
      <c r="O30" s="8">
        <v>156</v>
      </c>
      <c r="P30" s="5" t="s">
        <v>80</v>
      </c>
      <c r="Q30" s="8">
        <v>3744</v>
      </c>
      <c r="R30" s="9">
        <v>2.4089999999999998</v>
      </c>
      <c r="S30" s="9">
        <v>24</v>
      </c>
      <c r="T30" s="5" t="s">
        <v>68</v>
      </c>
      <c r="U30" s="5" t="s">
        <v>94</v>
      </c>
      <c r="V30" s="5" t="s">
        <v>40</v>
      </c>
      <c r="W30" s="5" t="s">
        <v>70</v>
      </c>
      <c r="X30" s="5" t="s">
        <v>162</v>
      </c>
      <c r="Y30" s="5" t="s">
        <v>136</v>
      </c>
      <c r="Z30" s="5" t="s">
        <v>163</v>
      </c>
      <c r="AA30" s="5" t="s">
        <v>164</v>
      </c>
      <c r="AB30" s="5" t="s">
        <v>164</v>
      </c>
      <c r="AC30" s="5" t="s">
        <v>164</v>
      </c>
      <c r="AD30" s="5" t="s">
        <v>164</v>
      </c>
      <c r="AE30" s="5" t="s">
        <v>164</v>
      </c>
      <c r="AF30" s="5" t="s">
        <v>75</v>
      </c>
      <c r="AG30" s="5" t="s">
        <v>139</v>
      </c>
      <c r="AH30" s="5" t="s">
        <v>140</v>
      </c>
      <c r="AI30" s="5" t="s">
        <v>50</v>
      </c>
    </row>
    <row r="31" spans="1:35" x14ac:dyDescent="0.3">
      <c r="A31" s="4">
        <v>713909000</v>
      </c>
      <c r="B31" s="5" t="s">
        <v>37</v>
      </c>
      <c r="C31" s="5" t="s">
        <v>63</v>
      </c>
      <c r="D31" s="5" t="s">
        <v>165</v>
      </c>
      <c r="E31" s="7">
        <v>44747</v>
      </c>
      <c r="F31" s="24">
        <f t="shared" si="0"/>
        <v>7</v>
      </c>
      <c r="G31" s="24">
        <f t="shared" si="1"/>
        <v>2022</v>
      </c>
      <c r="H31" s="5">
        <v>20503662354</v>
      </c>
      <c r="I31" s="5" t="s">
        <v>78</v>
      </c>
      <c r="J31" s="5" t="s">
        <v>90</v>
      </c>
      <c r="K31" s="8">
        <v>1595.18</v>
      </c>
      <c r="L31" s="8">
        <v>1515.42</v>
      </c>
      <c r="M31" s="8">
        <v>1515.42</v>
      </c>
      <c r="N31" s="5" t="s">
        <v>42</v>
      </c>
      <c r="O31" s="8">
        <v>156</v>
      </c>
      <c r="P31" s="5" t="s">
        <v>80</v>
      </c>
      <c r="Q31" s="8">
        <v>3744</v>
      </c>
      <c r="R31" s="9">
        <v>2.4700000000000002</v>
      </c>
      <c r="S31" s="9">
        <v>24</v>
      </c>
      <c r="T31" s="5" t="s">
        <v>68</v>
      </c>
      <c r="U31" s="5" t="s">
        <v>69</v>
      </c>
      <c r="V31" s="5" t="s">
        <v>40</v>
      </c>
      <c r="W31" s="5" t="s">
        <v>70</v>
      </c>
      <c r="X31" s="5" t="s">
        <v>71</v>
      </c>
      <c r="Y31" s="5" t="s">
        <v>136</v>
      </c>
      <c r="Z31" s="5" t="s">
        <v>166</v>
      </c>
      <c r="AA31" s="5" t="s">
        <v>167</v>
      </c>
      <c r="AB31" s="5" t="s">
        <v>167</v>
      </c>
      <c r="AC31" s="5" t="s">
        <v>167</v>
      </c>
      <c r="AD31" s="5" t="s">
        <v>167</v>
      </c>
      <c r="AE31" s="5" t="s">
        <v>167</v>
      </c>
      <c r="AF31" s="5" t="s">
        <v>75</v>
      </c>
      <c r="AG31" s="5" t="s">
        <v>139</v>
      </c>
      <c r="AH31" s="5" t="s">
        <v>140</v>
      </c>
      <c r="AI31" s="5" t="s">
        <v>50</v>
      </c>
    </row>
    <row r="32" spans="1:35" x14ac:dyDescent="0.3">
      <c r="A32" s="4">
        <v>713909000</v>
      </c>
      <c r="B32" s="5" t="s">
        <v>37</v>
      </c>
      <c r="C32" s="5" t="s">
        <v>63</v>
      </c>
      <c r="D32" s="5" t="s">
        <v>168</v>
      </c>
      <c r="E32" s="7">
        <v>44670</v>
      </c>
      <c r="F32" s="24">
        <f t="shared" si="0"/>
        <v>4</v>
      </c>
      <c r="G32" s="24">
        <f t="shared" si="1"/>
        <v>2022</v>
      </c>
      <c r="H32" s="5">
        <v>20503662354</v>
      </c>
      <c r="I32" s="5" t="s">
        <v>78</v>
      </c>
      <c r="J32" s="5" t="s">
        <v>90</v>
      </c>
      <c r="K32" s="8">
        <v>524.41</v>
      </c>
      <c r="L32" s="8">
        <v>489.79</v>
      </c>
      <c r="M32" s="8">
        <v>489.79</v>
      </c>
      <c r="N32" s="5" t="s">
        <v>42</v>
      </c>
      <c r="O32" s="8">
        <v>52</v>
      </c>
      <c r="P32" s="5" t="s">
        <v>80</v>
      </c>
      <c r="Q32" s="8">
        <v>1248</v>
      </c>
      <c r="R32" s="9">
        <v>2.548</v>
      </c>
      <c r="S32" s="9">
        <v>24</v>
      </c>
      <c r="T32" s="5" t="s">
        <v>68</v>
      </c>
      <c r="U32" s="5" t="s">
        <v>69</v>
      </c>
      <c r="V32" s="5" t="s">
        <v>40</v>
      </c>
      <c r="W32" s="5" t="s">
        <v>70</v>
      </c>
      <c r="X32" s="5" t="s">
        <v>71</v>
      </c>
      <c r="Y32" s="5" t="s">
        <v>136</v>
      </c>
      <c r="Z32" s="5" t="s">
        <v>169</v>
      </c>
      <c r="AA32" s="5" t="s">
        <v>170</v>
      </c>
      <c r="AB32" s="5" t="s">
        <v>170</v>
      </c>
      <c r="AC32" s="5" t="s">
        <v>170</v>
      </c>
      <c r="AD32" s="5" t="s">
        <v>170</v>
      </c>
      <c r="AE32" s="5" t="s">
        <v>170</v>
      </c>
      <c r="AF32" s="5" t="s">
        <v>75</v>
      </c>
      <c r="AG32" s="5" t="s">
        <v>139</v>
      </c>
      <c r="AH32" s="5" t="s">
        <v>140</v>
      </c>
      <c r="AI32" s="5" t="s">
        <v>50</v>
      </c>
    </row>
    <row r="33" spans="1:35" x14ac:dyDescent="0.3">
      <c r="A33" s="4">
        <v>713909000</v>
      </c>
      <c r="B33" s="5" t="s">
        <v>37</v>
      </c>
      <c r="C33" s="5" t="s">
        <v>38</v>
      </c>
      <c r="D33" s="5" t="s">
        <v>171</v>
      </c>
      <c r="E33" s="7">
        <v>45421</v>
      </c>
      <c r="F33" s="24">
        <f t="shared" si="0"/>
        <v>5</v>
      </c>
      <c r="G33" s="24">
        <f t="shared" si="1"/>
        <v>2024</v>
      </c>
      <c r="H33" s="5">
        <v>20409318135</v>
      </c>
      <c r="I33" s="5" t="s">
        <v>130</v>
      </c>
      <c r="J33" s="5" t="s">
        <v>131</v>
      </c>
      <c r="K33" s="8">
        <v>19583.57</v>
      </c>
      <c r="L33" s="8">
        <v>19500</v>
      </c>
      <c r="M33" s="8">
        <v>19500</v>
      </c>
      <c r="N33" s="5" t="s">
        <v>42</v>
      </c>
      <c r="O33" s="8">
        <v>19500</v>
      </c>
      <c r="P33" s="5" t="s">
        <v>42</v>
      </c>
      <c r="Q33" s="8">
        <v>14430</v>
      </c>
      <c r="R33" s="9">
        <v>0.74</v>
      </c>
      <c r="S33" s="9">
        <v>0.74</v>
      </c>
      <c r="T33" s="5" t="s">
        <v>43</v>
      </c>
      <c r="U33" s="5" t="s">
        <v>44</v>
      </c>
      <c r="V33" s="5" t="s">
        <v>40</v>
      </c>
      <c r="W33" s="5" t="s">
        <v>45</v>
      </c>
      <c r="X33" s="5" t="s">
        <v>40</v>
      </c>
      <c r="Y33" s="5" t="s">
        <v>132</v>
      </c>
      <c r="Z33" s="5" t="s">
        <v>172</v>
      </c>
      <c r="AA33" s="5" t="s">
        <v>173</v>
      </c>
      <c r="AB33" s="5" t="s">
        <v>173</v>
      </c>
      <c r="AC33" s="5" t="s">
        <v>173</v>
      </c>
      <c r="AD33" s="5" t="s">
        <v>173</v>
      </c>
      <c r="AE33" s="5" t="s">
        <v>173</v>
      </c>
      <c r="AF33" s="5" t="s">
        <v>49</v>
      </c>
      <c r="AG33" s="5" t="s">
        <v>49</v>
      </c>
      <c r="AH33" s="5" t="s">
        <v>49</v>
      </c>
      <c r="AI33" s="5" t="s">
        <v>50</v>
      </c>
    </row>
    <row r="34" spans="1:35" x14ac:dyDescent="0.3">
      <c r="A34" s="4">
        <v>713909000</v>
      </c>
      <c r="B34" s="5" t="s">
        <v>37</v>
      </c>
      <c r="C34" s="5" t="s">
        <v>38</v>
      </c>
      <c r="D34" s="5" t="s">
        <v>174</v>
      </c>
      <c r="E34" s="7">
        <v>45407</v>
      </c>
      <c r="F34" s="24">
        <f t="shared" si="0"/>
        <v>4</v>
      </c>
      <c r="G34" s="24">
        <f t="shared" si="1"/>
        <v>2024</v>
      </c>
      <c r="H34" s="5">
        <v>20409318135</v>
      </c>
      <c r="I34" s="5" t="s">
        <v>130</v>
      </c>
      <c r="J34" s="5" t="s">
        <v>157</v>
      </c>
      <c r="K34" s="8">
        <v>18586.37</v>
      </c>
      <c r="L34" s="8">
        <v>18500</v>
      </c>
      <c r="M34" s="8">
        <v>18500</v>
      </c>
      <c r="N34" s="5" t="s">
        <v>42</v>
      </c>
      <c r="O34" s="8">
        <v>18500</v>
      </c>
      <c r="P34" s="5" t="s">
        <v>42</v>
      </c>
      <c r="Q34" s="8">
        <v>13690</v>
      </c>
      <c r="R34" s="9">
        <v>0.74</v>
      </c>
      <c r="S34" s="9">
        <v>0.74</v>
      </c>
      <c r="T34" s="5" t="s">
        <v>43</v>
      </c>
      <c r="U34" s="5" t="s">
        <v>44</v>
      </c>
      <c r="V34" s="5" t="s">
        <v>40</v>
      </c>
      <c r="W34" s="5" t="s">
        <v>45</v>
      </c>
      <c r="X34" s="5" t="s">
        <v>40</v>
      </c>
      <c r="Y34" s="5" t="s">
        <v>158</v>
      </c>
      <c r="Z34" s="5" t="s">
        <v>175</v>
      </c>
      <c r="AA34" s="5" t="s">
        <v>176</v>
      </c>
      <c r="AB34" s="5" t="s">
        <v>176</v>
      </c>
      <c r="AC34" s="5" t="s">
        <v>176</v>
      </c>
      <c r="AD34" s="5" t="s">
        <v>176</v>
      </c>
      <c r="AE34" s="5" t="s">
        <v>176</v>
      </c>
      <c r="AF34" s="5" t="s">
        <v>49</v>
      </c>
      <c r="AG34" s="5" t="s">
        <v>49</v>
      </c>
      <c r="AH34" s="5" t="s">
        <v>49</v>
      </c>
      <c r="AI34" s="5" t="s">
        <v>50</v>
      </c>
    </row>
    <row r="35" spans="1:35" x14ac:dyDescent="0.3">
      <c r="A35" s="4">
        <v>713909000</v>
      </c>
      <c r="B35" s="5" t="s">
        <v>37</v>
      </c>
      <c r="C35" s="5" t="s">
        <v>38</v>
      </c>
      <c r="D35" s="5" t="s">
        <v>177</v>
      </c>
      <c r="E35" s="7">
        <v>45400</v>
      </c>
      <c r="F35" s="24">
        <f t="shared" si="0"/>
        <v>4</v>
      </c>
      <c r="G35" s="24">
        <f t="shared" si="1"/>
        <v>2024</v>
      </c>
      <c r="H35" s="5">
        <v>20409318135</v>
      </c>
      <c r="I35" s="5" t="s">
        <v>130</v>
      </c>
      <c r="J35" s="5" t="s">
        <v>157</v>
      </c>
      <c r="K35" s="8">
        <v>5775.75</v>
      </c>
      <c r="L35" s="8">
        <v>5750</v>
      </c>
      <c r="M35" s="8">
        <v>5750</v>
      </c>
      <c r="N35" s="5" t="s">
        <v>42</v>
      </c>
      <c r="O35" s="8">
        <v>5750</v>
      </c>
      <c r="P35" s="5" t="s">
        <v>42</v>
      </c>
      <c r="Q35" s="8">
        <v>4255</v>
      </c>
      <c r="R35" s="9">
        <v>0.74</v>
      </c>
      <c r="S35" s="9">
        <v>0.74</v>
      </c>
      <c r="T35" s="5" t="s">
        <v>43</v>
      </c>
      <c r="U35" s="5" t="s">
        <v>44</v>
      </c>
      <c r="V35" s="5" t="s">
        <v>40</v>
      </c>
      <c r="W35" s="5" t="s">
        <v>45</v>
      </c>
      <c r="X35" s="5" t="s">
        <v>40</v>
      </c>
      <c r="Y35" s="5" t="s">
        <v>158</v>
      </c>
      <c r="Z35" s="5" t="s">
        <v>178</v>
      </c>
      <c r="AA35" s="5" t="s">
        <v>179</v>
      </c>
      <c r="AB35" s="5" t="s">
        <v>179</v>
      </c>
      <c r="AC35" s="5" t="s">
        <v>179</v>
      </c>
      <c r="AD35" s="5" t="s">
        <v>179</v>
      </c>
      <c r="AE35" s="5" t="s">
        <v>179</v>
      </c>
      <c r="AF35" s="5" t="s">
        <v>49</v>
      </c>
      <c r="AG35" s="5" t="s">
        <v>49</v>
      </c>
      <c r="AH35" s="5" t="s">
        <v>49</v>
      </c>
      <c r="AI35" s="5" t="s">
        <v>50</v>
      </c>
    </row>
    <row r="36" spans="1:35" x14ac:dyDescent="0.3">
      <c r="A36" s="4">
        <v>713909000</v>
      </c>
      <c r="B36" s="5" t="s">
        <v>37</v>
      </c>
      <c r="C36" s="5" t="s">
        <v>38</v>
      </c>
      <c r="D36" s="5" t="s">
        <v>180</v>
      </c>
      <c r="E36" s="7">
        <v>45372</v>
      </c>
      <c r="F36" s="24">
        <f t="shared" si="0"/>
        <v>3</v>
      </c>
      <c r="G36" s="24">
        <f t="shared" si="1"/>
        <v>2024</v>
      </c>
      <c r="H36" s="5">
        <v>20409318135</v>
      </c>
      <c r="I36" s="5" t="s">
        <v>130</v>
      </c>
      <c r="J36" s="5" t="s">
        <v>131</v>
      </c>
      <c r="K36" s="8">
        <v>25100</v>
      </c>
      <c r="L36" s="8">
        <v>25000</v>
      </c>
      <c r="M36" s="8">
        <v>25000</v>
      </c>
      <c r="N36" s="5" t="s">
        <v>42</v>
      </c>
      <c r="O36" s="8">
        <v>25000</v>
      </c>
      <c r="P36" s="5" t="s">
        <v>42</v>
      </c>
      <c r="Q36" s="8">
        <v>18500</v>
      </c>
      <c r="R36" s="9">
        <v>0.74</v>
      </c>
      <c r="S36" s="9">
        <v>0.74</v>
      </c>
      <c r="T36" s="5" t="s">
        <v>43</v>
      </c>
      <c r="U36" s="5" t="s">
        <v>44</v>
      </c>
      <c r="V36" s="5" t="s">
        <v>40</v>
      </c>
      <c r="W36" s="5" t="s">
        <v>45</v>
      </c>
      <c r="X36" s="5" t="s">
        <v>40</v>
      </c>
      <c r="Y36" s="5" t="s">
        <v>132</v>
      </c>
      <c r="Z36" s="5" t="s">
        <v>181</v>
      </c>
      <c r="AA36" s="5" t="s">
        <v>182</v>
      </c>
      <c r="AB36" s="5" t="s">
        <v>182</v>
      </c>
      <c r="AC36" s="5" t="s">
        <v>182</v>
      </c>
      <c r="AD36" s="5" t="s">
        <v>182</v>
      </c>
      <c r="AE36" s="5" t="s">
        <v>182</v>
      </c>
      <c r="AF36" s="5" t="s">
        <v>49</v>
      </c>
      <c r="AG36" s="5" t="s">
        <v>49</v>
      </c>
      <c r="AH36" s="5" t="s">
        <v>49</v>
      </c>
      <c r="AI36" s="5" t="s">
        <v>50</v>
      </c>
    </row>
    <row r="37" spans="1:35" x14ac:dyDescent="0.3">
      <c r="A37" s="4">
        <v>713909000</v>
      </c>
      <c r="B37" s="5" t="s">
        <v>37</v>
      </c>
      <c r="C37" s="5" t="s">
        <v>38</v>
      </c>
      <c r="D37" s="5" t="s">
        <v>183</v>
      </c>
      <c r="E37" s="7">
        <v>45393</v>
      </c>
      <c r="F37" s="24">
        <f t="shared" si="0"/>
        <v>4</v>
      </c>
      <c r="G37" s="24">
        <f t="shared" si="1"/>
        <v>2024</v>
      </c>
      <c r="H37" s="5">
        <v>20409318135</v>
      </c>
      <c r="I37" s="5" t="s">
        <v>130</v>
      </c>
      <c r="J37" s="5" t="s">
        <v>131</v>
      </c>
      <c r="K37" s="8">
        <v>22590.75</v>
      </c>
      <c r="L37" s="8">
        <v>22500</v>
      </c>
      <c r="M37" s="8">
        <v>22500</v>
      </c>
      <c r="N37" s="5" t="s">
        <v>42</v>
      </c>
      <c r="O37" s="8">
        <v>22500</v>
      </c>
      <c r="P37" s="5" t="s">
        <v>42</v>
      </c>
      <c r="Q37" s="8">
        <v>16650</v>
      </c>
      <c r="R37" s="9">
        <v>0.74</v>
      </c>
      <c r="S37" s="9">
        <v>0.74</v>
      </c>
      <c r="T37" s="5" t="s">
        <v>43</v>
      </c>
      <c r="U37" s="5" t="s">
        <v>44</v>
      </c>
      <c r="V37" s="5" t="s">
        <v>40</v>
      </c>
      <c r="W37" s="5" t="s">
        <v>45</v>
      </c>
      <c r="X37" s="5" t="s">
        <v>40</v>
      </c>
      <c r="Y37" s="5" t="s">
        <v>132</v>
      </c>
      <c r="Z37" s="5" t="s">
        <v>184</v>
      </c>
      <c r="AA37" s="5" t="s">
        <v>185</v>
      </c>
      <c r="AB37" s="5" t="s">
        <v>185</v>
      </c>
      <c r="AC37" s="5" t="s">
        <v>185</v>
      </c>
      <c r="AD37" s="5" t="s">
        <v>185</v>
      </c>
      <c r="AE37" s="5" t="s">
        <v>185</v>
      </c>
      <c r="AF37" s="5" t="s">
        <v>49</v>
      </c>
      <c r="AG37" s="5" t="s">
        <v>49</v>
      </c>
      <c r="AH37" s="5" t="s">
        <v>49</v>
      </c>
      <c r="AI37" s="5" t="s">
        <v>50</v>
      </c>
    </row>
    <row r="38" spans="1:35" x14ac:dyDescent="0.3">
      <c r="A38" s="4">
        <v>713909000</v>
      </c>
      <c r="B38" s="5" t="s">
        <v>37</v>
      </c>
      <c r="C38" s="5" t="s">
        <v>38</v>
      </c>
      <c r="D38" s="5" t="s">
        <v>186</v>
      </c>
      <c r="E38" s="7">
        <v>45358</v>
      </c>
      <c r="F38" s="24">
        <f t="shared" si="0"/>
        <v>3</v>
      </c>
      <c r="G38" s="24">
        <f t="shared" si="1"/>
        <v>2024</v>
      </c>
      <c r="H38" s="5">
        <v>20409318135</v>
      </c>
      <c r="I38" s="5" t="s">
        <v>130</v>
      </c>
      <c r="J38" s="5" t="s">
        <v>187</v>
      </c>
      <c r="K38" s="8">
        <v>5020</v>
      </c>
      <c r="L38" s="8">
        <v>5000</v>
      </c>
      <c r="M38" s="8">
        <v>5000</v>
      </c>
      <c r="N38" s="5" t="s">
        <v>42</v>
      </c>
      <c r="O38" s="8">
        <v>5000</v>
      </c>
      <c r="P38" s="5" t="s">
        <v>42</v>
      </c>
      <c r="Q38" s="8">
        <v>3700</v>
      </c>
      <c r="R38" s="9">
        <v>0.74</v>
      </c>
      <c r="S38" s="9">
        <v>0.74</v>
      </c>
      <c r="T38" s="5" t="s">
        <v>43</v>
      </c>
      <c r="U38" s="5" t="s">
        <v>44</v>
      </c>
      <c r="V38" s="5" t="s">
        <v>40</v>
      </c>
      <c r="W38" s="5" t="s">
        <v>45</v>
      </c>
      <c r="X38" s="5" t="s">
        <v>40</v>
      </c>
      <c r="Y38" s="5" t="s">
        <v>132</v>
      </c>
      <c r="Z38" s="5" t="s">
        <v>188</v>
      </c>
      <c r="AA38" s="5" t="s">
        <v>189</v>
      </c>
      <c r="AB38" s="5" t="s">
        <v>189</v>
      </c>
      <c r="AC38" s="5" t="s">
        <v>189</v>
      </c>
      <c r="AD38" s="5" t="s">
        <v>189</v>
      </c>
      <c r="AE38" s="5" t="s">
        <v>189</v>
      </c>
      <c r="AF38" s="5" t="s">
        <v>49</v>
      </c>
      <c r="AG38" s="5" t="s">
        <v>49</v>
      </c>
      <c r="AH38" s="5" t="s">
        <v>49</v>
      </c>
      <c r="AI38" s="5" t="s">
        <v>50</v>
      </c>
    </row>
    <row r="39" spans="1:35" x14ac:dyDescent="0.3">
      <c r="A39" s="4">
        <v>713909000</v>
      </c>
      <c r="B39" s="5" t="s">
        <v>37</v>
      </c>
      <c r="C39" s="5" t="s">
        <v>63</v>
      </c>
      <c r="D39" s="5" t="s">
        <v>190</v>
      </c>
      <c r="E39" s="7">
        <v>45231</v>
      </c>
      <c r="F39" s="24">
        <f t="shared" si="0"/>
        <v>11</v>
      </c>
      <c r="G39" s="24">
        <f t="shared" si="1"/>
        <v>2023</v>
      </c>
      <c r="H39" s="5">
        <v>20523273265</v>
      </c>
      <c r="I39" s="5" t="s">
        <v>65</v>
      </c>
      <c r="J39" s="5" t="s">
        <v>66</v>
      </c>
      <c r="K39" s="8">
        <v>866.79</v>
      </c>
      <c r="L39" s="8">
        <v>771.77</v>
      </c>
      <c r="M39" s="8">
        <v>771.77</v>
      </c>
      <c r="N39" s="5" t="s">
        <v>42</v>
      </c>
      <c r="O39" s="8">
        <v>108</v>
      </c>
      <c r="P39" s="5" t="s">
        <v>67</v>
      </c>
      <c r="Q39" s="8">
        <v>2970</v>
      </c>
      <c r="R39" s="9">
        <v>3.8479999999999999</v>
      </c>
      <c r="S39" s="9">
        <v>27.5</v>
      </c>
      <c r="T39" s="5" t="s">
        <v>68</v>
      </c>
      <c r="U39" s="5" t="s">
        <v>69</v>
      </c>
      <c r="V39" s="5" t="s">
        <v>40</v>
      </c>
      <c r="W39" s="5" t="s">
        <v>70</v>
      </c>
      <c r="X39" s="5" t="s">
        <v>71</v>
      </c>
      <c r="Y39" s="5" t="s">
        <v>72</v>
      </c>
      <c r="Z39" s="5" t="s">
        <v>73</v>
      </c>
      <c r="AA39" s="5" t="s">
        <v>74</v>
      </c>
      <c r="AB39" s="5" t="s">
        <v>74</v>
      </c>
      <c r="AC39" s="5" t="s">
        <v>74</v>
      </c>
      <c r="AD39" s="5" t="s">
        <v>74</v>
      </c>
      <c r="AE39" s="5" t="s">
        <v>74</v>
      </c>
      <c r="AF39" s="5" t="s">
        <v>75</v>
      </c>
      <c r="AG39" s="5" t="s">
        <v>76</v>
      </c>
      <c r="AH39" s="5" t="s">
        <v>76</v>
      </c>
      <c r="AI39" s="5" t="s">
        <v>50</v>
      </c>
    </row>
    <row r="40" spans="1:35" x14ac:dyDescent="0.3">
      <c r="A40" s="4">
        <v>713909000</v>
      </c>
      <c r="B40" s="5" t="s">
        <v>37</v>
      </c>
      <c r="C40" s="5" t="s">
        <v>63</v>
      </c>
      <c r="D40" s="5" t="s">
        <v>191</v>
      </c>
      <c r="E40" s="7">
        <v>44614</v>
      </c>
      <c r="F40" s="24">
        <f t="shared" si="0"/>
        <v>2</v>
      </c>
      <c r="G40" s="24">
        <f t="shared" si="1"/>
        <v>2022</v>
      </c>
      <c r="H40" s="5">
        <v>20503662354</v>
      </c>
      <c r="I40" s="5" t="s">
        <v>78</v>
      </c>
      <c r="J40" s="5" t="s">
        <v>90</v>
      </c>
      <c r="K40" s="8">
        <v>1147.26</v>
      </c>
      <c r="L40" s="8">
        <v>1080.1500000000001</v>
      </c>
      <c r="M40" s="8">
        <v>1080.1500000000001</v>
      </c>
      <c r="N40" s="5" t="s">
        <v>42</v>
      </c>
      <c r="O40" s="8">
        <v>104</v>
      </c>
      <c r="P40" s="5" t="s">
        <v>80</v>
      </c>
      <c r="Q40" s="8">
        <v>2496</v>
      </c>
      <c r="R40" s="9">
        <v>2.31</v>
      </c>
      <c r="S40" s="9">
        <v>24</v>
      </c>
      <c r="T40" s="5" t="s">
        <v>68</v>
      </c>
      <c r="U40" s="5" t="s">
        <v>69</v>
      </c>
      <c r="V40" s="5" t="s">
        <v>40</v>
      </c>
      <c r="W40" s="5" t="s">
        <v>70</v>
      </c>
      <c r="X40" s="5" t="s">
        <v>71</v>
      </c>
      <c r="Y40" s="5" t="s">
        <v>136</v>
      </c>
      <c r="Z40" s="5" t="s">
        <v>192</v>
      </c>
      <c r="AA40" s="5" t="s">
        <v>193</v>
      </c>
      <c r="AB40" s="5" t="s">
        <v>193</v>
      </c>
      <c r="AC40" s="5" t="s">
        <v>193</v>
      </c>
      <c r="AD40" s="5" t="s">
        <v>193</v>
      </c>
      <c r="AE40" s="5" t="s">
        <v>193</v>
      </c>
      <c r="AF40" s="5" t="s">
        <v>75</v>
      </c>
      <c r="AG40" s="5" t="s">
        <v>139</v>
      </c>
      <c r="AH40" s="5" t="s">
        <v>140</v>
      </c>
      <c r="AI40" s="5" t="s">
        <v>50</v>
      </c>
    </row>
    <row r="41" spans="1:35" x14ac:dyDescent="0.3">
      <c r="A41" s="4">
        <v>713909000</v>
      </c>
      <c r="B41" s="5" t="s">
        <v>37</v>
      </c>
      <c r="C41" s="5" t="s">
        <v>63</v>
      </c>
      <c r="D41" s="5" t="s">
        <v>194</v>
      </c>
      <c r="E41" s="7">
        <v>45475</v>
      </c>
      <c r="F41" s="24">
        <f t="shared" si="0"/>
        <v>7</v>
      </c>
      <c r="G41" s="24">
        <f t="shared" si="1"/>
        <v>2024</v>
      </c>
      <c r="H41" s="5">
        <v>20544535669</v>
      </c>
      <c r="I41" s="5" t="s">
        <v>195</v>
      </c>
      <c r="J41" s="5" t="s">
        <v>196</v>
      </c>
      <c r="K41" s="8">
        <v>3467.51</v>
      </c>
      <c r="L41" s="8">
        <v>3294.13</v>
      </c>
      <c r="M41" s="8">
        <v>3294.13</v>
      </c>
      <c r="N41" s="5" t="s">
        <v>42</v>
      </c>
      <c r="O41" s="8">
        <v>202</v>
      </c>
      <c r="P41" s="5" t="s">
        <v>67</v>
      </c>
      <c r="Q41" s="8">
        <v>8181</v>
      </c>
      <c r="R41" s="9">
        <v>2.4830000000000001</v>
      </c>
      <c r="S41" s="9">
        <v>40.5</v>
      </c>
      <c r="T41" s="5" t="s">
        <v>197</v>
      </c>
      <c r="U41" s="5" t="s">
        <v>116</v>
      </c>
      <c r="V41" s="5" t="s">
        <v>40</v>
      </c>
      <c r="W41" s="5" t="s">
        <v>70</v>
      </c>
      <c r="X41" s="5" t="s">
        <v>117</v>
      </c>
      <c r="Y41" s="5" t="s">
        <v>198</v>
      </c>
      <c r="Z41" s="5" t="s">
        <v>199</v>
      </c>
      <c r="AA41" s="5" t="s">
        <v>200</v>
      </c>
      <c r="AB41" s="5" t="s">
        <v>200</v>
      </c>
      <c r="AC41" s="5" t="s">
        <v>200</v>
      </c>
      <c r="AD41" s="5" t="s">
        <v>200</v>
      </c>
      <c r="AE41" s="5" t="s">
        <v>200</v>
      </c>
      <c r="AF41" s="5" t="s">
        <v>112</v>
      </c>
      <c r="AG41" s="5" t="s">
        <v>76</v>
      </c>
      <c r="AH41" s="5" t="s">
        <v>76</v>
      </c>
      <c r="AI41" s="5" t="s">
        <v>50</v>
      </c>
    </row>
    <row r="42" spans="1:35" x14ac:dyDescent="0.3">
      <c r="A42" s="4">
        <v>713909000</v>
      </c>
      <c r="B42" s="5" t="s">
        <v>37</v>
      </c>
      <c r="C42" s="5" t="s">
        <v>63</v>
      </c>
      <c r="D42" s="5" t="s">
        <v>201</v>
      </c>
      <c r="E42" s="7">
        <v>45426</v>
      </c>
      <c r="F42" s="24">
        <f t="shared" si="0"/>
        <v>5</v>
      </c>
      <c r="G42" s="24">
        <f t="shared" si="1"/>
        <v>2024</v>
      </c>
      <c r="H42" s="5">
        <v>20544535669</v>
      </c>
      <c r="I42" s="5" t="s">
        <v>195</v>
      </c>
      <c r="J42" s="5" t="s">
        <v>196</v>
      </c>
      <c r="K42" s="8">
        <v>1315.16</v>
      </c>
      <c r="L42" s="8">
        <v>1212</v>
      </c>
      <c r="M42" s="8">
        <v>1212</v>
      </c>
      <c r="N42" s="5" t="s">
        <v>42</v>
      </c>
      <c r="O42" s="8">
        <v>101</v>
      </c>
      <c r="P42" s="5" t="s">
        <v>67</v>
      </c>
      <c r="Q42" s="8">
        <v>4090.5</v>
      </c>
      <c r="R42" s="9">
        <v>3.375</v>
      </c>
      <c r="S42" s="9">
        <v>40.5</v>
      </c>
      <c r="T42" s="5" t="s">
        <v>197</v>
      </c>
      <c r="U42" s="5" t="s">
        <v>116</v>
      </c>
      <c r="V42" s="5" t="s">
        <v>40</v>
      </c>
      <c r="W42" s="5" t="s">
        <v>70</v>
      </c>
      <c r="X42" s="5" t="s">
        <v>109</v>
      </c>
      <c r="Y42" s="5" t="s">
        <v>198</v>
      </c>
      <c r="Z42" s="5" t="s">
        <v>199</v>
      </c>
      <c r="AA42" s="5" t="s">
        <v>200</v>
      </c>
      <c r="AB42" s="5" t="s">
        <v>200</v>
      </c>
      <c r="AC42" s="5" t="s">
        <v>200</v>
      </c>
      <c r="AD42" s="5" t="s">
        <v>200</v>
      </c>
      <c r="AE42" s="5" t="s">
        <v>200</v>
      </c>
      <c r="AF42" s="5" t="s">
        <v>112</v>
      </c>
      <c r="AG42" s="5" t="s">
        <v>76</v>
      </c>
      <c r="AH42" s="5" t="s">
        <v>76</v>
      </c>
      <c r="AI42" s="5" t="s">
        <v>50</v>
      </c>
    </row>
    <row r="43" spans="1:35" x14ac:dyDescent="0.3">
      <c r="A43" s="4">
        <v>713909000</v>
      </c>
      <c r="B43" s="5" t="s">
        <v>37</v>
      </c>
      <c r="C43" s="5" t="s">
        <v>63</v>
      </c>
      <c r="D43" s="5" t="s">
        <v>202</v>
      </c>
      <c r="E43" s="7">
        <v>45378</v>
      </c>
      <c r="F43" s="24">
        <f t="shared" si="0"/>
        <v>3</v>
      </c>
      <c r="G43" s="24">
        <f t="shared" si="1"/>
        <v>2024</v>
      </c>
      <c r="H43" s="5">
        <v>20544535669</v>
      </c>
      <c r="I43" s="5" t="s">
        <v>195</v>
      </c>
      <c r="J43" s="5" t="s">
        <v>196</v>
      </c>
      <c r="K43" s="8">
        <v>1469.33</v>
      </c>
      <c r="L43" s="8">
        <v>1356</v>
      </c>
      <c r="M43" s="8">
        <v>1356</v>
      </c>
      <c r="N43" s="5" t="s">
        <v>42</v>
      </c>
      <c r="O43" s="8">
        <v>113</v>
      </c>
      <c r="P43" s="5" t="s">
        <v>67</v>
      </c>
      <c r="Q43" s="8">
        <v>4576.5</v>
      </c>
      <c r="R43" s="9">
        <v>3.375</v>
      </c>
      <c r="S43" s="9">
        <v>40.5</v>
      </c>
      <c r="T43" s="5" t="s">
        <v>197</v>
      </c>
      <c r="U43" s="5" t="s">
        <v>116</v>
      </c>
      <c r="V43" s="5" t="s">
        <v>40</v>
      </c>
      <c r="W43" s="5" t="s">
        <v>70</v>
      </c>
      <c r="X43" s="5" t="s">
        <v>109</v>
      </c>
      <c r="Y43" s="5" t="s">
        <v>198</v>
      </c>
      <c r="Z43" s="5" t="s">
        <v>203</v>
      </c>
      <c r="AA43" s="5" t="s">
        <v>204</v>
      </c>
      <c r="AB43" s="5" t="s">
        <v>204</v>
      </c>
      <c r="AC43" s="5" t="s">
        <v>204</v>
      </c>
      <c r="AD43" s="5" t="s">
        <v>204</v>
      </c>
      <c r="AE43" s="5" t="s">
        <v>204</v>
      </c>
      <c r="AF43" s="5" t="s">
        <v>112</v>
      </c>
      <c r="AG43" s="5" t="s">
        <v>76</v>
      </c>
      <c r="AH43" s="5" t="s">
        <v>76</v>
      </c>
      <c r="AI43" s="5" t="s">
        <v>50</v>
      </c>
    </row>
    <row r="44" spans="1:35" x14ac:dyDescent="0.3">
      <c r="A44" s="4">
        <v>713909000</v>
      </c>
      <c r="B44" s="5" t="s">
        <v>37</v>
      </c>
      <c r="C44" s="5" t="s">
        <v>38</v>
      </c>
      <c r="D44" s="5" t="s">
        <v>205</v>
      </c>
      <c r="E44" s="7">
        <v>45337</v>
      </c>
      <c r="F44" s="24">
        <f t="shared" si="0"/>
        <v>2</v>
      </c>
      <c r="G44" s="24">
        <f t="shared" si="1"/>
        <v>2024</v>
      </c>
      <c r="H44" s="5">
        <v>20409318135</v>
      </c>
      <c r="I44" s="5" t="s">
        <v>130</v>
      </c>
      <c r="J44" s="5" t="s">
        <v>206</v>
      </c>
      <c r="K44" s="8">
        <v>6528.42</v>
      </c>
      <c r="L44" s="8">
        <v>6500</v>
      </c>
      <c r="M44" s="8">
        <v>6500</v>
      </c>
      <c r="N44" s="5" t="s">
        <v>42</v>
      </c>
      <c r="O44" s="8">
        <v>6500</v>
      </c>
      <c r="P44" s="5" t="s">
        <v>42</v>
      </c>
      <c r="Q44" s="8">
        <v>4810</v>
      </c>
      <c r="R44" s="9">
        <v>0.74</v>
      </c>
      <c r="S44" s="9">
        <v>0.74</v>
      </c>
      <c r="T44" s="5" t="s">
        <v>43</v>
      </c>
      <c r="U44" s="5" t="s">
        <v>44</v>
      </c>
      <c r="V44" s="5" t="s">
        <v>40</v>
      </c>
      <c r="W44" s="5" t="s">
        <v>45</v>
      </c>
      <c r="X44" s="5" t="s">
        <v>40</v>
      </c>
      <c r="Y44" s="5" t="s">
        <v>132</v>
      </c>
      <c r="Z44" s="5" t="s">
        <v>207</v>
      </c>
      <c r="AA44" s="5" t="s">
        <v>208</v>
      </c>
      <c r="AB44" s="5" t="s">
        <v>208</v>
      </c>
      <c r="AC44" s="5" t="s">
        <v>208</v>
      </c>
      <c r="AD44" s="5" t="s">
        <v>208</v>
      </c>
      <c r="AE44" s="5" t="s">
        <v>208</v>
      </c>
      <c r="AF44" s="5" t="s">
        <v>49</v>
      </c>
      <c r="AG44" s="5" t="s">
        <v>49</v>
      </c>
      <c r="AH44" s="5" t="s">
        <v>49</v>
      </c>
      <c r="AI44" s="5" t="s">
        <v>50</v>
      </c>
    </row>
    <row r="45" spans="1:35" x14ac:dyDescent="0.3">
      <c r="A45" s="4">
        <v>713909000</v>
      </c>
      <c r="B45" s="5" t="s">
        <v>37</v>
      </c>
      <c r="C45" s="5" t="s">
        <v>38</v>
      </c>
      <c r="D45" s="5" t="s">
        <v>209</v>
      </c>
      <c r="E45" s="7">
        <v>45344</v>
      </c>
      <c r="F45" s="24">
        <f t="shared" si="0"/>
        <v>2</v>
      </c>
      <c r="G45" s="24">
        <f t="shared" si="1"/>
        <v>2024</v>
      </c>
      <c r="H45" s="5">
        <v>20409318135</v>
      </c>
      <c r="I45" s="5" t="s">
        <v>130</v>
      </c>
      <c r="J45" s="5" t="s">
        <v>210</v>
      </c>
      <c r="K45" s="8">
        <v>13058</v>
      </c>
      <c r="L45" s="8">
        <v>13000</v>
      </c>
      <c r="M45" s="8">
        <v>13000</v>
      </c>
      <c r="N45" s="5" t="s">
        <v>42</v>
      </c>
      <c r="O45" s="8">
        <v>13000</v>
      </c>
      <c r="P45" s="5" t="s">
        <v>42</v>
      </c>
      <c r="Q45" s="8">
        <v>9620</v>
      </c>
      <c r="R45" s="9">
        <v>0.74</v>
      </c>
      <c r="S45" s="9">
        <v>0.74</v>
      </c>
      <c r="T45" s="5" t="s">
        <v>43</v>
      </c>
      <c r="U45" s="5" t="s">
        <v>44</v>
      </c>
      <c r="V45" s="5" t="s">
        <v>40</v>
      </c>
      <c r="W45" s="5" t="s">
        <v>45</v>
      </c>
      <c r="X45" s="5" t="s">
        <v>40</v>
      </c>
      <c r="Y45" s="5" t="s">
        <v>158</v>
      </c>
      <c r="Z45" s="5" t="s">
        <v>211</v>
      </c>
      <c r="AA45" s="5" t="s">
        <v>212</v>
      </c>
      <c r="AB45" s="5" t="s">
        <v>212</v>
      </c>
      <c r="AC45" s="5" t="s">
        <v>212</v>
      </c>
      <c r="AD45" s="5" t="s">
        <v>212</v>
      </c>
      <c r="AE45" s="5" t="s">
        <v>212</v>
      </c>
      <c r="AF45" s="5" t="s">
        <v>49</v>
      </c>
      <c r="AG45" s="5" t="s">
        <v>49</v>
      </c>
      <c r="AH45" s="5" t="s">
        <v>49</v>
      </c>
      <c r="AI45" s="5" t="s">
        <v>50</v>
      </c>
    </row>
    <row r="46" spans="1:35" x14ac:dyDescent="0.3">
      <c r="A46" s="4">
        <v>713909000</v>
      </c>
      <c r="B46" s="5" t="s">
        <v>37</v>
      </c>
      <c r="C46" s="5" t="s">
        <v>38</v>
      </c>
      <c r="D46" s="5" t="s">
        <v>213</v>
      </c>
      <c r="E46" s="7">
        <v>45323</v>
      </c>
      <c r="F46" s="24">
        <f t="shared" si="0"/>
        <v>2</v>
      </c>
      <c r="G46" s="24">
        <f t="shared" si="1"/>
        <v>2024</v>
      </c>
      <c r="H46" s="5">
        <v>20409318135</v>
      </c>
      <c r="I46" s="5" t="s">
        <v>130</v>
      </c>
      <c r="J46" s="5" t="s">
        <v>157</v>
      </c>
      <c r="K46" s="8">
        <v>5021.2700000000004</v>
      </c>
      <c r="L46" s="8">
        <v>5000</v>
      </c>
      <c r="M46" s="8">
        <v>5000</v>
      </c>
      <c r="N46" s="5" t="s">
        <v>42</v>
      </c>
      <c r="O46" s="8">
        <v>5000</v>
      </c>
      <c r="P46" s="5" t="s">
        <v>42</v>
      </c>
      <c r="Q46" s="8">
        <v>3700</v>
      </c>
      <c r="R46" s="9">
        <v>0.74</v>
      </c>
      <c r="S46" s="9">
        <v>0.74</v>
      </c>
      <c r="T46" s="5" t="s">
        <v>43</v>
      </c>
      <c r="U46" s="5" t="s">
        <v>44</v>
      </c>
      <c r="V46" s="5" t="s">
        <v>40</v>
      </c>
      <c r="W46" s="5" t="s">
        <v>45</v>
      </c>
      <c r="X46" s="5" t="s">
        <v>40</v>
      </c>
      <c r="Y46" s="5" t="s">
        <v>158</v>
      </c>
      <c r="Z46" s="5" t="s">
        <v>214</v>
      </c>
      <c r="AA46" s="5" t="s">
        <v>215</v>
      </c>
      <c r="AB46" s="5" t="s">
        <v>215</v>
      </c>
      <c r="AC46" s="5" t="s">
        <v>215</v>
      </c>
      <c r="AD46" s="5" t="s">
        <v>215</v>
      </c>
      <c r="AE46" s="5" t="s">
        <v>215</v>
      </c>
      <c r="AF46" s="5" t="s">
        <v>49</v>
      </c>
      <c r="AG46" s="5" t="s">
        <v>49</v>
      </c>
      <c r="AH46" s="5" t="s">
        <v>49</v>
      </c>
      <c r="AI46" s="5" t="s">
        <v>50</v>
      </c>
    </row>
    <row r="47" spans="1:35" x14ac:dyDescent="0.3">
      <c r="A47" s="4">
        <v>713909000</v>
      </c>
      <c r="B47" s="5" t="s">
        <v>37</v>
      </c>
      <c r="C47" s="5" t="s">
        <v>38</v>
      </c>
      <c r="D47" s="5" t="s">
        <v>216</v>
      </c>
      <c r="E47" s="7">
        <v>45309</v>
      </c>
      <c r="F47" s="24">
        <f t="shared" si="0"/>
        <v>1</v>
      </c>
      <c r="G47" s="24">
        <f t="shared" si="1"/>
        <v>2024</v>
      </c>
      <c r="H47" s="5">
        <v>20409318135</v>
      </c>
      <c r="I47" s="5" t="s">
        <v>130</v>
      </c>
      <c r="J47" s="5" t="s">
        <v>217</v>
      </c>
      <c r="K47" s="8">
        <v>7532.4</v>
      </c>
      <c r="L47" s="8">
        <v>7500</v>
      </c>
      <c r="M47" s="8">
        <v>7500</v>
      </c>
      <c r="N47" s="5" t="s">
        <v>42</v>
      </c>
      <c r="O47" s="8">
        <v>7500</v>
      </c>
      <c r="P47" s="5" t="s">
        <v>42</v>
      </c>
      <c r="Q47" s="8">
        <v>5550</v>
      </c>
      <c r="R47" s="9">
        <v>0.74</v>
      </c>
      <c r="S47" s="9">
        <v>0.74</v>
      </c>
      <c r="T47" s="5" t="s">
        <v>43</v>
      </c>
      <c r="U47" s="5" t="s">
        <v>44</v>
      </c>
      <c r="V47" s="5" t="s">
        <v>40</v>
      </c>
      <c r="W47" s="5" t="s">
        <v>45</v>
      </c>
      <c r="X47" s="5" t="s">
        <v>40</v>
      </c>
      <c r="Y47" s="5" t="s">
        <v>132</v>
      </c>
      <c r="Z47" s="5" t="s">
        <v>218</v>
      </c>
      <c r="AA47" s="5" t="s">
        <v>219</v>
      </c>
      <c r="AB47" s="5" t="s">
        <v>219</v>
      </c>
      <c r="AC47" s="5" t="s">
        <v>219</v>
      </c>
      <c r="AD47" s="5" t="s">
        <v>219</v>
      </c>
      <c r="AE47" s="5" t="s">
        <v>219</v>
      </c>
      <c r="AF47" s="5" t="s">
        <v>49</v>
      </c>
      <c r="AG47" s="5" t="s">
        <v>49</v>
      </c>
      <c r="AH47" s="5" t="s">
        <v>49</v>
      </c>
      <c r="AI47" s="5" t="s">
        <v>50</v>
      </c>
    </row>
    <row r="48" spans="1:35" x14ac:dyDescent="0.3">
      <c r="A48" s="4">
        <v>713909000</v>
      </c>
      <c r="B48" s="5" t="s">
        <v>37</v>
      </c>
      <c r="C48" s="5" t="s">
        <v>38</v>
      </c>
      <c r="D48" s="5" t="s">
        <v>220</v>
      </c>
      <c r="E48" s="7">
        <v>45310</v>
      </c>
      <c r="F48" s="24">
        <f t="shared" si="0"/>
        <v>1</v>
      </c>
      <c r="G48" s="24">
        <f t="shared" si="1"/>
        <v>2024</v>
      </c>
      <c r="H48" s="5">
        <v>20409318135</v>
      </c>
      <c r="I48" s="5" t="s">
        <v>130</v>
      </c>
      <c r="J48" s="5" t="s">
        <v>40</v>
      </c>
      <c r="K48" s="8">
        <v>18080.2</v>
      </c>
      <c r="L48" s="8">
        <v>18000</v>
      </c>
      <c r="M48" s="8">
        <v>18000</v>
      </c>
      <c r="N48" s="5" t="s">
        <v>42</v>
      </c>
      <c r="O48" s="8">
        <v>18000</v>
      </c>
      <c r="P48" s="5" t="s">
        <v>42</v>
      </c>
      <c r="Q48" s="8">
        <v>13320</v>
      </c>
      <c r="R48" s="9">
        <v>0.74</v>
      </c>
      <c r="S48" s="9">
        <v>0.74</v>
      </c>
      <c r="T48" s="5" t="s">
        <v>43</v>
      </c>
      <c r="U48" s="5" t="s">
        <v>44</v>
      </c>
      <c r="V48" s="5" t="s">
        <v>40</v>
      </c>
      <c r="W48" s="5" t="s">
        <v>45</v>
      </c>
      <c r="X48" s="5" t="s">
        <v>40</v>
      </c>
      <c r="Y48" s="5" t="s">
        <v>158</v>
      </c>
      <c r="Z48" s="5" t="s">
        <v>221</v>
      </c>
      <c r="AA48" s="5" t="s">
        <v>222</v>
      </c>
      <c r="AB48" s="5" t="s">
        <v>222</v>
      </c>
      <c r="AC48" s="5" t="s">
        <v>222</v>
      </c>
      <c r="AD48" s="5" t="s">
        <v>222</v>
      </c>
      <c r="AE48" s="5" t="s">
        <v>222</v>
      </c>
      <c r="AF48" s="5" t="s">
        <v>49</v>
      </c>
      <c r="AG48" s="5" t="s">
        <v>49</v>
      </c>
      <c r="AH48" s="5" t="s">
        <v>49</v>
      </c>
      <c r="AI48" s="5" t="s">
        <v>49</v>
      </c>
    </row>
    <row r="49" spans="1:35" x14ac:dyDescent="0.3">
      <c r="A49" s="4">
        <v>713909000</v>
      </c>
      <c r="B49" s="5" t="s">
        <v>37</v>
      </c>
      <c r="C49" s="5" t="s">
        <v>38</v>
      </c>
      <c r="D49" s="5" t="s">
        <v>223</v>
      </c>
      <c r="E49" s="7">
        <v>45281</v>
      </c>
      <c r="F49" s="24">
        <f t="shared" si="0"/>
        <v>12</v>
      </c>
      <c r="G49" s="24">
        <f t="shared" si="1"/>
        <v>2023</v>
      </c>
      <c r="H49" s="5">
        <v>20409318135</v>
      </c>
      <c r="I49" s="5" t="s">
        <v>130</v>
      </c>
      <c r="J49" s="5" t="s">
        <v>131</v>
      </c>
      <c r="K49" s="8">
        <v>28622.37</v>
      </c>
      <c r="L49" s="8">
        <v>28500</v>
      </c>
      <c r="M49" s="8">
        <v>28500</v>
      </c>
      <c r="N49" s="5" t="s">
        <v>42</v>
      </c>
      <c r="O49" s="8">
        <v>28500</v>
      </c>
      <c r="P49" s="5" t="s">
        <v>42</v>
      </c>
      <c r="Q49" s="8">
        <v>21090</v>
      </c>
      <c r="R49" s="9">
        <v>0.74</v>
      </c>
      <c r="S49" s="9">
        <v>0.74</v>
      </c>
      <c r="T49" s="5" t="s">
        <v>43</v>
      </c>
      <c r="U49" s="5" t="s">
        <v>44</v>
      </c>
      <c r="V49" s="5" t="s">
        <v>40</v>
      </c>
      <c r="W49" s="5" t="s">
        <v>45</v>
      </c>
      <c r="X49" s="5" t="s">
        <v>40</v>
      </c>
      <c r="Y49" s="5" t="s">
        <v>132</v>
      </c>
      <c r="Z49" s="5" t="s">
        <v>224</v>
      </c>
      <c r="AA49" s="5" t="s">
        <v>225</v>
      </c>
      <c r="AB49" s="5" t="s">
        <v>225</v>
      </c>
      <c r="AC49" s="5" t="s">
        <v>225</v>
      </c>
      <c r="AD49" s="5" t="s">
        <v>225</v>
      </c>
      <c r="AE49" s="5" t="s">
        <v>225</v>
      </c>
      <c r="AF49" s="5" t="s">
        <v>49</v>
      </c>
      <c r="AG49" s="5" t="s">
        <v>49</v>
      </c>
      <c r="AH49" s="5" t="s">
        <v>49</v>
      </c>
      <c r="AI49" s="5" t="s">
        <v>50</v>
      </c>
    </row>
    <row r="50" spans="1:35" x14ac:dyDescent="0.3">
      <c r="A50" s="4">
        <v>713909000</v>
      </c>
      <c r="B50" s="5" t="s">
        <v>37</v>
      </c>
      <c r="C50" s="5" t="s">
        <v>38</v>
      </c>
      <c r="D50" s="5" t="s">
        <v>226</v>
      </c>
      <c r="E50" s="7">
        <v>45281</v>
      </c>
      <c r="F50" s="24">
        <f t="shared" si="0"/>
        <v>12</v>
      </c>
      <c r="G50" s="24">
        <f t="shared" si="1"/>
        <v>2023</v>
      </c>
      <c r="H50" s="5">
        <v>20409318135</v>
      </c>
      <c r="I50" s="5" t="s">
        <v>130</v>
      </c>
      <c r="J50" s="5" t="s">
        <v>157</v>
      </c>
      <c r="K50" s="8">
        <v>11807.03</v>
      </c>
      <c r="L50" s="8">
        <v>11750</v>
      </c>
      <c r="M50" s="8">
        <v>11750</v>
      </c>
      <c r="N50" s="5" t="s">
        <v>42</v>
      </c>
      <c r="O50" s="8">
        <v>11750</v>
      </c>
      <c r="P50" s="5" t="s">
        <v>42</v>
      </c>
      <c r="Q50" s="8">
        <v>8695</v>
      </c>
      <c r="R50" s="9">
        <v>0.74</v>
      </c>
      <c r="S50" s="9">
        <v>0.74</v>
      </c>
      <c r="T50" s="5" t="s">
        <v>43</v>
      </c>
      <c r="U50" s="5" t="s">
        <v>44</v>
      </c>
      <c r="V50" s="5" t="s">
        <v>40</v>
      </c>
      <c r="W50" s="5" t="s">
        <v>45</v>
      </c>
      <c r="X50" s="5" t="s">
        <v>40</v>
      </c>
      <c r="Y50" s="5" t="s">
        <v>158</v>
      </c>
      <c r="Z50" s="5" t="s">
        <v>227</v>
      </c>
      <c r="AA50" s="5" t="s">
        <v>228</v>
      </c>
      <c r="AB50" s="5" t="s">
        <v>228</v>
      </c>
      <c r="AC50" s="5" t="s">
        <v>228</v>
      </c>
      <c r="AD50" s="5" t="s">
        <v>228</v>
      </c>
      <c r="AE50" s="5" t="s">
        <v>228</v>
      </c>
      <c r="AF50" s="5" t="s">
        <v>49</v>
      </c>
      <c r="AG50" s="5" t="s">
        <v>49</v>
      </c>
      <c r="AH50" s="5" t="s">
        <v>49</v>
      </c>
      <c r="AI50" s="5" t="s">
        <v>50</v>
      </c>
    </row>
    <row r="51" spans="1:35" x14ac:dyDescent="0.3">
      <c r="A51" s="4">
        <v>713909000</v>
      </c>
      <c r="B51" s="5" t="s">
        <v>37</v>
      </c>
      <c r="C51" s="5" t="s">
        <v>38</v>
      </c>
      <c r="D51" s="5" t="s">
        <v>229</v>
      </c>
      <c r="E51" s="7">
        <v>45274</v>
      </c>
      <c r="F51" s="24">
        <f t="shared" si="0"/>
        <v>12</v>
      </c>
      <c r="G51" s="24">
        <f t="shared" si="1"/>
        <v>2023</v>
      </c>
      <c r="H51" s="5">
        <v>20409318135</v>
      </c>
      <c r="I51" s="5" t="s">
        <v>130</v>
      </c>
      <c r="J51" s="5" t="s">
        <v>230</v>
      </c>
      <c r="K51" s="8">
        <v>40173.910000000003</v>
      </c>
      <c r="L51" s="8">
        <v>40000</v>
      </c>
      <c r="M51" s="8">
        <v>40000</v>
      </c>
      <c r="N51" s="5" t="s">
        <v>42</v>
      </c>
      <c r="O51" s="8">
        <v>40000</v>
      </c>
      <c r="P51" s="5" t="s">
        <v>42</v>
      </c>
      <c r="Q51" s="8">
        <v>29600</v>
      </c>
      <c r="R51" s="9">
        <v>0.74</v>
      </c>
      <c r="S51" s="9">
        <v>0.74</v>
      </c>
      <c r="T51" s="5" t="s">
        <v>43</v>
      </c>
      <c r="U51" s="5" t="s">
        <v>44</v>
      </c>
      <c r="V51" s="5" t="s">
        <v>40</v>
      </c>
      <c r="W51" s="5" t="s">
        <v>45</v>
      </c>
      <c r="X51" s="5" t="s">
        <v>40</v>
      </c>
      <c r="Y51" s="5" t="s">
        <v>132</v>
      </c>
      <c r="Z51" s="5" t="s">
        <v>231</v>
      </c>
      <c r="AA51" s="5" t="s">
        <v>232</v>
      </c>
      <c r="AB51" s="5" t="s">
        <v>232</v>
      </c>
      <c r="AC51" s="5" t="s">
        <v>232</v>
      </c>
      <c r="AD51" s="5" t="s">
        <v>232</v>
      </c>
      <c r="AE51" s="5" t="s">
        <v>232</v>
      </c>
      <c r="AF51" s="5" t="s">
        <v>49</v>
      </c>
      <c r="AG51" s="5" t="s">
        <v>49</v>
      </c>
      <c r="AH51" s="5" t="s">
        <v>49</v>
      </c>
      <c r="AI51" s="5" t="s">
        <v>50</v>
      </c>
    </row>
    <row r="52" spans="1:35" x14ac:dyDescent="0.3">
      <c r="A52" s="4">
        <v>713909000</v>
      </c>
      <c r="B52" s="5" t="s">
        <v>37</v>
      </c>
      <c r="C52" s="5" t="s">
        <v>233</v>
      </c>
      <c r="D52" s="5" t="s">
        <v>234</v>
      </c>
      <c r="E52" s="7">
        <v>45521</v>
      </c>
      <c r="F52" s="24">
        <f t="shared" si="0"/>
        <v>8</v>
      </c>
      <c r="G52" s="24">
        <f t="shared" si="1"/>
        <v>2024</v>
      </c>
      <c r="H52" s="5">
        <v>20510807694</v>
      </c>
      <c r="I52" s="5" t="s">
        <v>235</v>
      </c>
      <c r="J52" s="5" t="s">
        <v>236</v>
      </c>
      <c r="K52" s="8">
        <v>50</v>
      </c>
      <c r="L52" s="8">
        <v>50</v>
      </c>
      <c r="M52" s="8">
        <v>50</v>
      </c>
      <c r="N52" s="5" t="s">
        <v>42</v>
      </c>
      <c r="O52" s="8">
        <v>50</v>
      </c>
      <c r="P52" s="5" t="s">
        <v>42</v>
      </c>
      <c r="Q52" s="8">
        <v>74.7</v>
      </c>
      <c r="R52" s="9">
        <v>1.494</v>
      </c>
      <c r="S52" s="9">
        <v>1.494</v>
      </c>
      <c r="T52" s="5" t="s">
        <v>237</v>
      </c>
      <c r="U52" s="5" t="s">
        <v>238</v>
      </c>
      <c r="V52" s="5" t="s">
        <v>40</v>
      </c>
      <c r="W52" s="5" t="s">
        <v>239</v>
      </c>
      <c r="X52" s="5" t="s">
        <v>240</v>
      </c>
      <c r="Y52" s="5" t="s">
        <v>158</v>
      </c>
      <c r="Z52" s="5" t="s">
        <v>241</v>
      </c>
      <c r="AA52" s="5" t="s">
        <v>242</v>
      </c>
      <c r="AB52" s="5" t="s">
        <v>242</v>
      </c>
      <c r="AC52" s="5" t="s">
        <v>242</v>
      </c>
      <c r="AD52" s="5" t="s">
        <v>242</v>
      </c>
      <c r="AE52" s="5" t="s">
        <v>242</v>
      </c>
      <c r="AF52" s="5" t="s">
        <v>243</v>
      </c>
      <c r="AG52" s="5" t="s">
        <v>76</v>
      </c>
      <c r="AH52" s="5" t="s">
        <v>76</v>
      </c>
      <c r="AI52" s="5" t="s">
        <v>50</v>
      </c>
    </row>
    <row r="53" spans="1:35" x14ac:dyDescent="0.3">
      <c r="A53" s="4">
        <v>713909000</v>
      </c>
      <c r="B53" s="5" t="s">
        <v>37</v>
      </c>
      <c r="C53" s="5" t="s">
        <v>233</v>
      </c>
      <c r="D53" s="5" t="s">
        <v>244</v>
      </c>
      <c r="E53" s="7">
        <v>45493</v>
      </c>
      <c r="F53" s="24">
        <f t="shared" si="0"/>
        <v>7</v>
      </c>
      <c r="G53" s="24">
        <f t="shared" si="1"/>
        <v>2024</v>
      </c>
      <c r="H53" s="5">
        <v>20510807694</v>
      </c>
      <c r="I53" s="5" t="s">
        <v>235</v>
      </c>
      <c r="J53" s="5" t="s">
        <v>236</v>
      </c>
      <c r="K53" s="8">
        <v>52.62</v>
      </c>
      <c r="L53" s="8">
        <v>50</v>
      </c>
      <c r="M53" s="8">
        <v>50</v>
      </c>
      <c r="N53" s="5" t="s">
        <v>42</v>
      </c>
      <c r="O53" s="8">
        <v>50</v>
      </c>
      <c r="P53" s="5" t="s">
        <v>42</v>
      </c>
      <c r="Q53" s="8">
        <v>75</v>
      </c>
      <c r="R53" s="9">
        <v>1.5</v>
      </c>
      <c r="S53" s="9">
        <v>1.5</v>
      </c>
      <c r="T53" s="5" t="s">
        <v>237</v>
      </c>
      <c r="U53" s="5" t="s">
        <v>238</v>
      </c>
      <c r="V53" s="5" t="s">
        <v>40</v>
      </c>
      <c r="W53" s="5" t="s">
        <v>239</v>
      </c>
      <c r="X53" s="5" t="s">
        <v>240</v>
      </c>
      <c r="Y53" s="5" t="s">
        <v>158</v>
      </c>
      <c r="Z53" s="5" t="s">
        <v>241</v>
      </c>
      <c r="AA53" s="5" t="s">
        <v>242</v>
      </c>
      <c r="AB53" s="5" t="s">
        <v>242</v>
      </c>
      <c r="AC53" s="5" t="s">
        <v>242</v>
      </c>
      <c r="AD53" s="5" t="s">
        <v>242</v>
      </c>
      <c r="AE53" s="5" t="s">
        <v>242</v>
      </c>
      <c r="AF53" s="5" t="s">
        <v>243</v>
      </c>
      <c r="AG53" s="5" t="s">
        <v>76</v>
      </c>
      <c r="AH53" s="5" t="s">
        <v>76</v>
      </c>
      <c r="AI53" s="5" t="s">
        <v>50</v>
      </c>
    </row>
    <row r="54" spans="1:35" x14ac:dyDescent="0.3">
      <c r="A54" s="4">
        <v>713909000</v>
      </c>
      <c r="B54" s="5" t="s">
        <v>37</v>
      </c>
      <c r="C54" s="5" t="s">
        <v>63</v>
      </c>
      <c r="D54" s="5" t="s">
        <v>245</v>
      </c>
      <c r="E54" s="7">
        <v>45273</v>
      </c>
      <c r="F54" s="24">
        <f t="shared" si="0"/>
        <v>12</v>
      </c>
      <c r="G54" s="24">
        <f t="shared" si="1"/>
        <v>2023</v>
      </c>
      <c r="H54" s="5">
        <v>20607653063</v>
      </c>
      <c r="I54" s="5" t="s">
        <v>246</v>
      </c>
      <c r="J54" s="5" t="s">
        <v>115</v>
      </c>
      <c r="K54" s="8">
        <v>2001.66</v>
      </c>
      <c r="L54" s="8">
        <v>2000</v>
      </c>
      <c r="M54" s="8">
        <v>2000</v>
      </c>
      <c r="N54" s="5" t="s">
        <v>42</v>
      </c>
      <c r="O54" s="8">
        <v>2000</v>
      </c>
      <c r="P54" s="5" t="s">
        <v>42</v>
      </c>
      <c r="Q54" s="8">
        <v>5553</v>
      </c>
      <c r="R54" s="9">
        <v>2.7759999999999998</v>
      </c>
      <c r="S54" s="9">
        <v>2.7759999999999998</v>
      </c>
      <c r="T54" s="5" t="s">
        <v>197</v>
      </c>
      <c r="U54" s="5" t="s">
        <v>247</v>
      </c>
      <c r="V54" s="5" t="s">
        <v>40</v>
      </c>
      <c r="W54" s="5" t="s">
        <v>70</v>
      </c>
      <c r="X54" s="5" t="s">
        <v>248</v>
      </c>
      <c r="Y54" s="5" t="s">
        <v>249</v>
      </c>
      <c r="Z54" s="5" t="s">
        <v>250</v>
      </c>
      <c r="AA54" s="5" t="s">
        <v>251</v>
      </c>
      <c r="AB54" s="5" t="s">
        <v>251</v>
      </c>
      <c r="AC54" s="5" t="s">
        <v>251</v>
      </c>
      <c r="AD54" s="5" t="s">
        <v>251</v>
      </c>
      <c r="AE54" s="5" t="s">
        <v>251</v>
      </c>
      <c r="AF54" s="5" t="s">
        <v>252</v>
      </c>
      <c r="AG54" s="5" t="s">
        <v>76</v>
      </c>
      <c r="AH54" s="5" t="s">
        <v>76</v>
      </c>
      <c r="AI54" s="5" t="s">
        <v>50</v>
      </c>
    </row>
    <row r="55" spans="1:35" x14ac:dyDescent="0.3">
      <c r="A55" s="4">
        <v>713909000</v>
      </c>
      <c r="B55" s="5" t="s">
        <v>37</v>
      </c>
      <c r="C55" s="5" t="s">
        <v>38</v>
      </c>
      <c r="D55" s="5" t="s">
        <v>253</v>
      </c>
      <c r="E55" s="7">
        <v>45267</v>
      </c>
      <c r="F55" s="24">
        <f t="shared" si="0"/>
        <v>12</v>
      </c>
      <c r="G55" s="24">
        <f t="shared" si="1"/>
        <v>2023</v>
      </c>
      <c r="H55" s="5">
        <v>20409318135</v>
      </c>
      <c r="I55" s="5" t="s">
        <v>130</v>
      </c>
      <c r="J55" s="5" t="s">
        <v>206</v>
      </c>
      <c r="K55" s="8">
        <v>35390.39</v>
      </c>
      <c r="L55" s="8">
        <v>35250</v>
      </c>
      <c r="M55" s="8">
        <v>35250</v>
      </c>
      <c r="N55" s="5" t="s">
        <v>42</v>
      </c>
      <c r="O55" s="8">
        <v>35250</v>
      </c>
      <c r="P55" s="5" t="s">
        <v>42</v>
      </c>
      <c r="Q55" s="8">
        <v>26085</v>
      </c>
      <c r="R55" s="9">
        <v>0.74</v>
      </c>
      <c r="S55" s="9">
        <v>0.74</v>
      </c>
      <c r="T55" s="5" t="s">
        <v>43</v>
      </c>
      <c r="U55" s="5" t="s">
        <v>44</v>
      </c>
      <c r="V55" s="5" t="s">
        <v>40</v>
      </c>
      <c r="W55" s="5" t="s">
        <v>45</v>
      </c>
      <c r="X55" s="5" t="s">
        <v>40</v>
      </c>
      <c r="Y55" s="5" t="s">
        <v>132</v>
      </c>
      <c r="Z55" s="5" t="s">
        <v>254</v>
      </c>
      <c r="AA55" s="5" t="s">
        <v>255</v>
      </c>
      <c r="AB55" s="5" t="s">
        <v>255</v>
      </c>
      <c r="AC55" s="5" t="s">
        <v>255</v>
      </c>
      <c r="AD55" s="5" t="s">
        <v>255</v>
      </c>
      <c r="AE55" s="5" t="s">
        <v>255</v>
      </c>
      <c r="AF55" s="5" t="s">
        <v>49</v>
      </c>
      <c r="AG55" s="5" t="s">
        <v>49</v>
      </c>
      <c r="AH55" s="5" t="s">
        <v>49</v>
      </c>
      <c r="AI55" s="5" t="s">
        <v>50</v>
      </c>
    </row>
    <row r="56" spans="1:35" x14ac:dyDescent="0.3">
      <c r="A56" s="4">
        <v>713909000</v>
      </c>
      <c r="B56" s="5" t="s">
        <v>37</v>
      </c>
      <c r="C56" s="5" t="s">
        <v>38</v>
      </c>
      <c r="D56" s="5" t="s">
        <v>256</v>
      </c>
      <c r="E56" s="7">
        <v>45260</v>
      </c>
      <c r="F56" s="24">
        <f t="shared" si="0"/>
        <v>11</v>
      </c>
      <c r="G56" s="24">
        <f t="shared" si="1"/>
        <v>2023</v>
      </c>
      <c r="H56" s="5">
        <v>20409318135</v>
      </c>
      <c r="I56" s="5" t="s">
        <v>130</v>
      </c>
      <c r="J56" s="5" t="s">
        <v>257</v>
      </c>
      <c r="K56" s="8">
        <v>17090.080000000002</v>
      </c>
      <c r="L56" s="8">
        <v>17000</v>
      </c>
      <c r="M56" s="8">
        <v>17000</v>
      </c>
      <c r="N56" s="5" t="s">
        <v>42</v>
      </c>
      <c r="O56" s="8">
        <v>17000</v>
      </c>
      <c r="P56" s="5" t="s">
        <v>42</v>
      </c>
      <c r="Q56" s="8">
        <v>12580</v>
      </c>
      <c r="R56" s="9">
        <v>0.74</v>
      </c>
      <c r="S56" s="9">
        <v>0.74</v>
      </c>
      <c r="T56" s="5" t="s">
        <v>43</v>
      </c>
      <c r="U56" s="5" t="s">
        <v>44</v>
      </c>
      <c r="V56" s="5" t="s">
        <v>40</v>
      </c>
      <c r="W56" s="5" t="s">
        <v>45</v>
      </c>
      <c r="X56" s="5" t="s">
        <v>40</v>
      </c>
      <c r="Y56" s="5" t="s">
        <v>158</v>
      </c>
      <c r="Z56" s="5" t="s">
        <v>258</v>
      </c>
      <c r="AA56" s="5" t="s">
        <v>259</v>
      </c>
      <c r="AB56" s="5" t="s">
        <v>259</v>
      </c>
      <c r="AC56" s="5" t="s">
        <v>259</v>
      </c>
      <c r="AD56" s="5" t="s">
        <v>259</v>
      </c>
      <c r="AE56" s="5" t="s">
        <v>259</v>
      </c>
      <c r="AF56" s="5" t="s">
        <v>49</v>
      </c>
      <c r="AG56" s="5" t="s">
        <v>49</v>
      </c>
      <c r="AH56" s="5" t="s">
        <v>49</v>
      </c>
      <c r="AI56" s="5" t="s">
        <v>50</v>
      </c>
    </row>
    <row r="57" spans="1:35" x14ac:dyDescent="0.3">
      <c r="A57" s="4">
        <v>713909000</v>
      </c>
      <c r="B57" s="5" t="s">
        <v>37</v>
      </c>
      <c r="C57" s="5" t="s">
        <v>38</v>
      </c>
      <c r="D57" s="5" t="s">
        <v>260</v>
      </c>
      <c r="E57" s="7">
        <v>45253</v>
      </c>
      <c r="F57" s="24">
        <f t="shared" si="0"/>
        <v>11</v>
      </c>
      <c r="G57" s="24">
        <f t="shared" si="1"/>
        <v>2023</v>
      </c>
      <c r="H57" s="5">
        <v>20409318135</v>
      </c>
      <c r="I57" s="5" t="s">
        <v>130</v>
      </c>
      <c r="J57" s="5" t="s">
        <v>131</v>
      </c>
      <c r="K57" s="8">
        <v>27610</v>
      </c>
      <c r="L57" s="8">
        <v>27500</v>
      </c>
      <c r="M57" s="8">
        <v>27500</v>
      </c>
      <c r="N57" s="5" t="s">
        <v>42</v>
      </c>
      <c r="O57" s="8">
        <v>27500</v>
      </c>
      <c r="P57" s="5" t="s">
        <v>42</v>
      </c>
      <c r="Q57" s="8">
        <v>20350</v>
      </c>
      <c r="R57" s="9">
        <v>0.74</v>
      </c>
      <c r="S57" s="9">
        <v>0.74</v>
      </c>
      <c r="T57" s="5" t="s">
        <v>43</v>
      </c>
      <c r="U57" s="5" t="s">
        <v>44</v>
      </c>
      <c r="V57" s="5" t="s">
        <v>40</v>
      </c>
      <c r="W57" s="5" t="s">
        <v>45</v>
      </c>
      <c r="X57" s="5" t="s">
        <v>40</v>
      </c>
      <c r="Y57" s="5" t="s">
        <v>132</v>
      </c>
      <c r="Z57" s="5" t="s">
        <v>261</v>
      </c>
      <c r="AA57" s="5" t="s">
        <v>262</v>
      </c>
      <c r="AB57" s="5" t="s">
        <v>262</v>
      </c>
      <c r="AC57" s="5" t="s">
        <v>262</v>
      </c>
      <c r="AD57" s="5" t="s">
        <v>262</v>
      </c>
      <c r="AE57" s="5" t="s">
        <v>262</v>
      </c>
      <c r="AF57" s="5" t="s">
        <v>49</v>
      </c>
      <c r="AG57" s="5" t="s">
        <v>49</v>
      </c>
      <c r="AH57" s="5" t="s">
        <v>49</v>
      </c>
      <c r="AI57" s="5" t="s">
        <v>50</v>
      </c>
    </row>
    <row r="58" spans="1:35" x14ac:dyDescent="0.3">
      <c r="A58" s="4">
        <v>713909000</v>
      </c>
      <c r="B58" s="5" t="s">
        <v>37</v>
      </c>
      <c r="C58" s="5" t="s">
        <v>38</v>
      </c>
      <c r="D58" s="5" t="s">
        <v>263</v>
      </c>
      <c r="E58" s="7">
        <v>45246</v>
      </c>
      <c r="F58" s="24">
        <f t="shared" si="0"/>
        <v>11</v>
      </c>
      <c r="G58" s="24">
        <f t="shared" si="1"/>
        <v>2023</v>
      </c>
      <c r="H58" s="5">
        <v>20409318135</v>
      </c>
      <c r="I58" s="5" t="s">
        <v>130</v>
      </c>
      <c r="J58" s="5" t="s">
        <v>131</v>
      </c>
      <c r="K58" s="8">
        <v>35146.660000000003</v>
      </c>
      <c r="L58" s="8">
        <v>35000</v>
      </c>
      <c r="M58" s="8">
        <v>35000</v>
      </c>
      <c r="N58" s="5" t="s">
        <v>42</v>
      </c>
      <c r="O58" s="8">
        <v>35000</v>
      </c>
      <c r="P58" s="5" t="s">
        <v>42</v>
      </c>
      <c r="Q58" s="8">
        <v>25900</v>
      </c>
      <c r="R58" s="9">
        <v>0.74</v>
      </c>
      <c r="S58" s="9">
        <v>0.74</v>
      </c>
      <c r="T58" s="5" t="s">
        <v>43</v>
      </c>
      <c r="U58" s="5" t="s">
        <v>44</v>
      </c>
      <c r="V58" s="5" t="s">
        <v>40</v>
      </c>
      <c r="W58" s="5" t="s">
        <v>45</v>
      </c>
      <c r="X58" s="5" t="s">
        <v>40</v>
      </c>
      <c r="Y58" s="5" t="s">
        <v>132</v>
      </c>
      <c r="Z58" s="5" t="s">
        <v>264</v>
      </c>
      <c r="AA58" s="5" t="s">
        <v>265</v>
      </c>
      <c r="AB58" s="5" t="s">
        <v>265</v>
      </c>
      <c r="AC58" s="5" t="s">
        <v>265</v>
      </c>
      <c r="AD58" s="5" t="s">
        <v>265</v>
      </c>
      <c r="AE58" s="5" t="s">
        <v>265</v>
      </c>
      <c r="AF58" s="5" t="s">
        <v>49</v>
      </c>
      <c r="AG58" s="5" t="s">
        <v>49</v>
      </c>
      <c r="AH58" s="5" t="s">
        <v>49</v>
      </c>
      <c r="AI58" s="5" t="s">
        <v>50</v>
      </c>
    </row>
    <row r="59" spans="1:35" x14ac:dyDescent="0.3">
      <c r="A59" s="4">
        <v>713909000</v>
      </c>
      <c r="B59" s="5" t="s">
        <v>37</v>
      </c>
      <c r="C59" s="5" t="s">
        <v>38</v>
      </c>
      <c r="D59" s="5" t="s">
        <v>266</v>
      </c>
      <c r="E59" s="7">
        <v>45239</v>
      </c>
      <c r="F59" s="24">
        <f t="shared" si="0"/>
        <v>11</v>
      </c>
      <c r="G59" s="24">
        <f t="shared" si="1"/>
        <v>2023</v>
      </c>
      <c r="H59" s="5">
        <v>20409318135</v>
      </c>
      <c r="I59" s="5" t="s">
        <v>130</v>
      </c>
      <c r="J59" s="5" t="s">
        <v>157</v>
      </c>
      <c r="K59" s="8">
        <v>31132.560000000001</v>
      </c>
      <c r="L59" s="8">
        <v>31000</v>
      </c>
      <c r="M59" s="8">
        <v>31000</v>
      </c>
      <c r="N59" s="5" t="s">
        <v>42</v>
      </c>
      <c r="O59" s="8">
        <v>31000</v>
      </c>
      <c r="P59" s="5" t="s">
        <v>42</v>
      </c>
      <c r="Q59" s="8">
        <v>22940</v>
      </c>
      <c r="R59" s="9">
        <v>0.74</v>
      </c>
      <c r="S59" s="9">
        <v>0.74</v>
      </c>
      <c r="T59" s="5" t="s">
        <v>43</v>
      </c>
      <c r="U59" s="5" t="s">
        <v>44</v>
      </c>
      <c r="V59" s="5" t="s">
        <v>40</v>
      </c>
      <c r="W59" s="5" t="s">
        <v>45</v>
      </c>
      <c r="X59" s="5" t="s">
        <v>40</v>
      </c>
      <c r="Y59" s="5" t="s">
        <v>158</v>
      </c>
      <c r="Z59" s="5" t="s">
        <v>267</v>
      </c>
      <c r="AA59" s="5" t="s">
        <v>268</v>
      </c>
      <c r="AB59" s="5" t="s">
        <v>268</v>
      </c>
      <c r="AC59" s="5" t="s">
        <v>268</v>
      </c>
      <c r="AD59" s="5" t="s">
        <v>268</v>
      </c>
      <c r="AE59" s="5" t="s">
        <v>268</v>
      </c>
      <c r="AF59" s="5" t="s">
        <v>49</v>
      </c>
      <c r="AG59" s="5" t="s">
        <v>49</v>
      </c>
      <c r="AH59" s="5" t="s">
        <v>49</v>
      </c>
      <c r="AI59" s="5" t="s">
        <v>50</v>
      </c>
    </row>
    <row r="60" spans="1:35" x14ac:dyDescent="0.3">
      <c r="A60" s="4">
        <v>713909000</v>
      </c>
      <c r="B60" s="5" t="s">
        <v>37</v>
      </c>
      <c r="C60" s="5" t="s">
        <v>38</v>
      </c>
      <c r="D60" s="5" t="s">
        <v>269</v>
      </c>
      <c r="E60" s="7">
        <v>45218</v>
      </c>
      <c r="F60" s="24">
        <f t="shared" si="0"/>
        <v>10</v>
      </c>
      <c r="G60" s="24">
        <f t="shared" si="1"/>
        <v>2023</v>
      </c>
      <c r="H60" s="5">
        <v>20409318135</v>
      </c>
      <c r="I60" s="5" t="s">
        <v>130</v>
      </c>
      <c r="J60" s="5" t="s">
        <v>157</v>
      </c>
      <c r="K60" s="8">
        <v>10044.44</v>
      </c>
      <c r="L60" s="8">
        <v>10000</v>
      </c>
      <c r="M60" s="8">
        <v>10000</v>
      </c>
      <c r="N60" s="5" t="s">
        <v>42</v>
      </c>
      <c r="O60" s="8">
        <v>10000</v>
      </c>
      <c r="P60" s="5" t="s">
        <v>42</v>
      </c>
      <c r="Q60" s="8">
        <v>7400</v>
      </c>
      <c r="R60" s="9">
        <v>0.74</v>
      </c>
      <c r="S60" s="9">
        <v>0.74</v>
      </c>
      <c r="T60" s="5" t="s">
        <v>43</v>
      </c>
      <c r="U60" s="5" t="s">
        <v>44</v>
      </c>
      <c r="V60" s="5" t="s">
        <v>40</v>
      </c>
      <c r="W60" s="5" t="s">
        <v>45</v>
      </c>
      <c r="X60" s="5" t="s">
        <v>40</v>
      </c>
      <c r="Y60" s="5" t="s">
        <v>158</v>
      </c>
      <c r="Z60" s="5" t="s">
        <v>270</v>
      </c>
      <c r="AA60" s="5" t="s">
        <v>271</v>
      </c>
      <c r="AB60" s="5" t="s">
        <v>271</v>
      </c>
      <c r="AC60" s="5" t="s">
        <v>271</v>
      </c>
      <c r="AD60" s="5" t="s">
        <v>271</v>
      </c>
      <c r="AE60" s="5" t="s">
        <v>271</v>
      </c>
      <c r="AF60" s="5" t="s">
        <v>49</v>
      </c>
      <c r="AG60" s="5" t="s">
        <v>49</v>
      </c>
      <c r="AH60" s="5" t="s">
        <v>49</v>
      </c>
      <c r="AI60" s="5" t="s">
        <v>50</v>
      </c>
    </row>
    <row r="61" spans="1:35" x14ac:dyDescent="0.3">
      <c r="A61" s="4">
        <v>713909000</v>
      </c>
      <c r="B61" s="5" t="s">
        <v>37</v>
      </c>
      <c r="C61" s="5" t="s">
        <v>38</v>
      </c>
      <c r="D61" s="5" t="s">
        <v>272</v>
      </c>
      <c r="E61" s="7">
        <v>45210</v>
      </c>
      <c r="F61" s="24">
        <f t="shared" si="0"/>
        <v>10</v>
      </c>
      <c r="G61" s="24">
        <f t="shared" si="1"/>
        <v>2023</v>
      </c>
      <c r="H61" s="5">
        <v>20409318135</v>
      </c>
      <c r="I61" s="5" t="s">
        <v>130</v>
      </c>
      <c r="J61" s="5" t="s">
        <v>273</v>
      </c>
      <c r="K61" s="8">
        <v>30120</v>
      </c>
      <c r="L61" s="8">
        <v>30000</v>
      </c>
      <c r="M61" s="8">
        <v>30000</v>
      </c>
      <c r="N61" s="5" t="s">
        <v>42</v>
      </c>
      <c r="O61" s="8">
        <v>30000</v>
      </c>
      <c r="P61" s="5" t="s">
        <v>42</v>
      </c>
      <c r="Q61" s="8">
        <v>22200</v>
      </c>
      <c r="R61" s="9">
        <v>0.74</v>
      </c>
      <c r="S61" s="9">
        <v>0.74</v>
      </c>
      <c r="T61" s="5" t="s">
        <v>43</v>
      </c>
      <c r="U61" s="5" t="s">
        <v>44</v>
      </c>
      <c r="V61" s="5" t="s">
        <v>40</v>
      </c>
      <c r="W61" s="5" t="s">
        <v>45</v>
      </c>
      <c r="X61" s="5" t="s">
        <v>40</v>
      </c>
      <c r="Y61" s="5" t="s">
        <v>132</v>
      </c>
      <c r="Z61" s="5" t="s">
        <v>274</v>
      </c>
      <c r="AA61" s="5" t="s">
        <v>275</v>
      </c>
      <c r="AB61" s="5" t="s">
        <v>275</v>
      </c>
      <c r="AC61" s="5" t="s">
        <v>275</v>
      </c>
      <c r="AD61" s="5" t="s">
        <v>275</v>
      </c>
      <c r="AE61" s="5" t="s">
        <v>275</v>
      </c>
      <c r="AF61" s="5" t="s">
        <v>49</v>
      </c>
      <c r="AG61" s="5" t="s">
        <v>49</v>
      </c>
      <c r="AH61" s="5" t="s">
        <v>49</v>
      </c>
      <c r="AI61" s="5" t="s">
        <v>50</v>
      </c>
    </row>
    <row r="62" spans="1:35" x14ac:dyDescent="0.3">
      <c r="A62" s="4">
        <v>713909000</v>
      </c>
      <c r="B62" s="5" t="s">
        <v>37</v>
      </c>
      <c r="C62" s="5" t="s">
        <v>38</v>
      </c>
      <c r="D62" s="5" t="s">
        <v>276</v>
      </c>
      <c r="E62" s="7">
        <v>45183</v>
      </c>
      <c r="F62" s="24">
        <f t="shared" si="0"/>
        <v>9</v>
      </c>
      <c r="G62" s="24">
        <f t="shared" si="1"/>
        <v>2023</v>
      </c>
      <c r="H62" s="5">
        <v>20409318135</v>
      </c>
      <c r="I62" s="5" t="s">
        <v>130</v>
      </c>
      <c r="J62" s="5" t="s">
        <v>131</v>
      </c>
      <c r="K62" s="8">
        <v>16570.21</v>
      </c>
      <c r="L62" s="8">
        <v>16500</v>
      </c>
      <c r="M62" s="8">
        <v>16500</v>
      </c>
      <c r="N62" s="5" t="s">
        <v>42</v>
      </c>
      <c r="O62" s="8">
        <v>16500</v>
      </c>
      <c r="P62" s="5" t="s">
        <v>42</v>
      </c>
      <c r="Q62" s="8">
        <v>12210</v>
      </c>
      <c r="R62" s="9">
        <v>0.74</v>
      </c>
      <c r="S62" s="9">
        <v>0.74</v>
      </c>
      <c r="T62" s="5" t="s">
        <v>43</v>
      </c>
      <c r="U62" s="5" t="s">
        <v>44</v>
      </c>
      <c r="V62" s="5" t="s">
        <v>40</v>
      </c>
      <c r="W62" s="5" t="s">
        <v>45</v>
      </c>
      <c r="X62" s="5" t="s">
        <v>40</v>
      </c>
      <c r="Y62" s="5" t="s">
        <v>132</v>
      </c>
      <c r="Z62" s="5" t="s">
        <v>277</v>
      </c>
      <c r="AA62" s="5" t="s">
        <v>278</v>
      </c>
      <c r="AB62" s="5" t="s">
        <v>278</v>
      </c>
      <c r="AC62" s="5" t="s">
        <v>278</v>
      </c>
      <c r="AD62" s="5" t="s">
        <v>278</v>
      </c>
      <c r="AE62" s="5" t="s">
        <v>278</v>
      </c>
      <c r="AF62" s="5" t="s">
        <v>49</v>
      </c>
      <c r="AG62" s="5" t="s">
        <v>49</v>
      </c>
      <c r="AH62" s="5" t="s">
        <v>49</v>
      </c>
      <c r="AI62" s="5" t="s">
        <v>50</v>
      </c>
    </row>
    <row r="63" spans="1:35" x14ac:dyDescent="0.3">
      <c r="A63" s="4">
        <v>713909000</v>
      </c>
      <c r="B63" s="5" t="s">
        <v>37</v>
      </c>
      <c r="C63" s="5" t="s">
        <v>63</v>
      </c>
      <c r="D63" s="5" t="s">
        <v>279</v>
      </c>
      <c r="E63" s="7">
        <v>45315</v>
      </c>
      <c r="F63" s="24">
        <f t="shared" si="0"/>
        <v>1</v>
      </c>
      <c r="G63" s="24">
        <f t="shared" si="1"/>
        <v>2024</v>
      </c>
      <c r="H63" s="5">
        <v>20544535669</v>
      </c>
      <c r="I63" s="5" t="s">
        <v>195</v>
      </c>
      <c r="J63" s="5" t="s">
        <v>196</v>
      </c>
      <c r="K63" s="8">
        <v>1462.03</v>
      </c>
      <c r="L63" s="8">
        <v>1368</v>
      </c>
      <c r="M63" s="8">
        <v>1368</v>
      </c>
      <c r="N63" s="5" t="s">
        <v>42</v>
      </c>
      <c r="O63" s="8">
        <v>114</v>
      </c>
      <c r="P63" s="5" t="s">
        <v>67</v>
      </c>
      <c r="Q63" s="8">
        <v>4617</v>
      </c>
      <c r="R63" s="9">
        <v>3.375</v>
      </c>
      <c r="S63" s="9">
        <v>40.5</v>
      </c>
      <c r="T63" s="5" t="s">
        <v>197</v>
      </c>
      <c r="U63" s="5" t="s">
        <v>116</v>
      </c>
      <c r="V63" s="5" t="s">
        <v>40</v>
      </c>
      <c r="W63" s="5" t="s">
        <v>70</v>
      </c>
      <c r="X63" s="5" t="s">
        <v>117</v>
      </c>
      <c r="Y63" s="5" t="s">
        <v>198</v>
      </c>
      <c r="Z63" s="5" t="s">
        <v>203</v>
      </c>
      <c r="AA63" s="5" t="s">
        <v>204</v>
      </c>
      <c r="AB63" s="5" t="s">
        <v>204</v>
      </c>
      <c r="AC63" s="5" t="s">
        <v>204</v>
      </c>
      <c r="AD63" s="5" t="s">
        <v>204</v>
      </c>
      <c r="AE63" s="5" t="s">
        <v>204</v>
      </c>
      <c r="AF63" s="5" t="s">
        <v>112</v>
      </c>
      <c r="AG63" s="5" t="s">
        <v>76</v>
      </c>
      <c r="AH63" s="5" t="s">
        <v>76</v>
      </c>
      <c r="AI63" s="5" t="s">
        <v>50</v>
      </c>
    </row>
    <row r="64" spans="1:35" x14ac:dyDescent="0.3">
      <c r="A64" s="4">
        <v>713909000</v>
      </c>
      <c r="B64" s="5" t="s">
        <v>37</v>
      </c>
      <c r="C64" s="5" t="s">
        <v>38</v>
      </c>
      <c r="D64" s="5" t="s">
        <v>280</v>
      </c>
      <c r="E64" s="7">
        <v>45176</v>
      </c>
      <c r="F64" s="24">
        <f t="shared" si="0"/>
        <v>9</v>
      </c>
      <c r="G64" s="24">
        <f t="shared" si="1"/>
        <v>2023</v>
      </c>
      <c r="H64" s="5">
        <v>20409318135</v>
      </c>
      <c r="I64" s="5" t="s">
        <v>130</v>
      </c>
      <c r="J64" s="5" t="s">
        <v>157</v>
      </c>
      <c r="K64" s="8">
        <v>11046.59</v>
      </c>
      <c r="L64" s="8">
        <v>11000</v>
      </c>
      <c r="M64" s="8">
        <v>11000</v>
      </c>
      <c r="N64" s="5" t="s">
        <v>42</v>
      </c>
      <c r="O64" s="8">
        <v>11000</v>
      </c>
      <c r="P64" s="5" t="s">
        <v>42</v>
      </c>
      <c r="Q64" s="8">
        <v>8140</v>
      </c>
      <c r="R64" s="9">
        <v>0.74</v>
      </c>
      <c r="S64" s="9">
        <v>0.74</v>
      </c>
      <c r="T64" s="5" t="s">
        <v>43</v>
      </c>
      <c r="U64" s="5" t="s">
        <v>44</v>
      </c>
      <c r="V64" s="5" t="s">
        <v>40</v>
      </c>
      <c r="W64" s="5" t="s">
        <v>45</v>
      </c>
      <c r="X64" s="5" t="s">
        <v>40</v>
      </c>
      <c r="Y64" s="5" t="s">
        <v>158</v>
      </c>
      <c r="Z64" s="5" t="s">
        <v>281</v>
      </c>
      <c r="AA64" s="5" t="s">
        <v>282</v>
      </c>
      <c r="AB64" s="5" t="s">
        <v>282</v>
      </c>
      <c r="AC64" s="5" t="s">
        <v>282</v>
      </c>
      <c r="AD64" s="5" t="s">
        <v>282</v>
      </c>
      <c r="AE64" s="5" t="s">
        <v>282</v>
      </c>
      <c r="AF64" s="5" t="s">
        <v>49</v>
      </c>
      <c r="AG64" s="5" t="s">
        <v>49</v>
      </c>
      <c r="AH64" s="5" t="s">
        <v>49</v>
      </c>
      <c r="AI64" s="5" t="s">
        <v>50</v>
      </c>
    </row>
    <row r="65" spans="1:35" x14ac:dyDescent="0.3">
      <c r="A65" s="4">
        <v>713909000</v>
      </c>
      <c r="B65" s="5" t="s">
        <v>37</v>
      </c>
      <c r="C65" s="5" t="s">
        <v>63</v>
      </c>
      <c r="D65" s="5" t="s">
        <v>283</v>
      </c>
      <c r="E65" s="7">
        <v>45188</v>
      </c>
      <c r="F65" s="24">
        <f t="shared" si="0"/>
        <v>9</v>
      </c>
      <c r="G65" s="24">
        <f t="shared" si="1"/>
        <v>2023</v>
      </c>
      <c r="H65" s="5">
        <v>20565443993</v>
      </c>
      <c r="I65" s="5" t="s">
        <v>143</v>
      </c>
      <c r="J65" s="5" t="s">
        <v>115</v>
      </c>
      <c r="K65" s="8">
        <v>462.7</v>
      </c>
      <c r="L65" s="8">
        <v>357.1</v>
      </c>
      <c r="M65" s="8">
        <v>357.1</v>
      </c>
      <c r="N65" s="5" t="s">
        <v>42</v>
      </c>
      <c r="O65" s="8">
        <v>44</v>
      </c>
      <c r="P65" s="5" t="s">
        <v>67</v>
      </c>
      <c r="Q65" s="8">
        <v>1337</v>
      </c>
      <c r="R65" s="9">
        <v>3.7440000000000002</v>
      </c>
      <c r="S65" s="9">
        <v>30.385999999999999</v>
      </c>
      <c r="T65" s="5" t="s">
        <v>197</v>
      </c>
      <c r="U65" s="5" t="s">
        <v>81</v>
      </c>
      <c r="V65" s="5" t="s">
        <v>40</v>
      </c>
      <c r="W65" s="5" t="s">
        <v>70</v>
      </c>
      <c r="X65" s="5" t="s">
        <v>82</v>
      </c>
      <c r="Y65" s="5" t="s">
        <v>72</v>
      </c>
      <c r="Z65" s="5" t="s">
        <v>284</v>
      </c>
      <c r="AA65" s="5" t="s">
        <v>285</v>
      </c>
      <c r="AB65" s="5" t="s">
        <v>285</v>
      </c>
      <c r="AC65" s="5" t="s">
        <v>285</v>
      </c>
      <c r="AD65" s="5" t="s">
        <v>285</v>
      </c>
      <c r="AE65" s="5" t="s">
        <v>285</v>
      </c>
      <c r="AF65" s="5" t="s">
        <v>86</v>
      </c>
      <c r="AG65" s="5" t="s">
        <v>76</v>
      </c>
      <c r="AH65" s="5" t="s">
        <v>76</v>
      </c>
      <c r="AI65" s="5" t="s">
        <v>50</v>
      </c>
    </row>
    <row r="66" spans="1:35" x14ac:dyDescent="0.3">
      <c r="A66" s="4">
        <v>713909000</v>
      </c>
      <c r="B66" s="5" t="s">
        <v>37</v>
      </c>
      <c r="C66" s="5" t="s">
        <v>63</v>
      </c>
      <c r="D66" s="5" t="s">
        <v>286</v>
      </c>
      <c r="E66" s="7">
        <v>44972</v>
      </c>
      <c r="F66" s="24">
        <f t="shared" si="0"/>
        <v>2</v>
      </c>
      <c r="G66" s="24">
        <f t="shared" si="1"/>
        <v>2023</v>
      </c>
      <c r="H66" s="5">
        <v>20607653063</v>
      </c>
      <c r="I66" s="5" t="s">
        <v>246</v>
      </c>
      <c r="J66" s="5" t="s">
        <v>115</v>
      </c>
      <c r="K66" s="8">
        <v>3011.25</v>
      </c>
      <c r="L66" s="8">
        <v>3000</v>
      </c>
      <c r="M66" s="8">
        <v>3000</v>
      </c>
      <c r="N66" s="5" t="s">
        <v>42</v>
      </c>
      <c r="O66" s="8">
        <v>3000</v>
      </c>
      <c r="P66" s="5" t="s">
        <v>42</v>
      </c>
      <c r="Q66" s="8">
        <v>7304</v>
      </c>
      <c r="R66" s="9">
        <v>2.4340000000000002</v>
      </c>
      <c r="S66" s="9">
        <v>2.4340000000000002</v>
      </c>
      <c r="T66" s="5" t="s">
        <v>197</v>
      </c>
      <c r="U66" s="5" t="s">
        <v>94</v>
      </c>
      <c r="V66" s="5" t="s">
        <v>40</v>
      </c>
      <c r="W66" s="5" t="s">
        <v>70</v>
      </c>
      <c r="X66" s="5" t="s">
        <v>109</v>
      </c>
      <c r="Y66" s="5" t="s">
        <v>287</v>
      </c>
      <c r="Z66" s="5" t="s">
        <v>288</v>
      </c>
      <c r="AA66" s="5" t="s">
        <v>289</v>
      </c>
      <c r="AB66" s="5" t="s">
        <v>289</v>
      </c>
      <c r="AC66" s="5" t="s">
        <v>289</v>
      </c>
      <c r="AD66" s="5" t="s">
        <v>289</v>
      </c>
      <c r="AE66" s="5" t="s">
        <v>289</v>
      </c>
      <c r="AF66" s="5" t="s">
        <v>112</v>
      </c>
      <c r="AG66" s="5" t="s">
        <v>49</v>
      </c>
      <c r="AH66" s="5" t="s">
        <v>49</v>
      </c>
      <c r="AI66" s="5" t="s">
        <v>50</v>
      </c>
    </row>
    <row r="67" spans="1:35" x14ac:dyDescent="0.3">
      <c r="A67" s="4">
        <v>713909000</v>
      </c>
      <c r="B67" s="5" t="s">
        <v>37</v>
      </c>
      <c r="C67" s="5" t="s">
        <v>63</v>
      </c>
      <c r="D67" s="5" t="s">
        <v>290</v>
      </c>
      <c r="E67" s="7">
        <v>44965</v>
      </c>
      <c r="F67" s="24">
        <f t="shared" si="0"/>
        <v>2</v>
      </c>
      <c r="G67" s="24">
        <f t="shared" si="1"/>
        <v>2023</v>
      </c>
      <c r="H67" s="5">
        <v>20523273265</v>
      </c>
      <c r="I67" s="5" t="s">
        <v>65</v>
      </c>
      <c r="J67" s="5" t="s">
        <v>66</v>
      </c>
      <c r="K67" s="8">
        <v>1103.22</v>
      </c>
      <c r="L67" s="8">
        <v>1000.44</v>
      </c>
      <c r="M67" s="8">
        <v>1000.44</v>
      </c>
      <c r="N67" s="5" t="s">
        <v>42</v>
      </c>
      <c r="O67" s="8">
        <v>140</v>
      </c>
      <c r="P67" s="5" t="s">
        <v>67</v>
      </c>
      <c r="Q67" s="8">
        <v>3588</v>
      </c>
      <c r="R67" s="9">
        <v>3.5859999999999999</v>
      </c>
      <c r="S67" s="9">
        <v>25.628</v>
      </c>
      <c r="T67" s="5" t="s">
        <v>68</v>
      </c>
      <c r="U67" s="5" t="s">
        <v>69</v>
      </c>
      <c r="V67" s="5" t="s">
        <v>40</v>
      </c>
      <c r="W67" s="5" t="s">
        <v>70</v>
      </c>
      <c r="X67" s="5" t="s">
        <v>71</v>
      </c>
      <c r="Y67" s="5" t="s">
        <v>72</v>
      </c>
      <c r="Z67" s="5" t="s">
        <v>291</v>
      </c>
      <c r="AA67" s="5" t="s">
        <v>292</v>
      </c>
      <c r="AB67" s="5" t="s">
        <v>292</v>
      </c>
      <c r="AC67" s="5" t="s">
        <v>292</v>
      </c>
      <c r="AD67" s="5" t="s">
        <v>292</v>
      </c>
      <c r="AE67" s="5" t="s">
        <v>292</v>
      </c>
      <c r="AF67" s="5" t="s">
        <v>75</v>
      </c>
      <c r="AG67" s="5" t="s">
        <v>76</v>
      </c>
      <c r="AH67" s="5" t="s">
        <v>76</v>
      </c>
      <c r="AI67" s="5" t="s">
        <v>50</v>
      </c>
    </row>
    <row r="68" spans="1:35" x14ac:dyDescent="0.3">
      <c r="A68" s="4">
        <v>713909000</v>
      </c>
      <c r="B68" s="5" t="s">
        <v>37</v>
      </c>
      <c r="C68" s="5" t="s">
        <v>38</v>
      </c>
      <c r="D68" s="5" t="s">
        <v>293</v>
      </c>
      <c r="E68" s="7">
        <v>45043</v>
      </c>
      <c r="F68" s="24">
        <f t="shared" si="0"/>
        <v>4</v>
      </c>
      <c r="G68" s="24">
        <f t="shared" si="1"/>
        <v>2023</v>
      </c>
      <c r="H68" s="5">
        <v>0</v>
      </c>
      <c r="I68" s="5" t="s">
        <v>40</v>
      </c>
      <c r="J68" s="5" t="s">
        <v>41</v>
      </c>
      <c r="K68" s="8">
        <v>6050</v>
      </c>
      <c r="L68" s="8">
        <v>6000</v>
      </c>
      <c r="M68" s="8">
        <v>6000</v>
      </c>
      <c r="N68" s="5" t="s">
        <v>42</v>
      </c>
      <c r="O68" s="8">
        <v>6000</v>
      </c>
      <c r="P68" s="5" t="s">
        <v>42</v>
      </c>
      <c r="Q68" s="8">
        <v>4800</v>
      </c>
      <c r="R68" s="9">
        <v>0.8</v>
      </c>
      <c r="S68" s="9">
        <v>0.8</v>
      </c>
      <c r="T68" s="5" t="s">
        <v>43</v>
      </c>
      <c r="U68" s="5" t="s">
        <v>294</v>
      </c>
      <c r="V68" s="5" t="s">
        <v>40</v>
      </c>
      <c r="W68" s="5" t="s">
        <v>45</v>
      </c>
      <c r="X68" s="5" t="s">
        <v>40</v>
      </c>
      <c r="Y68" s="5" t="s">
        <v>46</v>
      </c>
      <c r="Z68" s="5" t="s">
        <v>295</v>
      </c>
      <c r="AA68" s="5" t="s">
        <v>296</v>
      </c>
      <c r="AB68" s="5" t="s">
        <v>296</v>
      </c>
      <c r="AC68" s="5" t="s">
        <v>296</v>
      </c>
      <c r="AD68" s="5" t="s">
        <v>296</v>
      </c>
      <c r="AE68" s="5" t="s">
        <v>296</v>
      </c>
      <c r="AF68" s="5" t="s">
        <v>49</v>
      </c>
      <c r="AG68" s="5" t="s">
        <v>49</v>
      </c>
      <c r="AH68" s="5" t="s">
        <v>49</v>
      </c>
      <c r="AI68" s="5" t="s">
        <v>50</v>
      </c>
    </row>
    <row r="69" spans="1:35" x14ac:dyDescent="0.3">
      <c r="A69" s="4">
        <v>713909000</v>
      </c>
      <c r="B69" s="5" t="s">
        <v>37</v>
      </c>
      <c r="C69" s="5" t="s">
        <v>233</v>
      </c>
      <c r="D69" s="5" t="s">
        <v>297</v>
      </c>
      <c r="E69" s="7">
        <v>45374</v>
      </c>
      <c r="F69" s="24">
        <f t="shared" si="0"/>
        <v>3</v>
      </c>
      <c r="G69" s="24">
        <f t="shared" si="1"/>
        <v>2024</v>
      </c>
      <c r="H69" s="5">
        <v>20510807694</v>
      </c>
      <c r="I69" s="5" t="s">
        <v>235</v>
      </c>
      <c r="J69" s="5" t="s">
        <v>236</v>
      </c>
      <c r="K69" s="8">
        <v>47.53</v>
      </c>
      <c r="L69" s="8">
        <v>45.15</v>
      </c>
      <c r="M69" s="8">
        <v>45.15</v>
      </c>
      <c r="N69" s="5" t="s">
        <v>42</v>
      </c>
      <c r="O69" s="8">
        <v>50</v>
      </c>
      <c r="P69" s="5" t="s">
        <v>42</v>
      </c>
      <c r="Q69" s="8">
        <v>125</v>
      </c>
      <c r="R69" s="9">
        <v>2.7679999999999998</v>
      </c>
      <c r="S69" s="9">
        <v>2.5</v>
      </c>
      <c r="T69" s="5" t="s">
        <v>237</v>
      </c>
      <c r="U69" s="5" t="s">
        <v>238</v>
      </c>
      <c r="V69" s="5" t="s">
        <v>40</v>
      </c>
      <c r="W69" s="5" t="s">
        <v>239</v>
      </c>
      <c r="X69" s="5" t="s">
        <v>240</v>
      </c>
      <c r="Y69" s="5" t="s">
        <v>158</v>
      </c>
      <c r="Z69" s="5" t="s">
        <v>298</v>
      </c>
      <c r="AA69" s="5" t="s">
        <v>299</v>
      </c>
      <c r="AB69" s="5" t="s">
        <v>299</v>
      </c>
      <c r="AC69" s="5" t="s">
        <v>299</v>
      </c>
      <c r="AD69" s="5" t="s">
        <v>299</v>
      </c>
      <c r="AE69" s="5" t="s">
        <v>299</v>
      </c>
      <c r="AF69" s="5" t="s">
        <v>243</v>
      </c>
      <c r="AG69" s="5" t="s">
        <v>76</v>
      </c>
      <c r="AH69" s="5" t="s">
        <v>76</v>
      </c>
      <c r="AI69" s="5" t="s">
        <v>50</v>
      </c>
    </row>
    <row r="70" spans="1:35" x14ac:dyDescent="0.3">
      <c r="A70" s="4">
        <v>713909000</v>
      </c>
      <c r="B70" s="5" t="s">
        <v>37</v>
      </c>
      <c r="C70" s="5" t="s">
        <v>38</v>
      </c>
      <c r="D70" s="5" t="s">
        <v>300</v>
      </c>
      <c r="E70" s="7">
        <v>45148</v>
      </c>
      <c r="F70" s="24">
        <f t="shared" si="0"/>
        <v>8</v>
      </c>
      <c r="G70" s="24">
        <f t="shared" si="1"/>
        <v>2023</v>
      </c>
      <c r="H70" s="5">
        <v>20409318135</v>
      </c>
      <c r="I70" s="5" t="s">
        <v>130</v>
      </c>
      <c r="J70" s="5" t="s">
        <v>157</v>
      </c>
      <c r="K70" s="8">
        <v>5023.5</v>
      </c>
      <c r="L70" s="8">
        <v>5000</v>
      </c>
      <c r="M70" s="8">
        <v>5000</v>
      </c>
      <c r="N70" s="5" t="s">
        <v>42</v>
      </c>
      <c r="O70" s="8">
        <v>5000</v>
      </c>
      <c r="P70" s="5" t="s">
        <v>42</v>
      </c>
      <c r="Q70" s="8">
        <v>3700</v>
      </c>
      <c r="R70" s="9">
        <v>0.74</v>
      </c>
      <c r="S70" s="9">
        <v>0.74</v>
      </c>
      <c r="T70" s="5" t="s">
        <v>43</v>
      </c>
      <c r="U70" s="5" t="s">
        <v>44</v>
      </c>
      <c r="V70" s="5" t="s">
        <v>40</v>
      </c>
      <c r="W70" s="5" t="s">
        <v>45</v>
      </c>
      <c r="X70" s="5" t="s">
        <v>40</v>
      </c>
      <c r="Y70" s="5" t="s">
        <v>158</v>
      </c>
      <c r="Z70" s="5" t="s">
        <v>214</v>
      </c>
      <c r="AA70" s="5" t="s">
        <v>215</v>
      </c>
      <c r="AB70" s="5" t="s">
        <v>215</v>
      </c>
      <c r="AC70" s="5" t="s">
        <v>215</v>
      </c>
      <c r="AD70" s="5" t="s">
        <v>215</v>
      </c>
      <c r="AE70" s="5" t="s">
        <v>215</v>
      </c>
      <c r="AF70" s="5" t="s">
        <v>49</v>
      </c>
      <c r="AG70" s="5" t="s">
        <v>49</v>
      </c>
      <c r="AH70" s="5" t="s">
        <v>49</v>
      </c>
      <c r="AI70" s="5" t="s">
        <v>50</v>
      </c>
    </row>
    <row r="71" spans="1:35" x14ac:dyDescent="0.3">
      <c r="A71" s="4">
        <v>713909000</v>
      </c>
      <c r="B71" s="5" t="s">
        <v>37</v>
      </c>
      <c r="C71" s="5" t="s">
        <v>38</v>
      </c>
      <c r="D71" s="5" t="s">
        <v>301</v>
      </c>
      <c r="E71" s="7">
        <v>45133</v>
      </c>
      <c r="F71" s="24">
        <f t="shared" si="0"/>
        <v>7</v>
      </c>
      <c r="G71" s="24">
        <f t="shared" si="1"/>
        <v>2023</v>
      </c>
      <c r="H71" s="5">
        <v>20409318135</v>
      </c>
      <c r="I71" s="5" t="s">
        <v>130</v>
      </c>
      <c r="J71" s="5" t="s">
        <v>273</v>
      </c>
      <c r="K71" s="8">
        <v>5019.6000000000004</v>
      </c>
      <c r="L71" s="8">
        <v>5000</v>
      </c>
      <c r="M71" s="8">
        <v>5000</v>
      </c>
      <c r="N71" s="5" t="s">
        <v>42</v>
      </c>
      <c r="O71" s="8">
        <v>5000</v>
      </c>
      <c r="P71" s="5" t="s">
        <v>42</v>
      </c>
      <c r="Q71" s="8">
        <v>3700</v>
      </c>
      <c r="R71" s="9">
        <v>0.74</v>
      </c>
      <c r="S71" s="9">
        <v>0.74</v>
      </c>
      <c r="T71" s="5" t="s">
        <v>43</v>
      </c>
      <c r="U71" s="5" t="s">
        <v>44</v>
      </c>
      <c r="V71" s="5" t="s">
        <v>40</v>
      </c>
      <c r="W71" s="5" t="s">
        <v>45</v>
      </c>
      <c r="X71" s="5" t="s">
        <v>40</v>
      </c>
      <c r="Y71" s="5" t="s">
        <v>132</v>
      </c>
      <c r="Z71" s="5" t="s">
        <v>188</v>
      </c>
      <c r="AA71" s="5" t="s">
        <v>189</v>
      </c>
      <c r="AB71" s="5" t="s">
        <v>189</v>
      </c>
      <c r="AC71" s="5" t="s">
        <v>189</v>
      </c>
      <c r="AD71" s="5" t="s">
        <v>189</v>
      </c>
      <c r="AE71" s="5" t="s">
        <v>189</v>
      </c>
      <c r="AF71" s="5" t="s">
        <v>49</v>
      </c>
      <c r="AG71" s="5" t="s">
        <v>49</v>
      </c>
      <c r="AH71" s="5" t="s">
        <v>49</v>
      </c>
      <c r="AI71" s="5" t="s">
        <v>50</v>
      </c>
    </row>
    <row r="72" spans="1:35" x14ac:dyDescent="0.3">
      <c r="A72" s="4">
        <v>713909000</v>
      </c>
      <c r="B72" s="5" t="s">
        <v>37</v>
      </c>
      <c r="C72" s="5" t="s">
        <v>38</v>
      </c>
      <c r="D72" s="5" t="s">
        <v>302</v>
      </c>
      <c r="E72" s="7">
        <v>45140</v>
      </c>
      <c r="F72" s="24">
        <f t="shared" ref="F72:F135" si="2">MONTH(E72)</f>
        <v>8</v>
      </c>
      <c r="G72" s="24">
        <f t="shared" ref="G72:G135" si="3">YEAR(E72)</f>
        <v>2023</v>
      </c>
      <c r="H72" s="5">
        <v>20409318135</v>
      </c>
      <c r="I72" s="5" t="s">
        <v>130</v>
      </c>
      <c r="J72" s="5" t="s">
        <v>131</v>
      </c>
      <c r="K72" s="8">
        <v>8536.17</v>
      </c>
      <c r="L72" s="8">
        <v>8500</v>
      </c>
      <c r="M72" s="8">
        <v>8500</v>
      </c>
      <c r="N72" s="5" t="s">
        <v>42</v>
      </c>
      <c r="O72" s="8">
        <v>8500</v>
      </c>
      <c r="P72" s="5" t="s">
        <v>42</v>
      </c>
      <c r="Q72" s="8">
        <v>6290</v>
      </c>
      <c r="R72" s="9">
        <v>0.74</v>
      </c>
      <c r="S72" s="9">
        <v>0.74</v>
      </c>
      <c r="T72" s="5" t="s">
        <v>43</v>
      </c>
      <c r="U72" s="5" t="s">
        <v>44</v>
      </c>
      <c r="V72" s="5" t="s">
        <v>40</v>
      </c>
      <c r="W72" s="5" t="s">
        <v>45</v>
      </c>
      <c r="X72" s="5" t="s">
        <v>40</v>
      </c>
      <c r="Y72" s="5" t="s">
        <v>132</v>
      </c>
      <c r="Z72" s="5" t="s">
        <v>303</v>
      </c>
      <c r="AA72" s="5" t="s">
        <v>304</v>
      </c>
      <c r="AB72" s="5" t="s">
        <v>304</v>
      </c>
      <c r="AC72" s="5" t="s">
        <v>304</v>
      </c>
      <c r="AD72" s="5" t="s">
        <v>304</v>
      </c>
      <c r="AE72" s="5" t="s">
        <v>304</v>
      </c>
      <c r="AF72" s="5" t="s">
        <v>49</v>
      </c>
      <c r="AG72" s="5" t="s">
        <v>49</v>
      </c>
      <c r="AH72" s="5" t="s">
        <v>49</v>
      </c>
      <c r="AI72" s="5" t="s">
        <v>50</v>
      </c>
    </row>
    <row r="73" spans="1:35" x14ac:dyDescent="0.3">
      <c r="A73" s="4">
        <v>713909000</v>
      </c>
      <c r="B73" s="5" t="s">
        <v>37</v>
      </c>
      <c r="C73" s="5" t="s">
        <v>38</v>
      </c>
      <c r="D73" s="5" t="s">
        <v>305</v>
      </c>
      <c r="E73" s="7">
        <v>45127</v>
      </c>
      <c r="F73" s="24">
        <f t="shared" si="2"/>
        <v>7</v>
      </c>
      <c r="G73" s="24">
        <f t="shared" si="3"/>
        <v>2023</v>
      </c>
      <c r="H73" s="5">
        <v>20409318135</v>
      </c>
      <c r="I73" s="5" t="s">
        <v>130</v>
      </c>
      <c r="J73" s="5" t="s">
        <v>131</v>
      </c>
      <c r="K73" s="8">
        <v>6024.11</v>
      </c>
      <c r="L73" s="8">
        <v>6000</v>
      </c>
      <c r="M73" s="8">
        <v>6000</v>
      </c>
      <c r="N73" s="5" t="s">
        <v>42</v>
      </c>
      <c r="O73" s="8">
        <v>6000</v>
      </c>
      <c r="P73" s="5" t="s">
        <v>42</v>
      </c>
      <c r="Q73" s="8">
        <v>4440</v>
      </c>
      <c r="R73" s="9">
        <v>0.74</v>
      </c>
      <c r="S73" s="9">
        <v>0.74</v>
      </c>
      <c r="T73" s="5" t="s">
        <v>43</v>
      </c>
      <c r="U73" s="5" t="s">
        <v>44</v>
      </c>
      <c r="V73" s="5" t="s">
        <v>40</v>
      </c>
      <c r="W73" s="5" t="s">
        <v>45</v>
      </c>
      <c r="X73" s="5" t="s">
        <v>40</v>
      </c>
      <c r="Y73" s="5" t="s">
        <v>132</v>
      </c>
      <c r="Z73" s="5" t="s">
        <v>306</v>
      </c>
      <c r="AA73" s="5" t="s">
        <v>307</v>
      </c>
      <c r="AB73" s="5" t="s">
        <v>307</v>
      </c>
      <c r="AC73" s="5" t="s">
        <v>307</v>
      </c>
      <c r="AD73" s="5" t="s">
        <v>307</v>
      </c>
      <c r="AE73" s="5" t="s">
        <v>307</v>
      </c>
      <c r="AF73" s="5" t="s">
        <v>49</v>
      </c>
      <c r="AG73" s="5" t="s">
        <v>49</v>
      </c>
      <c r="AH73" s="5" t="s">
        <v>49</v>
      </c>
      <c r="AI73" s="5" t="s">
        <v>50</v>
      </c>
    </row>
    <row r="74" spans="1:35" x14ac:dyDescent="0.3">
      <c r="A74" s="4">
        <v>713909000</v>
      </c>
      <c r="B74" s="5" t="s">
        <v>37</v>
      </c>
      <c r="C74" s="5" t="s">
        <v>38</v>
      </c>
      <c r="D74" s="5" t="s">
        <v>308</v>
      </c>
      <c r="E74" s="7">
        <v>45127</v>
      </c>
      <c r="F74" s="24">
        <f t="shared" si="2"/>
        <v>7</v>
      </c>
      <c r="G74" s="24">
        <f t="shared" si="3"/>
        <v>2023</v>
      </c>
      <c r="H74" s="5">
        <v>20409318135</v>
      </c>
      <c r="I74" s="5" t="s">
        <v>130</v>
      </c>
      <c r="J74" s="5" t="s">
        <v>157</v>
      </c>
      <c r="K74" s="8">
        <v>16318.91</v>
      </c>
      <c r="L74" s="8">
        <v>16250</v>
      </c>
      <c r="M74" s="8">
        <v>16250</v>
      </c>
      <c r="N74" s="5" t="s">
        <v>42</v>
      </c>
      <c r="O74" s="8">
        <v>16250</v>
      </c>
      <c r="P74" s="5" t="s">
        <v>42</v>
      </c>
      <c r="Q74" s="8">
        <v>12025</v>
      </c>
      <c r="R74" s="9">
        <v>0.74</v>
      </c>
      <c r="S74" s="9">
        <v>0.74</v>
      </c>
      <c r="T74" s="5" t="s">
        <v>43</v>
      </c>
      <c r="U74" s="5" t="s">
        <v>44</v>
      </c>
      <c r="V74" s="5" t="s">
        <v>40</v>
      </c>
      <c r="W74" s="5" t="s">
        <v>45</v>
      </c>
      <c r="X74" s="5" t="s">
        <v>40</v>
      </c>
      <c r="Y74" s="5" t="s">
        <v>158</v>
      </c>
      <c r="Z74" s="5" t="s">
        <v>309</v>
      </c>
      <c r="AA74" s="5" t="s">
        <v>310</v>
      </c>
      <c r="AB74" s="5" t="s">
        <v>310</v>
      </c>
      <c r="AC74" s="5" t="s">
        <v>310</v>
      </c>
      <c r="AD74" s="5" t="s">
        <v>310</v>
      </c>
      <c r="AE74" s="5" t="s">
        <v>310</v>
      </c>
      <c r="AF74" s="5" t="s">
        <v>49</v>
      </c>
      <c r="AG74" s="5" t="s">
        <v>49</v>
      </c>
      <c r="AH74" s="5" t="s">
        <v>49</v>
      </c>
      <c r="AI74" s="5" t="s">
        <v>50</v>
      </c>
    </row>
    <row r="75" spans="1:35" x14ac:dyDescent="0.3">
      <c r="A75" s="4">
        <v>713909000</v>
      </c>
      <c r="B75" s="5" t="s">
        <v>37</v>
      </c>
      <c r="C75" s="5" t="s">
        <v>38</v>
      </c>
      <c r="D75" s="5" t="s">
        <v>311</v>
      </c>
      <c r="E75" s="7">
        <v>45120</v>
      </c>
      <c r="F75" s="24">
        <f t="shared" si="2"/>
        <v>7</v>
      </c>
      <c r="G75" s="24">
        <f t="shared" si="3"/>
        <v>2023</v>
      </c>
      <c r="H75" s="5">
        <v>20409318135</v>
      </c>
      <c r="I75" s="5" t="s">
        <v>130</v>
      </c>
      <c r="J75" s="5" t="s">
        <v>257</v>
      </c>
      <c r="K75" s="8">
        <v>2511.1999999999998</v>
      </c>
      <c r="L75" s="8">
        <v>2500</v>
      </c>
      <c r="M75" s="8">
        <v>2500</v>
      </c>
      <c r="N75" s="5" t="s">
        <v>42</v>
      </c>
      <c r="O75" s="8">
        <v>2500</v>
      </c>
      <c r="P75" s="5" t="s">
        <v>42</v>
      </c>
      <c r="Q75" s="8">
        <v>1850</v>
      </c>
      <c r="R75" s="9">
        <v>0.74</v>
      </c>
      <c r="S75" s="9">
        <v>0.74</v>
      </c>
      <c r="T75" s="5" t="s">
        <v>43</v>
      </c>
      <c r="U75" s="5" t="s">
        <v>44</v>
      </c>
      <c r="V75" s="5" t="s">
        <v>40</v>
      </c>
      <c r="W75" s="5" t="s">
        <v>45</v>
      </c>
      <c r="X75" s="5" t="s">
        <v>40</v>
      </c>
      <c r="Y75" s="5" t="s">
        <v>158</v>
      </c>
      <c r="Z75" s="5" t="s">
        <v>312</v>
      </c>
      <c r="AA75" s="5" t="s">
        <v>313</v>
      </c>
      <c r="AB75" s="5" t="s">
        <v>313</v>
      </c>
      <c r="AC75" s="5" t="s">
        <v>313</v>
      </c>
      <c r="AD75" s="5" t="s">
        <v>313</v>
      </c>
      <c r="AE75" s="5" t="s">
        <v>313</v>
      </c>
      <c r="AF75" s="5" t="s">
        <v>49</v>
      </c>
      <c r="AG75" s="5" t="s">
        <v>49</v>
      </c>
      <c r="AH75" s="5" t="s">
        <v>49</v>
      </c>
      <c r="AI75" s="5" t="s">
        <v>50</v>
      </c>
    </row>
    <row r="76" spans="1:35" x14ac:dyDescent="0.3">
      <c r="A76" s="4">
        <v>713909000</v>
      </c>
      <c r="B76" s="5" t="s">
        <v>37</v>
      </c>
      <c r="C76" s="5" t="s">
        <v>38</v>
      </c>
      <c r="D76" s="5" t="s">
        <v>314</v>
      </c>
      <c r="E76" s="7">
        <v>45092</v>
      </c>
      <c r="F76" s="24">
        <f t="shared" si="2"/>
        <v>6</v>
      </c>
      <c r="G76" s="24">
        <f t="shared" si="3"/>
        <v>2023</v>
      </c>
      <c r="H76" s="5">
        <v>20409318135</v>
      </c>
      <c r="I76" s="5" t="s">
        <v>130</v>
      </c>
      <c r="J76" s="5" t="s">
        <v>315</v>
      </c>
      <c r="K76" s="8">
        <v>2612.9699999999998</v>
      </c>
      <c r="L76" s="8">
        <v>2600</v>
      </c>
      <c r="M76" s="8">
        <v>2600</v>
      </c>
      <c r="N76" s="5" t="s">
        <v>42</v>
      </c>
      <c r="O76" s="8">
        <v>2600</v>
      </c>
      <c r="P76" s="5" t="s">
        <v>42</v>
      </c>
      <c r="Q76" s="8">
        <v>1924</v>
      </c>
      <c r="R76" s="9">
        <v>0.74</v>
      </c>
      <c r="S76" s="9">
        <v>0.74</v>
      </c>
      <c r="T76" s="5" t="s">
        <v>43</v>
      </c>
      <c r="U76" s="5" t="s">
        <v>44</v>
      </c>
      <c r="V76" s="5" t="s">
        <v>40</v>
      </c>
      <c r="W76" s="5" t="s">
        <v>45</v>
      </c>
      <c r="X76" s="5" t="s">
        <v>40</v>
      </c>
      <c r="Y76" s="5" t="s">
        <v>132</v>
      </c>
      <c r="Z76" s="5" t="s">
        <v>316</v>
      </c>
      <c r="AA76" s="5" t="s">
        <v>317</v>
      </c>
      <c r="AB76" s="5" t="s">
        <v>317</v>
      </c>
      <c r="AC76" s="5" t="s">
        <v>317</v>
      </c>
      <c r="AD76" s="5" t="s">
        <v>317</v>
      </c>
      <c r="AE76" s="5" t="s">
        <v>317</v>
      </c>
      <c r="AF76" s="5" t="s">
        <v>49</v>
      </c>
      <c r="AG76" s="5" t="s">
        <v>49</v>
      </c>
      <c r="AH76" s="5" t="s">
        <v>49</v>
      </c>
      <c r="AI76" s="5" t="s">
        <v>50</v>
      </c>
    </row>
    <row r="77" spans="1:35" x14ac:dyDescent="0.3">
      <c r="A77" s="4">
        <v>713909000</v>
      </c>
      <c r="B77" s="5" t="s">
        <v>37</v>
      </c>
      <c r="C77" s="5" t="s">
        <v>38</v>
      </c>
      <c r="D77" s="5" t="s">
        <v>318</v>
      </c>
      <c r="E77" s="7">
        <v>45092</v>
      </c>
      <c r="F77" s="24">
        <f t="shared" si="2"/>
        <v>6</v>
      </c>
      <c r="G77" s="24">
        <f t="shared" si="3"/>
        <v>2023</v>
      </c>
      <c r="H77" s="5">
        <v>20409318135</v>
      </c>
      <c r="I77" s="5" t="s">
        <v>130</v>
      </c>
      <c r="J77" s="5" t="s">
        <v>157</v>
      </c>
      <c r="K77" s="8">
        <v>10038.959999999999</v>
      </c>
      <c r="L77" s="8">
        <v>10000</v>
      </c>
      <c r="M77" s="8">
        <v>10000</v>
      </c>
      <c r="N77" s="5" t="s">
        <v>42</v>
      </c>
      <c r="O77" s="8">
        <v>10000</v>
      </c>
      <c r="P77" s="5" t="s">
        <v>42</v>
      </c>
      <c r="Q77" s="8">
        <v>7400</v>
      </c>
      <c r="R77" s="9">
        <v>0.74</v>
      </c>
      <c r="S77" s="9">
        <v>0.74</v>
      </c>
      <c r="T77" s="5" t="s">
        <v>43</v>
      </c>
      <c r="U77" s="5" t="s">
        <v>44</v>
      </c>
      <c r="V77" s="5" t="s">
        <v>40</v>
      </c>
      <c r="W77" s="5" t="s">
        <v>45</v>
      </c>
      <c r="X77" s="5" t="s">
        <v>40</v>
      </c>
      <c r="Y77" s="5" t="s">
        <v>158</v>
      </c>
      <c r="Z77" s="5" t="s">
        <v>270</v>
      </c>
      <c r="AA77" s="5" t="s">
        <v>271</v>
      </c>
      <c r="AB77" s="5" t="s">
        <v>271</v>
      </c>
      <c r="AC77" s="5" t="s">
        <v>271</v>
      </c>
      <c r="AD77" s="5" t="s">
        <v>271</v>
      </c>
      <c r="AE77" s="5" t="s">
        <v>271</v>
      </c>
      <c r="AF77" s="5" t="s">
        <v>49</v>
      </c>
      <c r="AG77" s="5" t="s">
        <v>49</v>
      </c>
      <c r="AH77" s="5" t="s">
        <v>49</v>
      </c>
      <c r="AI77" s="5" t="s">
        <v>50</v>
      </c>
    </row>
    <row r="78" spans="1:35" x14ac:dyDescent="0.3">
      <c r="A78" s="4">
        <v>713909000</v>
      </c>
      <c r="B78" s="5" t="s">
        <v>37</v>
      </c>
      <c r="C78" s="5" t="s">
        <v>38</v>
      </c>
      <c r="D78" s="5" t="s">
        <v>319</v>
      </c>
      <c r="E78" s="7">
        <v>45099</v>
      </c>
      <c r="F78" s="24">
        <f t="shared" si="2"/>
        <v>6</v>
      </c>
      <c r="G78" s="24">
        <f t="shared" si="3"/>
        <v>2023</v>
      </c>
      <c r="H78" s="5">
        <v>20409318135</v>
      </c>
      <c r="I78" s="5" t="s">
        <v>130</v>
      </c>
      <c r="J78" s="5" t="s">
        <v>157</v>
      </c>
      <c r="K78" s="8">
        <v>3011.92</v>
      </c>
      <c r="L78" s="8">
        <v>3000</v>
      </c>
      <c r="M78" s="8">
        <v>3000</v>
      </c>
      <c r="N78" s="5" t="s">
        <v>42</v>
      </c>
      <c r="O78" s="8">
        <v>3000</v>
      </c>
      <c r="P78" s="5" t="s">
        <v>42</v>
      </c>
      <c r="Q78" s="8">
        <v>2220</v>
      </c>
      <c r="R78" s="9">
        <v>0.74</v>
      </c>
      <c r="S78" s="9">
        <v>0.74</v>
      </c>
      <c r="T78" s="5" t="s">
        <v>43</v>
      </c>
      <c r="U78" s="5" t="s">
        <v>44</v>
      </c>
      <c r="V78" s="5" t="s">
        <v>40</v>
      </c>
      <c r="W78" s="5" t="s">
        <v>45</v>
      </c>
      <c r="X78" s="5" t="s">
        <v>40</v>
      </c>
      <c r="Y78" s="5" t="s">
        <v>158</v>
      </c>
      <c r="Z78" s="5" t="s">
        <v>320</v>
      </c>
      <c r="AA78" s="5" t="s">
        <v>321</v>
      </c>
      <c r="AB78" s="5" t="s">
        <v>321</v>
      </c>
      <c r="AC78" s="5" t="s">
        <v>321</v>
      </c>
      <c r="AD78" s="5" t="s">
        <v>321</v>
      </c>
      <c r="AE78" s="5" t="s">
        <v>321</v>
      </c>
      <c r="AF78" s="5" t="s">
        <v>49</v>
      </c>
      <c r="AG78" s="5" t="s">
        <v>49</v>
      </c>
      <c r="AH78" s="5" t="s">
        <v>49</v>
      </c>
      <c r="AI78" s="5" t="s">
        <v>50</v>
      </c>
    </row>
    <row r="79" spans="1:35" x14ac:dyDescent="0.3">
      <c r="A79" s="4">
        <v>713909000</v>
      </c>
      <c r="B79" s="5" t="s">
        <v>37</v>
      </c>
      <c r="C79" s="5" t="s">
        <v>38</v>
      </c>
      <c r="D79" s="5" t="s">
        <v>322</v>
      </c>
      <c r="E79" s="7">
        <v>45078</v>
      </c>
      <c r="F79" s="24">
        <f t="shared" si="2"/>
        <v>6</v>
      </c>
      <c r="G79" s="24">
        <f t="shared" si="3"/>
        <v>2023</v>
      </c>
      <c r="H79" s="5">
        <v>20409318135</v>
      </c>
      <c r="I79" s="5" t="s">
        <v>130</v>
      </c>
      <c r="J79" s="5" t="s">
        <v>273</v>
      </c>
      <c r="K79" s="8">
        <v>28622.43</v>
      </c>
      <c r="L79" s="8">
        <v>28500</v>
      </c>
      <c r="M79" s="8">
        <v>28500</v>
      </c>
      <c r="N79" s="5" t="s">
        <v>42</v>
      </c>
      <c r="O79" s="8">
        <v>28500</v>
      </c>
      <c r="P79" s="5" t="s">
        <v>42</v>
      </c>
      <c r="Q79" s="8">
        <v>21090</v>
      </c>
      <c r="R79" s="9">
        <v>0.74</v>
      </c>
      <c r="S79" s="9">
        <v>0.74</v>
      </c>
      <c r="T79" s="5" t="s">
        <v>43</v>
      </c>
      <c r="U79" s="5" t="s">
        <v>44</v>
      </c>
      <c r="V79" s="5" t="s">
        <v>40</v>
      </c>
      <c r="W79" s="5" t="s">
        <v>45</v>
      </c>
      <c r="X79" s="5" t="s">
        <v>40</v>
      </c>
      <c r="Y79" s="5" t="s">
        <v>132</v>
      </c>
      <c r="Z79" s="5" t="s">
        <v>224</v>
      </c>
      <c r="AA79" s="5" t="s">
        <v>225</v>
      </c>
      <c r="AB79" s="5" t="s">
        <v>225</v>
      </c>
      <c r="AC79" s="5" t="s">
        <v>225</v>
      </c>
      <c r="AD79" s="5" t="s">
        <v>225</v>
      </c>
      <c r="AE79" s="5" t="s">
        <v>225</v>
      </c>
      <c r="AF79" s="5" t="s">
        <v>49</v>
      </c>
      <c r="AG79" s="5" t="s">
        <v>49</v>
      </c>
      <c r="AH79" s="5" t="s">
        <v>49</v>
      </c>
      <c r="AI79" s="5" t="s">
        <v>50</v>
      </c>
    </row>
    <row r="80" spans="1:35" x14ac:dyDescent="0.3">
      <c r="A80" s="4">
        <v>713909000</v>
      </c>
      <c r="B80" s="5" t="s">
        <v>37</v>
      </c>
      <c r="C80" s="5" t="s">
        <v>63</v>
      </c>
      <c r="D80" s="5" t="s">
        <v>323</v>
      </c>
      <c r="E80" s="7">
        <v>45280</v>
      </c>
      <c r="F80" s="24">
        <f t="shared" si="2"/>
        <v>12</v>
      </c>
      <c r="G80" s="24">
        <f t="shared" si="3"/>
        <v>2023</v>
      </c>
      <c r="H80" s="5">
        <v>20544535669</v>
      </c>
      <c r="I80" s="5" t="s">
        <v>195</v>
      </c>
      <c r="J80" s="5" t="s">
        <v>196</v>
      </c>
      <c r="K80" s="8">
        <v>1215.3699999999999</v>
      </c>
      <c r="L80" s="8">
        <v>1140</v>
      </c>
      <c r="M80" s="8">
        <v>1140</v>
      </c>
      <c r="N80" s="5" t="s">
        <v>42</v>
      </c>
      <c r="O80" s="8">
        <v>95</v>
      </c>
      <c r="P80" s="5" t="s">
        <v>67</v>
      </c>
      <c r="Q80" s="8">
        <v>3505.5</v>
      </c>
      <c r="R80" s="9">
        <v>3.0750000000000002</v>
      </c>
      <c r="S80" s="9">
        <v>36.9</v>
      </c>
      <c r="T80" s="5" t="s">
        <v>197</v>
      </c>
      <c r="U80" s="5" t="s">
        <v>247</v>
      </c>
      <c r="V80" s="5" t="s">
        <v>40</v>
      </c>
      <c r="W80" s="5" t="s">
        <v>70</v>
      </c>
      <c r="X80" s="5" t="s">
        <v>248</v>
      </c>
      <c r="Y80" s="5" t="s">
        <v>198</v>
      </c>
      <c r="Z80" s="5" t="s">
        <v>324</v>
      </c>
      <c r="AA80" s="5" t="s">
        <v>325</v>
      </c>
      <c r="AB80" s="5" t="s">
        <v>325</v>
      </c>
      <c r="AC80" s="5" t="s">
        <v>325</v>
      </c>
      <c r="AD80" s="5" t="s">
        <v>325</v>
      </c>
      <c r="AE80" s="5" t="s">
        <v>325</v>
      </c>
      <c r="AF80" s="5" t="s">
        <v>252</v>
      </c>
      <c r="AG80" s="5" t="s">
        <v>76</v>
      </c>
      <c r="AH80" s="5" t="s">
        <v>76</v>
      </c>
      <c r="AI80" s="5" t="s">
        <v>50</v>
      </c>
    </row>
    <row r="81" spans="1:35" x14ac:dyDescent="0.3">
      <c r="A81" s="4">
        <v>713909000</v>
      </c>
      <c r="B81" s="5" t="s">
        <v>37</v>
      </c>
      <c r="C81" s="5" t="s">
        <v>63</v>
      </c>
      <c r="D81" s="5" t="s">
        <v>326</v>
      </c>
      <c r="E81" s="7">
        <v>45230</v>
      </c>
      <c r="F81" s="24">
        <f t="shared" si="2"/>
        <v>10</v>
      </c>
      <c r="G81" s="24">
        <f t="shared" si="3"/>
        <v>2023</v>
      </c>
      <c r="H81" s="5">
        <v>20544535669</v>
      </c>
      <c r="I81" s="5" t="s">
        <v>195</v>
      </c>
      <c r="J81" s="5" t="s">
        <v>196</v>
      </c>
      <c r="K81" s="8">
        <v>1221.95</v>
      </c>
      <c r="L81" s="8">
        <v>1140</v>
      </c>
      <c r="M81" s="8">
        <v>1140</v>
      </c>
      <c r="N81" s="5" t="s">
        <v>42</v>
      </c>
      <c r="O81" s="8">
        <v>95</v>
      </c>
      <c r="P81" s="5" t="s">
        <v>67</v>
      </c>
      <c r="Q81" s="8">
        <v>3506</v>
      </c>
      <c r="R81" s="9">
        <v>3.0750000000000002</v>
      </c>
      <c r="S81" s="9">
        <v>36.905000000000001</v>
      </c>
      <c r="T81" s="5" t="s">
        <v>197</v>
      </c>
      <c r="U81" s="5" t="s">
        <v>116</v>
      </c>
      <c r="V81" s="5" t="s">
        <v>40</v>
      </c>
      <c r="W81" s="5" t="s">
        <v>70</v>
      </c>
      <c r="X81" s="5" t="s">
        <v>327</v>
      </c>
      <c r="Y81" s="5" t="s">
        <v>198</v>
      </c>
      <c r="Z81" s="5" t="s">
        <v>328</v>
      </c>
      <c r="AA81" s="5" t="s">
        <v>329</v>
      </c>
      <c r="AB81" s="5" t="s">
        <v>329</v>
      </c>
      <c r="AC81" s="5" t="s">
        <v>329</v>
      </c>
      <c r="AD81" s="5" t="s">
        <v>329</v>
      </c>
      <c r="AE81" s="5" t="s">
        <v>329</v>
      </c>
      <c r="AF81" s="5" t="s">
        <v>112</v>
      </c>
      <c r="AG81" s="5" t="s">
        <v>76</v>
      </c>
      <c r="AH81" s="5" t="s">
        <v>76</v>
      </c>
      <c r="AI81" s="5" t="s">
        <v>50</v>
      </c>
    </row>
    <row r="82" spans="1:35" x14ac:dyDescent="0.3">
      <c r="A82" s="4">
        <v>713909000</v>
      </c>
      <c r="B82" s="5" t="s">
        <v>37</v>
      </c>
      <c r="C82" s="5" t="s">
        <v>38</v>
      </c>
      <c r="D82" s="5" t="s">
        <v>330</v>
      </c>
      <c r="E82" s="7">
        <v>45064</v>
      </c>
      <c r="F82" s="24">
        <f t="shared" si="2"/>
        <v>5</v>
      </c>
      <c r="G82" s="24">
        <f t="shared" si="3"/>
        <v>2023</v>
      </c>
      <c r="H82" s="5">
        <v>20409318135</v>
      </c>
      <c r="I82" s="5" t="s">
        <v>130</v>
      </c>
      <c r="J82" s="5" t="s">
        <v>157</v>
      </c>
      <c r="K82" s="8">
        <v>11548.5</v>
      </c>
      <c r="L82" s="8">
        <v>11500</v>
      </c>
      <c r="M82" s="8">
        <v>11500</v>
      </c>
      <c r="N82" s="5" t="s">
        <v>42</v>
      </c>
      <c r="O82" s="8">
        <v>11500</v>
      </c>
      <c r="P82" s="5" t="s">
        <v>42</v>
      </c>
      <c r="Q82" s="8">
        <v>8510</v>
      </c>
      <c r="R82" s="9">
        <v>0.74</v>
      </c>
      <c r="S82" s="9">
        <v>0.74</v>
      </c>
      <c r="T82" s="5" t="s">
        <v>43</v>
      </c>
      <c r="U82" s="5" t="s">
        <v>44</v>
      </c>
      <c r="V82" s="5" t="s">
        <v>40</v>
      </c>
      <c r="W82" s="5" t="s">
        <v>45</v>
      </c>
      <c r="X82" s="5" t="s">
        <v>40</v>
      </c>
      <c r="Y82" s="5" t="s">
        <v>158</v>
      </c>
      <c r="Z82" s="5" t="s">
        <v>331</v>
      </c>
      <c r="AA82" s="5" t="s">
        <v>332</v>
      </c>
      <c r="AB82" s="5" t="s">
        <v>332</v>
      </c>
      <c r="AC82" s="5" t="s">
        <v>332</v>
      </c>
      <c r="AD82" s="5" t="s">
        <v>332</v>
      </c>
      <c r="AE82" s="5" t="s">
        <v>332</v>
      </c>
      <c r="AF82" s="5" t="s">
        <v>49</v>
      </c>
      <c r="AG82" s="5" t="s">
        <v>49</v>
      </c>
      <c r="AH82" s="5" t="s">
        <v>49</v>
      </c>
      <c r="AI82" s="5" t="s">
        <v>50</v>
      </c>
    </row>
    <row r="83" spans="1:35" x14ac:dyDescent="0.3">
      <c r="A83" s="4">
        <v>713909000</v>
      </c>
      <c r="B83" s="5" t="s">
        <v>37</v>
      </c>
      <c r="C83" s="5" t="s">
        <v>38</v>
      </c>
      <c r="D83" s="5" t="s">
        <v>333</v>
      </c>
      <c r="E83" s="7">
        <v>45050</v>
      </c>
      <c r="F83" s="24">
        <f t="shared" si="2"/>
        <v>5</v>
      </c>
      <c r="G83" s="24">
        <f t="shared" si="3"/>
        <v>2023</v>
      </c>
      <c r="H83" s="5">
        <v>20409318135</v>
      </c>
      <c r="I83" s="5" t="s">
        <v>130</v>
      </c>
      <c r="J83" s="5" t="s">
        <v>257</v>
      </c>
      <c r="K83" s="8">
        <v>16064</v>
      </c>
      <c r="L83" s="8">
        <v>16000</v>
      </c>
      <c r="M83" s="8">
        <v>16000</v>
      </c>
      <c r="N83" s="5" t="s">
        <v>42</v>
      </c>
      <c r="O83" s="8">
        <v>16000</v>
      </c>
      <c r="P83" s="5" t="s">
        <v>42</v>
      </c>
      <c r="Q83" s="8">
        <v>11840</v>
      </c>
      <c r="R83" s="9">
        <v>0.74</v>
      </c>
      <c r="S83" s="9">
        <v>0.74</v>
      </c>
      <c r="T83" s="5" t="s">
        <v>43</v>
      </c>
      <c r="U83" s="5" t="s">
        <v>44</v>
      </c>
      <c r="V83" s="5" t="s">
        <v>40</v>
      </c>
      <c r="W83" s="5" t="s">
        <v>45</v>
      </c>
      <c r="X83" s="5" t="s">
        <v>40</v>
      </c>
      <c r="Y83" s="5" t="s">
        <v>158</v>
      </c>
      <c r="Z83" s="5" t="s">
        <v>334</v>
      </c>
      <c r="AA83" s="5" t="s">
        <v>335</v>
      </c>
      <c r="AB83" s="5" t="s">
        <v>335</v>
      </c>
      <c r="AC83" s="5" t="s">
        <v>335</v>
      </c>
      <c r="AD83" s="5" t="s">
        <v>335</v>
      </c>
      <c r="AE83" s="5" t="s">
        <v>335</v>
      </c>
      <c r="AF83" s="5" t="s">
        <v>49</v>
      </c>
      <c r="AG83" s="5" t="s">
        <v>49</v>
      </c>
      <c r="AH83" s="5" t="s">
        <v>49</v>
      </c>
      <c r="AI83" s="5" t="s">
        <v>50</v>
      </c>
    </row>
    <row r="84" spans="1:35" x14ac:dyDescent="0.3">
      <c r="A84" s="4">
        <v>713909000</v>
      </c>
      <c r="B84" s="5" t="s">
        <v>37</v>
      </c>
      <c r="C84" s="5" t="s">
        <v>63</v>
      </c>
      <c r="D84" s="5" t="s">
        <v>336</v>
      </c>
      <c r="E84" s="7">
        <v>44859</v>
      </c>
      <c r="F84" s="24">
        <f t="shared" si="2"/>
        <v>10</v>
      </c>
      <c r="G84" s="24">
        <f t="shared" si="3"/>
        <v>2022</v>
      </c>
      <c r="H84" s="5">
        <v>20523273265</v>
      </c>
      <c r="I84" s="5" t="s">
        <v>65</v>
      </c>
      <c r="J84" s="5" t="s">
        <v>337</v>
      </c>
      <c r="K84" s="8">
        <v>330.5</v>
      </c>
      <c r="L84" s="8">
        <v>270</v>
      </c>
      <c r="M84" s="8">
        <v>270</v>
      </c>
      <c r="N84" s="5" t="s">
        <v>42</v>
      </c>
      <c r="O84" s="8">
        <v>27</v>
      </c>
      <c r="P84" s="5" t="s">
        <v>67</v>
      </c>
      <c r="Q84" s="8">
        <v>780</v>
      </c>
      <c r="R84" s="9">
        <v>2.8879999999999999</v>
      </c>
      <c r="S84" s="9">
        <v>28.888000000000002</v>
      </c>
      <c r="T84" s="5" t="s">
        <v>338</v>
      </c>
      <c r="U84" s="5" t="s">
        <v>116</v>
      </c>
      <c r="V84" s="5" t="s">
        <v>40</v>
      </c>
      <c r="W84" s="5" t="s">
        <v>70</v>
      </c>
      <c r="X84" s="5" t="s">
        <v>117</v>
      </c>
      <c r="Y84" s="5" t="s">
        <v>339</v>
      </c>
      <c r="Z84" s="5" t="s">
        <v>340</v>
      </c>
      <c r="AA84" s="5" t="s">
        <v>341</v>
      </c>
      <c r="AB84" s="5" t="s">
        <v>341</v>
      </c>
      <c r="AC84" s="5" t="s">
        <v>341</v>
      </c>
      <c r="AD84" s="5" t="s">
        <v>341</v>
      </c>
      <c r="AE84" s="5" t="s">
        <v>341</v>
      </c>
      <c r="AF84" s="5" t="s">
        <v>121</v>
      </c>
      <c r="AG84" s="5" t="s">
        <v>76</v>
      </c>
      <c r="AH84" s="5" t="s">
        <v>76</v>
      </c>
      <c r="AI84" s="5" t="s">
        <v>50</v>
      </c>
    </row>
    <row r="85" spans="1:35" x14ac:dyDescent="0.3">
      <c r="A85" s="4">
        <v>713909000</v>
      </c>
      <c r="B85" s="5" t="s">
        <v>37</v>
      </c>
      <c r="C85" s="5" t="s">
        <v>38</v>
      </c>
      <c r="D85" s="5" t="s">
        <v>342</v>
      </c>
      <c r="E85" s="7">
        <v>45028</v>
      </c>
      <c r="F85" s="24">
        <f t="shared" si="2"/>
        <v>4</v>
      </c>
      <c r="G85" s="24">
        <f t="shared" si="3"/>
        <v>2023</v>
      </c>
      <c r="H85" s="5">
        <v>20409318135</v>
      </c>
      <c r="I85" s="5" t="s">
        <v>130</v>
      </c>
      <c r="J85" s="5" t="s">
        <v>40</v>
      </c>
      <c r="K85" s="8">
        <v>6721</v>
      </c>
      <c r="L85" s="8">
        <v>6700</v>
      </c>
      <c r="M85" s="8">
        <v>6700</v>
      </c>
      <c r="N85" s="5" t="s">
        <v>42</v>
      </c>
      <c r="O85" s="8">
        <v>6700</v>
      </c>
      <c r="P85" s="5" t="s">
        <v>42</v>
      </c>
      <c r="Q85" s="8">
        <v>4958</v>
      </c>
      <c r="R85" s="9">
        <v>0.74</v>
      </c>
      <c r="S85" s="9">
        <v>0.74</v>
      </c>
      <c r="T85" s="5" t="s">
        <v>43</v>
      </c>
      <c r="U85" s="5" t="s">
        <v>44</v>
      </c>
      <c r="V85" s="5" t="s">
        <v>40</v>
      </c>
      <c r="W85" s="5" t="s">
        <v>45</v>
      </c>
      <c r="X85" s="5" t="s">
        <v>40</v>
      </c>
      <c r="Y85" s="5" t="s">
        <v>132</v>
      </c>
      <c r="Z85" s="5" t="s">
        <v>343</v>
      </c>
      <c r="AA85" s="5" t="s">
        <v>344</v>
      </c>
      <c r="AB85" s="5" t="s">
        <v>344</v>
      </c>
      <c r="AC85" s="5" t="s">
        <v>344</v>
      </c>
      <c r="AD85" s="5" t="s">
        <v>344</v>
      </c>
      <c r="AE85" s="5" t="s">
        <v>344</v>
      </c>
      <c r="AF85" s="5" t="s">
        <v>49</v>
      </c>
      <c r="AG85" s="5" t="s">
        <v>49</v>
      </c>
      <c r="AH85" s="5" t="s">
        <v>49</v>
      </c>
      <c r="AI85" s="5" t="s">
        <v>49</v>
      </c>
    </row>
    <row r="86" spans="1:35" x14ac:dyDescent="0.3">
      <c r="A86" s="4">
        <v>713909000</v>
      </c>
      <c r="B86" s="5" t="s">
        <v>37</v>
      </c>
      <c r="C86" s="5" t="s">
        <v>38</v>
      </c>
      <c r="D86" s="5" t="s">
        <v>345</v>
      </c>
      <c r="E86" s="7">
        <v>45008</v>
      </c>
      <c r="F86" s="24">
        <f t="shared" si="2"/>
        <v>3</v>
      </c>
      <c r="G86" s="24">
        <f t="shared" si="3"/>
        <v>2023</v>
      </c>
      <c r="H86" s="5">
        <v>20409318135</v>
      </c>
      <c r="I86" s="5" t="s">
        <v>130</v>
      </c>
      <c r="J86" s="5" t="s">
        <v>257</v>
      </c>
      <c r="K86" s="8">
        <v>5024</v>
      </c>
      <c r="L86" s="8">
        <v>5000</v>
      </c>
      <c r="M86" s="8">
        <v>5000</v>
      </c>
      <c r="N86" s="5" t="s">
        <v>42</v>
      </c>
      <c r="O86" s="8">
        <v>5000</v>
      </c>
      <c r="P86" s="5" t="s">
        <v>42</v>
      </c>
      <c r="Q86" s="8">
        <v>3700</v>
      </c>
      <c r="R86" s="9">
        <v>0.74</v>
      </c>
      <c r="S86" s="9">
        <v>0.74</v>
      </c>
      <c r="T86" s="5" t="s">
        <v>43</v>
      </c>
      <c r="U86" s="5" t="s">
        <v>44</v>
      </c>
      <c r="V86" s="5" t="s">
        <v>40</v>
      </c>
      <c r="W86" s="5" t="s">
        <v>45</v>
      </c>
      <c r="X86" s="5" t="s">
        <v>40</v>
      </c>
      <c r="Y86" s="5" t="s">
        <v>158</v>
      </c>
      <c r="Z86" s="5" t="s">
        <v>214</v>
      </c>
      <c r="AA86" s="5" t="s">
        <v>215</v>
      </c>
      <c r="AB86" s="5" t="s">
        <v>215</v>
      </c>
      <c r="AC86" s="5" t="s">
        <v>215</v>
      </c>
      <c r="AD86" s="5" t="s">
        <v>215</v>
      </c>
      <c r="AE86" s="5" t="s">
        <v>215</v>
      </c>
      <c r="AF86" s="5" t="s">
        <v>49</v>
      </c>
      <c r="AG86" s="5" t="s">
        <v>49</v>
      </c>
      <c r="AH86" s="5" t="s">
        <v>49</v>
      </c>
      <c r="AI86" s="5" t="s">
        <v>50</v>
      </c>
    </row>
    <row r="87" spans="1:35" x14ac:dyDescent="0.3">
      <c r="A87" s="4">
        <v>713909000</v>
      </c>
      <c r="B87" s="5" t="s">
        <v>37</v>
      </c>
      <c r="C87" s="5" t="s">
        <v>38</v>
      </c>
      <c r="D87" s="5" t="s">
        <v>346</v>
      </c>
      <c r="E87" s="7">
        <v>45002</v>
      </c>
      <c r="F87" s="24">
        <f t="shared" si="2"/>
        <v>3</v>
      </c>
      <c r="G87" s="24">
        <f t="shared" si="3"/>
        <v>2023</v>
      </c>
      <c r="H87" s="5">
        <v>20409318135</v>
      </c>
      <c r="I87" s="5" t="s">
        <v>130</v>
      </c>
      <c r="J87" s="5" t="s">
        <v>157</v>
      </c>
      <c r="K87" s="8">
        <v>7532.08</v>
      </c>
      <c r="L87" s="8">
        <v>7500</v>
      </c>
      <c r="M87" s="8">
        <v>7500</v>
      </c>
      <c r="N87" s="5" t="s">
        <v>42</v>
      </c>
      <c r="O87" s="8">
        <v>7500</v>
      </c>
      <c r="P87" s="5" t="s">
        <v>42</v>
      </c>
      <c r="Q87" s="8">
        <v>5550</v>
      </c>
      <c r="R87" s="9">
        <v>0.74</v>
      </c>
      <c r="S87" s="9">
        <v>0.74</v>
      </c>
      <c r="T87" s="5" t="s">
        <v>43</v>
      </c>
      <c r="U87" s="5" t="s">
        <v>44</v>
      </c>
      <c r="V87" s="5" t="s">
        <v>40</v>
      </c>
      <c r="W87" s="5" t="s">
        <v>45</v>
      </c>
      <c r="X87" s="5" t="s">
        <v>40</v>
      </c>
      <c r="Y87" s="5" t="s">
        <v>158</v>
      </c>
      <c r="Z87" s="5" t="s">
        <v>347</v>
      </c>
      <c r="AA87" s="5" t="s">
        <v>348</v>
      </c>
      <c r="AB87" s="5" t="s">
        <v>348</v>
      </c>
      <c r="AC87" s="5" t="s">
        <v>348</v>
      </c>
      <c r="AD87" s="5" t="s">
        <v>348</v>
      </c>
      <c r="AE87" s="5" t="s">
        <v>348</v>
      </c>
      <c r="AF87" s="5" t="s">
        <v>49</v>
      </c>
      <c r="AG87" s="5" t="s">
        <v>49</v>
      </c>
      <c r="AH87" s="5" t="s">
        <v>49</v>
      </c>
      <c r="AI87" s="5" t="s">
        <v>50</v>
      </c>
    </row>
    <row r="88" spans="1:35" x14ac:dyDescent="0.3">
      <c r="A88" s="4">
        <v>713909000</v>
      </c>
      <c r="B88" s="5" t="s">
        <v>37</v>
      </c>
      <c r="C88" s="5" t="s">
        <v>38</v>
      </c>
      <c r="D88" s="5" t="s">
        <v>349</v>
      </c>
      <c r="E88" s="7">
        <v>44981</v>
      </c>
      <c r="F88" s="24">
        <f t="shared" si="2"/>
        <v>2</v>
      </c>
      <c r="G88" s="24">
        <f t="shared" si="3"/>
        <v>2023</v>
      </c>
      <c r="H88" s="5">
        <v>20409318135</v>
      </c>
      <c r="I88" s="5" t="s">
        <v>130</v>
      </c>
      <c r="J88" s="5" t="s">
        <v>157</v>
      </c>
      <c r="K88" s="8">
        <v>13560.67</v>
      </c>
      <c r="L88" s="8">
        <v>13500</v>
      </c>
      <c r="M88" s="8">
        <v>13500</v>
      </c>
      <c r="N88" s="5" t="s">
        <v>42</v>
      </c>
      <c r="O88" s="8">
        <v>13500</v>
      </c>
      <c r="P88" s="5" t="s">
        <v>42</v>
      </c>
      <c r="Q88" s="8">
        <v>9990</v>
      </c>
      <c r="R88" s="9">
        <v>0.74</v>
      </c>
      <c r="S88" s="9">
        <v>0.74</v>
      </c>
      <c r="T88" s="5" t="s">
        <v>43</v>
      </c>
      <c r="U88" s="5" t="s">
        <v>44</v>
      </c>
      <c r="V88" s="5" t="s">
        <v>40</v>
      </c>
      <c r="W88" s="5" t="s">
        <v>45</v>
      </c>
      <c r="X88" s="5" t="s">
        <v>40</v>
      </c>
      <c r="Y88" s="5" t="s">
        <v>158</v>
      </c>
      <c r="Z88" s="5" t="s">
        <v>350</v>
      </c>
      <c r="AA88" s="5" t="s">
        <v>351</v>
      </c>
      <c r="AB88" s="5" t="s">
        <v>351</v>
      </c>
      <c r="AC88" s="5" t="s">
        <v>351</v>
      </c>
      <c r="AD88" s="5" t="s">
        <v>351</v>
      </c>
      <c r="AE88" s="5" t="s">
        <v>351</v>
      </c>
      <c r="AF88" s="5" t="s">
        <v>49</v>
      </c>
      <c r="AG88" s="5" t="s">
        <v>49</v>
      </c>
      <c r="AH88" s="5" t="s">
        <v>49</v>
      </c>
      <c r="AI88" s="5" t="s">
        <v>50</v>
      </c>
    </row>
    <row r="89" spans="1:35" x14ac:dyDescent="0.3">
      <c r="A89" s="4">
        <v>713909000</v>
      </c>
      <c r="B89" s="5" t="s">
        <v>37</v>
      </c>
      <c r="C89" s="5" t="s">
        <v>63</v>
      </c>
      <c r="D89" s="5" t="s">
        <v>352</v>
      </c>
      <c r="E89" s="7">
        <v>44762</v>
      </c>
      <c r="F89" s="24">
        <f t="shared" si="2"/>
        <v>7</v>
      </c>
      <c r="G89" s="24">
        <f t="shared" si="3"/>
        <v>2022</v>
      </c>
      <c r="H89" s="5">
        <v>20523273265</v>
      </c>
      <c r="I89" s="5" t="s">
        <v>65</v>
      </c>
      <c r="J89" s="5" t="s">
        <v>66</v>
      </c>
      <c r="K89" s="8">
        <v>1363.38</v>
      </c>
      <c r="L89" s="8">
        <v>1286.28</v>
      </c>
      <c r="M89" s="8">
        <v>1286.28</v>
      </c>
      <c r="N89" s="5" t="s">
        <v>42</v>
      </c>
      <c r="O89" s="8">
        <v>180</v>
      </c>
      <c r="P89" s="5" t="s">
        <v>67</v>
      </c>
      <c r="Q89" s="8">
        <v>4083.75</v>
      </c>
      <c r="R89" s="9">
        <v>3.1739999999999999</v>
      </c>
      <c r="S89" s="9">
        <v>22.687000000000001</v>
      </c>
      <c r="T89" s="5" t="s">
        <v>68</v>
      </c>
      <c r="U89" s="5" t="s">
        <v>69</v>
      </c>
      <c r="V89" s="5" t="s">
        <v>40</v>
      </c>
      <c r="W89" s="5" t="s">
        <v>70</v>
      </c>
      <c r="X89" s="5" t="s">
        <v>71</v>
      </c>
      <c r="Y89" s="5" t="s">
        <v>339</v>
      </c>
      <c r="Z89" s="5" t="s">
        <v>353</v>
      </c>
      <c r="AA89" s="5" t="s">
        <v>354</v>
      </c>
      <c r="AB89" s="5" t="s">
        <v>354</v>
      </c>
      <c r="AC89" s="5" t="s">
        <v>354</v>
      </c>
      <c r="AD89" s="5" t="s">
        <v>354</v>
      </c>
      <c r="AE89" s="5" t="s">
        <v>354</v>
      </c>
      <c r="AF89" s="5" t="s">
        <v>75</v>
      </c>
      <c r="AG89" s="5" t="s">
        <v>76</v>
      </c>
      <c r="AH89" s="5" t="s">
        <v>76</v>
      </c>
      <c r="AI89" s="5" t="s">
        <v>50</v>
      </c>
    </row>
    <row r="90" spans="1:35" x14ac:dyDescent="0.3">
      <c r="A90" s="4">
        <v>713909000</v>
      </c>
      <c r="B90" s="5" t="s">
        <v>37</v>
      </c>
      <c r="C90" s="5" t="s">
        <v>63</v>
      </c>
      <c r="D90" s="5" t="s">
        <v>355</v>
      </c>
      <c r="E90" s="7">
        <v>44754</v>
      </c>
      <c r="F90" s="24">
        <f t="shared" si="2"/>
        <v>7</v>
      </c>
      <c r="G90" s="24">
        <f t="shared" si="3"/>
        <v>2022</v>
      </c>
      <c r="H90" s="5">
        <v>20523273265</v>
      </c>
      <c r="I90" s="5" t="s">
        <v>65</v>
      </c>
      <c r="J90" s="5" t="s">
        <v>356</v>
      </c>
      <c r="K90" s="8">
        <v>2269.92</v>
      </c>
      <c r="L90" s="8">
        <v>2268</v>
      </c>
      <c r="M90" s="8">
        <v>2268</v>
      </c>
      <c r="N90" s="5" t="s">
        <v>42</v>
      </c>
      <c r="O90" s="8">
        <v>200</v>
      </c>
      <c r="P90" s="5" t="s">
        <v>103</v>
      </c>
      <c r="Q90" s="8">
        <v>6110</v>
      </c>
      <c r="R90" s="9">
        <v>2.694</v>
      </c>
      <c r="S90" s="9">
        <v>30.55</v>
      </c>
      <c r="T90" s="5" t="s">
        <v>68</v>
      </c>
      <c r="U90" s="5" t="s">
        <v>69</v>
      </c>
      <c r="V90" s="5" t="s">
        <v>40</v>
      </c>
      <c r="W90" s="5" t="s">
        <v>70</v>
      </c>
      <c r="X90" s="5" t="s">
        <v>71</v>
      </c>
      <c r="Y90" s="5" t="s">
        <v>339</v>
      </c>
      <c r="Z90" s="5" t="s">
        <v>357</v>
      </c>
      <c r="AA90" s="5" t="s">
        <v>358</v>
      </c>
      <c r="AB90" s="5" t="s">
        <v>358</v>
      </c>
      <c r="AC90" s="5" t="s">
        <v>358</v>
      </c>
      <c r="AD90" s="5" t="s">
        <v>358</v>
      </c>
      <c r="AE90" s="5" t="s">
        <v>358</v>
      </c>
      <c r="AF90" s="5" t="s">
        <v>75</v>
      </c>
      <c r="AG90" s="5" t="s">
        <v>76</v>
      </c>
      <c r="AH90" s="5" t="s">
        <v>76</v>
      </c>
      <c r="AI90" s="5" t="s">
        <v>50</v>
      </c>
    </row>
    <row r="91" spans="1:35" x14ac:dyDescent="0.3">
      <c r="A91" s="4">
        <v>713909000</v>
      </c>
      <c r="B91" s="5" t="s">
        <v>37</v>
      </c>
      <c r="C91" s="5" t="s">
        <v>63</v>
      </c>
      <c r="D91" s="5" t="s">
        <v>359</v>
      </c>
      <c r="E91" s="7">
        <v>44726</v>
      </c>
      <c r="F91" s="24">
        <f t="shared" si="2"/>
        <v>6</v>
      </c>
      <c r="G91" s="24">
        <f t="shared" si="3"/>
        <v>2022</v>
      </c>
      <c r="H91" s="5">
        <v>20523273265</v>
      </c>
      <c r="I91" s="5" t="s">
        <v>65</v>
      </c>
      <c r="J91" s="5" t="s">
        <v>66</v>
      </c>
      <c r="K91" s="8">
        <v>137.79</v>
      </c>
      <c r="L91" s="8">
        <v>121.48</v>
      </c>
      <c r="M91" s="8">
        <v>121.48</v>
      </c>
      <c r="N91" s="5" t="s">
        <v>42</v>
      </c>
      <c r="O91" s="8">
        <v>17</v>
      </c>
      <c r="P91" s="5" t="s">
        <v>67</v>
      </c>
      <c r="Q91" s="8">
        <v>376.2</v>
      </c>
      <c r="R91" s="9">
        <v>3.0960000000000001</v>
      </c>
      <c r="S91" s="9">
        <v>22.129000000000001</v>
      </c>
      <c r="T91" s="5" t="s">
        <v>68</v>
      </c>
      <c r="U91" s="5" t="s">
        <v>69</v>
      </c>
      <c r="V91" s="5" t="s">
        <v>40</v>
      </c>
      <c r="W91" s="5" t="s">
        <v>70</v>
      </c>
      <c r="X91" s="5" t="s">
        <v>71</v>
      </c>
      <c r="Y91" s="5" t="s">
        <v>339</v>
      </c>
      <c r="Z91" s="5" t="s">
        <v>353</v>
      </c>
      <c r="AA91" s="5" t="s">
        <v>354</v>
      </c>
      <c r="AB91" s="5" t="s">
        <v>354</v>
      </c>
      <c r="AC91" s="5" t="s">
        <v>354</v>
      </c>
      <c r="AD91" s="5" t="s">
        <v>354</v>
      </c>
      <c r="AE91" s="5" t="s">
        <v>354</v>
      </c>
      <c r="AF91" s="5" t="s">
        <v>75</v>
      </c>
      <c r="AG91" s="5" t="s">
        <v>76</v>
      </c>
      <c r="AH91" s="5" t="s">
        <v>76</v>
      </c>
      <c r="AI91" s="5" t="s">
        <v>50</v>
      </c>
    </row>
    <row r="92" spans="1:35" x14ac:dyDescent="0.3">
      <c r="A92" s="4">
        <v>713909000</v>
      </c>
      <c r="B92" s="5" t="s">
        <v>37</v>
      </c>
      <c r="C92" s="5" t="s">
        <v>63</v>
      </c>
      <c r="D92" s="5" t="s">
        <v>360</v>
      </c>
      <c r="E92" s="7">
        <v>45105</v>
      </c>
      <c r="F92" s="24">
        <f t="shared" si="2"/>
        <v>6</v>
      </c>
      <c r="G92" s="24">
        <f t="shared" si="3"/>
        <v>2023</v>
      </c>
      <c r="H92" s="5">
        <v>20544535669</v>
      </c>
      <c r="I92" s="5" t="s">
        <v>195</v>
      </c>
      <c r="J92" s="5" t="s">
        <v>196</v>
      </c>
      <c r="K92" s="8">
        <v>1160.44</v>
      </c>
      <c r="L92" s="8">
        <v>1102.42</v>
      </c>
      <c r="M92" s="8">
        <v>1102.42</v>
      </c>
      <c r="N92" s="5" t="s">
        <v>42</v>
      </c>
      <c r="O92" s="8">
        <v>100</v>
      </c>
      <c r="P92" s="5" t="s">
        <v>67</v>
      </c>
      <c r="Q92" s="8">
        <v>3690</v>
      </c>
      <c r="R92" s="9">
        <v>3.347</v>
      </c>
      <c r="S92" s="9">
        <v>36.9</v>
      </c>
      <c r="T92" s="5" t="s">
        <v>197</v>
      </c>
      <c r="U92" s="5" t="s">
        <v>247</v>
      </c>
      <c r="V92" s="5" t="s">
        <v>40</v>
      </c>
      <c r="W92" s="5" t="s">
        <v>70</v>
      </c>
      <c r="X92" s="5" t="s">
        <v>248</v>
      </c>
      <c r="Y92" s="5" t="s">
        <v>198</v>
      </c>
      <c r="Z92" s="5" t="s">
        <v>324</v>
      </c>
      <c r="AA92" s="5" t="s">
        <v>325</v>
      </c>
      <c r="AB92" s="5" t="s">
        <v>325</v>
      </c>
      <c r="AC92" s="5" t="s">
        <v>325</v>
      </c>
      <c r="AD92" s="5" t="s">
        <v>325</v>
      </c>
      <c r="AE92" s="5" t="s">
        <v>325</v>
      </c>
      <c r="AF92" s="5" t="s">
        <v>252</v>
      </c>
      <c r="AG92" s="5" t="s">
        <v>76</v>
      </c>
      <c r="AH92" s="5" t="s">
        <v>76</v>
      </c>
      <c r="AI92" s="5" t="s">
        <v>50</v>
      </c>
    </row>
    <row r="93" spans="1:35" x14ac:dyDescent="0.3">
      <c r="A93" s="4">
        <v>713909000</v>
      </c>
      <c r="B93" s="5" t="s">
        <v>37</v>
      </c>
      <c r="C93" s="5" t="s">
        <v>38</v>
      </c>
      <c r="D93" s="5" t="s">
        <v>361</v>
      </c>
      <c r="E93" s="7">
        <v>44951</v>
      </c>
      <c r="F93" s="24">
        <f t="shared" si="2"/>
        <v>1</v>
      </c>
      <c r="G93" s="24">
        <f t="shared" si="3"/>
        <v>2023</v>
      </c>
      <c r="H93" s="5">
        <v>20409318135</v>
      </c>
      <c r="I93" s="5" t="s">
        <v>130</v>
      </c>
      <c r="J93" s="5" t="s">
        <v>315</v>
      </c>
      <c r="K93" s="8">
        <v>2700</v>
      </c>
      <c r="L93" s="8">
        <v>2650</v>
      </c>
      <c r="M93" s="8">
        <v>2650</v>
      </c>
      <c r="N93" s="5" t="s">
        <v>42</v>
      </c>
      <c r="O93" s="8">
        <v>53</v>
      </c>
      <c r="P93" s="5" t="s">
        <v>103</v>
      </c>
      <c r="Q93" s="8">
        <v>1961</v>
      </c>
      <c r="R93" s="9">
        <v>0.74</v>
      </c>
      <c r="S93" s="9">
        <v>37</v>
      </c>
      <c r="T93" s="5" t="s">
        <v>43</v>
      </c>
      <c r="U93" s="5" t="s">
        <v>44</v>
      </c>
      <c r="V93" s="5" t="s">
        <v>40</v>
      </c>
      <c r="W93" s="5" t="s">
        <v>45</v>
      </c>
      <c r="X93" s="5" t="s">
        <v>40</v>
      </c>
      <c r="Y93" s="5" t="s">
        <v>362</v>
      </c>
      <c r="Z93" s="5" t="s">
        <v>363</v>
      </c>
      <c r="AA93" s="5" t="s">
        <v>364</v>
      </c>
      <c r="AB93" s="5" t="s">
        <v>364</v>
      </c>
      <c r="AC93" s="5" t="s">
        <v>364</v>
      </c>
      <c r="AD93" s="5" t="s">
        <v>364</v>
      </c>
      <c r="AE93" s="5" t="s">
        <v>364</v>
      </c>
      <c r="AF93" s="5" t="s">
        <v>49</v>
      </c>
      <c r="AG93" s="5" t="s">
        <v>49</v>
      </c>
      <c r="AH93" s="5" t="s">
        <v>49</v>
      </c>
      <c r="AI93" s="5" t="s">
        <v>50</v>
      </c>
    </row>
    <row r="94" spans="1:35" x14ac:dyDescent="0.3">
      <c r="A94" s="4">
        <v>713909000</v>
      </c>
      <c r="B94" s="5" t="s">
        <v>37</v>
      </c>
      <c r="C94" s="5" t="s">
        <v>38</v>
      </c>
      <c r="D94" s="5" t="s">
        <v>365</v>
      </c>
      <c r="E94" s="7">
        <v>44959</v>
      </c>
      <c r="F94" s="24">
        <f t="shared" si="2"/>
        <v>2</v>
      </c>
      <c r="G94" s="24">
        <f t="shared" si="3"/>
        <v>2023</v>
      </c>
      <c r="H94" s="5">
        <v>20409318135</v>
      </c>
      <c r="I94" s="5" t="s">
        <v>130</v>
      </c>
      <c r="J94" s="5" t="s">
        <v>366</v>
      </c>
      <c r="K94" s="8">
        <v>9039.1299999999992</v>
      </c>
      <c r="L94" s="8">
        <v>9000</v>
      </c>
      <c r="M94" s="8">
        <v>9000</v>
      </c>
      <c r="N94" s="5" t="s">
        <v>42</v>
      </c>
      <c r="O94" s="8">
        <v>9000</v>
      </c>
      <c r="P94" s="5" t="s">
        <v>42</v>
      </c>
      <c r="Q94" s="8">
        <v>6660</v>
      </c>
      <c r="R94" s="9">
        <v>0.74</v>
      </c>
      <c r="S94" s="9">
        <v>0.74</v>
      </c>
      <c r="T94" s="5" t="s">
        <v>43</v>
      </c>
      <c r="U94" s="5" t="s">
        <v>44</v>
      </c>
      <c r="V94" s="5" t="s">
        <v>40</v>
      </c>
      <c r="W94" s="5" t="s">
        <v>45</v>
      </c>
      <c r="X94" s="5" t="s">
        <v>40</v>
      </c>
      <c r="Y94" s="5" t="s">
        <v>158</v>
      </c>
      <c r="Z94" s="5" t="s">
        <v>367</v>
      </c>
      <c r="AA94" s="5" t="s">
        <v>368</v>
      </c>
      <c r="AB94" s="5" t="s">
        <v>368</v>
      </c>
      <c r="AC94" s="5" t="s">
        <v>368</v>
      </c>
      <c r="AD94" s="5" t="s">
        <v>368</v>
      </c>
      <c r="AE94" s="5" t="s">
        <v>368</v>
      </c>
      <c r="AF94" s="5" t="s">
        <v>49</v>
      </c>
      <c r="AG94" s="5" t="s">
        <v>49</v>
      </c>
      <c r="AH94" s="5" t="s">
        <v>49</v>
      </c>
      <c r="AI94" s="5" t="s">
        <v>50</v>
      </c>
    </row>
    <row r="95" spans="1:35" x14ac:dyDescent="0.3">
      <c r="A95" s="4">
        <v>713909000</v>
      </c>
      <c r="B95" s="5" t="s">
        <v>37</v>
      </c>
      <c r="C95" s="5" t="s">
        <v>63</v>
      </c>
      <c r="D95" s="5" t="s">
        <v>369</v>
      </c>
      <c r="E95" s="7">
        <v>44712</v>
      </c>
      <c r="F95" s="24">
        <f t="shared" si="2"/>
        <v>5</v>
      </c>
      <c r="G95" s="24">
        <f t="shared" si="3"/>
        <v>2022</v>
      </c>
      <c r="H95" s="5">
        <v>20523273265</v>
      </c>
      <c r="I95" s="5" t="s">
        <v>65</v>
      </c>
      <c r="J95" s="5" t="s">
        <v>66</v>
      </c>
      <c r="K95" s="8">
        <v>435.25</v>
      </c>
      <c r="L95" s="8">
        <v>400.17</v>
      </c>
      <c r="M95" s="8">
        <v>400.17</v>
      </c>
      <c r="N95" s="5" t="s">
        <v>42</v>
      </c>
      <c r="O95" s="8">
        <v>56</v>
      </c>
      <c r="P95" s="5" t="s">
        <v>67</v>
      </c>
      <c r="Q95" s="8">
        <v>1260</v>
      </c>
      <c r="R95" s="9">
        <v>3.1480000000000001</v>
      </c>
      <c r="S95" s="9">
        <v>22.5</v>
      </c>
      <c r="T95" s="5" t="s">
        <v>68</v>
      </c>
      <c r="U95" s="5" t="s">
        <v>69</v>
      </c>
      <c r="V95" s="5" t="s">
        <v>40</v>
      </c>
      <c r="W95" s="5" t="s">
        <v>70</v>
      </c>
      <c r="X95" s="5" t="s">
        <v>71</v>
      </c>
      <c r="Y95" s="5" t="s">
        <v>339</v>
      </c>
      <c r="Z95" s="5" t="s">
        <v>353</v>
      </c>
      <c r="AA95" s="5" t="s">
        <v>354</v>
      </c>
      <c r="AB95" s="5" t="s">
        <v>354</v>
      </c>
      <c r="AC95" s="5" t="s">
        <v>354</v>
      </c>
      <c r="AD95" s="5" t="s">
        <v>354</v>
      </c>
      <c r="AE95" s="5" t="s">
        <v>354</v>
      </c>
      <c r="AF95" s="5" t="s">
        <v>75</v>
      </c>
      <c r="AG95" s="5" t="s">
        <v>76</v>
      </c>
      <c r="AH95" s="5" t="s">
        <v>76</v>
      </c>
      <c r="AI95" s="5" t="s">
        <v>50</v>
      </c>
    </row>
    <row r="96" spans="1:35" x14ac:dyDescent="0.3">
      <c r="A96" s="4">
        <v>713909000</v>
      </c>
      <c r="B96" s="5" t="s">
        <v>37</v>
      </c>
      <c r="C96" s="5" t="s">
        <v>63</v>
      </c>
      <c r="D96" s="5" t="s">
        <v>370</v>
      </c>
      <c r="E96" s="7">
        <v>44684</v>
      </c>
      <c r="F96" s="24">
        <f t="shared" si="2"/>
        <v>5</v>
      </c>
      <c r="G96" s="24">
        <f t="shared" si="3"/>
        <v>2022</v>
      </c>
      <c r="H96" s="5">
        <v>20523273265</v>
      </c>
      <c r="I96" s="5" t="s">
        <v>65</v>
      </c>
      <c r="J96" s="5" t="s">
        <v>66</v>
      </c>
      <c r="K96" s="8">
        <v>834.91</v>
      </c>
      <c r="L96" s="8">
        <v>757.48</v>
      </c>
      <c r="M96" s="8">
        <v>757.48</v>
      </c>
      <c r="N96" s="5" t="s">
        <v>42</v>
      </c>
      <c r="O96" s="8">
        <v>106</v>
      </c>
      <c r="P96" s="5" t="s">
        <v>67</v>
      </c>
      <c r="Q96" s="8">
        <v>2385</v>
      </c>
      <c r="R96" s="9">
        <v>3.1480000000000001</v>
      </c>
      <c r="S96" s="9">
        <v>22.5</v>
      </c>
      <c r="T96" s="5" t="s">
        <v>68</v>
      </c>
      <c r="U96" s="5" t="s">
        <v>69</v>
      </c>
      <c r="V96" s="5" t="s">
        <v>40</v>
      </c>
      <c r="W96" s="5" t="s">
        <v>70</v>
      </c>
      <c r="X96" s="5" t="s">
        <v>71</v>
      </c>
      <c r="Y96" s="5" t="s">
        <v>339</v>
      </c>
      <c r="Z96" s="5" t="s">
        <v>353</v>
      </c>
      <c r="AA96" s="5" t="s">
        <v>354</v>
      </c>
      <c r="AB96" s="5" t="s">
        <v>354</v>
      </c>
      <c r="AC96" s="5" t="s">
        <v>354</v>
      </c>
      <c r="AD96" s="5" t="s">
        <v>354</v>
      </c>
      <c r="AE96" s="5" t="s">
        <v>354</v>
      </c>
      <c r="AF96" s="5" t="s">
        <v>75</v>
      </c>
      <c r="AG96" s="5" t="s">
        <v>76</v>
      </c>
      <c r="AH96" s="5" t="s">
        <v>76</v>
      </c>
      <c r="AI96" s="5" t="s">
        <v>50</v>
      </c>
    </row>
    <row r="97" spans="1:35" x14ac:dyDescent="0.3">
      <c r="A97" s="4">
        <v>713909000</v>
      </c>
      <c r="B97" s="5" t="s">
        <v>37</v>
      </c>
      <c r="C97" s="5" t="s">
        <v>38</v>
      </c>
      <c r="D97" s="5" t="s">
        <v>371</v>
      </c>
      <c r="E97" s="7">
        <v>44952</v>
      </c>
      <c r="F97" s="24">
        <f t="shared" si="2"/>
        <v>1</v>
      </c>
      <c r="G97" s="24">
        <f t="shared" si="3"/>
        <v>2023</v>
      </c>
      <c r="H97" s="5">
        <v>20409318135</v>
      </c>
      <c r="I97" s="5" t="s">
        <v>130</v>
      </c>
      <c r="J97" s="5" t="s">
        <v>366</v>
      </c>
      <c r="K97" s="8">
        <v>15564.44</v>
      </c>
      <c r="L97" s="8">
        <v>15500</v>
      </c>
      <c r="M97" s="8">
        <v>15500</v>
      </c>
      <c r="N97" s="5" t="s">
        <v>42</v>
      </c>
      <c r="O97" s="8">
        <v>15500</v>
      </c>
      <c r="P97" s="5" t="s">
        <v>42</v>
      </c>
      <c r="Q97" s="8">
        <v>11470</v>
      </c>
      <c r="R97" s="9">
        <v>0.74</v>
      </c>
      <c r="S97" s="9">
        <v>0.74</v>
      </c>
      <c r="T97" s="5" t="s">
        <v>43</v>
      </c>
      <c r="U97" s="5" t="s">
        <v>44</v>
      </c>
      <c r="V97" s="5" t="s">
        <v>40</v>
      </c>
      <c r="W97" s="5" t="s">
        <v>45</v>
      </c>
      <c r="X97" s="5" t="s">
        <v>40</v>
      </c>
      <c r="Y97" s="5" t="s">
        <v>158</v>
      </c>
      <c r="Z97" s="5" t="s">
        <v>372</v>
      </c>
      <c r="AA97" s="5" t="s">
        <v>373</v>
      </c>
      <c r="AB97" s="5" t="s">
        <v>373</v>
      </c>
      <c r="AC97" s="5" t="s">
        <v>373</v>
      </c>
      <c r="AD97" s="5" t="s">
        <v>373</v>
      </c>
      <c r="AE97" s="5" t="s">
        <v>373</v>
      </c>
      <c r="AF97" s="5" t="s">
        <v>49</v>
      </c>
      <c r="AG97" s="5" t="s">
        <v>49</v>
      </c>
      <c r="AH97" s="5" t="s">
        <v>49</v>
      </c>
      <c r="AI97" s="5" t="s">
        <v>50</v>
      </c>
    </row>
    <row r="98" spans="1:35" x14ac:dyDescent="0.3">
      <c r="A98" s="4">
        <v>713909000</v>
      </c>
      <c r="B98" s="5" t="s">
        <v>37</v>
      </c>
      <c r="C98" s="5" t="s">
        <v>38</v>
      </c>
      <c r="D98" s="5" t="s">
        <v>374</v>
      </c>
      <c r="E98" s="7">
        <v>44917</v>
      </c>
      <c r="F98" s="24">
        <f t="shared" si="2"/>
        <v>12</v>
      </c>
      <c r="G98" s="24">
        <f t="shared" si="3"/>
        <v>2022</v>
      </c>
      <c r="H98" s="5">
        <v>20409318135</v>
      </c>
      <c r="I98" s="5" t="s">
        <v>130</v>
      </c>
      <c r="J98" s="5" t="s">
        <v>257</v>
      </c>
      <c r="K98" s="8">
        <v>21598.41</v>
      </c>
      <c r="L98" s="8">
        <v>21500</v>
      </c>
      <c r="M98" s="8">
        <v>21500</v>
      </c>
      <c r="N98" s="5" t="s">
        <v>42</v>
      </c>
      <c r="O98" s="8">
        <v>21500</v>
      </c>
      <c r="P98" s="5" t="s">
        <v>42</v>
      </c>
      <c r="Q98" s="8">
        <v>15910</v>
      </c>
      <c r="R98" s="9">
        <v>0.74</v>
      </c>
      <c r="S98" s="9">
        <v>0.74</v>
      </c>
      <c r="T98" s="5" t="s">
        <v>43</v>
      </c>
      <c r="U98" s="5" t="s">
        <v>44</v>
      </c>
      <c r="V98" s="5" t="s">
        <v>40</v>
      </c>
      <c r="W98" s="5" t="s">
        <v>45</v>
      </c>
      <c r="X98" s="5" t="s">
        <v>40</v>
      </c>
      <c r="Y98" s="5" t="s">
        <v>158</v>
      </c>
      <c r="Z98" s="5" t="s">
        <v>375</v>
      </c>
      <c r="AA98" s="5" t="s">
        <v>376</v>
      </c>
      <c r="AB98" s="5" t="s">
        <v>376</v>
      </c>
      <c r="AC98" s="5" t="s">
        <v>376</v>
      </c>
      <c r="AD98" s="5" t="s">
        <v>376</v>
      </c>
      <c r="AE98" s="5" t="s">
        <v>376</v>
      </c>
      <c r="AF98" s="5" t="s">
        <v>49</v>
      </c>
      <c r="AG98" s="5" t="s">
        <v>49</v>
      </c>
      <c r="AH98" s="5" t="s">
        <v>49</v>
      </c>
      <c r="AI98" s="5" t="s">
        <v>377</v>
      </c>
    </row>
    <row r="99" spans="1:35" x14ac:dyDescent="0.3">
      <c r="A99" s="4">
        <v>713909000</v>
      </c>
      <c r="B99" s="5" t="s">
        <v>37</v>
      </c>
      <c r="C99" s="5" t="s">
        <v>38</v>
      </c>
      <c r="D99" s="5" t="s">
        <v>378</v>
      </c>
      <c r="E99" s="7">
        <v>44896</v>
      </c>
      <c r="F99" s="24">
        <f t="shared" si="2"/>
        <v>12</v>
      </c>
      <c r="G99" s="24">
        <f t="shared" si="3"/>
        <v>2022</v>
      </c>
      <c r="H99" s="5">
        <v>20409318135</v>
      </c>
      <c r="I99" s="5" t="s">
        <v>130</v>
      </c>
      <c r="J99" s="5" t="s">
        <v>257</v>
      </c>
      <c r="K99" s="8">
        <v>5020.51</v>
      </c>
      <c r="L99" s="8">
        <v>5000</v>
      </c>
      <c r="M99" s="8">
        <v>5000</v>
      </c>
      <c r="N99" s="5" t="s">
        <v>42</v>
      </c>
      <c r="O99" s="8">
        <v>5000</v>
      </c>
      <c r="P99" s="5" t="s">
        <v>42</v>
      </c>
      <c r="Q99" s="8">
        <v>3700</v>
      </c>
      <c r="R99" s="9">
        <v>0.74</v>
      </c>
      <c r="S99" s="9">
        <v>0.74</v>
      </c>
      <c r="T99" s="5" t="s">
        <v>43</v>
      </c>
      <c r="U99" s="5" t="s">
        <v>44</v>
      </c>
      <c r="V99" s="5" t="s">
        <v>40</v>
      </c>
      <c r="W99" s="5" t="s">
        <v>45</v>
      </c>
      <c r="X99" s="5" t="s">
        <v>40</v>
      </c>
      <c r="Y99" s="5" t="s">
        <v>158</v>
      </c>
      <c r="Z99" s="5" t="s">
        <v>214</v>
      </c>
      <c r="AA99" s="5" t="s">
        <v>215</v>
      </c>
      <c r="AB99" s="5" t="s">
        <v>215</v>
      </c>
      <c r="AC99" s="5" t="s">
        <v>215</v>
      </c>
      <c r="AD99" s="5" t="s">
        <v>215</v>
      </c>
      <c r="AE99" s="5" t="s">
        <v>215</v>
      </c>
      <c r="AF99" s="5" t="s">
        <v>49</v>
      </c>
      <c r="AG99" s="5" t="s">
        <v>49</v>
      </c>
      <c r="AH99" s="5" t="s">
        <v>49</v>
      </c>
      <c r="AI99" s="5" t="s">
        <v>377</v>
      </c>
    </row>
    <row r="100" spans="1:35" x14ac:dyDescent="0.3">
      <c r="A100" s="4">
        <v>713909000</v>
      </c>
      <c r="B100" s="5" t="s">
        <v>37</v>
      </c>
      <c r="C100" s="5" t="s">
        <v>38</v>
      </c>
      <c r="D100" s="5" t="s">
        <v>379</v>
      </c>
      <c r="E100" s="7">
        <v>44910</v>
      </c>
      <c r="F100" s="24">
        <f t="shared" si="2"/>
        <v>12</v>
      </c>
      <c r="G100" s="24">
        <f t="shared" si="3"/>
        <v>2022</v>
      </c>
      <c r="H100" s="5">
        <v>20409318135</v>
      </c>
      <c r="I100" s="5" t="s">
        <v>130</v>
      </c>
      <c r="J100" s="5" t="s">
        <v>157</v>
      </c>
      <c r="K100" s="8">
        <v>15316.21</v>
      </c>
      <c r="L100" s="8">
        <v>15250</v>
      </c>
      <c r="M100" s="8">
        <v>15250</v>
      </c>
      <c r="N100" s="5" t="s">
        <v>42</v>
      </c>
      <c r="O100" s="8">
        <v>15250</v>
      </c>
      <c r="P100" s="5" t="s">
        <v>42</v>
      </c>
      <c r="Q100" s="8">
        <v>11285</v>
      </c>
      <c r="R100" s="9">
        <v>0.74</v>
      </c>
      <c r="S100" s="9">
        <v>0.74</v>
      </c>
      <c r="T100" s="5" t="s">
        <v>43</v>
      </c>
      <c r="U100" s="5" t="s">
        <v>44</v>
      </c>
      <c r="V100" s="5" t="s">
        <v>40</v>
      </c>
      <c r="W100" s="5" t="s">
        <v>45</v>
      </c>
      <c r="X100" s="5" t="s">
        <v>40</v>
      </c>
      <c r="Y100" s="5" t="s">
        <v>158</v>
      </c>
      <c r="Z100" s="5" t="s">
        <v>380</v>
      </c>
      <c r="AA100" s="5" t="s">
        <v>381</v>
      </c>
      <c r="AB100" s="5" t="s">
        <v>381</v>
      </c>
      <c r="AC100" s="5" t="s">
        <v>381</v>
      </c>
      <c r="AD100" s="5" t="s">
        <v>381</v>
      </c>
      <c r="AE100" s="5" t="s">
        <v>381</v>
      </c>
      <c r="AF100" s="5" t="s">
        <v>49</v>
      </c>
      <c r="AG100" s="5" t="s">
        <v>49</v>
      </c>
      <c r="AH100" s="5" t="s">
        <v>49</v>
      </c>
      <c r="AI100" s="5" t="s">
        <v>377</v>
      </c>
    </row>
    <row r="101" spans="1:35" x14ac:dyDescent="0.3">
      <c r="A101" s="4">
        <v>713909000</v>
      </c>
      <c r="B101" s="5" t="s">
        <v>37</v>
      </c>
      <c r="C101" s="5" t="s">
        <v>63</v>
      </c>
      <c r="D101" s="5" t="s">
        <v>382</v>
      </c>
      <c r="E101" s="7">
        <v>44614</v>
      </c>
      <c r="F101" s="24">
        <f t="shared" si="2"/>
        <v>2</v>
      </c>
      <c r="G101" s="24">
        <f t="shared" si="3"/>
        <v>2022</v>
      </c>
      <c r="H101" s="5">
        <v>20565443993</v>
      </c>
      <c r="I101" s="5" t="s">
        <v>143</v>
      </c>
      <c r="J101" s="5" t="s">
        <v>144</v>
      </c>
      <c r="K101" s="8">
        <v>1957.81</v>
      </c>
      <c r="L101" s="8">
        <v>1930.7</v>
      </c>
      <c r="M101" s="8">
        <v>1930.7</v>
      </c>
      <c r="N101" s="5" t="s">
        <v>42</v>
      </c>
      <c r="O101" s="8">
        <v>198</v>
      </c>
      <c r="P101" s="5" t="s">
        <v>67</v>
      </c>
      <c r="Q101" s="8">
        <v>4245</v>
      </c>
      <c r="R101" s="9">
        <v>2.198</v>
      </c>
      <c r="S101" s="9">
        <v>21.439</v>
      </c>
      <c r="T101" s="5" t="s">
        <v>68</v>
      </c>
      <c r="U101" s="5" t="s">
        <v>69</v>
      </c>
      <c r="V101" s="5" t="s">
        <v>40</v>
      </c>
      <c r="W101" s="5" t="s">
        <v>70</v>
      </c>
      <c r="X101" s="5" t="s">
        <v>71</v>
      </c>
      <c r="Y101" s="5" t="s">
        <v>383</v>
      </c>
      <c r="Z101" s="5" t="s">
        <v>384</v>
      </c>
      <c r="AA101" s="5" t="s">
        <v>385</v>
      </c>
      <c r="AB101" s="5" t="s">
        <v>385</v>
      </c>
      <c r="AC101" s="5" t="s">
        <v>385</v>
      </c>
      <c r="AD101" s="5" t="s">
        <v>385</v>
      </c>
      <c r="AE101" s="5" t="s">
        <v>385</v>
      </c>
      <c r="AF101" s="5" t="s">
        <v>75</v>
      </c>
      <c r="AG101" s="5" t="s">
        <v>76</v>
      </c>
      <c r="AH101" s="5" t="s">
        <v>76</v>
      </c>
      <c r="AI101" s="5" t="s">
        <v>50</v>
      </c>
    </row>
    <row r="102" spans="1:35" x14ac:dyDescent="0.3">
      <c r="A102" s="4">
        <v>713909000</v>
      </c>
      <c r="B102" s="5" t="s">
        <v>37</v>
      </c>
      <c r="C102" s="5" t="s">
        <v>38</v>
      </c>
      <c r="D102" s="5" t="s">
        <v>386</v>
      </c>
      <c r="E102" s="7">
        <v>44882</v>
      </c>
      <c r="F102" s="24">
        <f t="shared" si="2"/>
        <v>11</v>
      </c>
      <c r="G102" s="24">
        <f t="shared" si="3"/>
        <v>2022</v>
      </c>
      <c r="H102" s="5">
        <v>20409318135</v>
      </c>
      <c r="I102" s="5" t="s">
        <v>130</v>
      </c>
      <c r="J102" s="5" t="s">
        <v>157</v>
      </c>
      <c r="K102" s="8">
        <v>9644.85</v>
      </c>
      <c r="L102" s="8">
        <v>9600</v>
      </c>
      <c r="M102" s="8">
        <v>9600</v>
      </c>
      <c r="N102" s="5" t="s">
        <v>42</v>
      </c>
      <c r="O102" s="8">
        <v>9600</v>
      </c>
      <c r="P102" s="5" t="s">
        <v>42</v>
      </c>
      <c r="Q102" s="8">
        <v>7104</v>
      </c>
      <c r="R102" s="9">
        <v>0.74</v>
      </c>
      <c r="S102" s="9">
        <v>0.74</v>
      </c>
      <c r="T102" s="5" t="s">
        <v>43</v>
      </c>
      <c r="U102" s="5" t="s">
        <v>44</v>
      </c>
      <c r="V102" s="5" t="s">
        <v>40</v>
      </c>
      <c r="W102" s="5" t="s">
        <v>45</v>
      </c>
      <c r="X102" s="5" t="s">
        <v>40</v>
      </c>
      <c r="Y102" s="5" t="s">
        <v>158</v>
      </c>
      <c r="Z102" s="5" t="s">
        <v>387</v>
      </c>
      <c r="AA102" s="5" t="s">
        <v>388</v>
      </c>
      <c r="AB102" s="5" t="s">
        <v>388</v>
      </c>
      <c r="AC102" s="5" t="s">
        <v>388</v>
      </c>
      <c r="AD102" s="5" t="s">
        <v>388</v>
      </c>
      <c r="AE102" s="5" t="s">
        <v>388</v>
      </c>
      <c r="AF102" s="5" t="s">
        <v>49</v>
      </c>
      <c r="AG102" s="5" t="s">
        <v>49</v>
      </c>
      <c r="AH102" s="5" t="s">
        <v>49</v>
      </c>
      <c r="AI102" s="5" t="s">
        <v>377</v>
      </c>
    </row>
    <row r="103" spans="1:35" x14ac:dyDescent="0.3">
      <c r="A103" s="4">
        <v>713909000</v>
      </c>
      <c r="B103" s="5" t="s">
        <v>37</v>
      </c>
      <c r="C103" s="5" t="s">
        <v>38</v>
      </c>
      <c r="D103" s="5" t="s">
        <v>389</v>
      </c>
      <c r="E103" s="7">
        <v>44875</v>
      </c>
      <c r="F103" s="24">
        <f t="shared" si="2"/>
        <v>11</v>
      </c>
      <c r="G103" s="24">
        <f t="shared" si="3"/>
        <v>2022</v>
      </c>
      <c r="H103" s="5">
        <v>20409318135</v>
      </c>
      <c r="I103" s="5" t="s">
        <v>130</v>
      </c>
      <c r="J103" s="5" t="s">
        <v>257</v>
      </c>
      <c r="K103" s="8">
        <v>12510.1</v>
      </c>
      <c r="L103" s="8">
        <v>12450</v>
      </c>
      <c r="M103" s="8">
        <v>12450</v>
      </c>
      <c r="N103" s="5" t="s">
        <v>42</v>
      </c>
      <c r="O103" s="8">
        <v>12450</v>
      </c>
      <c r="P103" s="5" t="s">
        <v>42</v>
      </c>
      <c r="Q103" s="8">
        <v>9213</v>
      </c>
      <c r="R103" s="9">
        <v>0.74</v>
      </c>
      <c r="S103" s="9">
        <v>0.74</v>
      </c>
      <c r="T103" s="5" t="s">
        <v>43</v>
      </c>
      <c r="U103" s="5" t="s">
        <v>44</v>
      </c>
      <c r="V103" s="5" t="s">
        <v>40</v>
      </c>
      <c r="W103" s="5" t="s">
        <v>45</v>
      </c>
      <c r="X103" s="5" t="s">
        <v>40</v>
      </c>
      <c r="Y103" s="5" t="s">
        <v>158</v>
      </c>
      <c r="Z103" s="5" t="s">
        <v>390</v>
      </c>
      <c r="AA103" s="5" t="s">
        <v>391</v>
      </c>
      <c r="AB103" s="5" t="s">
        <v>391</v>
      </c>
      <c r="AC103" s="5" t="s">
        <v>391</v>
      </c>
      <c r="AD103" s="5" t="s">
        <v>391</v>
      </c>
      <c r="AE103" s="5" t="s">
        <v>391</v>
      </c>
      <c r="AF103" s="5" t="s">
        <v>49</v>
      </c>
      <c r="AG103" s="5" t="s">
        <v>49</v>
      </c>
      <c r="AH103" s="5" t="s">
        <v>49</v>
      </c>
      <c r="AI103" s="5" t="s">
        <v>50</v>
      </c>
    </row>
    <row r="104" spans="1:35" x14ac:dyDescent="0.3">
      <c r="A104" s="4">
        <v>713909000</v>
      </c>
      <c r="B104" s="5" t="s">
        <v>37</v>
      </c>
      <c r="C104" s="5" t="s">
        <v>38</v>
      </c>
      <c r="D104" s="5" t="s">
        <v>392</v>
      </c>
      <c r="E104" s="7">
        <v>44861</v>
      </c>
      <c r="F104" s="24">
        <f t="shared" si="2"/>
        <v>10</v>
      </c>
      <c r="G104" s="24">
        <f t="shared" si="3"/>
        <v>2022</v>
      </c>
      <c r="H104" s="5">
        <v>20409318135</v>
      </c>
      <c r="I104" s="5" t="s">
        <v>130</v>
      </c>
      <c r="J104" s="5" t="s">
        <v>157</v>
      </c>
      <c r="K104" s="8">
        <v>6031.57</v>
      </c>
      <c r="L104" s="8">
        <v>6000</v>
      </c>
      <c r="M104" s="8">
        <v>6000</v>
      </c>
      <c r="N104" s="5" t="s">
        <v>42</v>
      </c>
      <c r="O104" s="8">
        <v>6000</v>
      </c>
      <c r="P104" s="5" t="s">
        <v>42</v>
      </c>
      <c r="Q104" s="8">
        <v>4440</v>
      </c>
      <c r="R104" s="9">
        <v>0.74</v>
      </c>
      <c r="S104" s="9">
        <v>0.74</v>
      </c>
      <c r="T104" s="5" t="s">
        <v>43</v>
      </c>
      <c r="U104" s="5" t="s">
        <v>44</v>
      </c>
      <c r="V104" s="5" t="s">
        <v>40</v>
      </c>
      <c r="W104" s="5" t="s">
        <v>45</v>
      </c>
      <c r="X104" s="5" t="s">
        <v>40</v>
      </c>
      <c r="Y104" s="5" t="s">
        <v>158</v>
      </c>
      <c r="Z104" s="5" t="s">
        <v>393</v>
      </c>
      <c r="AA104" s="5" t="s">
        <v>394</v>
      </c>
      <c r="AB104" s="5" t="s">
        <v>394</v>
      </c>
      <c r="AC104" s="5" t="s">
        <v>394</v>
      </c>
      <c r="AD104" s="5" t="s">
        <v>394</v>
      </c>
      <c r="AE104" s="5" t="s">
        <v>394</v>
      </c>
      <c r="AF104" s="5" t="s">
        <v>49</v>
      </c>
      <c r="AG104" s="5" t="s">
        <v>49</v>
      </c>
      <c r="AH104" s="5" t="s">
        <v>49</v>
      </c>
      <c r="AI104" s="5" t="s">
        <v>377</v>
      </c>
    </row>
    <row r="105" spans="1:35" x14ac:dyDescent="0.3">
      <c r="A105" s="4">
        <v>713909000</v>
      </c>
      <c r="B105" s="5" t="s">
        <v>37</v>
      </c>
      <c r="C105" s="5" t="s">
        <v>38</v>
      </c>
      <c r="D105" s="5" t="s">
        <v>395</v>
      </c>
      <c r="E105" s="7">
        <v>44847</v>
      </c>
      <c r="F105" s="24">
        <f t="shared" si="2"/>
        <v>10</v>
      </c>
      <c r="G105" s="24">
        <f t="shared" si="3"/>
        <v>2022</v>
      </c>
      <c r="H105" s="5">
        <v>20409318135</v>
      </c>
      <c r="I105" s="5" t="s">
        <v>130</v>
      </c>
      <c r="J105" s="5" t="s">
        <v>257</v>
      </c>
      <c r="K105" s="8">
        <v>15933.07</v>
      </c>
      <c r="L105" s="8">
        <v>15850</v>
      </c>
      <c r="M105" s="8">
        <v>15850</v>
      </c>
      <c r="N105" s="5" t="s">
        <v>42</v>
      </c>
      <c r="O105" s="8">
        <v>15850</v>
      </c>
      <c r="P105" s="5" t="s">
        <v>42</v>
      </c>
      <c r="Q105" s="8">
        <v>11729</v>
      </c>
      <c r="R105" s="9">
        <v>0.74</v>
      </c>
      <c r="S105" s="9">
        <v>0.74</v>
      </c>
      <c r="T105" s="5" t="s">
        <v>43</v>
      </c>
      <c r="U105" s="5" t="s">
        <v>44</v>
      </c>
      <c r="V105" s="5" t="s">
        <v>40</v>
      </c>
      <c r="W105" s="5" t="s">
        <v>45</v>
      </c>
      <c r="X105" s="5" t="s">
        <v>40</v>
      </c>
      <c r="Y105" s="5" t="s">
        <v>158</v>
      </c>
      <c r="Z105" s="5" t="s">
        <v>396</v>
      </c>
      <c r="AA105" s="5" t="s">
        <v>397</v>
      </c>
      <c r="AB105" s="5" t="s">
        <v>397</v>
      </c>
      <c r="AC105" s="5" t="s">
        <v>397</v>
      </c>
      <c r="AD105" s="5" t="s">
        <v>397</v>
      </c>
      <c r="AE105" s="5" t="s">
        <v>397</v>
      </c>
      <c r="AF105" s="5" t="s">
        <v>49</v>
      </c>
      <c r="AG105" s="5" t="s">
        <v>49</v>
      </c>
      <c r="AH105" s="5" t="s">
        <v>49</v>
      </c>
      <c r="AI105" s="5" t="s">
        <v>50</v>
      </c>
    </row>
    <row r="106" spans="1:35" x14ac:dyDescent="0.3">
      <c r="A106" s="4">
        <v>713909000</v>
      </c>
      <c r="B106" s="5" t="s">
        <v>37</v>
      </c>
      <c r="C106" s="5" t="s">
        <v>38</v>
      </c>
      <c r="D106" s="5" t="s">
        <v>398</v>
      </c>
      <c r="E106" s="7">
        <v>44854</v>
      </c>
      <c r="F106" s="24">
        <f t="shared" si="2"/>
        <v>10</v>
      </c>
      <c r="G106" s="24">
        <f t="shared" si="3"/>
        <v>2022</v>
      </c>
      <c r="H106" s="5">
        <v>20409318135</v>
      </c>
      <c r="I106" s="5" t="s">
        <v>130</v>
      </c>
      <c r="J106" s="5" t="s">
        <v>157</v>
      </c>
      <c r="K106" s="8">
        <v>10856.14</v>
      </c>
      <c r="L106" s="8">
        <v>10800</v>
      </c>
      <c r="M106" s="8">
        <v>10800</v>
      </c>
      <c r="N106" s="5" t="s">
        <v>42</v>
      </c>
      <c r="O106" s="8">
        <v>10800</v>
      </c>
      <c r="P106" s="5" t="s">
        <v>42</v>
      </c>
      <c r="Q106" s="8">
        <v>7992</v>
      </c>
      <c r="R106" s="9">
        <v>0.74</v>
      </c>
      <c r="S106" s="9">
        <v>0.74</v>
      </c>
      <c r="T106" s="5" t="s">
        <v>43</v>
      </c>
      <c r="U106" s="5" t="s">
        <v>44</v>
      </c>
      <c r="V106" s="5" t="s">
        <v>40</v>
      </c>
      <c r="W106" s="5" t="s">
        <v>45</v>
      </c>
      <c r="X106" s="5" t="s">
        <v>40</v>
      </c>
      <c r="Y106" s="5" t="s">
        <v>158</v>
      </c>
      <c r="Z106" s="5" t="s">
        <v>396</v>
      </c>
      <c r="AA106" s="5" t="s">
        <v>397</v>
      </c>
      <c r="AB106" s="5" t="s">
        <v>397</v>
      </c>
      <c r="AC106" s="5" t="s">
        <v>397</v>
      </c>
      <c r="AD106" s="5" t="s">
        <v>397</v>
      </c>
      <c r="AE106" s="5" t="s">
        <v>397</v>
      </c>
      <c r="AF106" s="5" t="s">
        <v>49</v>
      </c>
      <c r="AG106" s="5" t="s">
        <v>49</v>
      </c>
      <c r="AH106" s="5" t="s">
        <v>49</v>
      </c>
      <c r="AI106" s="5" t="s">
        <v>377</v>
      </c>
    </row>
    <row r="107" spans="1:35" x14ac:dyDescent="0.3">
      <c r="A107" s="4">
        <v>713909000</v>
      </c>
      <c r="B107" s="5" t="s">
        <v>37</v>
      </c>
      <c r="C107" s="5" t="s">
        <v>63</v>
      </c>
      <c r="D107" s="5" t="s">
        <v>399</v>
      </c>
      <c r="E107" s="7">
        <v>44965</v>
      </c>
      <c r="F107" s="24">
        <f t="shared" si="2"/>
        <v>2</v>
      </c>
      <c r="G107" s="24">
        <f t="shared" si="3"/>
        <v>2023</v>
      </c>
      <c r="H107" s="5">
        <v>20544535669</v>
      </c>
      <c r="I107" s="5" t="s">
        <v>195</v>
      </c>
      <c r="J107" s="5" t="s">
        <v>400</v>
      </c>
      <c r="K107" s="8">
        <v>1350.23</v>
      </c>
      <c r="L107" s="8">
        <v>1272</v>
      </c>
      <c r="M107" s="8">
        <v>1272</v>
      </c>
      <c r="N107" s="5" t="s">
        <v>42</v>
      </c>
      <c r="O107" s="8">
        <v>106</v>
      </c>
      <c r="P107" s="5" t="s">
        <v>67</v>
      </c>
      <c r="Q107" s="8">
        <v>3911</v>
      </c>
      <c r="R107" s="9">
        <v>3.0739999999999998</v>
      </c>
      <c r="S107" s="9">
        <v>36.896000000000001</v>
      </c>
      <c r="T107" s="5" t="s">
        <v>197</v>
      </c>
      <c r="U107" s="5" t="s">
        <v>116</v>
      </c>
      <c r="V107" s="5" t="s">
        <v>40</v>
      </c>
      <c r="W107" s="5" t="s">
        <v>70</v>
      </c>
      <c r="X107" s="5" t="s">
        <v>327</v>
      </c>
      <c r="Y107" s="5" t="s">
        <v>198</v>
      </c>
      <c r="Z107" s="5" t="s">
        <v>328</v>
      </c>
      <c r="AA107" s="5" t="s">
        <v>329</v>
      </c>
      <c r="AB107" s="5" t="s">
        <v>329</v>
      </c>
      <c r="AC107" s="5" t="s">
        <v>329</v>
      </c>
      <c r="AD107" s="5" t="s">
        <v>329</v>
      </c>
      <c r="AE107" s="5" t="s">
        <v>329</v>
      </c>
      <c r="AF107" s="5" t="s">
        <v>112</v>
      </c>
      <c r="AG107" s="5" t="s">
        <v>76</v>
      </c>
      <c r="AH107" s="5" t="s">
        <v>76</v>
      </c>
      <c r="AI107" s="5" t="s">
        <v>50</v>
      </c>
    </row>
    <row r="108" spans="1:35" x14ac:dyDescent="0.3">
      <c r="A108" s="4">
        <v>713909000</v>
      </c>
      <c r="B108" s="5" t="s">
        <v>37</v>
      </c>
      <c r="C108" s="5" t="s">
        <v>38</v>
      </c>
      <c r="D108" s="5" t="s">
        <v>401</v>
      </c>
      <c r="E108" s="7">
        <v>44840</v>
      </c>
      <c r="F108" s="24">
        <f t="shared" si="2"/>
        <v>10</v>
      </c>
      <c r="G108" s="24">
        <f t="shared" si="3"/>
        <v>2022</v>
      </c>
      <c r="H108" s="5">
        <v>20409318135</v>
      </c>
      <c r="I108" s="5" t="s">
        <v>130</v>
      </c>
      <c r="J108" s="5" t="s">
        <v>157</v>
      </c>
      <c r="K108" s="8">
        <v>10545.05</v>
      </c>
      <c r="L108" s="8">
        <v>10500</v>
      </c>
      <c r="M108" s="8">
        <v>10500</v>
      </c>
      <c r="N108" s="5" t="s">
        <v>42</v>
      </c>
      <c r="O108" s="8">
        <v>10500</v>
      </c>
      <c r="P108" s="5" t="s">
        <v>42</v>
      </c>
      <c r="Q108" s="8">
        <v>7770</v>
      </c>
      <c r="R108" s="9">
        <v>0.74</v>
      </c>
      <c r="S108" s="9">
        <v>0.74</v>
      </c>
      <c r="T108" s="5" t="s">
        <v>43</v>
      </c>
      <c r="U108" s="5" t="s">
        <v>44</v>
      </c>
      <c r="V108" s="5" t="s">
        <v>40</v>
      </c>
      <c r="W108" s="5" t="s">
        <v>45</v>
      </c>
      <c r="X108" s="5" t="s">
        <v>40</v>
      </c>
      <c r="Y108" s="5" t="s">
        <v>158</v>
      </c>
      <c r="Z108" s="5" t="s">
        <v>396</v>
      </c>
      <c r="AA108" s="5" t="s">
        <v>397</v>
      </c>
      <c r="AB108" s="5" t="s">
        <v>397</v>
      </c>
      <c r="AC108" s="5" t="s">
        <v>397</v>
      </c>
      <c r="AD108" s="5" t="s">
        <v>397</v>
      </c>
      <c r="AE108" s="5" t="s">
        <v>397</v>
      </c>
      <c r="AF108" s="5" t="s">
        <v>49</v>
      </c>
      <c r="AG108" s="5" t="s">
        <v>49</v>
      </c>
      <c r="AH108" s="5" t="s">
        <v>49</v>
      </c>
      <c r="AI108" s="5" t="s">
        <v>50</v>
      </c>
    </row>
    <row r="109" spans="1:35" x14ac:dyDescent="0.3">
      <c r="A109" s="4">
        <v>713909000</v>
      </c>
      <c r="B109" s="5" t="s">
        <v>37</v>
      </c>
      <c r="C109" s="5" t="s">
        <v>38</v>
      </c>
      <c r="D109" s="5" t="s">
        <v>402</v>
      </c>
      <c r="E109" s="7">
        <v>44833</v>
      </c>
      <c r="F109" s="24">
        <f t="shared" si="2"/>
        <v>9</v>
      </c>
      <c r="G109" s="24">
        <f t="shared" si="3"/>
        <v>2022</v>
      </c>
      <c r="H109" s="5">
        <v>20409318135</v>
      </c>
      <c r="I109" s="5" t="s">
        <v>130</v>
      </c>
      <c r="J109" s="5" t="s">
        <v>257</v>
      </c>
      <c r="K109" s="8">
        <v>20083.310000000001</v>
      </c>
      <c r="L109" s="8">
        <v>20000</v>
      </c>
      <c r="M109" s="8">
        <v>20000</v>
      </c>
      <c r="N109" s="5" t="s">
        <v>42</v>
      </c>
      <c r="O109" s="8">
        <v>20000</v>
      </c>
      <c r="P109" s="5" t="s">
        <v>42</v>
      </c>
      <c r="Q109" s="8">
        <v>14800</v>
      </c>
      <c r="R109" s="9">
        <v>0.74</v>
      </c>
      <c r="S109" s="9">
        <v>0.74</v>
      </c>
      <c r="T109" s="5" t="s">
        <v>43</v>
      </c>
      <c r="U109" s="5" t="s">
        <v>44</v>
      </c>
      <c r="V109" s="5" t="s">
        <v>40</v>
      </c>
      <c r="W109" s="5" t="s">
        <v>45</v>
      </c>
      <c r="X109" s="5" t="s">
        <v>40</v>
      </c>
      <c r="Y109" s="5" t="s">
        <v>158</v>
      </c>
      <c r="Z109" s="5" t="s">
        <v>396</v>
      </c>
      <c r="AA109" s="5" t="s">
        <v>397</v>
      </c>
      <c r="AB109" s="5" t="s">
        <v>397</v>
      </c>
      <c r="AC109" s="5" t="s">
        <v>397</v>
      </c>
      <c r="AD109" s="5" t="s">
        <v>397</v>
      </c>
      <c r="AE109" s="5" t="s">
        <v>397</v>
      </c>
      <c r="AF109" s="5" t="s">
        <v>49</v>
      </c>
      <c r="AG109" s="5" t="s">
        <v>49</v>
      </c>
      <c r="AH109" s="5" t="s">
        <v>49</v>
      </c>
      <c r="AI109" s="5" t="s">
        <v>50</v>
      </c>
    </row>
    <row r="110" spans="1:35" x14ac:dyDescent="0.3">
      <c r="A110" s="4">
        <v>713909000</v>
      </c>
      <c r="B110" s="5" t="s">
        <v>37</v>
      </c>
      <c r="C110" s="5" t="s">
        <v>63</v>
      </c>
      <c r="D110" s="5" t="s">
        <v>403</v>
      </c>
      <c r="E110" s="7">
        <v>45168</v>
      </c>
      <c r="F110" s="24">
        <f t="shared" si="2"/>
        <v>8</v>
      </c>
      <c r="G110" s="24">
        <f t="shared" si="3"/>
        <v>2023</v>
      </c>
      <c r="H110" s="5">
        <v>20565443993</v>
      </c>
      <c r="I110" s="5" t="s">
        <v>143</v>
      </c>
      <c r="J110" s="5" t="s">
        <v>144</v>
      </c>
      <c r="K110" s="8">
        <v>879.12</v>
      </c>
      <c r="L110" s="8">
        <v>848.76</v>
      </c>
      <c r="M110" s="8">
        <v>848.76</v>
      </c>
      <c r="N110" s="5" t="s">
        <v>42</v>
      </c>
      <c r="O110" s="8">
        <v>84</v>
      </c>
      <c r="P110" s="5" t="s">
        <v>67</v>
      </c>
      <c r="Q110" s="8">
        <v>2939</v>
      </c>
      <c r="R110" s="9">
        <v>3.4620000000000002</v>
      </c>
      <c r="S110" s="9">
        <v>34.988</v>
      </c>
      <c r="T110" s="5" t="s">
        <v>68</v>
      </c>
      <c r="U110" s="5" t="s">
        <v>69</v>
      </c>
      <c r="V110" s="5" t="s">
        <v>40</v>
      </c>
      <c r="W110" s="5" t="s">
        <v>70</v>
      </c>
      <c r="X110" s="5" t="s">
        <v>71</v>
      </c>
      <c r="Y110" s="5" t="s">
        <v>72</v>
      </c>
      <c r="Z110" s="5" t="s">
        <v>404</v>
      </c>
      <c r="AA110" s="5" t="s">
        <v>405</v>
      </c>
      <c r="AB110" s="5" t="s">
        <v>405</v>
      </c>
      <c r="AC110" s="5" t="s">
        <v>405</v>
      </c>
      <c r="AD110" s="5" t="s">
        <v>405</v>
      </c>
      <c r="AE110" s="5" t="s">
        <v>405</v>
      </c>
      <c r="AF110" s="5" t="s">
        <v>75</v>
      </c>
      <c r="AG110" s="5" t="s">
        <v>76</v>
      </c>
      <c r="AH110" s="5" t="s">
        <v>76</v>
      </c>
      <c r="AI110" s="5" t="s">
        <v>50</v>
      </c>
    </row>
    <row r="111" spans="1:35" x14ac:dyDescent="0.3">
      <c r="A111" s="4">
        <v>713909000</v>
      </c>
      <c r="B111" s="5" t="s">
        <v>37</v>
      </c>
      <c r="C111" s="5" t="s">
        <v>38</v>
      </c>
      <c r="D111" s="5" t="s">
        <v>406</v>
      </c>
      <c r="E111" s="7">
        <v>44826</v>
      </c>
      <c r="F111" s="24">
        <f t="shared" si="2"/>
        <v>9</v>
      </c>
      <c r="G111" s="24">
        <f t="shared" si="3"/>
        <v>2022</v>
      </c>
      <c r="H111" s="5">
        <v>20409318135</v>
      </c>
      <c r="I111" s="5" t="s">
        <v>130</v>
      </c>
      <c r="J111" s="5" t="s">
        <v>157</v>
      </c>
      <c r="K111" s="8">
        <v>12559.33</v>
      </c>
      <c r="L111" s="8">
        <v>12500</v>
      </c>
      <c r="M111" s="8">
        <v>12500</v>
      </c>
      <c r="N111" s="5" t="s">
        <v>42</v>
      </c>
      <c r="O111" s="8">
        <v>12500</v>
      </c>
      <c r="P111" s="5" t="s">
        <v>42</v>
      </c>
      <c r="Q111" s="8">
        <v>9250</v>
      </c>
      <c r="R111" s="9">
        <v>0.74</v>
      </c>
      <c r="S111" s="9">
        <v>0.74</v>
      </c>
      <c r="T111" s="5" t="s">
        <v>43</v>
      </c>
      <c r="U111" s="5" t="s">
        <v>44</v>
      </c>
      <c r="V111" s="5" t="s">
        <v>40</v>
      </c>
      <c r="W111" s="5" t="s">
        <v>45</v>
      </c>
      <c r="X111" s="5" t="s">
        <v>40</v>
      </c>
      <c r="Y111" s="5" t="s">
        <v>158</v>
      </c>
      <c r="Z111" s="5" t="s">
        <v>396</v>
      </c>
      <c r="AA111" s="5" t="s">
        <v>397</v>
      </c>
      <c r="AB111" s="5" t="s">
        <v>397</v>
      </c>
      <c r="AC111" s="5" t="s">
        <v>397</v>
      </c>
      <c r="AD111" s="5" t="s">
        <v>397</v>
      </c>
      <c r="AE111" s="5" t="s">
        <v>397</v>
      </c>
      <c r="AF111" s="5" t="s">
        <v>49</v>
      </c>
      <c r="AG111" s="5" t="s">
        <v>49</v>
      </c>
      <c r="AH111" s="5" t="s">
        <v>49</v>
      </c>
      <c r="AI111" s="5" t="s">
        <v>377</v>
      </c>
    </row>
    <row r="112" spans="1:35" x14ac:dyDescent="0.3">
      <c r="A112" s="4">
        <v>713909000</v>
      </c>
      <c r="B112" s="5" t="s">
        <v>37</v>
      </c>
      <c r="C112" s="5" t="s">
        <v>38</v>
      </c>
      <c r="D112" s="5" t="s">
        <v>407</v>
      </c>
      <c r="E112" s="7">
        <v>44812</v>
      </c>
      <c r="F112" s="24">
        <f t="shared" si="2"/>
        <v>9</v>
      </c>
      <c r="G112" s="24">
        <f t="shared" si="3"/>
        <v>2022</v>
      </c>
      <c r="H112" s="5">
        <v>20409318135</v>
      </c>
      <c r="I112" s="5" t="s">
        <v>130</v>
      </c>
      <c r="J112" s="5" t="s">
        <v>157</v>
      </c>
      <c r="K112" s="8">
        <v>18834.21</v>
      </c>
      <c r="L112" s="8">
        <v>18750</v>
      </c>
      <c r="M112" s="8">
        <v>18750</v>
      </c>
      <c r="N112" s="5" t="s">
        <v>42</v>
      </c>
      <c r="O112" s="8">
        <v>18750</v>
      </c>
      <c r="P112" s="5" t="s">
        <v>42</v>
      </c>
      <c r="Q112" s="8">
        <v>13875</v>
      </c>
      <c r="R112" s="9">
        <v>0.74</v>
      </c>
      <c r="S112" s="9">
        <v>0.74</v>
      </c>
      <c r="T112" s="5" t="s">
        <v>43</v>
      </c>
      <c r="U112" s="5" t="s">
        <v>44</v>
      </c>
      <c r="V112" s="5" t="s">
        <v>40</v>
      </c>
      <c r="W112" s="5" t="s">
        <v>45</v>
      </c>
      <c r="X112" s="5" t="s">
        <v>40</v>
      </c>
      <c r="Y112" s="5" t="s">
        <v>158</v>
      </c>
      <c r="Z112" s="5" t="s">
        <v>396</v>
      </c>
      <c r="AA112" s="5" t="s">
        <v>397</v>
      </c>
      <c r="AB112" s="5" t="s">
        <v>397</v>
      </c>
      <c r="AC112" s="5" t="s">
        <v>397</v>
      </c>
      <c r="AD112" s="5" t="s">
        <v>397</v>
      </c>
      <c r="AE112" s="5" t="s">
        <v>397</v>
      </c>
      <c r="AF112" s="5" t="s">
        <v>49</v>
      </c>
      <c r="AG112" s="5" t="s">
        <v>49</v>
      </c>
      <c r="AH112" s="5" t="s">
        <v>49</v>
      </c>
      <c r="AI112" s="5" t="s">
        <v>50</v>
      </c>
    </row>
    <row r="113" spans="1:35" x14ac:dyDescent="0.3">
      <c r="A113" s="4">
        <v>713909000</v>
      </c>
      <c r="B113" s="5" t="s">
        <v>37</v>
      </c>
      <c r="C113" s="5" t="s">
        <v>63</v>
      </c>
      <c r="D113" s="5" t="s">
        <v>408</v>
      </c>
      <c r="E113" s="7">
        <v>44887</v>
      </c>
      <c r="F113" s="24">
        <f t="shared" si="2"/>
        <v>11</v>
      </c>
      <c r="G113" s="24">
        <f t="shared" si="3"/>
        <v>2022</v>
      </c>
      <c r="H113" s="5">
        <v>20510807694</v>
      </c>
      <c r="I113" s="5" t="s">
        <v>235</v>
      </c>
      <c r="J113" s="5" t="s">
        <v>236</v>
      </c>
      <c r="K113" s="8">
        <v>77.19</v>
      </c>
      <c r="L113" s="8">
        <v>77.19</v>
      </c>
      <c r="M113" s="8">
        <v>77.19</v>
      </c>
      <c r="N113" s="5" t="s">
        <v>42</v>
      </c>
      <c r="O113" s="8">
        <v>98</v>
      </c>
      <c r="P113" s="5" t="s">
        <v>42</v>
      </c>
      <c r="Q113" s="8">
        <v>147</v>
      </c>
      <c r="R113" s="9">
        <v>1.9039999999999999</v>
      </c>
      <c r="S113" s="9">
        <v>1.5</v>
      </c>
      <c r="T113" s="5" t="s">
        <v>237</v>
      </c>
      <c r="U113" s="5" t="s">
        <v>116</v>
      </c>
      <c r="V113" s="5" t="s">
        <v>40</v>
      </c>
      <c r="W113" s="5" t="s">
        <v>70</v>
      </c>
      <c r="X113" s="5" t="s">
        <v>109</v>
      </c>
      <c r="Y113" s="5" t="s">
        <v>409</v>
      </c>
      <c r="Z113" s="5" t="s">
        <v>410</v>
      </c>
      <c r="AA113" s="5" t="s">
        <v>411</v>
      </c>
      <c r="AB113" s="5" t="s">
        <v>411</v>
      </c>
      <c r="AC113" s="5" t="s">
        <v>411</v>
      </c>
      <c r="AD113" s="5" t="s">
        <v>411</v>
      </c>
      <c r="AE113" s="5" t="s">
        <v>411</v>
      </c>
      <c r="AF113" s="5" t="s">
        <v>121</v>
      </c>
      <c r="AG113" s="5" t="s">
        <v>412</v>
      </c>
      <c r="AH113" s="5" t="s">
        <v>413</v>
      </c>
      <c r="AI113" s="5" t="s">
        <v>377</v>
      </c>
    </row>
    <row r="114" spans="1:35" x14ac:dyDescent="0.3">
      <c r="A114" s="4">
        <v>713909000</v>
      </c>
      <c r="B114" s="5" t="s">
        <v>37</v>
      </c>
      <c r="C114" s="5" t="s">
        <v>63</v>
      </c>
      <c r="D114" s="5" t="s">
        <v>414</v>
      </c>
      <c r="E114" s="7">
        <v>44795</v>
      </c>
      <c r="F114" s="24">
        <f t="shared" si="2"/>
        <v>8</v>
      </c>
      <c r="G114" s="24">
        <f t="shared" si="3"/>
        <v>2022</v>
      </c>
      <c r="H114" s="5">
        <v>20544535669</v>
      </c>
      <c r="I114" s="5" t="s">
        <v>195</v>
      </c>
      <c r="J114" s="5" t="s">
        <v>415</v>
      </c>
      <c r="K114" s="8">
        <v>1545.97</v>
      </c>
      <c r="L114" s="8">
        <v>1452</v>
      </c>
      <c r="M114" s="8">
        <v>1452</v>
      </c>
      <c r="N114" s="5" t="s">
        <v>42</v>
      </c>
      <c r="O114" s="8">
        <v>121</v>
      </c>
      <c r="P114" s="5" t="s">
        <v>67</v>
      </c>
      <c r="Q114" s="8">
        <v>4114</v>
      </c>
      <c r="R114" s="9">
        <v>2.8330000000000002</v>
      </c>
      <c r="S114" s="9">
        <v>34</v>
      </c>
      <c r="T114" s="5" t="s">
        <v>197</v>
      </c>
      <c r="U114" s="5" t="s">
        <v>94</v>
      </c>
      <c r="V114" s="5" t="s">
        <v>40</v>
      </c>
      <c r="W114" s="5" t="s">
        <v>70</v>
      </c>
      <c r="X114" s="5" t="s">
        <v>109</v>
      </c>
      <c r="Y114" s="5" t="s">
        <v>198</v>
      </c>
      <c r="Z114" s="5" t="s">
        <v>416</v>
      </c>
      <c r="AA114" s="5" t="s">
        <v>417</v>
      </c>
      <c r="AB114" s="5" t="s">
        <v>417</v>
      </c>
      <c r="AC114" s="5" t="s">
        <v>417</v>
      </c>
      <c r="AD114" s="5" t="s">
        <v>417</v>
      </c>
      <c r="AE114" s="5" t="s">
        <v>417</v>
      </c>
      <c r="AF114" s="5" t="s">
        <v>112</v>
      </c>
      <c r="AG114" s="5" t="s">
        <v>49</v>
      </c>
      <c r="AH114" s="5" t="s">
        <v>49</v>
      </c>
      <c r="AI114" s="5" t="s">
        <v>50</v>
      </c>
    </row>
    <row r="115" spans="1:35" x14ac:dyDescent="0.3">
      <c r="A115" s="4">
        <v>713909000</v>
      </c>
      <c r="B115" s="5" t="s">
        <v>37</v>
      </c>
      <c r="C115" s="5" t="s">
        <v>38</v>
      </c>
      <c r="D115" s="5" t="s">
        <v>418</v>
      </c>
      <c r="E115" s="7">
        <v>44819</v>
      </c>
      <c r="F115" s="24">
        <f t="shared" si="2"/>
        <v>9</v>
      </c>
      <c r="G115" s="24">
        <f t="shared" si="3"/>
        <v>2022</v>
      </c>
      <c r="H115" s="5">
        <v>20409318135</v>
      </c>
      <c r="I115" s="5" t="s">
        <v>130</v>
      </c>
      <c r="J115" s="5" t="s">
        <v>257</v>
      </c>
      <c r="K115" s="8">
        <v>10547.3</v>
      </c>
      <c r="L115" s="8">
        <v>10500</v>
      </c>
      <c r="M115" s="8">
        <v>10500</v>
      </c>
      <c r="N115" s="5" t="s">
        <v>42</v>
      </c>
      <c r="O115" s="8">
        <v>10500</v>
      </c>
      <c r="P115" s="5" t="s">
        <v>42</v>
      </c>
      <c r="Q115" s="8">
        <v>7770</v>
      </c>
      <c r="R115" s="9">
        <v>0.74</v>
      </c>
      <c r="S115" s="9">
        <v>0.74</v>
      </c>
      <c r="T115" s="5" t="s">
        <v>43</v>
      </c>
      <c r="U115" s="5" t="s">
        <v>44</v>
      </c>
      <c r="V115" s="5" t="s">
        <v>40</v>
      </c>
      <c r="W115" s="5" t="s">
        <v>45</v>
      </c>
      <c r="X115" s="5" t="s">
        <v>40</v>
      </c>
      <c r="Y115" s="5" t="s">
        <v>158</v>
      </c>
      <c r="Z115" s="5" t="s">
        <v>396</v>
      </c>
      <c r="AA115" s="5" t="s">
        <v>397</v>
      </c>
      <c r="AB115" s="5" t="s">
        <v>397</v>
      </c>
      <c r="AC115" s="5" t="s">
        <v>397</v>
      </c>
      <c r="AD115" s="5" t="s">
        <v>397</v>
      </c>
      <c r="AE115" s="5" t="s">
        <v>397</v>
      </c>
      <c r="AF115" s="5" t="s">
        <v>49</v>
      </c>
      <c r="AG115" s="5" t="s">
        <v>49</v>
      </c>
      <c r="AH115" s="5" t="s">
        <v>49</v>
      </c>
      <c r="AI115" s="5" t="s">
        <v>377</v>
      </c>
    </row>
    <row r="116" spans="1:35" x14ac:dyDescent="0.3">
      <c r="A116" s="4">
        <v>713909000</v>
      </c>
      <c r="B116" s="5" t="s">
        <v>37</v>
      </c>
      <c r="C116" s="5" t="s">
        <v>38</v>
      </c>
      <c r="D116" s="5" t="s">
        <v>419</v>
      </c>
      <c r="E116" s="7">
        <v>44805</v>
      </c>
      <c r="F116" s="24">
        <f t="shared" si="2"/>
        <v>9</v>
      </c>
      <c r="G116" s="24">
        <f t="shared" si="3"/>
        <v>2022</v>
      </c>
      <c r="H116" s="5">
        <v>20409318135</v>
      </c>
      <c r="I116" s="5" t="s">
        <v>130</v>
      </c>
      <c r="J116" s="5" t="s">
        <v>257</v>
      </c>
      <c r="K116" s="8">
        <v>8036.39</v>
      </c>
      <c r="L116" s="8">
        <v>8000</v>
      </c>
      <c r="M116" s="8">
        <v>8000</v>
      </c>
      <c r="N116" s="5" t="s">
        <v>42</v>
      </c>
      <c r="O116" s="8">
        <v>8000</v>
      </c>
      <c r="P116" s="5" t="s">
        <v>42</v>
      </c>
      <c r="Q116" s="8">
        <v>5920</v>
      </c>
      <c r="R116" s="9">
        <v>0.74</v>
      </c>
      <c r="S116" s="9">
        <v>0.74</v>
      </c>
      <c r="T116" s="5" t="s">
        <v>43</v>
      </c>
      <c r="U116" s="5" t="s">
        <v>44</v>
      </c>
      <c r="V116" s="5" t="s">
        <v>40</v>
      </c>
      <c r="W116" s="5" t="s">
        <v>45</v>
      </c>
      <c r="X116" s="5" t="s">
        <v>40</v>
      </c>
      <c r="Y116" s="5" t="s">
        <v>158</v>
      </c>
      <c r="Z116" s="5" t="s">
        <v>396</v>
      </c>
      <c r="AA116" s="5" t="s">
        <v>397</v>
      </c>
      <c r="AB116" s="5" t="s">
        <v>397</v>
      </c>
      <c r="AC116" s="5" t="s">
        <v>397</v>
      </c>
      <c r="AD116" s="5" t="s">
        <v>397</v>
      </c>
      <c r="AE116" s="5" t="s">
        <v>397</v>
      </c>
      <c r="AF116" s="5" t="s">
        <v>49</v>
      </c>
      <c r="AG116" s="5" t="s">
        <v>49</v>
      </c>
      <c r="AH116" s="5" t="s">
        <v>49</v>
      </c>
      <c r="AI116" s="5" t="s">
        <v>50</v>
      </c>
    </row>
    <row r="117" spans="1:35" x14ac:dyDescent="0.3">
      <c r="A117" s="4">
        <v>713909000</v>
      </c>
      <c r="B117" s="5" t="s">
        <v>37</v>
      </c>
      <c r="C117" s="5" t="s">
        <v>38</v>
      </c>
      <c r="D117" s="5" t="s">
        <v>420</v>
      </c>
      <c r="E117" s="7">
        <v>44798</v>
      </c>
      <c r="F117" s="24">
        <f t="shared" si="2"/>
        <v>8</v>
      </c>
      <c r="G117" s="24">
        <f t="shared" si="3"/>
        <v>2022</v>
      </c>
      <c r="H117" s="5">
        <v>20409318135</v>
      </c>
      <c r="I117" s="5" t="s">
        <v>130</v>
      </c>
      <c r="J117" s="5" t="s">
        <v>421</v>
      </c>
      <c r="K117" s="8">
        <v>4900</v>
      </c>
      <c r="L117" s="8">
        <v>4900</v>
      </c>
      <c r="M117" s="8">
        <v>4900</v>
      </c>
      <c r="N117" s="5" t="s">
        <v>42</v>
      </c>
      <c r="O117" s="8">
        <v>4900</v>
      </c>
      <c r="P117" s="5" t="s">
        <v>42</v>
      </c>
      <c r="Q117" s="8">
        <v>3626</v>
      </c>
      <c r="R117" s="9">
        <v>0.74</v>
      </c>
      <c r="S117" s="9">
        <v>0.74</v>
      </c>
      <c r="T117" s="5" t="s">
        <v>43</v>
      </c>
      <c r="U117" s="5" t="s">
        <v>44</v>
      </c>
      <c r="V117" s="5" t="s">
        <v>40</v>
      </c>
      <c r="W117" s="5" t="s">
        <v>45</v>
      </c>
      <c r="X117" s="5" t="s">
        <v>40</v>
      </c>
      <c r="Y117" s="5" t="s">
        <v>158</v>
      </c>
      <c r="Z117" s="5" t="s">
        <v>396</v>
      </c>
      <c r="AA117" s="5" t="s">
        <v>397</v>
      </c>
      <c r="AB117" s="5" t="s">
        <v>397</v>
      </c>
      <c r="AC117" s="5" t="s">
        <v>397</v>
      </c>
      <c r="AD117" s="5" t="s">
        <v>397</v>
      </c>
      <c r="AE117" s="5" t="s">
        <v>397</v>
      </c>
      <c r="AF117" s="5" t="s">
        <v>49</v>
      </c>
      <c r="AG117" s="5" t="s">
        <v>49</v>
      </c>
      <c r="AH117" s="5" t="s">
        <v>49</v>
      </c>
      <c r="AI117" s="5" t="s">
        <v>50</v>
      </c>
    </row>
    <row r="118" spans="1:35" x14ac:dyDescent="0.3">
      <c r="A118" s="4">
        <v>713909000</v>
      </c>
      <c r="B118" s="5" t="s">
        <v>37</v>
      </c>
      <c r="C118" s="5" t="s">
        <v>38</v>
      </c>
      <c r="D118" s="5" t="s">
        <v>422</v>
      </c>
      <c r="E118" s="7">
        <v>44784</v>
      </c>
      <c r="F118" s="24">
        <f t="shared" si="2"/>
        <v>8</v>
      </c>
      <c r="G118" s="24">
        <f t="shared" si="3"/>
        <v>2022</v>
      </c>
      <c r="H118" s="5">
        <v>20409318135</v>
      </c>
      <c r="I118" s="5" t="s">
        <v>130</v>
      </c>
      <c r="J118" s="5" t="s">
        <v>157</v>
      </c>
      <c r="K118" s="8">
        <v>8135.12</v>
      </c>
      <c r="L118" s="8">
        <v>8100</v>
      </c>
      <c r="M118" s="8">
        <v>8100</v>
      </c>
      <c r="N118" s="5" t="s">
        <v>42</v>
      </c>
      <c r="O118" s="8">
        <v>8100</v>
      </c>
      <c r="P118" s="5" t="s">
        <v>42</v>
      </c>
      <c r="Q118" s="8">
        <v>5994</v>
      </c>
      <c r="R118" s="9">
        <v>0.74</v>
      </c>
      <c r="S118" s="9">
        <v>0.74</v>
      </c>
      <c r="T118" s="5" t="s">
        <v>43</v>
      </c>
      <c r="U118" s="5" t="s">
        <v>44</v>
      </c>
      <c r="V118" s="5" t="s">
        <v>40</v>
      </c>
      <c r="W118" s="5" t="s">
        <v>45</v>
      </c>
      <c r="X118" s="5" t="s">
        <v>40</v>
      </c>
      <c r="Y118" s="5" t="s">
        <v>158</v>
      </c>
      <c r="Z118" s="5" t="s">
        <v>396</v>
      </c>
      <c r="AA118" s="5" t="s">
        <v>397</v>
      </c>
      <c r="AB118" s="5" t="s">
        <v>397</v>
      </c>
      <c r="AC118" s="5" t="s">
        <v>397</v>
      </c>
      <c r="AD118" s="5" t="s">
        <v>397</v>
      </c>
      <c r="AE118" s="5" t="s">
        <v>397</v>
      </c>
      <c r="AF118" s="5" t="s">
        <v>49</v>
      </c>
      <c r="AG118" s="5" t="s">
        <v>49</v>
      </c>
      <c r="AH118" s="5" t="s">
        <v>49</v>
      </c>
      <c r="AI118" s="5" t="s">
        <v>377</v>
      </c>
    </row>
    <row r="119" spans="1:35" x14ac:dyDescent="0.3">
      <c r="A119" s="4">
        <v>713909000</v>
      </c>
      <c r="B119" s="5" t="s">
        <v>37</v>
      </c>
      <c r="C119" s="5" t="s">
        <v>38</v>
      </c>
      <c r="D119" s="5" t="s">
        <v>423</v>
      </c>
      <c r="E119" s="7">
        <v>44777</v>
      </c>
      <c r="F119" s="24">
        <f t="shared" si="2"/>
        <v>8</v>
      </c>
      <c r="G119" s="24">
        <f t="shared" si="3"/>
        <v>2022</v>
      </c>
      <c r="H119" s="5">
        <v>20409318135</v>
      </c>
      <c r="I119" s="5" t="s">
        <v>130</v>
      </c>
      <c r="J119" s="5" t="s">
        <v>257</v>
      </c>
      <c r="K119" s="8">
        <v>5022.17</v>
      </c>
      <c r="L119" s="8">
        <v>5000</v>
      </c>
      <c r="M119" s="8">
        <v>5000</v>
      </c>
      <c r="N119" s="5" t="s">
        <v>42</v>
      </c>
      <c r="O119" s="8">
        <v>5000</v>
      </c>
      <c r="P119" s="5" t="s">
        <v>42</v>
      </c>
      <c r="Q119" s="8">
        <v>3700</v>
      </c>
      <c r="R119" s="9">
        <v>0.74</v>
      </c>
      <c r="S119" s="9">
        <v>0.74</v>
      </c>
      <c r="T119" s="5" t="s">
        <v>43</v>
      </c>
      <c r="U119" s="5" t="s">
        <v>44</v>
      </c>
      <c r="V119" s="5" t="s">
        <v>40</v>
      </c>
      <c r="W119" s="5" t="s">
        <v>45</v>
      </c>
      <c r="X119" s="5" t="s">
        <v>40</v>
      </c>
      <c r="Y119" s="5" t="s">
        <v>158</v>
      </c>
      <c r="Z119" s="5" t="s">
        <v>396</v>
      </c>
      <c r="AA119" s="5" t="s">
        <v>397</v>
      </c>
      <c r="AB119" s="5" t="s">
        <v>397</v>
      </c>
      <c r="AC119" s="5" t="s">
        <v>397</v>
      </c>
      <c r="AD119" s="5" t="s">
        <v>397</v>
      </c>
      <c r="AE119" s="5" t="s">
        <v>397</v>
      </c>
      <c r="AF119" s="5" t="s">
        <v>49</v>
      </c>
      <c r="AG119" s="5" t="s">
        <v>49</v>
      </c>
      <c r="AH119" s="5" t="s">
        <v>49</v>
      </c>
      <c r="AI119" s="5" t="s">
        <v>377</v>
      </c>
    </row>
    <row r="120" spans="1:35" x14ac:dyDescent="0.3">
      <c r="A120" s="4">
        <v>713909000</v>
      </c>
      <c r="B120" s="5" t="s">
        <v>37</v>
      </c>
      <c r="C120" s="5" t="s">
        <v>38</v>
      </c>
      <c r="D120" s="5" t="s">
        <v>424</v>
      </c>
      <c r="E120" s="7">
        <v>44769</v>
      </c>
      <c r="F120" s="24">
        <f t="shared" si="2"/>
        <v>7</v>
      </c>
      <c r="G120" s="24">
        <f t="shared" si="3"/>
        <v>2022</v>
      </c>
      <c r="H120" s="5">
        <v>20409318135</v>
      </c>
      <c r="I120" s="5" t="s">
        <v>130</v>
      </c>
      <c r="J120" s="5" t="s">
        <v>157</v>
      </c>
      <c r="K120" s="8">
        <v>19833.7</v>
      </c>
      <c r="L120" s="8">
        <v>19750</v>
      </c>
      <c r="M120" s="8">
        <v>19750</v>
      </c>
      <c r="N120" s="5" t="s">
        <v>42</v>
      </c>
      <c r="O120" s="8">
        <v>19750</v>
      </c>
      <c r="P120" s="5" t="s">
        <v>42</v>
      </c>
      <c r="Q120" s="8">
        <v>14615</v>
      </c>
      <c r="R120" s="9">
        <v>0.74</v>
      </c>
      <c r="S120" s="9">
        <v>0.74</v>
      </c>
      <c r="T120" s="5" t="s">
        <v>43</v>
      </c>
      <c r="U120" s="5" t="s">
        <v>44</v>
      </c>
      <c r="V120" s="5" t="s">
        <v>40</v>
      </c>
      <c r="W120" s="5" t="s">
        <v>45</v>
      </c>
      <c r="X120" s="5" t="s">
        <v>40</v>
      </c>
      <c r="Y120" s="5" t="s">
        <v>158</v>
      </c>
      <c r="Z120" s="5" t="s">
        <v>396</v>
      </c>
      <c r="AA120" s="5" t="s">
        <v>397</v>
      </c>
      <c r="AB120" s="5" t="s">
        <v>397</v>
      </c>
      <c r="AC120" s="5" t="s">
        <v>397</v>
      </c>
      <c r="AD120" s="5" t="s">
        <v>397</v>
      </c>
      <c r="AE120" s="5" t="s">
        <v>397</v>
      </c>
      <c r="AF120" s="5" t="s">
        <v>49</v>
      </c>
      <c r="AG120" s="5" t="s">
        <v>49</v>
      </c>
      <c r="AH120" s="5" t="s">
        <v>49</v>
      </c>
      <c r="AI120" s="5" t="s">
        <v>50</v>
      </c>
    </row>
    <row r="121" spans="1:35" x14ac:dyDescent="0.3">
      <c r="A121" s="4">
        <v>713909000</v>
      </c>
      <c r="B121" s="5" t="s">
        <v>37</v>
      </c>
      <c r="C121" s="5" t="s">
        <v>38</v>
      </c>
      <c r="D121" s="5" t="s">
        <v>425</v>
      </c>
      <c r="E121" s="7">
        <v>44763</v>
      </c>
      <c r="F121" s="24">
        <f t="shared" si="2"/>
        <v>7</v>
      </c>
      <c r="G121" s="24">
        <f t="shared" si="3"/>
        <v>2022</v>
      </c>
      <c r="H121" s="5">
        <v>20409318135</v>
      </c>
      <c r="I121" s="5" t="s">
        <v>130</v>
      </c>
      <c r="J121" s="5" t="s">
        <v>257</v>
      </c>
      <c r="K121" s="8">
        <v>7225.08</v>
      </c>
      <c r="L121" s="8">
        <v>7200</v>
      </c>
      <c r="M121" s="8">
        <v>7200</v>
      </c>
      <c r="N121" s="5" t="s">
        <v>42</v>
      </c>
      <c r="O121" s="8">
        <v>7200</v>
      </c>
      <c r="P121" s="5" t="s">
        <v>42</v>
      </c>
      <c r="Q121" s="8">
        <v>5328</v>
      </c>
      <c r="R121" s="9">
        <v>0.74</v>
      </c>
      <c r="S121" s="9">
        <v>0.74</v>
      </c>
      <c r="T121" s="5" t="s">
        <v>43</v>
      </c>
      <c r="U121" s="5" t="s">
        <v>44</v>
      </c>
      <c r="V121" s="5" t="s">
        <v>40</v>
      </c>
      <c r="W121" s="5" t="s">
        <v>45</v>
      </c>
      <c r="X121" s="5" t="s">
        <v>40</v>
      </c>
      <c r="Y121" s="5" t="s">
        <v>158</v>
      </c>
      <c r="Z121" s="5" t="s">
        <v>396</v>
      </c>
      <c r="AA121" s="5" t="s">
        <v>397</v>
      </c>
      <c r="AB121" s="5" t="s">
        <v>397</v>
      </c>
      <c r="AC121" s="5" t="s">
        <v>397</v>
      </c>
      <c r="AD121" s="5" t="s">
        <v>397</v>
      </c>
      <c r="AE121" s="5" t="s">
        <v>397</v>
      </c>
      <c r="AF121" s="5" t="s">
        <v>49</v>
      </c>
      <c r="AG121" s="5" t="s">
        <v>49</v>
      </c>
      <c r="AH121" s="5" t="s">
        <v>49</v>
      </c>
      <c r="AI121" s="5" t="s">
        <v>50</v>
      </c>
    </row>
    <row r="122" spans="1:35" x14ac:dyDescent="0.3">
      <c r="A122" s="4">
        <v>713909000</v>
      </c>
      <c r="B122" s="5" t="s">
        <v>37</v>
      </c>
      <c r="C122" s="5" t="s">
        <v>38</v>
      </c>
      <c r="D122" s="5" t="s">
        <v>426</v>
      </c>
      <c r="E122" s="7">
        <v>44756</v>
      </c>
      <c r="F122" s="24">
        <f t="shared" si="2"/>
        <v>7</v>
      </c>
      <c r="G122" s="24">
        <f t="shared" si="3"/>
        <v>2022</v>
      </c>
      <c r="H122" s="5">
        <v>20409318135</v>
      </c>
      <c r="I122" s="5" t="s">
        <v>130</v>
      </c>
      <c r="J122" s="5" t="s">
        <v>157</v>
      </c>
      <c r="K122" s="8">
        <v>8693.5499999999993</v>
      </c>
      <c r="L122" s="8">
        <v>8650</v>
      </c>
      <c r="M122" s="8">
        <v>8650</v>
      </c>
      <c r="N122" s="5" t="s">
        <v>42</v>
      </c>
      <c r="O122" s="8">
        <v>8650</v>
      </c>
      <c r="P122" s="5" t="s">
        <v>42</v>
      </c>
      <c r="Q122" s="8">
        <v>6401</v>
      </c>
      <c r="R122" s="9">
        <v>0.74</v>
      </c>
      <c r="S122" s="9">
        <v>0.74</v>
      </c>
      <c r="T122" s="5" t="s">
        <v>43</v>
      </c>
      <c r="U122" s="5" t="s">
        <v>44</v>
      </c>
      <c r="V122" s="5" t="s">
        <v>40</v>
      </c>
      <c r="W122" s="5" t="s">
        <v>45</v>
      </c>
      <c r="X122" s="5" t="s">
        <v>40</v>
      </c>
      <c r="Y122" s="5" t="s">
        <v>158</v>
      </c>
      <c r="Z122" s="5" t="s">
        <v>396</v>
      </c>
      <c r="AA122" s="5" t="s">
        <v>397</v>
      </c>
      <c r="AB122" s="5" t="s">
        <v>397</v>
      </c>
      <c r="AC122" s="5" t="s">
        <v>397</v>
      </c>
      <c r="AD122" s="5" t="s">
        <v>397</v>
      </c>
      <c r="AE122" s="5" t="s">
        <v>397</v>
      </c>
      <c r="AF122" s="5" t="s">
        <v>49</v>
      </c>
      <c r="AG122" s="5" t="s">
        <v>49</v>
      </c>
      <c r="AH122" s="5" t="s">
        <v>49</v>
      </c>
      <c r="AI122" s="5" t="s">
        <v>50</v>
      </c>
    </row>
    <row r="123" spans="1:35" x14ac:dyDescent="0.3">
      <c r="A123" s="4">
        <v>713909000</v>
      </c>
      <c r="B123" s="5" t="s">
        <v>37</v>
      </c>
      <c r="C123" s="5" t="s">
        <v>38</v>
      </c>
      <c r="D123" s="5" t="s">
        <v>427</v>
      </c>
      <c r="E123" s="7">
        <v>44749</v>
      </c>
      <c r="F123" s="24">
        <f t="shared" si="2"/>
        <v>7</v>
      </c>
      <c r="G123" s="24">
        <f t="shared" si="3"/>
        <v>2022</v>
      </c>
      <c r="H123" s="5">
        <v>20409318135</v>
      </c>
      <c r="I123" s="5" t="s">
        <v>130</v>
      </c>
      <c r="J123" s="5" t="s">
        <v>257</v>
      </c>
      <c r="K123" s="8">
        <v>4018.54</v>
      </c>
      <c r="L123" s="8">
        <v>4000</v>
      </c>
      <c r="M123" s="8">
        <v>4000</v>
      </c>
      <c r="N123" s="5" t="s">
        <v>42</v>
      </c>
      <c r="O123" s="8">
        <v>4000</v>
      </c>
      <c r="P123" s="5" t="s">
        <v>42</v>
      </c>
      <c r="Q123" s="8">
        <v>2960</v>
      </c>
      <c r="R123" s="9">
        <v>0.74</v>
      </c>
      <c r="S123" s="9">
        <v>0.74</v>
      </c>
      <c r="T123" s="5" t="s">
        <v>43</v>
      </c>
      <c r="U123" s="5" t="s">
        <v>44</v>
      </c>
      <c r="V123" s="5" t="s">
        <v>40</v>
      </c>
      <c r="W123" s="5" t="s">
        <v>45</v>
      </c>
      <c r="X123" s="5" t="s">
        <v>40</v>
      </c>
      <c r="Y123" s="5" t="s">
        <v>158</v>
      </c>
      <c r="Z123" s="5" t="s">
        <v>396</v>
      </c>
      <c r="AA123" s="5" t="s">
        <v>397</v>
      </c>
      <c r="AB123" s="5" t="s">
        <v>397</v>
      </c>
      <c r="AC123" s="5" t="s">
        <v>397</v>
      </c>
      <c r="AD123" s="5" t="s">
        <v>397</v>
      </c>
      <c r="AE123" s="5" t="s">
        <v>397</v>
      </c>
      <c r="AF123" s="5" t="s">
        <v>49</v>
      </c>
      <c r="AG123" s="5" t="s">
        <v>49</v>
      </c>
      <c r="AH123" s="5" t="s">
        <v>49</v>
      </c>
      <c r="AI123" s="5" t="s">
        <v>50</v>
      </c>
    </row>
    <row r="124" spans="1:35" x14ac:dyDescent="0.3">
      <c r="A124" s="4">
        <v>713909000</v>
      </c>
      <c r="B124" s="5" t="s">
        <v>37</v>
      </c>
      <c r="C124" s="5" t="s">
        <v>38</v>
      </c>
      <c r="D124" s="5" t="s">
        <v>428</v>
      </c>
      <c r="E124" s="7">
        <v>44746</v>
      </c>
      <c r="F124" s="24">
        <f t="shared" si="2"/>
        <v>7</v>
      </c>
      <c r="G124" s="24">
        <f t="shared" si="3"/>
        <v>2022</v>
      </c>
      <c r="H124" s="5">
        <v>20409318135</v>
      </c>
      <c r="I124" s="5" t="s">
        <v>130</v>
      </c>
      <c r="J124" s="5" t="s">
        <v>257</v>
      </c>
      <c r="K124" s="8">
        <v>9337.14</v>
      </c>
      <c r="L124" s="8">
        <v>9300</v>
      </c>
      <c r="M124" s="8">
        <v>9300</v>
      </c>
      <c r="N124" s="5" t="s">
        <v>42</v>
      </c>
      <c r="O124" s="8">
        <v>9300</v>
      </c>
      <c r="P124" s="5" t="s">
        <v>42</v>
      </c>
      <c r="Q124" s="8">
        <v>6882</v>
      </c>
      <c r="R124" s="9">
        <v>0.74</v>
      </c>
      <c r="S124" s="9">
        <v>0.74</v>
      </c>
      <c r="T124" s="5" t="s">
        <v>43</v>
      </c>
      <c r="U124" s="5" t="s">
        <v>44</v>
      </c>
      <c r="V124" s="5" t="s">
        <v>40</v>
      </c>
      <c r="W124" s="5" t="s">
        <v>45</v>
      </c>
      <c r="X124" s="5" t="s">
        <v>40</v>
      </c>
      <c r="Y124" s="5" t="s">
        <v>158</v>
      </c>
      <c r="Z124" s="5" t="s">
        <v>396</v>
      </c>
      <c r="AA124" s="5" t="s">
        <v>397</v>
      </c>
      <c r="AB124" s="5" t="s">
        <v>397</v>
      </c>
      <c r="AC124" s="5" t="s">
        <v>397</v>
      </c>
      <c r="AD124" s="5" t="s">
        <v>397</v>
      </c>
      <c r="AE124" s="5" t="s">
        <v>397</v>
      </c>
      <c r="AF124" s="5" t="s">
        <v>49</v>
      </c>
      <c r="AG124" s="5" t="s">
        <v>49</v>
      </c>
      <c r="AH124" s="5" t="s">
        <v>49</v>
      </c>
      <c r="AI124" s="5" t="s">
        <v>377</v>
      </c>
    </row>
    <row r="125" spans="1:35" x14ac:dyDescent="0.3">
      <c r="A125" s="4">
        <v>713909000</v>
      </c>
      <c r="B125" s="5" t="s">
        <v>37</v>
      </c>
      <c r="C125" s="5" t="s">
        <v>38</v>
      </c>
      <c r="D125" s="5" t="s">
        <v>429</v>
      </c>
      <c r="E125" s="7">
        <v>44707</v>
      </c>
      <c r="F125" s="24">
        <f t="shared" si="2"/>
        <v>5</v>
      </c>
      <c r="G125" s="24">
        <f t="shared" si="3"/>
        <v>2022</v>
      </c>
      <c r="H125" s="5">
        <v>20409318135</v>
      </c>
      <c r="I125" s="5" t="s">
        <v>130</v>
      </c>
      <c r="J125" s="5" t="s">
        <v>157</v>
      </c>
      <c r="K125" s="8">
        <v>10094.790000000001</v>
      </c>
      <c r="L125" s="8">
        <v>10050</v>
      </c>
      <c r="M125" s="8">
        <v>10050</v>
      </c>
      <c r="N125" s="5" t="s">
        <v>42</v>
      </c>
      <c r="O125" s="8">
        <v>10050</v>
      </c>
      <c r="P125" s="5" t="s">
        <v>42</v>
      </c>
      <c r="Q125" s="8">
        <v>7437</v>
      </c>
      <c r="R125" s="9">
        <v>0.74</v>
      </c>
      <c r="S125" s="9">
        <v>0.74</v>
      </c>
      <c r="T125" s="5" t="s">
        <v>43</v>
      </c>
      <c r="U125" s="5" t="s">
        <v>44</v>
      </c>
      <c r="V125" s="5" t="s">
        <v>40</v>
      </c>
      <c r="W125" s="5" t="s">
        <v>45</v>
      </c>
      <c r="X125" s="5" t="s">
        <v>40</v>
      </c>
      <c r="Y125" s="5" t="s">
        <v>158</v>
      </c>
      <c r="Z125" s="5" t="s">
        <v>396</v>
      </c>
      <c r="AA125" s="5" t="s">
        <v>397</v>
      </c>
      <c r="AB125" s="5" t="s">
        <v>397</v>
      </c>
      <c r="AC125" s="5" t="s">
        <v>397</v>
      </c>
      <c r="AD125" s="5" t="s">
        <v>397</v>
      </c>
      <c r="AE125" s="5" t="s">
        <v>397</v>
      </c>
      <c r="AF125" s="5" t="s">
        <v>49</v>
      </c>
      <c r="AG125" s="5" t="s">
        <v>49</v>
      </c>
      <c r="AH125" s="5" t="s">
        <v>49</v>
      </c>
      <c r="AI125" s="5" t="s">
        <v>50</v>
      </c>
    </row>
    <row r="126" spans="1:35" x14ac:dyDescent="0.3">
      <c r="A126" s="4">
        <v>713909000</v>
      </c>
      <c r="B126" s="5" t="s">
        <v>37</v>
      </c>
      <c r="C126" s="5" t="s">
        <v>38</v>
      </c>
      <c r="D126" s="5" t="s">
        <v>430</v>
      </c>
      <c r="E126" s="7">
        <v>44714</v>
      </c>
      <c r="F126" s="24">
        <f t="shared" si="2"/>
        <v>6</v>
      </c>
      <c r="G126" s="24">
        <f t="shared" si="3"/>
        <v>2022</v>
      </c>
      <c r="H126" s="5">
        <v>20409318135</v>
      </c>
      <c r="I126" s="5" t="s">
        <v>130</v>
      </c>
      <c r="J126" s="5" t="s">
        <v>257</v>
      </c>
      <c r="K126" s="8">
        <v>8282.77</v>
      </c>
      <c r="L126" s="8">
        <v>8250</v>
      </c>
      <c r="M126" s="8">
        <v>8250</v>
      </c>
      <c r="N126" s="5" t="s">
        <v>42</v>
      </c>
      <c r="O126" s="8">
        <v>8250</v>
      </c>
      <c r="P126" s="5" t="s">
        <v>42</v>
      </c>
      <c r="Q126" s="8">
        <v>6105</v>
      </c>
      <c r="R126" s="9">
        <v>0.74</v>
      </c>
      <c r="S126" s="9">
        <v>0.74</v>
      </c>
      <c r="T126" s="5" t="s">
        <v>43</v>
      </c>
      <c r="U126" s="5" t="s">
        <v>44</v>
      </c>
      <c r="V126" s="5" t="s">
        <v>40</v>
      </c>
      <c r="W126" s="5" t="s">
        <v>45</v>
      </c>
      <c r="X126" s="5" t="s">
        <v>40</v>
      </c>
      <c r="Y126" s="5" t="s">
        <v>158</v>
      </c>
      <c r="Z126" s="5" t="s">
        <v>396</v>
      </c>
      <c r="AA126" s="5" t="s">
        <v>397</v>
      </c>
      <c r="AB126" s="5" t="s">
        <v>397</v>
      </c>
      <c r="AC126" s="5" t="s">
        <v>397</v>
      </c>
      <c r="AD126" s="5" t="s">
        <v>397</v>
      </c>
      <c r="AE126" s="5" t="s">
        <v>397</v>
      </c>
      <c r="AF126" s="5" t="s">
        <v>49</v>
      </c>
      <c r="AG126" s="5" t="s">
        <v>49</v>
      </c>
      <c r="AH126" s="5" t="s">
        <v>49</v>
      </c>
      <c r="AI126" s="5" t="s">
        <v>50</v>
      </c>
    </row>
    <row r="127" spans="1:35" x14ac:dyDescent="0.3">
      <c r="A127" s="4">
        <v>713909000</v>
      </c>
      <c r="B127" s="5" t="s">
        <v>37</v>
      </c>
      <c r="C127" s="5" t="s">
        <v>38</v>
      </c>
      <c r="D127" s="5" t="s">
        <v>431</v>
      </c>
      <c r="E127" s="7">
        <v>44721</v>
      </c>
      <c r="F127" s="24">
        <f t="shared" si="2"/>
        <v>6</v>
      </c>
      <c r="G127" s="24">
        <f t="shared" si="3"/>
        <v>2022</v>
      </c>
      <c r="H127" s="5">
        <v>20409318135</v>
      </c>
      <c r="I127" s="5" t="s">
        <v>130</v>
      </c>
      <c r="J127" s="5" t="s">
        <v>157</v>
      </c>
      <c r="K127" s="8">
        <v>9294.9699999999993</v>
      </c>
      <c r="L127" s="8">
        <v>9250</v>
      </c>
      <c r="M127" s="8">
        <v>9250</v>
      </c>
      <c r="N127" s="5" t="s">
        <v>42</v>
      </c>
      <c r="O127" s="8">
        <v>9250</v>
      </c>
      <c r="P127" s="5" t="s">
        <v>42</v>
      </c>
      <c r="Q127" s="8">
        <v>6845</v>
      </c>
      <c r="R127" s="9">
        <v>0.74</v>
      </c>
      <c r="S127" s="9">
        <v>0.74</v>
      </c>
      <c r="T127" s="5" t="s">
        <v>43</v>
      </c>
      <c r="U127" s="5" t="s">
        <v>44</v>
      </c>
      <c r="V127" s="5" t="s">
        <v>40</v>
      </c>
      <c r="W127" s="5" t="s">
        <v>45</v>
      </c>
      <c r="X127" s="5" t="s">
        <v>40</v>
      </c>
      <c r="Y127" s="5" t="s">
        <v>158</v>
      </c>
      <c r="Z127" s="5" t="s">
        <v>396</v>
      </c>
      <c r="AA127" s="5" t="s">
        <v>397</v>
      </c>
      <c r="AB127" s="5" t="s">
        <v>397</v>
      </c>
      <c r="AC127" s="5" t="s">
        <v>397</v>
      </c>
      <c r="AD127" s="5" t="s">
        <v>397</v>
      </c>
      <c r="AE127" s="5" t="s">
        <v>397</v>
      </c>
      <c r="AF127" s="5" t="s">
        <v>49</v>
      </c>
      <c r="AG127" s="5" t="s">
        <v>49</v>
      </c>
      <c r="AH127" s="5" t="s">
        <v>49</v>
      </c>
      <c r="AI127" s="5" t="s">
        <v>50</v>
      </c>
    </row>
    <row r="128" spans="1:35" x14ac:dyDescent="0.3">
      <c r="A128" s="4">
        <v>713909000</v>
      </c>
      <c r="B128" s="5" t="s">
        <v>37</v>
      </c>
      <c r="C128" s="5" t="s">
        <v>38</v>
      </c>
      <c r="D128" s="5" t="s">
        <v>432</v>
      </c>
      <c r="E128" s="7">
        <v>44700</v>
      </c>
      <c r="F128" s="24">
        <f t="shared" si="2"/>
        <v>5</v>
      </c>
      <c r="G128" s="24">
        <f t="shared" si="3"/>
        <v>2022</v>
      </c>
      <c r="H128" s="5">
        <v>20409318135</v>
      </c>
      <c r="I128" s="5" t="s">
        <v>130</v>
      </c>
      <c r="J128" s="5" t="s">
        <v>157</v>
      </c>
      <c r="K128" s="8">
        <v>4518.99</v>
      </c>
      <c r="L128" s="8">
        <v>4500</v>
      </c>
      <c r="M128" s="8">
        <v>4500</v>
      </c>
      <c r="N128" s="5" t="s">
        <v>42</v>
      </c>
      <c r="O128" s="8">
        <v>4500</v>
      </c>
      <c r="P128" s="5" t="s">
        <v>42</v>
      </c>
      <c r="Q128" s="8">
        <v>3330</v>
      </c>
      <c r="R128" s="9">
        <v>0.74</v>
      </c>
      <c r="S128" s="9">
        <v>0.74</v>
      </c>
      <c r="T128" s="5" t="s">
        <v>43</v>
      </c>
      <c r="U128" s="5" t="s">
        <v>44</v>
      </c>
      <c r="V128" s="5" t="s">
        <v>40</v>
      </c>
      <c r="W128" s="5" t="s">
        <v>45</v>
      </c>
      <c r="X128" s="5" t="s">
        <v>40</v>
      </c>
      <c r="Y128" s="5" t="s">
        <v>158</v>
      </c>
      <c r="Z128" s="5" t="s">
        <v>396</v>
      </c>
      <c r="AA128" s="5" t="s">
        <v>397</v>
      </c>
      <c r="AB128" s="5" t="s">
        <v>397</v>
      </c>
      <c r="AC128" s="5" t="s">
        <v>397</v>
      </c>
      <c r="AD128" s="5" t="s">
        <v>397</v>
      </c>
      <c r="AE128" s="5" t="s">
        <v>397</v>
      </c>
      <c r="AF128" s="5" t="s">
        <v>49</v>
      </c>
      <c r="AG128" s="5" t="s">
        <v>49</v>
      </c>
      <c r="AH128" s="5" t="s">
        <v>49</v>
      </c>
      <c r="AI128" s="5" t="s">
        <v>50</v>
      </c>
    </row>
    <row r="129" spans="1:35" x14ac:dyDescent="0.3">
      <c r="A129" s="4">
        <v>713909000</v>
      </c>
      <c r="B129" s="5" t="s">
        <v>37</v>
      </c>
      <c r="C129" s="5" t="s">
        <v>38</v>
      </c>
      <c r="D129" s="5" t="s">
        <v>433</v>
      </c>
      <c r="E129" s="7">
        <v>44693</v>
      </c>
      <c r="F129" s="24">
        <f t="shared" si="2"/>
        <v>5</v>
      </c>
      <c r="G129" s="24">
        <f t="shared" si="3"/>
        <v>2022</v>
      </c>
      <c r="H129" s="5">
        <v>20409318135</v>
      </c>
      <c r="I129" s="5" t="s">
        <v>130</v>
      </c>
      <c r="J129" s="5" t="s">
        <v>257</v>
      </c>
      <c r="K129" s="8">
        <v>5023.83</v>
      </c>
      <c r="L129" s="8">
        <v>5000</v>
      </c>
      <c r="M129" s="8">
        <v>5000</v>
      </c>
      <c r="N129" s="5" t="s">
        <v>42</v>
      </c>
      <c r="O129" s="8">
        <v>5000</v>
      </c>
      <c r="P129" s="5" t="s">
        <v>42</v>
      </c>
      <c r="Q129" s="8">
        <v>3700</v>
      </c>
      <c r="R129" s="9">
        <v>0.74</v>
      </c>
      <c r="S129" s="9">
        <v>0.74</v>
      </c>
      <c r="T129" s="5" t="s">
        <v>43</v>
      </c>
      <c r="U129" s="5" t="s">
        <v>44</v>
      </c>
      <c r="V129" s="5" t="s">
        <v>40</v>
      </c>
      <c r="W129" s="5" t="s">
        <v>45</v>
      </c>
      <c r="X129" s="5" t="s">
        <v>40</v>
      </c>
      <c r="Y129" s="5" t="s">
        <v>158</v>
      </c>
      <c r="Z129" s="5" t="s">
        <v>396</v>
      </c>
      <c r="AA129" s="5" t="s">
        <v>397</v>
      </c>
      <c r="AB129" s="5" t="s">
        <v>397</v>
      </c>
      <c r="AC129" s="5" t="s">
        <v>397</v>
      </c>
      <c r="AD129" s="5" t="s">
        <v>397</v>
      </c>
      <c r="AE129" s="5" t="s">
        <v>397</v>
      </c>
      <c r="AF129" s="5" t="s">
        <v>49</v>
      </c>
      <c r="AG129" s="5" t="s">
        <v>49</v>
      </c>
      <c r="AH129" s="5" t="s">
        <v>49</v>
      </c>
      <c r="AI129" s="5" t="s">
        <v>377</v>
      </c>
    </row>
    <row r="130" spans="1:35" x14ac:dyDescent="0.3">
      <c r="A130" s="4">
        <v>713909000</v>
      </c>
      <c r="B130" s="5" t="s">
        <v>37</v>
      </c>
      <c r="C130" s="5" t="s">
        <v>38</v>
      </c>
      <c r="D130" s="5" t="s">
        <v>434</v>
      </c>
      <c r="E130" s="7">
        <v>44679</v>
      </c>
      <c r="F130" s="24">
        <f t="shared" si="2"/>
        <v>4</v>
      </c>
      <c r="G130" s="24">
        <f t="shared" si="3"/>
        <v>2022</v>
      </c>
      <c r="H130" s="5">
        <v>20409318135</v>
      </c>
      <c r="I130" s="5" t="s">
        <v>130</v>
      </c>
      <c r="J130" s="5" t="s">
        <v>257</v>
      </c>
      <c r="K130" s="8">
        <v>8538.69</v>
      </c>
      <c r="L130" s="8">
        <v>8500</v>
      </c>
      <c r="M130" s="8">
        <v>8500</v>
      </c>
      <c r="N130" s="5" t="s">
        <v>42</v>
      </c>
      <c r="O130" s="8">
        <v>8500</v>
      </c>
      <c r="P130" s="5" t="s">
        <v>42</v>
      </c>
      <c r="Q130" s="8">
        <v>6290</v>
      </c>
      <c r="R130" s="9">
        <v>0.74</v>
      </c>
      <c r="S130" s="9">
        <v>0.74</v>
      </c>
      <c r="T130" s="5" t="s">
        <v>43</v>
      </c>
      <c r="U130" s="5" t="s">
        <v>44</v>
      </c>
      <c r="V130" s="5" t="s">
        <v>40</v>
      </c>
      <c r="W130" s="5" t="s">
        <v>45</v>
      </c>
      <c r="X130" s="5" t="s">
        <v>40</v>
      </c>
      <c r="Y130" s="5" t="s">
        <v>158</v>
      </c>
      <c r="Z130" s="5" t="s">
        <v>396</v>
      </c>
      <c r="AA130" s="5" t="s">
        <v>397</v>
      </c>
      <c r="AB130" s="5" t="s">
        <v>397</v>
      </c>
      <c r="AC130" s="5" t="s">
        <v>397</v>
      </c>
      <c r="AD130" s="5" t="s">
        <v>397</v>
      </c>
      <c r="AE130" s="5" t="s">
        <v>397</v>
      </c>
      <c r="AF130" s="5" t="s">
        <v>49</v>
      </c>
      <c r="AG130" s="5" t="s">
        <v>49</v>
      </c>
      <c r="AH130" s="5" t="s">
        <v>49</v>
      </c>
      <c r="AI130" s="5" t="s">
        <v>50</v>
      </c>
    </row>
    <row r="131" spans="1:35" x14ac:dyDescent="0.3">
      <c r="A131" s="4">
        <v>713909000</v>
      </c>
      <c r="B131" s="5" t="s">
        <v>37</v>
      </c>
      <c r="C131" s="5" t="s">
        <v>63</v>
      </c>
      <c r="D131" s="5" t="s">
        <v>435</v>
      </c>
      <c r="E131" s="7">
        <v>45105</v>
      </c>
      <c r="F131" s="24">
        <f t="shared" si="2"/>
        <v>6</v>
      </c>
      <c r="G131" s="24">
        <f t="shared" si="3"/>
        <v>2023</v>
      </c>
      <c r="H131" s="5">
        <v>20565443993</v>
      </c>
      <c r="I131" s="5" t="s">
        <v>143</v>
      </c>
      <c r="J131" s="5" t="s">
        <v>144</v>
      </c>
      <c r="K131" s="8">
        <v>741.82</v>
      </c>
      <c r="L131" s="8">
        <v>715.05</v>
      </c>
      <c r="M131" s="8">
        <v>715.05</v>
      </c>
      <c r="N131" s="5" t="s">
        <v>42</v>
      </c>
      <c r="O131" s="8">
        <v>100</v>
      </c>
      <c r="P131" s="5" t="s">
        <v>67</v>
      </c>
      <c r="Q131" s="8">
        <v>4257</v>
      </c>
      <c r="R131" s="9">
        <v>5.9530000000000003</v>
      </c>
      <c r="S131" s="9">
        <v>42.57</v>
      </c>
      <c r="T131" s="5" t="s">
        <v>68</v>
      </c>
      <c r="U131" s="5" t="s">
        <v>69</v>
      </c>
      <c r="V131" s="5" t="s">
        <v>40</v>
      </c>
      <c r="W131" s="5" t="s">
        <v>70</v>
      </c>
      <c r="X131" s="5" t="s">
        <v>71</v>
      </c>
      <c r="Y131" s="5" t="s">
        <v>72</v>
      </c>
      <c r="Z131" s="5" t="s">
        <v>436</v>
      </c>
      <c r="AA131" s="5" t="s">
        <v>437</v>
      </c>
      <c r="AB131" s="5" t="s">
        <v>437</v>
      </c>
      <c r="AC131" s="5" t="s">
        <v>437</v>
      </c>
      <c r="AD131" s="5" t="s">
        <v>437</v>
      </c>
      <c r="AE131" s="5" t="s">
        <v>437</v>
      </c>
      <c r="AF131" s="5" t="s">
        <v>75</v>
      </c>
      <c r="AG131" s="5" t="s">
        <v>76</v>
      </c>
      <c r="AH131" s="5" t="s">
        <v>76</v>
      </c>
      <c r="AI131" s="5" t="s">
        <v>50</v>
      </c>
    </row>
    <row r="132" spans="1:35" x14ac:dyDescent="0.3">
      <c r="A132" s="4">
        <v>713909000</v>
      </c>
      <c r="B132" s="5" t="s">
        <v>37</v>
      </c>
      <c r="C132" s="5" t="s">
        <v>38</v>
      </c>
      <c r="D132" s="5" t="s">
        <v>438</v>
      </c>
      <c r="E132" s="7">
        <v>44665</v>
      </c>
      <c r="F132" s="24">
        <f t="shared" si="2"/>
        <v>4</v>
      </c>
      <c r="G132" s="24">
        <f t="shared" si="3"/>
        <v>2022</v>
      </c>
      <c r="H132" s="5">
        <v>20409318135</v>
      </c>
      <c r="I132" s="5" t="s">
        <v>130</v>
      </c>
      <c r="J132" s="5" t="s">
        <v>421</v>
      </c>
      <c r="K132" s="8">
        <v>6669.1</v>
      </c>
      <c r="L132" s="8">
        <v>6650</v>
      </c>
      <c r="M132" s="8">
        <v>6650</v>
      </c>
      <c r="N132" s="5" t="s">
        <v>42</v>
      </c>
      <c r="O132" s="8">
        <v>6650</v>
      </c>
      <c r="P132" s="5" t="s">
        <v>42</v>
      </c>
      <c r="Q132" s="8">
        <v>5320</v>
      </c>
      <c r="R132" s="9">
        <v>0.8</v>
      </c>
      <c r="S132" s="9">
        <v>0.8</v>
      </c>
      <c r="T132" s="5" t="s">
        <v>43</v>
      </c>
      <c r="U132" s="5" t="s">
        <v>44</v>
      </c>
      <c r="V132" s="5" t="s">
        <v>40</v>
      </c>
      <c r="W132" s="5" t="s">
        <v>45</v>
      </c>
      <c r="X132" s="5" t="s">
        <v>40</v>
      </c>
      <c r="Y132" s="5" t="s">
        <v>439</v>
      </c>
      <c r="Z132" s="5" t="s">
        <v>440</v>
      </c>
      <c r="AA132" s="5" t="s">
        <v>441</v>
      </c>
      <c r="AB132" s="5" t="s">
        <v>441</v>
      </c>
      <c r="AC132" s="5" t="s">
        <v>441</v>
      </c>
      <c r="AD132" s="5" t="s">
        <v>441</v>
      </c>
      <c r="AE132" s="5" t="s">
        <v>441</v>
      </c>
      <c r="AF132" s="5" t="s">
        <v>49</v>
      </c>
      <c r="AG132" s="5" t="s">
        <v>49</v>
      </c>
      <c r="AH132" s="5" t="s">
        <v>49</v>
      </c>
      <c r="AI132" s="5" t="s">
        <v>50</v>
      </c>
    </row>
    <row r="133" spans="1:35" x14ac:dyDescent="0.3">
      <c r="A133" s="4">
        <v>713909000</v>
      </c>
      <c r="B133" s="5" t="s">
        <v>37</v>
      </c>
      <c r="C133" s="5" t="s">
        <v>38</v>
      </c>
      <c r="D133" s="5" t="s">
        <v>442</v>
      </c>
      <c r="E133" s="7">
        <v>44644</v>
      </c>
      <c r="F133" s="24">
        <f t="shared" si="2"/>
        <v>3</v>
      </c>
      <c r="G133" s="24">
        <f t="shared" si="3"/>
        <v>2022</v>
      </c>
      <c r="H133" s="5">
        <v>20409318135</v>
      </c>
      <c r="I133" s="5" t="s">
        <v>130</v>
      </c>
      <c r="J133" s="5" t="s">
        <v>41</v>
      </c>
      <c r="K133" s="8">
        <v>4008.69</v>
      </c>
      <c r="L133" s="8">
        <v>4000</v>
      </c>
      <c r="M133" s="8">
        <v>4000</v>
      </c>
      <c r="N133" s="5" t="s">
        <v>42</v>
      </c>
      <c r="O133" s="8">
        <v>4000</v>
      </c>
      <c r="P133" s="5" t="s">
        <v>42</v>
      </c>
      <c r="Q133" s="8">
        <v>3200</v>
      </c>
      <c r="R133" s="9">
        <v>0.8</v>
      </c>
      <c r="S133" s="9">
        <v>0.8</v>
      </c>
      <c r="T133" s="5" t="s">
        <v>43</v>
      </c>
      <c r="U133" s="5" t="s">
        <v>44</v>
      </c>
      <c r="V133" s="5" t="s">
        <v>40</v>
      </c>
      <c r="W133" s="5" t="s">
        <v>45</v>
      </c>
      <c r="X133" s="5" t="s">
        <v>40</v>
      </c>
      <c r="Y133" s="5" t="s">
        <v>439</v>
      </c>
      <c r="Z133" s="5" t="s">
        <v>440</v>
      </c>
      <c r="AA133" s="5" t="s">
        <v>441</v>
      </c>
      <c r="AB133" s="5" t="s">
        <v>441</v>
      </c>
      <c r="AC133" s="5" t="s">
        <v>441</v>
      </c>
      <c r="AD133" s="5" t="s">
        <v>441</v>
      </c>
      <c r="AE133" s="5" t="s">
        <v>441</v>
      </c>
      <c r="AF133" s="5" t="s">
        <v>49</v>
      </c>
      <c r="AG133" s="5" t="s">
        <v>49</v>
      </c>
      <c r="AH133" s="5" t="s">
        <v>49</v>
      </c>
      <c r="AI133" s="5" t="s">
        <v>50</v>
      </c>
    </row>
    <row r="134" spans="1:35" x14ac:dyDescent="0.3">
      <c r="A134" s="4">
        <v>713909000</v>
      </c>
      <c r="B134" s="5" t="s">
        <v>37</v>
      </c>
      <c r="C134" s="5" t="s">
        <v>38</v>
      </c>
      <c r="D134" s="5" t="s">
        <v>443</v>
      </c>
      <c r="E134" s="7">
        <v>44637</v>
      </c>
      <c r="F134" s="24">
        <f t="shared" si="2"/>
        <v>3</v>
      </c>
      <c r="G134" s="24">
        <f t="shared" si="3"/>
        <v>2022</v>
      </c>
      <c r="H134" s="5">
        <v>20409318135</v>
      </c>
      <c r="I134" s="5" t="s">
        <v>130</v>
      </c>
      <c r="J134" s="5" t="s">
        <v>41</v>
      </c>
      <c r="K134" s="8">
        <v>7963.79</v>
      </c>
      <c r="L134" s="8">
        <v>7950</v>
      </c>
      <c r="M134" s="8">
        <v>7950</v>
      </c>
      <c r="N134" s="5" t="s">
        <v>42</v>
      </c>
      <c r="O134" s="8">
        <v>7950</v>
      </c>
      <c r="P134" s="5" t="s">
        <v>42</v>
      </c>
      <c r="Q134" s="8">
        <v>6360</v>
      </c>
      <c r="R134" s="9">
        <v>0.8</v>
      </c>
      <c r="S134" s="9">
        <v>0.8</v>
      </c>
      <c r="T134" s="5" t="s">
        <v>43</v>
      </c>
      <c r="U134" s="5" t="s">
        <v>44</v>
      </c>
      <c r="V134" s="5" t="s">
        <v>40</v>
      </c>
      <c r="W134" s="5" t="s">
        <v>45</v>
      </c>
      <c r="X134" s="5" t="s">
        <v>40</v>
      </c>
      <c r="Y134" s="5" t="s">
        <v>439</v>
      </c>
      <c r="Z134" s="5" t="s">
        <v>440</v>
      </c>
      <c r="AA134" s="5" t="s">
        <v>441</v>
      </c>
      <c r="AB134" s="5" t="s">
        <v>441</v>
      </c>
      <c r="AC134" s="5" t="s">
        <v>441</v>
      </c>
      <c r="AD134" s="5" t="s">
        <v>441</v>
      </c>
      <c r="AE134" s="5" t="s">
        <v>441</v>
      </c>
      <c r="AF134" s="5" t="s">
        <v>49</v>
      </c>
      <c r="AG134" s="5" t="s">
        <v>49</v>
      </c>
      <c r="AH134" s="5" t="s">
        <v>49</v>
      </c>
      <c r="AI134" s="5" t="s">
        <v>50</v>
      </c>
    </row>
    <row r="135" spans="1:35" x14ac:dyDescent="0.3">
      <c r="A135" s="4">
        <v>713909000</v>
      </c>
      <c r="B135" s="5" t="s">
        <v>37</v>
      </c>
      <c r="C135" s="5" t="s">
        <v>63</v>
      </c>
      <c r="D135" s="5" t="s">
        <v>444</v>
      </c>
      <c r="E135" s="7">
        <v>44727</v>
      </c>
      <c r="F135" s="24">
        <f t="shared" si="2"/>
        <v>6</v>
      </c>
      <c r="G135" s="24">
        <f t="shared" si="3"/>
        <v>2022</v>
      </c>
      <c r="H135" s="5">
        <v>20544535669</v>
      </c>
      <c r="I135" s="5" t="s">
        <v>195</v>
      </c>
      <c r="J135" s="5" t="s">
        <v>196</v>
      </c>
      <c r="K135" s="8">
        <v>2271.2399999999998</v>
      </c>
      <c r="L135" s="8">
        <v>2157.6799999999998</v>
      </c>
      <c r="M135" s="8">
        <v>2157.6799999999998</v>
      </c>
      <c r="N135" s="5" t="s">
        <v>42</v>
      </c>
      <c r="O135" s="8">
        <v>122</v>
      </c>
      <c r="P135" s="5" t="s">
        <v>67</v>
      </c>
      <c r="Q135" s="8">
        <v>4148</v>
      </c>
      <c r="R135" s="9">
        <v>1.9219999999999999</v>
      </c>
      <c r="S135" s="9">
        <v>34</v>
      </c>
      <c r="T135" s="5" t="s">
        <v>197</v>
      </c>
      <c r="U135" s="5" t="s">
        <v>116</v>
      </c>
      <c r="V135" s="5" t="s">
        <v>40</v>
      </c>
      <c r="W135" s="5" t="s">
        <v>70</v>
      </c>
      <c r="X135" s="5" t="s">
        <v>117</v>
      </c>
      <c r="Y135" s="5" t="s">
        <v>198</v>
      </c>
      <c r="Z135" s="5" t="s">
        <v>328</v>
      </c>
      <c r="AA135" s="5" t="s">
        <v>329</v>
      </c>
      <c r="AB135" s="5" t="s">
        <v>329</v>
      </c>
      <c r="AC135" s="5" t="s">
        <v>329</v>
      </c>
      <c r="AD135" s="5" t="s">
        <v>329</v>
      </c>
      <c r="AE135" s="5" t="s">
        <v>329</v>
      </c>
      <c r="AF135" s="5" t="s">
        <v>112</v>
      </c>
      <c r="AG135" s="5" t="s">
        <v>76</v>
      </c>
      <c r="AH135" s="5" t="s">
        <v>76</v>
      </c>
      <c r="AI135" s="5" t="s">
        <v>50</v>
      </c>
    </row>
    <row r="136" spans="1:35" x14ac:dyDescent="0.3">
      <c r="A136" s="4">
        <v>713909000</v>
      </c>
      <c r="B136" s="5" t="s">
        <v>37</v>
      </c>
      <c r="C136" s="5" t="s">
        <v>38</v>
      </c>
      <c r="D136" s="5" t="s">
        <v>445</v>
      </c>
      <c r="E136" s="7">
        <v>44658</v>
      </c>
      <c r="F136" s="24">
        <f t="shared" ref="F136:F199" si="4">MONTH(E136)</f>
        <v>4</v>
      </c>
      <c r="G136" s="24">
        <f t="shared" ref="G136:G199" si="5">YEAR(E136)</f>
        <v>2022</v>
      </c>
      <c r="H136" s="5">
        <v>20409318135</v>
      </c>
      <c r="I136" s="5" t="s">
        <v>130</v>
      </c>
      <c r="J136" s="5" t="s">
        <v>41</v>
      </c>
      <c r="K136" s="8">
        <v>3861.95</v>
      </c>
      <c r="L136" s="8">
        <v>3850</v>
      </c>
      <c r="M136" s="8">
        <v>3850</v>
      </c>
      <c r="N136" s="5" t="s">
        <v>42</v>
      </c>
      <c r="O136" s="8">
        <v>3850</v>
      </c>
      <c r="P136" s="5" t="s">
        <v>42</v>
      </c>
      <c r="Q136" s="8">
        <v>3080</v>
      </c>
      <c r="R136" s="9">
        <v>0.8</v>
      </c>
      <c r="S136" s="9">
        <v>0.8</v>
      </c>
      <c r="T136" s="5" t="s">
        <v>43</v>
      </c>
      <c r="U136" s="5" t="s">
        <v>44</v>
      </c>
      <c r="V136" s="5" t="s">
        <v>40</v>
      </c>
      <c r="W136" s="5" t="s">
        <v>45</v>
      </c>
      <c r="X136" s="5" t="s">
        <v>40</v>
      </c>
      <c r="Y136" s="5" t="s">
        <v>439</v>
      </c>
      <c r="Z136" s="5" t="s">
        <v>440</v>
      </c>
      <c r="AA136" s="5" t="s">
        <v>441</v>
      </c>
      <c r="AB136" s="5" t="s">
        <v>441</v>
      </c>
      <c r="AC136" s="5" t="s">
        <v>441</v>
      </c>
      <c r="AD136" s="5" t="s">
        <v>441</v>
      </c>
      <c r="AE136" s="5" t="s">
        <v>441</v>
      </c>
      <c r="AF136" s="5" t="s">
        <v>49</v>
      </c>
      <c r="AG136" s="5" t="s">
        <v>49</v>
      </c>
      <c r="AH136" s="5" t="s">
        <v>49</v>
      </c>
      <c r="AI136" s="5" t="s">
        <v>50</v>
      </c>
    </row>
    <row r="137" spans="1:35" x14ac:dyDescent="0.3">
      <c r="A137" s="4">
        <v>713909000</v>
      </c>
      <c r="B137" s="5" t="s">
        <v>37</v>
      </c>
      <c r="C137" s="5" t="s">
        <v>38</v>
      </c>
      <c r="D137" s="5" t="s">
        <v>446</v>
      </c>
      <c r="E137" s="7">
        <v>44623</v>
      </c>
      <c r="F137" s="24">
        <f t="shared" si="4"/>
        <v>3</v>
      </c>
      <c r="G137" s="24">
        <f t="shared" si="5"/>
        <v>2022</v>
      </c>
      <c r="H137" s="5">
        <v>20409318135</v>
      </c>
      <c r="I137" s="5" t="s">
        <v>130</v>
      </c>
      <c r="J137" s="5" t="s">
        <v>41</v>
      </c>
      <c r="K137" s="8">
        <v>4508.97</v>
      </c>
      <c r="L137" s="8">
        <v>4500</v>
      </c>
      <c r="M137" s="8">
        <v>4500</v>
      </c>
      <c r="N137" s="5" t="s">
        <v>42</v>
      </c>
      <c r="O137" s="8">
        <v>4500</v>
      </c>
      <c r="P137" s="5" t="s">
        <v>42</v>
      </c>
      <c r="Q137" s="8">
        <v>3600</v>
      </c>
      <c r="R137" s="9">
        <v>0.8</v>
      </c>
      <c r="S137" s="9">
        <v>0.8</v>
      </c>
      <c r="T137" s="5" t="s">
        <v>43</v>
      </c>
      <c r="U137" s="5" t="s">
        <v>44</v>
      </c>
      <c r="V137" s="5" t="s">
        <v>40</v>
      </c>
      <c r="W137" s="5" t="s">
        <v>45</v>
      </c>
      <c r="X137" s="5" t="s">
        <v>40</v>
      </c>
      <c r="Y137" s="5" t="s">
        <v>439</v>
      </c>
      <c r="Z137" s="5" t="s">
        <v>440</v>
      </c>
      <c r="AA137" s="5" t="s">
        <v>441</v>
      </c>
      <c r="AB137" s="5" t="s">
        <v>441</v>
      </c>
      <c r="AC137" s="5" t="s">
        <v>441</v>
      </c>
      <c r="AD137" s="5" t="s">
        <v>441</v>
      </c>
      <c r="AE137" s="5" t="s">
        <v>441</v>
      </c>
      <c r="AF137" s="5" t="s">
        <v>49</v>
      </c>
      <c r="AG137" s="5" t="s">
        <v>49</v>
      </c>
      <c r="AH137" s="5" t="s">
        <v>49</v>
      </c>
      <c r="AI137" s="5" t="s">
        <v>50</v>
      </c>
    </row>
    <row r="138" spans="1:35" x14ac:dyDescent="0.3">
      <c r="A138" s="4">
        <v>713909000</v>
      </c>
      <c r="B138" s="5" t="s">
        <v>37</v>
      </c>
      <c r="C138" s="5" t="s">
        <v>63</v>
      </c>
      <c r="D138" s="5" t="s">
        <v>447</v>
      </c>
      <c r="E138" s="7">
        <v>45134</v>
      </c>
      <c r="F138" s="24">
        <f t="shared" si="4"/>
        <v>7</v>
      </c>
      <c r="G138" s="24">
        <f t="shared" si="5"/>
        <v>2023</v>
      </c>
      <c r="H138" s="5">
        <v>20392854445</v>
      </c>
      <c r="I138" s="5" t="s">
        <v>448</v>
      </c>
      <c r="J138" s="5" t="s">
        <v>449</v>
      </c>
      <c r="K138" s="8">
        <v>298.58</v>
      </c>
      <c r="L138" s="8">
        <v>297</v>
      </c>
      <c r="M138" s="8">
        <v>297</v>
      </c>
      <c r="N138" s="5" t="s">
        <v>42</v>
      </c>
      <c r="O138" s="8">
        <v>33</v>
      </c>
      <c r="P138" s="5" t="s">
        <v>67</v>
      </c>
      <c r="Q138" s="8">
        <v>523</v>
      </c>
      <c r="R138" s="9">
        <v>1.76</v>
      </c>
      <c r="S138" s="9">
        <v>15.848000000000001</v>
      </c>
      <c r="T138" s="5" t="s">
        <v>197</v>
      </c>
      <c r="U138" s="5" t="s">
        <v>247</v>
      </c>
      <c r="V138" s="5" t="s">
        <v>40</v>
      </c>
      <c r="W138" s="5" t="s">
        <v>70</v>
      </c>
      <c r="X138" s="5" t="s">
        <v>248</v>
      </c>
      <c r="Y138" s="5" t="s">
        <v>450</v>
      </c>
      <c r="Z138" s="5" t="s">
        <v>451</v>
      </c>
      <c r="AA138" s="5" t="s">
        <v>452</v>
      </c>
      <c r="AB138" s="5" t="s">
        <v>452</v>
      </c>
      <c r="AC138" s="5" t="s">
        <v>452</v>
      </c>
      <c r="AD138" s="5" t="s">
        <v>452</v>
      </c>
      <c r="AE138" s="5" t="s">
        <v>452</v>
      </c>
      <c r="AF138" s="5" t="s">
        <v>252</v>
      </c>
      <c r="AG138" s="5" t="s">
        <v>76</v>
      </c>
      <c r="AH138" s="5" t="s">
        <v>76</v>
      </c>
      <c r="AI138" s="5" t="s">
        <v>50</v>
      </c>
    </row>
    <row r="139" spans="1:35" x14ac:dyDescent="0.3">
      <c r="A139" s="4">
        <v>713909000</v>
      </c>
      <c r="B139" s="5" t="s">
        <v>37</v>
      </c>
      <c r="C139" s="5" t="s">
        <v>63</v>
      </c>
      <c r="D139" s="5" t="s">
        <v>453</v>
      </c>
      <c r="E139" s="7">
        <v>45475</v>
      </c>
      <c r="F139" s="24">
        <f t="shared" si="4"/>
        <v>7</v>
      </c>
      <c r="G139" s="24">
        <f t="shared" si="5"/>
        <v>2024</v>
      </c>
      <c r="H139" s="5">
        <v>20565443993</v>
      </c>
      <c r="I139" s="5" t="s">
        <v>143</v>
      </c>
      <c r="J139" s="5" t="s">
        <v>454</v>
      </c>
      <c r="K139" s="8">
        <v>1279.04</v>
      </c>
      <c r="L139" s="8">
        <v>1201.28</v>
      </c>
      <c r="M139" s="8">
        <v>1201.28</v>
      </c>
      <c r="N139" s="5" t="s">
        <v>42</v>
      </c>
      <c r="O139" s="8">
        <v>168</v>
      </c>
      <c r="P139" s="5" t="s">
        <v>67</v>
      </c>
      <c r="Q139" s="8">
        <v>4721.6400000000003</v>
      </c>
      <c r="R139" s="9">
        <v>3.93</v>
      </c>
      <c r="S139" s="9">
        <v>28.105</v>
      </c>
      <c r="T139" s="5" t="s">
        <v>68</v>
      </c>
      <c r="U139" s="5" t="s">
        <v>69</v>
      </c>
      <c r="V139" s="5" t="s">
        <v>40</v>
      </c>
      <c r="W139" s="5" t="s">
        <v>70</v>
      </c>
      <c r="X139" s="5" t="s">
        <v>71</v>
      </c>
      <c r="Y139" s="5" t="s">
        <v>72</v>
      </c>
      <c r="Z139" s="5" t="s">
        <v>436</v>
      </c>
      <c r="AA139" s="5" t="s">
        <v>437</v>
      </c>
      <c r="AB139" s="5" t="s">
        <v>437</v>
      </c>
      <c r="AC139" s="5" t="s">
        <v>437</v>
      </c>
      <c r="AD139" s="5" t="s">
        <v>437</v>
      </c>
      <c r="AE139" s="5" t="s">
        <v>437</v>
      </c>
      <c r="AF139" s="5" t="s">
        <v>75</v>
      </c>
      <c r="AG139" s="5" t="s">
        <v>76</v>
      </c>
      <c r="AH139" s="5" t="s">
        <v>76</v>
      </c>
      <c r="AI139" s="5" t="s">
        <v>50</v>
      </c>
    </row>
    <row r="140" spans="1:35" x14ac:dyDescent="0.3">
      <c r="A140" s="4">
        <v>713909000</v>
      </c>
      <c r="B140" s="5" t="s">
        <v>37</v>
      </c>
      <c r="C140" s="5" t="s">
        <v>63</v>
      </c>
      <c r="D140" s="5" t="s">
        <v>455</v>
      </c>
      <c r="E140" s="7">
        <v>45134</v>
      </c>
      <c r="F140" s="24">
        <f t="shared" si="4"/>
        <v>7</v>
      </c>
      <c r="G140" s="24">
        <f t="shared" si="5"/>
        <v>2023</v>
      </c>
      <c r="H140" s="5">
        <v>20392854445</v>
      </c>
      <c r="I140" s="5" t="s">
        <v>448</v>
      </c>
      <c r="J140" s="5" t="s">
        <v>449</v>
      </c>
      <c r="K140" s="8">
        <v>2.0099999999999998</v>
      </c>
      <c r="L140" s="8">
        <v>2</v>
      </c>
      <c r="M140" s="8">
        <v>2</v>
      </c>
      <c r="N140" s="5" t="s">
        <v>42</v>
      </c>
      <c r="O140" s="8">
        <v>1</v>
      </c>
      <c r="P140" s="5" t="s">
        <v>67</v>
      </c>
      <c r="Q140" s="8">
        <v>3</v>
      </c>
      <c r="R140" s="9">
        <v>1.5</v>
      </c>
      <c r="S140" s="9">
        <v>3</v>
      </c>
      <c r="T140" s="5" t="s">
        <v>197</v>
      </c>
      <c r="U140" s="5" t="s">
        <v>247</v>
      </c>
      <c r="V140" s="5" t="s">
        <v>40</v>
      </c>
      <c r="W140" s="5" t="s">
        <v>70</v>
      </c>
      <c r="X140" s="5" t="s">
        <v>248</v>
      </c>
      <c r="Y140" s="5" t="s">
        <v>450</v>
      </c>
      <c r="Z140" s="5" t="s">
        <v>456</v>
      </c>
      <c r="AA140" s="5" t="s">
        <v>457</v>
      </c>
      <c r="AB140" s="5" t="s">
        <v>457</v>
      </c>
      <c r="AC140" s="5" t="s">
        <v>457</v>
      </c>
      <c r="AD140" s="5" t="s">
        <v>457</v>
      </c>
      <c r="AE140" s="5" t="s">
        <v>457</v>
      </c>
      <c r="AF140" s="5" t="s">
        <v>252</v>
      </c>
      <c r="AG140" s="5" t="s">
        <v>76</v>
      </c>
      <c r="AH140" s="5" t="s">
        <v>76</v>
      </c>
      <c r="AI140" s="5" t="s">
        <v>50</v>
      </c>
    </row>
    <row r="141" spans="1:35" x14ac:dyDescent="0.3">
      <c r="A141" s="4">
        <v>713909000</v>
      </c>
      <c r="B141" s="5" t="s">
        <v>37</v>
      </c>
      <c r="C141" s="5" t="s">
        <v>63</v>
      </c>
      <c r="D141" s="5" t="s">
        <v>458</v>
      </c>
      <c r="E141" s="7">
        <v>44615</v>
      </c>
      <c r="F141" s="24">
        <f t="shared" si="4"/>
        <v>2</v>
      </c>
      <c r="G141" s="24">
        <f t="shared" si="5"/>
        <v>2022</v>
      </c>
      <c r="H141" s="5">
        <v>20544535669</v>
      </c>
      <c r="I141" s="5" t="s">
        <v>195</v>
      </c>
      <c r="J141" s="5" t="s">
        <v>459</v>
      </c>
      <c r="K141" s="8">
        <v>3251.16</v>
      </c>
      <c r="L141" s="8">
        <v>3036</v>
      </c>
      <c r="M141" s="8">
        <v>3036</v>
      </c>
      <c r="N141" s="5" t="s">
        <v>42</v>
      </c>
      <c r="O141" s="8">
        <v>253</v>
      </c>
      <c r="P141" s="5" t="s">
        <v>67</v>
      </c>
      <c r="Q141" s="8">
        <v>8602</v>
      </c>
      <c r="R141" s="9">
        <v>2.8330000000000002</v>
      </c>
      <c r="S141" s="9">
        <v>34</v>
      </c>
      <c r="T141" s="5" t="s">
        <v>197</v>
      </c>
      <c r="U141" s="5" t="s">
        <v>247</v>
      </c>
      <c r="V141" s="5" t="s">
        <v>40</v>
      </c>
      <c r="W141" s="5" t="s">
        <v>70</v>
      </c>
      <c r="X141" s="5" t="s">
        <v>248</v>
      </c>
      <c r="Y141" s="5" t="s">
        <v>198</v>
      </c>
      <c r="Z141" s="5" t="s">
        <v>328</v>
      </c>
      <c r="AA141" s="5" t="s">
        <v>329</v>
      </c>
      <c r="AB141" s="5" t="s">
        <v>329</v>
      </c>
      <c r="AC141" s="5" t="s">
        <v>329</v>
      </c>
      <c r="AD141" s="5" t="s">
        <v>329</v>
      </c>
      <c r="AE141" s="5" t="s">
        <v>329</v>
      </c>
      <c r="AF141" s="5" t="s">
        <v>252</v>
      </c>
      <c r="AG141" s="5" t="s">
        <v>76</v>
      </c>
      <c r="AH141" s="5" t="s">
        <v>76</v>
      </c>
      <c r="AI141" s="5" t="s">
        <v>50</v>
      </c>
    </row>
    <row r="142" spans="1:35" x14ac:dyDescent="0.3">
      <c r="A142" s="4">
        <v>713909000</v>
      </c>
      <c r="B142" s="5" t="s">
        <v>37</v>
      </c>
      <c r="C142" s="5" t="s">
        <v>63</v>
      </c>
      <c r="D142" s="5" t="s">
        <v>460</v>
      </c>
      <c r="E142" s="7">
        <v>45041</v>
      </c>
      <c r="F142" s="24">
        <f t="shared" si="4"/>
        <v>4</v>
      </c>
      <c r="G142" s="24">
        <f t="shared" si="5"/>
        <v>2023</v>
      </c>
      <c r="H142" s="5">
        <v>20565443993</v>
      </c>
      <c r="I142" s="5" t="s">
        <v>143</v>
      </c>
      <c r="J142" s="5" t="s">
        <v>144</v>
      </c>
      <c r="K142" s="8">
        <v>903.23</v>
      </c>
      <c r="L142" s="8">
        <v>868.51</v>
      </c>
      <c r="M142" s="8">
        <v>868.51</v>
      </c>
      <c r="N142" s="5" t="s">
        <v>42</v>
      </c>
      <c r="O142" s="8">
        <v>92</v>
      </c>
      <c r="P142" s="5" t="s">
        <v>67</v>
      </c>
      <c r="Q142" s="8">
        <v>2747</v>
      </c>
      <c r="R142" s="9">
        <v>3.1619999999999999</v>
      </c>
      <c r="S142" s="9">
        <v>29.858000000000001</v>
      </c>
      <c r="T142" s="5" t="s">
        <v>68</v>
      </c>
      <c r="U142" s="5" t="s">
        <v>69</v>
      </c>
      <c r="V142" s="5" t="s">
        <v>40</v>
      </c>
      <c r="W142" s="5" t="s">
        <v>70</v>
      </c>
      <c r="X142" s="5" t="s">
        <v>71</v>
      </c>
      <c r="Y142" s="5" t="s">
        <v>72</v>
      </c>
      <c r="Z142" s="5" t="s">
        <v>461</v>
      </c>
      <c r="AA142" s="5" t="s">
        <v>462</v>
      </c>
      <c r="AB142" s="5" t="s">
        <v>462</v>
      </c>
      <c r="AC142" s="5" t="s">
        <v>462</v>
      </c>
      <c r="AD142" s="5" t="s">
        <v>462</v>
      </c>
      <c r="AE142" s="5" t="s">
        <v>462</v>
      </c>
      <c r="AF142" s="5" t="s">
        <v>75</v>
      </c>
      <c r="AG142" s="5" t="s">
        <v>76</v>
      </c>
      <c r="AH142" s="5" t="s">
        <v>76</v>
      </c>
      <c r="AI142" s="5" t="s">
        <v>50</v>
      </c>
    </row>
    <row r="143" spans="1:35" x14ac:dyDescent="0.3">
      <c r="A143" s="4">
        <v>713909000</v>
      </c>
      <c r="B143" s="5" t="s">
        <v>37</v>
      </c>
      <c r="C143" s="5" t="s">
        <v>38</v>
      </c>
      <c r="D143" s="5" t="s">
        <v>463</v>
      </c>
      <c r="E143" s="7">
        <v>44599</v>
      </c>
      <c r="F143" s="24">
        <f t="shared" si="4"/>
        <v>2</v>
      </c>
      <c r="G143" s="24">
        <f t="shared" si="5"/>
        <v>2022</v>
      </c>
      <c r="H143" s="5">
        <v>20560159731</v>
      </c>
      <c r="I143" s="5" t="s">
        <v>464</v>
      </c>
      <c r="J143" s="5" t="s">
        <v>465</v>
      </c>
      <c r="K143" s="8">
        <v>30070</v>
      </c>
      <c r="L143" s="8">
        <v>29970</v>
      </c>
      <c r="M143" s="8">
        <v>29970</v>
      </c>
      <c r="N143" s="5" t="s">
        <v>42</v>
      </c>
      <c r="O143" s="8">
        <v>666</v>
      </c>
      <c r="P143" s="5" t="s">
        <v>103</v>
      </c>
      <c r="Q143" s="8">
        <v>70596</v>
      </c>
      <c r="R143" s="9">
        <v>2.355</v>
      </c>
      <c r="S143" s="9">
        <v>106</v>
      </c>
      <c r="T143" s="5" t="s">
        <v>43</v>
      </c>
      <c r="U143" s="5" t="s">
        <v>466</v>
      </c>
      <c r="V143" s="5" t="s">
        <v>40</v>
      </c>
      <c r="W143" s="5" t="s">
        <v>45</v>
      </c>
      <c r="X143" s="5" t="s">
        <v>40</v>
      </c>
      <c r="Y143" s="5" t="s">
        <v>439</v>
      </c>
      <c r="Z143" s="5" t="s">
        <v>467</v>
      </c>
      <c r="AA143" s="5" t="s">
        <v>468</v>
      </c>
      <c r="AB143" s="5" t="s">
        <v>468</v>
      </c>
      <c r="AC143" s="5" t="s">
        <v>468</v>
      </c>
      <c r="AD143" s="5" t="s">
        <v>468</v>
      </c>
      <c r="AE143" s="5" t="s">
        <v>468</v>
      </c>
      <c r="AF143" s="5" t="s">
        <v>49</v>
      </c>
      <c r="AG143" s="5" t="s">
        <v>49</v>
      </c>
      <c r="AH143" s="5" t="s">
        <v>49</v>
      </c>
      <c r="AI143" s="5" t="s">
        <v>50</v>
      </c>
    </row>
    <row r="144" spans="1:35" x14ac:dyDescent="0.3">
      <c r="A144" s="4">
        <v>713909000</v>
      </c>
      <c r="B144" s="5" t="s">
        <v>37</v>
      </c>
      <c r="C144" s="5" t="s">
        <v>38</v>
      </c>
      <c r="D144" s="5" t="s">
        <v>469</v>
      </c>
      <c r="E144" s="7">
        <v>44636</v>
      </c>
      <c r="F144" s="24">
        <f t="shared" si="4"/>
        <v>3</v>
      </c>
      <c r="G144" s="24">
        <f t="shared" si="5"/>
        <v>2022</v>
      </c>
      <c r="H144" s="5">
        <v>20560159731</v>
      </c>
      <c r="I144" s="5" t="s">
        <v>464</v>
      </c>
      <c r="J144" s="5" t="s">
        <v>465</v>
      </c>
      <c r="K144" s="8">
        <v>30070</v>
      </c>
      <c r="L144" s="8">
        <v>29970</v>
      </c>
      <c r="M144" s="8">
        <v>29970</v>
      </c>
      <c r="N144" s="5" t="s">
        <v>42</v>
      </c>
      <c r="O144" s="8">
        <v>666</v>
      </c>
      <c r="P144" s="5" t="s">
        <v>103</v>
      </c>
      <c r="Q144" s="8">
        <v>71928</v>
      </c>
      <c r="R144" s="9">
        <v>2.4</v>
      </c>
      <c r="S144" s="9">
        <v>108</v>
      </c>
      <c r="T144" s="5" t="s">
        <v>43</v>
      </c>
      <c r="U144" s="5" t="s">
        <v>466</v>
      </c>
      <c r="V144" s="5" t="s">
        <v>40</v>
      </c>
      <c r="W144" s="5" t="s">
        <v>45</v>
      </c>
      <c r="X144" s="5" t="s">
        <v>40</v>
      </c>
      <c r="Y144" s="5" t="s">
        <v>439</v>
      </c>
      <c r="Z144" s="5" t="s">
        <v>467</v>
      </c>
      <c r="AA144" s="5" t="s">
        <v>468</v>
      </c>
      <c r="AB144" s="5" t="s">
        <v>468</v>
      </c>
      <c r="AC144" s="5" t="s">
        <v>468</v>
      </c>
      <c r="AD144" s="5" t="s">
        <v>468</v>
      </c>
      <c r="AE144" s="5" t="s">
        <v>468</v>
      </c>
      <c r="AF144" s="5" t="s">
        <v>49</v>
      </c>
      <c r="AG144" s="5" t="s">
        <v>49</v>
      </c>
      <c r="AH144" s="5" t="s">
        <v>49</v>
      </c>
      <c r="AI144" s="5" t="s">
        <v>50</v>
      </c>
    </row>
    <row r="145" spans="1:35" x14ac:dyDescent="0.3">
      <c r="A145" s="4">
        <v>713909000</v>
      </c>
      <c r="B145" s="5" t="s">
        <v>37</v>
      </c>
      <c r="C145" s="5" t="s">
        <v>38</v>
      </c>
      <c r="D145" s="5" t="s">
        <v>470</v>
      </c>
      <c r="E145" s="7">
        <v>44691</v>
      </c>
      <c r="F145" s="24">
        <f t="shared" si="4"/>
        <v>5</v>
      </c>
      <c r="G145" s="24">
        <f t="shared" si="5"/>
        <v>2022</v>
      </c>
      <c r="H145" s="5">
        <v>20560159731</v>
      </c>
      <c r="I145" s="5" t="s">
        <v>464</v>
      </c>
      <c r="J145" s="5" t="s">
        <v>465</v>
      </c>
      <c r="K145" s="8">
        <v>30070</v>
      </c>
      <c r="L145" s="8">
        <v>29970</v>
      </c>
      <c r="M145" s="8">
        <v>29970</v>
      </c>
      <c r="N145" s="5" t="s">
        <v>42</v>
      </c>
      <c r="O145" s="8">
        <v>666</v>
      </c>
      <c r="P145" s="5" t="s">
        <v>103</v>
      </c>
      <c r="Q145" s="8">
        <v>72594</v>
      </c>
      <c r="R145" s="9">
        <v>2.4220000000000002</v>
      </c>
      <c r="S145" s="9">
        <v>109</v>
      </c>
      <c r="T145" s="5" t="s">
        <v>43</v>
      </c>
      <c r="U145" s="5" t="s">
        <v>466</v>
      </c>
      <c r="V145" s="5" t="s">
        <v>40</v>
      </c>
      <c r="W145" s="5" t="s">
        <v>45</v>
      </c>
      <c r="X145" s="5" t="s">
        <v>40</v>
      </c>
      <c r="Y145" s="5" t="s">
        <v>439</v>
      </c>
      <c r="Z145" s="5" t="s">
        <v>467</v>
      </c>
      <c r="AA145" s="5" t="s">
        <v>468</v>
      </c>
      <c r="AB145" s="5" t="s">
        <v>468</v>
      </c>
      <c r="AC145" s="5" t="s">
        <v>468</v>
      </c>
      <c r="AD145" s="5" t="s">
        <v>468</v>
      </c>
      <c r="AE145" s="5" t="s">
        <v>468</v>
      </c>
      <c r="AF145" s="5" t="s">
        <v>49</v>
      </c>
      <c r="AG145" s="5" t="s">
        <v>49</v>
      </c>
      <c r="AH145" s="5" t="s">
        <v>49</v>
      </c>
      <c r="AI145" s="5" t="s">
        <v>50</v>
      </c>
    </row>
    <row r="146" spans="1:35" x14ac:dyDescent="0.3">
      <c r="A146" s="4">
        <v>713909000</v>
      </c>
      <c r="B146" s="5" t="s">
        <v>37</v>
      </c>
      <c r="C146" s="5" t="s">
        <v>38</v>
      </c>
      <c r="D146" s="5" t="s">
        <v>471</v>
      </c>
      <c r="E146" s="7">
        <v>44762</v>
      </c>
      <c r="F146" s="24">
        <f t="shared" si="4"/>
        <v>7</v>
      </c>
      <c r="G146" s="24">
        <f t="shared" si="5"/>
        <v>2022</v>
      </c>
      <c r="H146" s="5">
        <v>20560159731</v>
      </c>
      <c r="I146" s="5" t="s">
        <v>464</v>
      </c>
      <c r="J146" s="5" t="s">
        <v>465</v>
      </c>
      <c r="K146" s="8">
        <v>30070</v>
      </c>
      <c r="L146" s="8">
        <v>29970</v>
      </c>
      <c r="M146" s="8">
        <v>29970</v>
      </c>
      <c r="N146" s="5" t="s">
        <v>42</v>
      </c>
      <c r="O146" s="8">
        <v>666</v>
      </c>
      <c r="P146" s="5" t="s">
        <v>103</v>
      </c>
      <c r="Q146" s="8">
        <v>73260</v>
      </c>
      <c r="R146" s="9">
        <v>2.444</v>
      </c>
      <c r="S146" s="9">
        <v>110</v>
      </c>
      <c r="T146" s="5" t="s">
        <v>43</v>
      </c>
      <c r="U146" s="5" t="s">
        <v>466</v>
      </c>
      <c r="V146" s="5" t="s">
        <v>40</v>
      </c>
      <c r="W146" s="5" t="s">
        <v>45</v>
      </c>
      <c r="X146" s="5" t="s">
        <v>40</v>
      </c>
      <c r="Y146" s="5" t="s">
        <v>439</v>
      </c>
      <c r="Z146" s="5" t="s">
        <v>467</v>
      </c>
      <c r="AA146" s="5" t="s">
        <v>468</v>
      </c>
      <c r="AB146" s="5" t="s">
        <v>468</v>
      </c>
      <c r="AC146" s="5" t="s">
        <v>468</v>
      </c>
      <c r="AD146" s="5" t="s">
        <v>468</v>
      </c>
      <c r="AE146" s="5" t="s">
        <v>468</v>
      </c>
      <c r="AF146" s="5" t="s">
        <v>49</v>
      </c>
      <c r="AG146" s="5" t="s">
        <v>49</v>
      </c>
      <c r="AH146" s="5" t="s">
        <v>49</v>
      </c>
      <c r="AI146" s="5" t="s">
        <v>50</v>
      </c>
    </row>
    <row r="147" spans="1:35" x14ac:dyDescent="0.3">
      <c r="A147" s="4">
        <v>713909000</v>
      </c>
      <c r="B147" s="5" t="s">
        <v>37</v>
      </c>
      <c r="C147" s="5" t="s">
        <v>38</v>
      </c>
      <c r="D147" s="5" t="s">
        <v>472</v>
      </c>
      <c r="E147" s="7">
        <v>44823</v>
      </c>
      <c r="F147" s="24">
        <f t="shared" si="4"/>
        <v>9</v>
      </c>
      <c r="G147" s="24">
        <f t="shared" si="5"/>
        <v>2022</v>
      </c>
      <c r="H147" s="5">
        <v>20560159731</v>
      </c>
      <c r="I147" s="5" t="s">
        <v>464</v>
      </c>
      <c r="J147" s="5" t="s">
        <v>465</v>
      </c>
      <c r="K147" s="8">
        <v>30070</v>
      </c>
      <c r="L147" s="8">
        <v>29970</v>
      </c>
      <c r="M147" s="8">
        <v>29970</v>
      </c>
      <c r="N147" s="5" t="s">
        <v>42</v>
      </c>
      <c r="O147" s="8">
        <v>666</v>
      </c>
      <c r="P147" s="5" t="s">
        <v>103</v>
      </c>
      <c r="Q147" s="8">
        <v>75258</v>
      </c>
      <c r="R147" s="9">
        <v>2.5110000000000001</v>
      </c>
      <c r="S147" s="9">
        <v>113</v>
      </c>
      <c r="T147" s="5" t="s">
        <v>43</v>
      </c>
      <c r="U147" s="5" t="s">
        <v>466</v>
      </c>
      <c r="V147" s="5" t="s">
        <v>40</v>
      </c>
      <c r="W147" s="5" t="s">
        <v>45</v>
      </c>
      <c r="X147" s="5" t="s">
        <v>40</v>
      </c>
      <c r="Y147" s="5" t="s">
        <v>439</v>
      </c>
      <c r="Z147" s="5" t="s">
        <v>467</v>
      </c>
      <c r="AA147" s="5" t="s">
        <v>468</v>
      </c>
      <c r="AB147" s="5" t="s">
        <v>468</v>
      </c>
      <c r="AC147" s="5" t="s">
        <v>468</v>
      </c>
      <c r="AD147" s="5" t="s">
        <v>468</v>
      </c>
      <c r="AE147" s="5" t="s">
        <v>468</v>
      </c>
      <c r="AF147" s="5" t="s">
        <v>49</v>
      </c>
      <c r="AG147" s="5" t="s">
        <v>49</v>
      </c>
      <c r="AH147" s="5" t="s">
        <v>49</v>
      </c>
      <c r="AI147" s="5" t="s">
        <v>50</v>
      </c>
    </row>
    <row r="148" spans="1:35" x14ac:dyDescent="0.3">
      <c r="A148" s="4">
        <v>713909000</v>
      </c>
      <c r="B148" s="5" t="s">
        <v>37</v>
      </c>
      <c r="C148" s="5" t="s">
        <v>38</v>
      </c>
      <c r="D148" s="5" t="s">
        <v>473</v>
      </c>
      <c r="E148" s="7">
        <v>44851</v>
      </c>
      <c r="F148" s="24">
        <f t="shared" si="4"/>
        <v>10</v>
      </c>
      <c r="G148" s="24">
        <f t="shared" si="5"/>
        <v>2022</v>
      </c>
      <c r="H148" s="5">
        <v>20560159731</v>
      </c>
      <c r="I148" s="5" t="s">
        <v>464</v>
      </c>
      <c r="J148" s="5" t="s">
        <v>465</v>
      </c>
      <c r="K148" s="8">
        <v>30070</v>
      </c>
      <c r="L148" s="8">
        <v>29970</v>
      </c>
      <c r="M148" s="8">
        <v>29970</v>
      </c>
      <c r="N148" s="5" t="s">
        <v>42</v>
      </c>
      <c r="O148" s="8">
        <v>666</v>
      </c>
      <c r="P148" s="5" t="s">
        <v>103</v>
      </c>
      <c r="Q148" s="8">
        <v>75258</v>
      </c>
      <c r="R148" s="9">
        <v>2.5110000000000001</v>
      </c>
      <c r="S148" s="9">
        <v>113</v>
      </c>
      <c r="T148" s="5" t="s">
        <v>43</v>
      </c>
      <c r="U148" s="5" t="s">
        <v>466</v>
      </c>
      <c r="V148" s="5" t="s">
        <v>40</v>
      </c>
      <c r="W148" s="5" t="s">
        <v>45</v>
      </c>
      <c r="X148" s="5" t="s">
        <v>40</v>
      </c>
      <c r="Y148" s="5" t="s">
        <v>439</v>
      </c>
      <c r="Z148" s="5" t="s">
        <v>467</v>
      </c>
      <c r="AA148" s="5" t="s">
        <v>468</v>
      </c>
      <c r="AB148" s="5" t="s">
        <v>468</v>
      </c>
      <c r="AC148" s="5" t="s">
        <v>468</v>
      </c>
      <c r="AD148" s="5" t="s">
        <v>468</v>
      </c>
      <c r="AE148" s="5" t="s">
        <v>468</v>
      </c>
      <c r="AF148" s="5" t="s">
        <v>49</v>
      </c>
      <c r="AG148" s="5" t="s">
        <v>49</v>
      </c>
      <c r="AH148" s="5" t="s">
        <v>49</v>
      </c>
      <c r="AI148" s="5" t="s">
        <v>50</v>
      </c>
    </row>
    <row r="149" spans="1:35" x14ac:dyDescent="0.3">
      <c r="A149" s="4">
        <v>713909000</v>
      </c>
      <c r="B149" s="5" t="s">
        <v>37</v>
      </c>
      <c r="C149" s="5" t="s">
        <v>38</v>
      </c>
      <c r="D149" s="5" t="s">
        <v>474</v>
      </c>
      <c r="E149" s="7">
        <v>44958</v>
      </c>
      <c r="F149" s="24">
        <f t="shared" si="4"/>
        <v>2</v>
      </c>
      <c r="G149" s="24">
        <f t="shared" si="5"/>
        <v>2023</v>
      </c>
      <c r="H149" s="5">
        <v>20560159731</v>
      </c>
      <c r="I149" s="5" t="s">
        <v>464</v>
      </c>
      <c r="J149" s="5" t="s">
        <v>465</v>
      </c>
      <c r="K149" s="8">
        <v>30070</v>
      </c>
      <c r="L149" s="8">
        <v>29970</v>
      </c>
      <c r="M149" s="8">
        <v>29970</v>
      </c>
      <c r="N149" s="5" t="s">
        <v>42</v>
      </c>
      <c r="O149" s="8">
        <v>666</v>
      </c>
      <c r="P149" s="5" t="s">
        <v>103</v>
      </c>
      <c r="Q149" s="8">
        <v>75258</v>
      </c>
      <c r="R149" s="9">
        <v>2.5110000000000001</v>
      </c>
      <c r="S149" s="9">
        <v>113</v>
      </c>
      <c r="T149" s="5" t="s">
        <v>43</v>
      </c>
      <c r="U149" s="5" t="s">
        <v>466</v>
      </c>
      <c r="V149" s="5" t="s">
        <v>40</v>
      </c>
      <c r="W149" s="5" t="s">
        <v>45</v>
      </c>
      <c r="X149" s="5" t="s">
        <v>40</v>
      </c>
      <c r="Y149" s="5" t="s">
        <v>439</v>
      </c>
      <c r="Z149" s="5" t="s">
        <v>467</v>
      </c>
      <c r="AA149" s="5" t="s">
        <v>468</v>
      </c>
      <c r="AB149" s="5" t="s">
        <v>468</v>
      </c>
      <c r="AC149" s="5" t="s">
        <v>468</v>
      </c>
      <c r="AD149" s="5" t="s">
        <v>468</v>
      </c>
      <c r="AE149" s="5" t="s">
        <v>468</v>
      </c>
      <c r="AF149" s="5" t="s">
        <v>49</v>
      </c>
      <c r="AG149" s="5" t="s">
        <v>49</v>
      </c>
      <c r="AH149" s="5" t="s">
        <v>49</v>
      </c>
      <c r="AI149" s="5" t="s">
        <v>50</v>
      </c>
    </row>
    <row r="150" spans="1:35" x14ac:dyDescent="0.3">
      <c r="A150" s="4">
        <v>713909000</v>
      </c>
      <c r="B150" s="5" t="s">
        <v>37</v>
      </c>
      <c r="C150" s="5" t="s">
        <v>38</v>
      </c>
      <c r="D150" s="5" t="s">
        <v>475</v>
      </c>
      <c r="E150" s="7">
        <v>45026</v>
      </c>
      <c r="F150" s="24">
        <f t="shared" si="4"/>
        <v>4</v>
      </c>
      <c r="G150" s="24">
        <f t="shared" si="5"/>
        <v>2023</v>
      </c>
      <c r="H150" s="5">
        <v>20560159731</v>
      </c>
      <c r="I150" s="5" t="s">
        <v>464</v>
      </c>
      <c r="J150" s="5" t="s">
        <v>465</v>
      </c>
      <c r="K150" s="8">
        <v>30070</v>
      </c>
      <c r="L150" s="8">
        <v>29970</v>
      </c>
      <c r="M150" s="8">
        <v>29970</v>
      </c>
      <c r="N150" s="5" t="s">
        <v>42</v>
      </c>
      <c r="O150" s="8">
        <v>666</v>
      </c>
      <c r="P150" s="5" t="s">
        <v>103</v>
      </c>
      <c r="Q150" s="8">
        <v>78588</v>
      </c>
      <c r="R150" s="9">
        <v>2.6219999999999999</v>
      </c>
      <c r="S150" s="9">
        <v>118</v>
      </c>
      <c r="T150" s="5" t="s">
        <v>43</v>
      </c>
      <c r="U150" s="5" t="s">
        <v>466</v>
      </c>
      <c r="V150" s="5" t="s">
        <v>40</v>
      </c>
      <c r="W150" s="5" t="s">
        <v>45</v>
      </c>
      <c r="X150" s="5" t="s">
        <v>40</v>
      </c>
      <c r="Y150" s="5" t="s">
        <v>439</v>
      </c>
      <c r="Z150" s="5" t="s">
        <v>467</v>
      </c>
      <c r="AA150" s="5" t="s">
        <v>468</v>
      </c>
      <c r="AB150" s="5" t="s">
        <v>468</v>
      </c>
      <c r="AC150" s="5" t="s">
        <v>468</v>
      </c>
      <c r="AD150" s="5" t="s">
        <v>468</v>
      </c>
      <c r="AE150" s="5" t="s">
        <v>468</v>
      </c>
      <c r="AF150" s="5" t="s">
        <v>49</v>
      </c>
      <c r="AG150" s="5" t="s">
        <v>49</v>
      </c>
      <c r="AH150" s="5" t="s">
        <v>49</v>
      </c>
      <c r="AI150" s="5" t="s">
        <v>50</v>
      </c>
    </row>
    <row r="151" spans="1:35" x14ac:dyDescent="0.3">
      <c r="A151" s="4">
        <v>713909000</v>
      </c>
      <c r="B151" s="5" t="s">
        <v>37</v>
      </c>
      <c r="C151" s="5" t="s">
        <v>38</v>
      </c>
      <c r="D151" s="5" t="s">
        <v>476</v>
      </c>
      <c r="E151" s="7">
        <v>45082</v>
      </c>
      <c r="F151" s="24">
        <f t="shared" si="4"/>
        <v>6</v>
      </c>
      <c r="G151" s="24">
        <f t="shared" si="5"/>
        <v>2023</v>
      </c>
      <c r="H151" s="5">
        <v>20560159731</v>
      </c>
      <c r="I151" s="5" t="s">
        <v>464</v>
      </c>
      <c r="J151" s="5" t="s">
        <v>465</v>
      </c>
      <c r="K151" s="8">
        <v>30070</v>
      </c>
      <c r="L151" s="8">
        <v>29970</v>
      </c>
      <c r="M151" s="8">
        <v>29970</v>
      </c>
      <c r="N151" s="5" t="s">
        <v>42</v>
      </c>
      <c r="O151" s="8">
        <v>666</v>
      </c>
      <c r="P151" s="5" t="s">
        <v>103</v>
      </c>
      <c r="Q151" s="8">
        <v>81252</v>
      </c>
      <c r="R151" s="9">
        <v>2.7109999999999999</v>
      </c>
      <c r="S151" s="9">
        <v>122</v>
      </c>
      <c r="T151" s="5" t="s">
        <v>43</v>
      </c>
      <c r="U151" s="5" t="s">
        <v>466</v>
      </c>
      <c r="V151" s="5" t="s">
        <v>40</v>
      </c>
      <c r="W151" s="5" t="s">
        <v>45</v>
      </c>
      <c r="X151" s="5" t="s">
        <v>40</v>
      </c>
      <c r="Y151" s="5" t="s">
        <v>439</v>
      </c>
      <c r="Z151" s="5" t="s">
        <v>467</v>
      </c>
      <c r="AA151" s="5" t="s">
        <v>468</v>
      </c>
      <c r="AB151" s="5" t="s">
        <v>468</v>
      </c>
      <c r="AC151" s="5" t="s">
        <v>468</v>
      </c>
      <c r="AD151" s="5" t="s">
        <v>468</v>
      </c>
      <c r="AE151" s="5" t="s">
        <v>468</v>
      </c>
      <c r="AF151" s="5" t="s">
        <v>49</v>
      </c>
      <c r="AG151" s="5" t="s">
        <v>49</v>
      </c>
      <c r="AH151" s="5" t="s">
        <v>49</v>
      </c>
      <c r="AI151" s="5" t="s">
        <v>50</v>
      </c>
    </row>
    <row r="152" spans="1:35" x14ac:dyDescent="0.3">
      <c r="A152" s="4">
        <v>713909000</v>
      </c>
      <c r="B152" s="5" t="s">
        <v>37</v>
      </c>
      <c r="C152" s="5" t="s">
        <v>38</v>
      </c>
      <c r="D152" s="5" t="s">
        <v>477</v>
      </c>
      <c r="E152" s="7">
        <v>45152</v>
      </c>
      <c r="F152" s="24">
        <f t="shared" si="4"/>
        <v>8</v>
      </c>
      <c r="G152" s="24">
        <f t="shared" si="5"/>
        <v>2023</v>
      </c>
      <c r="H152" s="5">
        <v>20560159731</v>
      </c>
      <c r="I152" s="5" t="s">
        <v>464</v>
      </c>
      <c r="J152" s="5" t="s">
        <v>465</v>
      </c>
      <c r="K152" s="8">
        <v>30070</v>
      </c>
      <c r="L152" s="8">
        <v>29970</v>
      </c>
      <c r="M152" s="8">
        <v>29970</v>
      </c>
      <c r="N152" s="5" t="s">
        <v>42</v>
      </c>
      <c r="O152" s="8">
        <v>666</v>
      </c>
      <c r="P152" s="5" t="s">
        <v>103</v>
      </c>
      <c r="Q152" s="8">
        <v>85248</v>
      </c>
      <c r="R152" s="9">
        <v>2.8439999999999999</v>
      </c>
      <c r="S152" s="9">
        <v>128</v>
      </c>
      <c r="T152" s="5" t="s">
        <v>43</v>
      </c>
      <c r="U152" s="5" t="s">
        <v>466</v>
      </c>
      <c r="V152" s="5" t="s">
        <v>40</v>
      </c>
      <c r="W152" s="5" t="s">
        <v>45</v>
      </c>
      <c r="X152" s="5" t="s">
        <v>40</v>
      </c>
      <c r="Y152" s="5" t="s">
        <v>439</v>
      </c>
      <c r="Z152" s="5" t="s">
        <v>467</v>
      </c>
      <c r="AA152" s="5" t="s">
        <v>468</v>
      </c>
      <c r="AB152" s="5" t="s">
        <v>468</v>
      </c>
      <c r="AC152" s="5" t="s">
        <v>468</v>
      </c>
      <c r="AD152" s="5" t="s">
        <v>468</v>
      </c>
      <c r="AE152" s="5" t="s">
        <v>468</v>
      </c>
      <c r="AF152" s="5" t="s">
        <v>49</v>
      </c>
      <c r="AG152" s="5" t="s">
        <v>49</v>
      </c>
      <c r="AH152" s="5" t="s">
        <v>49</v>
      </c>
      <c r="AI152" s="5" t="s">
        <v>50</v>
      </c>
    </row>
    <row r="153" spans="1:35" x14ac:dyDescent="0.3">
      <c r="A153" s="4">
        <v>713909000</v>
      </c>
      <c r="B153" s="5" t="s">
        <v>37</v>
      </c>
      <c r="C153" s="5" t="s">
        <v>38</v>
      </c>
      <c r="D153" s="5" t="s">
        <v>478</v>
      </c>
      <c r="E153" s="7">
        <v>45209</v>
      </c>
      <c r="F153" s="24">
        <f t="shared" si="4"/>
        <v>10</v>
      </c>
      <c r="G153" s="24">
        <f t="shared" si="5"/>
        <v>2023</v>
      </c>
      <c r="H153" s="5">
        <v>20560159731</v>
      </c>
      <c r="I153" s="5" t="s">
        <v>464</v>
      </c>
      <c r="J153" s="5" t="s">
        <v>465</v>
      </c>
      <c r="K153" s="8">
        <v>30070</v>
      </c>
      <c r="L153" s="8">
        <v>29970</v>
      </c>
      <c r="M153" s="8">
        <v>29970</v>
      </c>
      <c r="N153" s="5" t="s">
        <v>42</v>
      </c>
      <c r="O153" s="8">
        <v>666</v>
      </c>
      <c r="P153" s="5" t="s">
        <v>103</v>
      </c>
      <c r="Q153" s="8">
        <v>79920</v>
      </c>
      <c r="R153" s="9">
        <v>2.6659999999999999</v>
      </c>
      <c r="S153" s="9">
        <v>120</v>
      </c>
      <c r="T153" s="5" t="s">
        <v>43</v>
      </c>
      <c r="U153" s="5" t="s">
        <v>466</v>
      </c>
      <c r="V153" s="5" t="s">
        <v>40</v>
      </c>
      <c r="W153" s="5" t="s">
        <v>45</v>
      </c>
      <c r="X153" s="5" t="s">
        <v>40</v>
      </c>
      <c r="Y153" s="5" t="s">
        <v>439</v>
      </c>
      <c r="Z153" s="5" t="s">
        <v>479</v>
      </c>
      <c r="AA153" s="5" t="s">
        <v>480</v>
      </c>
      <c r="AB153" s="5" t="s">
        <v>480</v>
      </c>
      <c r="AC153" s="5" t="s">
        <v>480</v>
      </c>
      <c r="AD153" s="5" t="s">
        <v>480</v>
      </c>
      <c r="AE153" s="5" t="s">
        <v>480</v>
      </c>
      <c r="AF153" s="5" t="s">
        <v>49</v>
      </c>
      <c r="AG153" s="5" t="s">
        <v>49</v>
      </c>
      <c r="AH153" s="5" t="s">
        <v>49</v>
      </c>
      <c r="AI153" s="5" t="s">
        <v>50</v>
      </c>
    </row>
    <row r="154" spans="1:35" x14ac:dyDescent="0.3">
      <c r="A154" s="4">
        <v>713909000</v>
      </c>
      <c r="B154" s="5" t="s">
        <v>37</v>
      </c>
      <c r="C154" s="5" t="s">
        <v>38</v>
      </c>
      <c r="D154" s="5" t="s">
        <v>481</v>
      </c>
      <c r="E154" s="7">
        <v>45323</v>
      </c>
      <c r="F154" s="24">
        <f t="shared" si="4"/>
        <v>2</v>
      </c>
      <c r="G154" s="24">
        <f t="shared" si="5"/>
        <v>2024</v>
      </c>
      <c r="H154" s="5">
        <v>20560159731</v>
      </c>
      <c r="I154" s="5" t="s">
        <v>464</v>
      </c>
      <c r="J154" s="5" t="s">
        <v>465</v>
      </c>
      <c r="K154" s="8">
        <v>30070</v>
      </c>
      <c r="L154" s="8">
        <v>29970</v>
      </c>
      <c r="M154" s="8">
        <v>29970</v>
      </c>
      <c r="N154" s="5" t="s">
        <v>42</v>
      </c>
      <c r="O154" s="8">
        <v>666</v>
      </c>
      <c r="P154" s="5" t="s">
        <v>103</v>
      </c>
      <c r="Q154" s="8">
        <v>79920</v>
      </c>
      <c r="R154" s="9">
        <v>2.6659999999999999</v>
      </c>
      <c r="S154" s="9">
        <v>120</v>
      </c>
      <c r="T154" s="5" t="s">
        <v>43</v>
      </c>
      <c r="U154" s="5" t="s">
        <v>466</v>
      </c>
      <c r="V154" s="5" t="s">
        <v>40</v>
      </c>
      <c r="W154" s="5" t="s">
        <v>45</v>
      </c>
      <c r="X154" s="5" t="s">
        <v>40</v>
      </c>
      <c r="Y154" s="5" t="s">
        <v>439</v>
      </c>
      <c r="Z154" s="5" t="s">
        <v>479</v>
      </c>
      <c r="AA154" s="5" t="s">
        <v>480</v>
      </c>
      <c r="AB154" s="5" t="s">
        <v>480</v>
      </c>
      <c r="AC154" s="5" t="s">
        <v>480</v>
      </c>
      <c r="AD154" s="5" t="s">
        <v>480</v>
      </c>
      <c r="AE154" s="5" t="s">
        <v>480</v>
      </c>
      <c r="AF154" s="5" t="s">
        <v>49</v>
      </c>
      <c r="AG154" s="5" t="s">
        <v>49</v>
      </c>
      <c r="AH154" s="5" t="s">
        <v>49</v>
      </c>
      <c r="AI154" s="5" t="s">
        <v>50</v>
      </c>
    </row>
    <row r="155" spans="1:35" x14ac:dyDescent="0.3">
      <c r="A155" s="4">
        <v>713909000</v>
      </c>
      <c r="B155" s="5" t="s">
        <v>37</v>
      </c>
      <c r="C155" s="5" t="s">
        <v>63</v>
      </c>
      <c r="D155" s="5" t="s">
        <v>482</v>
      </c>
      <c r="E155" s="7">
        <v>45461</v>
      </c>
      <c r="F155" s="24">
        <f t="shared" si="4"/>
        <v>6</v>
      </c>
      <c r="G155" s="24">
        <f t="shared" si="5"/>
        <v>2024</v>
      </c>
      <c r="H155" s="5">
        <v>20565443993</v>
      </c>
      <c r="I155" s="5" t="s">
        <v>143</v>
      </c>
      <c r="J155" s="5" t="s">
        <v>454</v>
      </c>
      <c r="K155" s="8">
        <v>1656.25</v>
      </c>
      <c r="L155" s="8">
        <v>1624.84</v>
      </c>
      <c r="M155" s="8">
        <v>1624.84</v>
      </c>
      <c r="N155" s="5" t="s">
        <v>42</v>
      </c>
      <c r="O155" s="8">
        <v>100</v>
      </c>
      <c r="P155" s="5" t="s">
        <v>103</v>
      </c>
      <c r="Q155" s="8">
        <v>5584.41</v>
      </c>
      <c r="R155" s="9">
        <v>3.4359999999999999</v>
      </c>
      <c r="S155" s="9">
        <v>55.844000000000001</v>
      </c>
      <c r="T155" s="5" t="s">
        <v>68</v>
      </c>
      <c r="U155" s="5" t="s">
        <v>69</v>
      </c>
      <c r="V155" s="5" t="s">
        <v>40</v>
      </c>
      <c r="W155" s="5" t="s">
        <v>70</v>
      </c>
      <c r="X155" s="5" t="s">
        <v>71</v>
      </c>
      <c r="Y155" s="5" t="s">
        <v>72</v>
      </c>
      <c r="Z155" s="5" t="s">
        <v>483</v>
      </c>
      <c r="AA155" s="5" t="s">
        <v>484</v>
      </c>
      <c r="AB155" s="5" t="s">
        <v>484</v>
      </c>
      <c r="AC155" s="5" t="s">
        <v>484</v>
      </c>
      <c r="AD155" s="5" t="s">
        <v>484</v>
      </c>
      <c r="AE155" s="5" t="s">
        <v>484</v>
      </c>
      <c r="AF155" s="5" t="s">
        <v>75</v>
      </c>
      <c r="AG155" s="5" t="s">
        <v>76</v>
      </c>
      <c r="AH155" s="5" t="s">
        <v>76</v>
      </c>
      <c r="AI155" s="5" t="s">
        <v>50</v>
      </c>
    </row>
    <row r="156" spans="1:35" x14ac:dyDescent="0.3">
      <c r="A156" s="4">
        <v>713909000</v>
      </c>
      <c r="B156" s="5" t="s">
        <v>37</v>
      </c>
      <c r="C156" s="5" t="s">
        <v>63</v>
      </c>
      <c r="D156" s="5" t="s">
        <v>485</v>
      </c>
      <c r="E156" s="7">
        <v>44808</v>
      </c>
      <c r="F156" s="24">
        <f t="shared" si="4"/>
        <v>9</v>
      </c>
      <c r="G156" s="24">
        <f t="shared" si="5"/>
        <v>2022</v>
      </c>
      <c r="H156" s="5">
        <v>20476152594</v>
      </c>
      <c r="I156" s="5" t="s">
        <v>486</v>
      </c>
      <c r="J156" s="5" t="s">
        <v>487</v>
      </c>
      <c r="K156" s="8">
        <v>2214</v>
      </c>
      <c r="L156" s="8">
        <v>2092.23</v>
      </c>
      <c r="M156" s="8">
        <v>2092.23</v>
      </c>
      <c r="N156" s="5" t="s">
        <v>42</v>
      </c>
      <c r="O156" s="8">
        <v>205</v>
      </c>
      <c r="P156" s="5" t="s">
        <v>67</v>
      </c>
      <c r="Q156" s="8">
        <v>5676</v>
      </c>
      <c r="R156" s="9">
        <v>2.7120000000000002</v>
      </c>
      <c r="S156" s="9">
        <v>27.687000000000001</v>
      </c>
      <c r="T156" s="5" t="s">
        <v>68</v>
      </c>
      <c r="U156" s="5" t="s">
        <v>488</v>
      </c>
      <c r="V156" s="5" t="s">
        <v>40</v>
      </c>
      <c r="W156" s="5" t="s">
        <v>70</v>
      </c>
      <c r="X156" s="5" t="s">
        <v>248</v>
      </c>
      <c r="Y156" s="5" t="s">
        <v>489</v>
      </c>
      <c r="Z156" s="5" t="s">
        <v>490</v>
      </c>
      <c r="AA156" s="5" t="s">
        <v>491</v>
      </c>
      <c r="AB156" s="5" t="s">
        <v>491</v>
      </c>
      <c r="AC156" s="5" t="s">
        <v>491</v>
      </c>
      <c r="AD156" s="5" t="s">
        <v>491</v>
      </c>
      <c r="AE156" s="5" t="s">
        <v>491</v>
      </c>
      <c r="AF156" s="5" t="s">
        <v>252</v>
      </c>
      <c r="AG156" s="5" t="s">
        <v>76</v>
      </c>
      <c r="AH156" s="5" t="s">
        <v>76</v>
      </c>
      <c r="AI156" s="5" t="s">
        <v>50</v>
      </c>
    </row>
    <row r="157" spans="1:35" x14ac:dyDescent="0.3">
      <c r="A157" s="4">
        <v>713909000</v>
      </c>
      <c r="B157" s="5" t="s">
        <v>37</v>
      </c>
      <c r="C157" s="5" t="s">
        <v>63</v>
      </c>
      <c r="D157" s="5" t="s">
        <v>492</v>
      </c>
      <c r="E157" s="7">
        <v>45447</v>
      </c>
      <c r="F157" s="24">
        <f t="shared" si="4"/>
        <v>6</v>
      </c>
      <c r="G157" s="24">
        <f t="shared" si="5"/>
        <v>2024</v>
      </c>
      <c r="H157" s="5">
        <v>20565443993</v>
      </c>
      <c r="I157" s="5" t="s">
        <v>143</v>
      </c>
      <c r="J157" s="5" t="s">
        <v>144</v>
      </c>
      <c r="K157" s="8">
        <v>958.94</v>
      </c>
      <c r="L157" s="8">
        <v>910.99</v>
      </c>
      <c r="M157" s="8">
        <v>910.99</v>
      </c>
      <c r="N157" s="5" t="s">
        <v>42</v>
      </c>
      <c r="O157" s="8">
        <v>109</v>
      </c>
      <c r="P157" s="5" t="s">
        <v>67</v>
      </c>
      <c r="Q157" s="8">
        <v>3409.18</v>
      </c>
      <c r="R157" s="9">
        <v>3.742</v>
      </c>
      <c r="S157" s="9">
        <v>31.276</v>
      </c>
      <c r="T157" s="5" t="s">
        <v>68</v>
      </c>
      <c r="U157" s="5" t="s">
        <v>69</v>
      </c>
      <c r="V157" s="5" t="s">
        <v>40</v>
      </c>
      <c r="W157" s="5" t="s">
        <v>70</v>
      </c>
      <c r="X157" s="5" t="s">
        <v>71</v>
      </c>
      <c r="Y157" s="5" t="s">
        <v>383</v>
      </c>
      <c r="Z157" s="5" t="s">
        <v>493</v>
      </c>
      <c r="AA157" s="5" t="s">
        <v>494</v>
      </c>
      <c r="AB157" s="5" t="s">
        <v>494</v>
      </c>
      <c r="AC157" s="5" t="s">
        <v>494</v>
      </c>
      <c r="AD157" s="5" t="s">
        <v>494</v>
      </c>
      <c r="AE157" s="5" t="s">
        <v>494</v>
      </c>
      <c r="AF157" s="5" t="s">
        <v>75</v>
      </c>
      <c r="AG157" s="5" t="s">
        <v>76</v>
      </c>
      <c r="AH157" s="5" t="s">
        <v>76</v>
      </c>
      <c r="AI157" s="5" t="s">
        <v>50</v>
      </c>
    </row>
    <row r="158" spans="1:35" x14ac:dyDescent="0.3">
      <c r="A158" s="4">
        <v>713909000</v>
      </c>
      <c r="B158" s="5" t="s">
        <v>37</v>
      </c>
      <c r="C158" s="5" t="s">
        <v>233</v>
      </c>
      <c r="D158" s="5" t="s">
        <v>495</v>
      </c>
      <c r="E158" s="7">
        <v>44757</v>
      </c>
      <c r="F158" s="24">
        <f t="shared" si="4"/>
        <v>7</v>
      </c>
      <c r="G158" s="24">
        <f t="shared" si="5"/>
        <v>2022</v>
      </c>
      <c r="H158" s="5">
        <v>20600322878</v>
      </c>
      <c r="I158" s="5" t="s">
        <v>496</v>
      </c>
      <c r="J158" s="5" t="s">
        <v>497</v>
      </c>
      <c r="K158" s="8">
        <v>0.49</v>
      </c>
      <c r="L158" s="8">
        <v>0.49</v>
      </c>
      <c r="M158" s="8">
        <v>0.49</v>
      </c>
      <c r="N158" s="5" t="s">
        <v>42</v>
      </c>
      <c r="O158" s="8">
        <v>10</v>
      </c>
      <c r="P158" s="5" t="s">
        <v>42</v>
      </c>
      <c r="Q158" s="8">
        <v>2</v>
      </c>
      <c r="R158" s="9">
        <v>4.0810000000000004</v>
      </c>
      <c r="S158" s="9">
        <v>0.2</v>
      </c>
      <c r="T158" s="5" t="s">
        <v>498</v>
      </c>
      <c r="U158" s="5" t="s">
        <v>499</v>
      </c>
      <c r="V158" s="5" t="s">
        <v>40</v>
      </c>
      <c r="W158" s="5" t="s">
        <v>239</v>
      </c>
      <c r="X158" s="5" t="s">
        <v>500</v>
      </c>
      <c r="Y158" s="5" t="s">
        <v>439</v>
      </c>
      <c r="Z158" s="5" t="s">
        <v>501</v>
      </c>
      <c r="AA158" s="5" t="s">
        <v>502</v>
      </c>
      <c r="AB158" s="5" t="s">
        <v>502</v>
      </c>
      <c r="AC158" s="5" t="s">
        <v>502</v>
      </c>
      <c r="AD158" s="5" t="s">
        <v>502</v>
      </c>
      <c r="AE158" s="5" t="s">
        <v>502</v>
      </c>
      <c r="AF158" s="5" t="s">
        <v>503</v>
      </c>
      <c r="AG158" s="5" t="s">
        <v>76</v>
      </c>
      <c r="AH158" s="5" t="s">
        <v>76</v>
      </c>
      <c r="AI158" s="5" t="s">
        <v>377</v>
      </c>
    </row>
    <row r="159" spans="1:35" x14ac:dyDescent="0.3">
      <c r="A159" s="4">
        <v>713909000</v>
      </c>
      <c r="B159" s="5" t="s">
        <v>37</v>
      </c>
      <c r="C159" s="5" t="s">
        <v>63</v>
      </c>
      <c r="D159" s="5" t="s">
        <v>504</v>
      </c>
      <c r="E159" s="7">
        <v>44769</v>
      </c>
      <c r="F159" s="24">
        <f t="shared" si="4"/>
        <v>7</v>
      </c>
      <c r="G159" s="24">
        <f t="shared" si="5"/>
        <v>2022</v>
      </c>
      <c r="H159" s="5">
        <v>20392854445</v>
      </c>
      <c r="I159" s="5" t="s">
        <v>448</v>
      </c>
      <c r="J159" s="5" t="s">
        <v>505</v>
      </c>
      <c r="K159" s="8">
        <v>8.84</v>
      </c>
      <c r="L159" s="8">
        <v>7</v>
      </c>
      <c r="M159" s="8">
        <v>7</v>
      </c>
      <c r="N159" s="5" t="s">
        <v>42</v>
      </c>
      <c r="O159" s="8">
        <v>1</v>
      </c>
      <c r="P159" s="5" t="s">
        <v>67</v>
      </c>
      <c r="Q159" s="8">
        <v>9</v>
      </c>
      <c r="R159" s="9">
        <v>1.2849999999999999</v>
      </c>
      <c r="S159" s="9">
        <v>9</v>
      </c>
      <c r="T159" s="5" t="s">
        <v>197</v>
      </c>
      <c r="U159" s="5" t="s">
        <v>81</v>
      </c>
      <c r="V159" s="5" t="s">
        <v>40</v>
      </c>
      <c r="W159" s="5" t="s">
        <v>70</v>
      </c>
      <c r="X159" s="5" t="s">
        <v>82</v>
      </c>
      <c r="Y159" s="5" t="s">
        <v>506</v>
      </c>
      <c r="Z159" s="5" t="s">
        <v>507</v>
      </c>
      <c r="AA159" s="5" t="s">
        <v>508</v>
      </c>
      <c r="AB159" s="5" t="s">
        <v>508</v>
      </c>
      <c r="AC159" s="5" t="s">
        <v>508</v>
      </c>
      <c r="AD159" s="5" t="s">
        <v>508</v>
      </c>
      <c r="AE159" s="5" t="s">
        <v>508</v>
      </c>
      <c r="AF159" s="5" t="s">
        <v>86</v>
      </c>
      <c r="AG159" s="5" t="s">
        <v>509</v>
      </c>
      <c r="AH159" s="5" t="s">
        <v>510</v>
      </c>
      <c r="AI159" s="5" t="s">
        <v>50</v>
      </c>
    </row>
    <row r="160" spans="1:35" x14ac:dyDescent="0.3">
      <c r="A160" s="4">
        <v>713909000</v>
      </c>
      <c r="B160" s="5" t="s">
        <v>37</v>
      </c>
      <c r="C160" s="5" t="s">
        <v>63</v>
      </c>
      <c r="D160" s="5" t="s">
        <v>511</v>
      </c>
      <c r="E160" s="7">
        <v>44769</v>
      </c>
      <c r="F160" s="24">
        <f t="shared" si="4"/>
        <v>7</v>
      </c>
      <c r="G160" s="24">
        <f t="shared" si="5"/>
        <v>2022</v>
      </c>
      <c r="H160" s="5">
        <v>20392854445</v>
      </c>
      <c r="I160" s="5" t="s">
        <v>448</v>
      </c>
      <c r="J160" s="5" t="s">
        <v>505</v>
      </c>
      <c r="K160" s="8">
        <v>227.51</v>
      </c>
      <c r="L160" s="8">
        <v>180</v>
      </c>
      <c r="M160" s="8">
        <v>180</v>
      </c>
      <c r="N160" s="5" t="s">
        <v>42</v>
      </c>
      <c r="O160" s="8">
        <v>20</v>
      </c>
      <c r="P160" s="5" t="s">
        <v>67</v>
      </c>
      <c r="Q160" s="8">
        <v>316.79000000000002</v>
      </c>
      <c r="R160" s="9">
        <v>1.7589999999999999</v>
      </c>
      <c r="S160" s="9">
        <v>15.839</v>
      </c>
      <c r="T160" s="5" t="s">
        <v>197</v>
      </c>
      <c r="U160" s="5" t="s">
        <v>81</v>
      </c>
      <c r="V160" s="5" t="s">
        <v>40</v>
      </c>
      <c r="W160" s="5" t="s">
        <v>70</v>
      </c>
      <c r="X160" s="5" t="s">
        <v>82</v>
      </c>
      <c r="Y160" s="5" t="s">
        <v>506</v>
      </c>
      <c r="Z160" s="5" t="s">
        <v>507</v>
      </c>
      <c r="AA160" s="5" t="s">
        <v>508</v>
      </c>
      <c r="AB160" s="5" t="s">
        <v>508</v>
      </c>
      <c r="AC160" s="5" t="s">
        <v>508</v>
      </c>
      <c r="AD160" s="5" t="s">
        <v>508</v>
      </c>
      <c r="AE160" s="5" t="s">
        <v>508</v>
      </c>
      <c r="AF160" s="5" t="s">
        <v>86</v>
      </c>
      <c r="AG160" s="5" t="s">
        <v>509</v>
      </c>
      <c r="AH160" s="5" t="s">
        <v>510</v>
      </c>
      <c r="AI160" s="5" t="s">
        <v>50</v>
      </c>
    </row>
    <row r="161" spans="1:35" x14ac:dyDescent="0.3">
      <c r="A161" s="4">
        <v>713909000</v>
      </c>
      <c r="B161" s="5" t="s">
        <v>37</v>
      </c>
      <c r="C161" s="5" t="s">
        <v>63</v>
      </c>
      <c r="D161" s="5" t="s">
        <v>512</v>
      </c>
      <c r="E161" s="7">
        <v>45447</v>
      </c>
      <c r="F161" s="24">
        <f t="shared" si="4"/>
        <v>6</v>
      </c>
      <c r="G161" s="24">
        <f t="shared" si="5"/>
        <v>2024</v>
      </c>
      <c r="H161" s="5">
        <v>20565443993</v>
      </c>
      <c r="I161" s="5" t="s">
        <v>143</v>
      </c>
      <c r="J161" s="5" t="s">
        <v>144</v>
      </c>
      <c r="K161" s="8">
        <v>1741.93</v>
      </c>
      <c r="L161" s="8">
        <v>1654.83</v>
      </c>
      <c r="M161" s="8">
        <v>1654.83</v>
      </c>
      <c r="N161" s="5" t="s">
        <v>42</v>
      </c>
      <c r="O161" s="8">
        <v>198</v>
      </c>
      <c r="P161" s="5" t="s">
        <v>67</v>
      </c>
      <c r="Q161" s="8">
        <v>6192.83</v>
      </c>
      <c r="R161" s="9">
        <v>3.742</v>
      </c>
      <c r="S161" s="9">
        <v>31.276</v>
      </c>
      <c r="T161" s="5" t="s">
        <v>68</v>
      </c>
      <c r="U161" s="5" t="s">
        <v>69</v>
      </c>
      <c r="V161" s="5" t="s">
        <v>40</v>
      </c>
      <c r="W161" s="5" t="s">
        <v>70</v>
      </c>
      <c r="X161" s="5" t="s">
        <v>71</v>
      </c>
      <c r="Y161" s="5" t="s">
        <v>383</v>
      </c>
      <c r="Z161" s="5" t="s">
        <v>513</v>
      </c>
      <c r="AA161" s="5" t="s">
        <v>514</v>
      </c>
      <c r="AB161" s="5" t="s">
        <v>514</v>
      </c>
      <c r="AC161" s="5" t="s">
        <v>514</v>
      </c>
      <c r="AD161" s="5" t="s">
        <v>514</v>
      </c>
      <c r="AE161" s="5" t="s">
        <v>514</v>
      </c>
      <c r="AF161" s="5" t="s">
        <v>75</v>
      </c>
      <c r="AG161" s="5" t="s">
        <v>76</v>
      </c>
      <c r="AH161" s="5" t="s">
        <v>76</v>
      </c>
      <c r="AI161" s="5" t="s">
        <v>50</v>
      </c>
    </row>
    <row r="162" spans="1:35" x14ac:dyDescent="0.3">
      <c r="A162" s="4">
        <v>713909000</v>
      </c>
      <c r="B162" s="5" t="s">
        <v>37</v>
      </c>
      <c r="C162" s="5" t="s">
        <v>63</v>
      </c>
      <c r="D162" s="5" t="s">
        <v>515</v>
      </c>
      <c r="E162" s="7">
        <v>44965</v>
      </c>
      <c r="F162" s="24">
        <f t="shared" si="4"/>
        <v>2</v>
      </c>
      <c r="G162" s="24">
        <f t="shared" si="5"/>
        <v>2023</v>
      </c>
      <c r="H162" s="5">
        <v>20565443993</v>
      </c>
      <c r="I162" s="5" t="s">
        <v>143</v>
      </c>
      <c r="J162" s="5" t="s">
        <v>144</v>
      </c>
      <c r="K162" s="8">
        <v>416.26</v>
      </c>
      <c r="L162" s="8">
        <v>395.45</v>
      </c>
      <c r="M162" s="8">
        <v>395.45</v>
      </c>
      <c r="N162" s="5" t="s">
        <v>42</v>
      </c>
      <c r="O162" s="8">
        <v>44</v>
      </c>
      <c r="P162" s="5" t="s">
        <v>67</v>
      </c>
      <c r="Q162" s="8">
        <v>1184</v>
      </c>
      <c r="R162" s="9">
        <v>2.9940000000000002</v>
      </c>
      <c r="S162" s="9">
        <v>26.908999999999999</v>
      </c>
      <c r="T162" s="5" t="s">
        <v>68</v>
      </c>
      <c r="U162" s="5" t="s">
        <v>69</v>
      </c>
      <c r="V162" s="5" t="s">
        <v>40</v>
      </c>
      <c r="W162" s="5" t="s">
        <v>70</v>
      </c>
      <c r="X162" s="5" t="s">
        <v>71</v>
      </c>
      <c r="Y162" s="5" t="s">
        <v>383</v>
      </c>
      <c r="Z162" s="5" t="s">
        <v>516</v>
      </c>
      <c r="AA162" s="5" t="s">
        <v>517</v>
      </c>
      <c r="AB162" s="5" t="s">
        <v>517</v>
      </c>
      <c r="AC162" s="5" t="s">
        <v>517</v>
      </c>
      <c r="AD162" s="5" t="s">
        <v>517</v>
      </c>
      <c r="AE162" s="5" t="s">
        <v>517</v>
      </c>
      <c r="AF162" s="5" t="s">
        <v>75</v>
      </c>
      <c r="AG162" s="5" t="s">
        <v>76</v>
      </c>
      <c r="AH162" s="5" t="s">
        <v>76</v>
      </c>
      <c r="AI162" s="5" t="s">
        <v>50</v>
      </c>
    </row>
    <row r="163" spans="1:35" x14ac:dyDescent="0.3">
      <c r="A163" s="4">
        <v>713909000</v>
      </c>
      <c r="B163" s="5" t="s">
        <v>37</v>
      </c>
      <c r="C163" s="5" t="s">
        <v>63</v>
      </c>
      <c r="D163" s="5" t="s">
        <v>518</v>
      </c>
      <c r="E163" s="7">
        <v>44729</v>
      </c>
      <c r="F163" s="24">
        <f t="shared" si="4"/>
        <v>6</v>
      </c>
      <c r="G163" s="24">
        <f t="shared" si="5"/>
        <v>2022</v>
      </c>
      <c r="H163" s="5">
        <v>20509587877</v>
      </c>
      <c r="I163" s="5" t="s">
        <v>519</v>
      </c>
      <c r="J163" s="5" t="s">
        <v>520</v>
      </c>
      <c r="K163" s="8">
        <v>1463.32</v>
      </c>
      <c r="L163" s="8">
        <v>1390.16</v>
      </c>
      <c r="M163" s="8">
        <v>1390.16</v>
      </c>
      <c r="N163" s="5" t="s">
        <v>42</v>
      </c>
      <c r="O163" s="8">
        <v>70</v>
      </c>
      <c r="P163" s="5" t="s">
        <v>67</v>
      </c>
      <c r="Q163" s="8">
        <v>3584</v>
      </c>
      <c r="R163" s="9">
        <v>2.5779999999999998</v>
      </c>
      <c r="S163" s="9">
        <v>51.2</v>
      </c>
      <c r="T163" s="5" t="s">
        <v>68</v>
      </c>
      <c r="U163" s="5" t="s">
        <v>94</v>
      </c>
      <c r="V163" s="5" t="s">
        <v>40</v>
      </c>
      <c r="W163" s="5" t="s">
        <v>70</v>
      </c>
      <c r="X163" s="5" t="s">
        <v>117</v>
      </c>
      <c r="Y163" s="5" t="s">
        <v>72</v>
      </c>
      <c r="Z163" s="5" t="s">
        <v>521</v>
      </c>
      <c r="AA163" s="5" t="s">
        <v>522</v>
      </c>
      <c r="AB163" s="5" t="s">
        <v>522</v>
      </c>
      <c r="AC163" s="5" t="s">
        <v>522</v>
      </c>
      <c r="AD163" s="5" t="s">
        <v>522</v>
      </c>
      <c r="AE163" s="5" t="s">
        <v>522</v>
      </c>
      <c r="AF163" s="5" t="s">
        <v>523</v>
      </c>
      <c r="AG163" s="5" t="s">
        <v>524</v>
      </c>
      <c r="AH163" s="5" t="s">
        <v>525</v>
      </c>
      <c r="AI163" s="5" t="s">
        <v>50</v>
      </c>
    </row>
    <row r="164" spans="1:35" x14ac:dyDescent="0.3">
      <c r="A164" s="4">
        <v>713909000</v>
      </c>
      <c r="B164" s="5" t="s">
        <v>37</v>
      </c>
      <c r="C164" s="5" t="s">
        <v>63</v>
      </c>
      <c r="D164" s="5" t="s">
        <v>526</v>
      </c>
      <c r="E164" s="7">
        <v>44782</v>
      </c>
      <c r="F164" s="24">
        <f t="shared" si="4"/>
        <v>8</v>
      </c>
      <c r="G164" s="24">
        <f t="shared" si="5"/>
        <v>2022</v>
      </c>
      <c r="H164" s="5">
        <v>20170040938</v>
      </c>
      <c r="I164" s="5" t="s">
        <v>527</v>
      </c>
      <c r="J164" s="5" t="s">
        <v>528</v>
      </c>
      <c r="K164" s="8">
        <v>0.05</v>
      </c>
      <c r="L164" s="8">
        <v>0.05</v>
      </c>
      <c r="M164" s="8">
        <v>0.05</v>
      </c>
      <c r="N164" s="5" t="s">
        <v>42</v>
      </c>
      <c r="O164" s="8">
        <v>2</v>
      </c>
      <c r="P164" s="5" t="s">
        <v>80</v>
      </c>
      <c r="Q164" s="8">
        <v>0.2</v>
      </c>
      <c r="R164" s="9">
        <v>4</v>
      </c>
      <c r="S164" s="9">
        <v>0.1</v>
      </c>
      <c r="T164" s="5" t="s">
        <v>529</v>
      </c>
      <c r="U164" s="5" t="s">
        <v>116</v>
      </c>
      <c r="V164" s="5" t="s">
        <v>40</v>
      </c>
      <c r="W164" s="5" t="s">
        <v>70</v>
      </c>
      <c r="X164" s="5" t="s">
        <v>117</v>
      </c>
      <c r="Y164" s="5" t="s">
        <v>339</v>
      </c>
      <c r="Z164" s="5" t="s">
        <v>530</v>
      </c>
      <c r="AA164" s="5" t="s">
        <v>531</v>
      </c>
      <c r="AB164" s="5" t="s">
        <v>531</v>
      </c>
      <c r="AC164" s="5" t="s">
        <v>531</v>
      </c>
      <c r="AD164" s="5" t="s">
        <v>531</v>
      </c>
      <c r="AE164" s="5" t="s">
        <v>531</v>
      </c>
      <c r="AF164" s="5" t="s">
        <v>121</v>
      </c>
      <c r="AG164" s="5" t="s">
        <v>532</v>
      </c>
      <c r="AH164" s="5" t="s">
        <v>533</v>
      </c>
      <c r="AI164" s="5" t="s">
        <v>50</v>
      </c>
    </row>
    <row r="165" spans="1:35" x14ac:dyDescent="0.3">
      <c r="A165" s="4">
        <v>713909000</v>
      </c>
      <c r="B165" s="5" t="s">
        <v>37</v>
      </c>
      <c r="C165" s="5" t="s">
        <v>38</v>
      </c>
      <c r="D165" s="5" t="s">
        <v>534</v>
      </c>
      <c r="E165" s="7">
        <v>45383</v>
      </c>
      <c r="F165" s="24">
        <f t="shared" si="4"/>
        <v>4</v>
      </c>
      <c r="G165" s="24">
        <f t="shared" si="5"/>
        <v>2024</v>
      </c>
      <c r="H165" s="5">
        <v>0</v>
      </c>
      <c r="I165" s="5" t="s">
        <v>40</v>
      </c>
      <c r="J165" s="5" t="s">
        <v>41</v>
      </c>
      <c r="K165" s="8">
        <v>15100</v>
      </c>
      <c r="L165" s="8">
        <v>15000</v>
      </c>
      <c r="M165" s="8">
        <v>15000</v>
      </c>
      <c r="N165" s="5" t="s">
        <v>42</v>
      </c>
      <c r="O165" s="8">
        <v>15000</v>
      </c>
      <c r="P165" s="5" t="s">
        <v>42</v>
      </c>
      <c r="Q165" s="8">
        <v>10500</v>
      </c>
      <c r="R165" s="9">
        <v>0.7</v>
      </c>
      <c r="S165" s="9">
        <v>0.7</v>
      </c>
      <c r="T165" s="5" t="s">
        <v>43</v>
      </c>
      <c r="U165" s="5" t="s">
        <v>44</v>
      </c>
      <c r="V165" s="5" t="s">
        <v>40</v>
      </c>
      <c r="W165" s="5" t="s">
        <v>45</v>
      </c>
      <c r="X165" s="5" t="s">
        <v>40</v>
      </c>
      <c r="Y165" s="5" t="s">
        <v>46</v>
      </c>
      <c r="Z165" s="5" t="s">
        <v>535</v>
      </c>
      <c r="AA165" s="5" t="s">
        <v>536</v>
      </c>
      <c r="AB165" s="5" t="s">
        <v>536</v>
      </c>
      <c r="AC165" s="5" t="s">
        <v>536</v>
      </c>
      <c r="AD165" s="5" t="s">
        <v>536</v>
      </c>
      <c r="AE165" s="5" t="s">
        <v>536</v>
      </c>
      <c r="AF165" s="5" t="s">
        <v>49</v>
      </c>
      <c r="AG165" s="5" t="s">
        <v>49</v>
      </c>
      <c r="AH165" s="5" t="s">
        <v>49</v>
      </c>
      <c r="AI165" s="5" t="s">
        <v>50</v>
      </c>
    </row>
    <row r="166" spans="1:35" x14ac:dyDescent="0.3">
      <c r="A166" s="4">
        <v>713909000</v>
      </c>
      <c r="B166" s="5" t="s">
        <v>37</v>
      </c>
      <c r="C166" s="5" t="s">
        <v>537</v>
      </c>
      <c r="D166" s="5" t="s">
        <v>538</v>
      </c>
      <c r="E166" s="7">
        <v>45294</v>
      </c>
      <c r="F166" s="24">
        <f t="shared" si="4"/>
        <v>1</v>
      </c>
      <c r="G166" s="24">
        <f t="shared" si="5"/>
        <v>2024</v>
      </c>
      <c r="H166" s="5">
        <v>20602656315</v>
      </c>
      <c r="I166" s="5" t="s">
        <v>539</v>
      </c>
      <c r="J166" s="5" t="s">
        <v>540</v>
      </c>
      <c r="K166" s="8">
        <v>5130</v>
      </c>
      <c r="L166" s="8">
        <v>5125</v>
      </c>
      <c r="M166" s="8">
        <v>5125</v>
      </c>
      <c r="N166" s="5" t="s">
        <v>42</v>
      </c>
      <c r="O166" s="8">
        <v>205</v>
      </c>
      <c r="P166" s="5" t="s">
        <v>80</v>
      </c>
      <c r="Q166" s="8">
        <v>410</v>
      </c>
      <c r="R166" s="9">
        <v>0.08</v>
      </c>
      <c r="S166" s="9">
        <v>2</v>
      </c>
      <c r="T166" s="5" t="s">
        <v>541</v>
      </c>
      <c r="U166" s="5" t="s">
        <v>542</v>
      </c>
      <c r="V166" s="5" t="s">
        <v>40</v>
      </c>
      <c r="W166" s="5" t="s">
        <v>45</v>
      </c>
      <c r="X166" s="5" t="s">
        <v>40</v>
      </c>
      <c r="Y166" s="5" t="s">
        <v>543</v>
      </c>
      <c r="Z166" s="5" t="s">
        <v>544</v>
      </c>
      <c r="AA166" s="5" t="s">
        <v>545</v>
      </c>
      <c r="AB166" s="5" t="s">
        <v>545</v>
      </c>
      <c r="AC166" s="5" t="s">
        <v>545</v>
      </c>
      <c r="AD166" s="5" t="s">
        <v>545</v>
      </c>
      <c r="AE166" s="5" t="s">
        <v>545</v>
      </c>
      <c r="AF166" s="5" t="s">
        <v>49</v>
      </c>
      <c r="AG166" s="5" t="s">
        <v>49</v>
      </c>
      <c r="AH166" s="5" t="s">
        <v>49</v>
      </c>
      <c r="AI166" s="5" t="s">
        <v>50</v>
      </c>
    </row>
    <row r="167" spans="1:35" x14ac:dyDescent="0.3">
      <c r="A167" s="4">
        <v>713909000</v>
      </c>
      <c r="B167" s="5" t="s">
        <v>37</v>
      </c>
      <c r="C167" s="5" t="s">
        <v>38</v>
      </c>
      <c r="D167" s="5" t="s">
        <v>546</v>
      </c>
      <c r="E167" s="7">
        <v>45355</v>
      </c>
      <c r="F167" s="24">
        <f t="shared" si="4"/>
        <v>3</v>
      </c>
      <c r="G167" s="24">
        <f t="shared" si="5"/>
        <v>2024</v>
      </c>
      <c r="H167" s="5">
        <v>0</v>
      </c>
      <c r="I167" s="5" t="s">
        <v>40</v>
      </c>
      <c r="J167" s="5" t="s">
        <v>547</v>
      </c>
      <c r="K167" s="8">
        <v>18021.8</v>
      </c>
      <c r="L167" s="8">
        <v>17950</v>
      </c>
      <c r="M167" s="8">
        <v>17950</v>
      </c>
      <c r="N167" s="5" t="s">
        <v>42</v>
      </c>
      <c r="O167" s="8">
        <v>359</v>
      </c>
      <c r="P167" s="5" t="s">
        <v>80</v>
      </c>
      <c r="Q167" s="8">
        <v>13283</v>
      </c>
      <c r="R167" s="9">
        <v>0.74</v>
      </c>
      <c r="S167" s="9">
        <v>37</v>
      </c>
      <c r="T167" s="5" t="s">
        <v>43</v>
      </c>
      <c r="U167" s="5" t="s">
        <v>44</v>
      </c>
      <c r="V167" s="5" t="s">
        <v>40</v>
      </c>
      <c r="W167" s="5" t="s">
        <v>45</v>
      </c>
      <c r="X167" s="5" t="s">
        <v>40</v>
      </c>
      <c r="Y167" s="5" t="s">
        <v>132</v>
      </c>
      <c r="Z167" s="5" t="s">
        <v>548</v>
      </c>
      <c r="AA167" s="5" t="s">
        <v>549</v>
      </c>
      <c r="AB167" s="5" t="s">
        <v>549</v>
      </c>
      <c r="AC167" s="5" t="s">
        <v>549</v>
      </c>
      <c r="AD167" s="5" t="s">
        <v>549</v>
      </c>
      <c r="AE167" s="5" t="s">
        <v>549</v>
      </c>
      <c r="AF167" s="5" t="s">
        <v>49</v>
      </c>
      <c r="AG167" s="5" t="s">
        <v>49</v>
      </c>
      <c r="AH167" s="5" t="s">
        <v>49</v>
      </c>
      <c r="AI167" s="5" t="s">
        <v>377</v>
      </c>
    </row>
    <row r="168" spans="1:35" x14ac:dyDescent="0.3">
      <c r="A168" s="4">
        <v>713909000</v>
      </c>
      <c r="B168" s="5" t="s">
        <v>37</v>
      </c>
      <c r="C168" s="5" t="s">
        <v>38</v>
      </c>
      <c r="D168" s="5" t="s">
        <v>550</v>
      </c>
      <c r="E168" s="7">
        <v>45344</v>
      </c>
      <c r="F168" s="24">
        <f t="shared" si="4"/>
        <v>2</v>
      </c>
      <c r="G168" s="24">
        <f t="shared" si="5"/>
        <v>2024</v>
      </c>
      <c r="H168" s="5">
        <v>0</v>
      </c>
      <c r="I168" s="5" t="s">
        <v>40</v>
      </c>
      <c r="J168" s="5" t="s">
        <v>41</v>
      </c>
      <c r="K168" s="8">
        <v>5030</v>
      </c>
      <c r="L168" s="8">
        <v>5000</v>
      </c>
      <c r="M168" s="8">
        <v>5000</v>
      </c>
      <c r="N168" s="5" t="s">
        <v>42</v>
      </c>
      <c r="O168" s="8">
        <v>5000</v>
      </c>
      <c r="P168" s="5" t="s">
        <v>42</v>
      </c>
      <c r="Q168" s="8">
        <v>3500</v>
      </c>
      <c r="R168" s="9">
        <v>0.7</v>
      </c>
      <c r="S168" s="9">
        <v>0.7</v>
      </c>
      <c r="T168" s="5" t="s">
        <v>43</v>
      </c>
      <c r="U168" s="5" t="s">
        <v>44</v>
      </c>
      <c r="V168" s="5" t="s">
        <v>40</v>
      </c>
      <c r="W168" s="5" t="s">
        <v>45</v>
      </c>
      <c r="X168" s="5" t="s">
        <v>40</v>
      </c>
      <c r="Y168" s="5" t="s">
        <v>46</v>
      </c>
      <c r="Z168" s="5" t="s">
        <v>551</v>
      </c>
      <c r="AA168" s="5" t="s">
        <v>552</v>
      </c>
      <c r="AB168" s="5" t="s">
        <v>552</v>
      </c>
      <c r="AC168" s="5" t="s">
        <v>552</v>
      </c>
      <c r="AD168" s="5" t="s">
        <v>552</v>
      </c>
      <c r="AE168" s="5" t="s">
        <v>552</v>
      </c>
      <c r="AF168" s="5" t="s">
        <v>49</v>
      </c>
      <c r="AG168" s="5" t="s">
        <v>49</v>
      </c>
      <c r="AH168" s="5" t="s">
        <v>49</v>
      </c>
      <c r="AI168" s="5" t="s">
        <v>50</v>
      </c>
    </row>
    <row r="169" spans="1:35" x14ac:dyDescent="0.3">
      <c r="A169" s="4">
        <v>713909000</v>
      </c>
      <c r="B169" s="5" t="s">
        <v>37</v>
      </c>
      <c r="C169" s="5" t="s">
        <v>38</v>
      </c>
      <c r="D169" s="5" t="s">
        <v>553</v>
      </c>
      <c r="E169" s="7">
        <v>44824</v>
      </c>
      <c r="F169" s="24">
        <f t="shared" si="4"/>
        <v>9</v>
      </c>
      <c r="G169" s="24">
        <f t="shared" si="5"/>
        <v>2022</v>
      </c>
      <c r="H169" s="5">
        <v>0</v>
      </c>
      <c r="I169" s="5" t="s">
        <v>40</v>
      </c>
      <c r="J169" s="5" t="s">
        <v>554</v>
      </c>
      <c r="K169" s="8">
        <v>11100</v>
      </c>
      <c r="L169" s="8">
        <v>11050</v>
      </c>
      <c r="M169" s="8">
        <v>11050</v>
      </c>
      <c r="N169" s="5" t="s">
        <v>42</v>
      </c>
      <c r="O169" s="8">
        <v>11.05</v>
      </c>
      <c r="P169" s="5" t="s">
        <v>42</v>
      </c>
      <c r="Q169" s="8">
        <v>25636</v>
      </c>
      <c r="R169" s="9">
        <v>2.3199999999999998</v>
      </c>
      <c r="S169" s="9">
        <v>2320</v>
      </c>
      <c r="T169" s="5" t="s">
        <v>43</v>
      </c>
      <c r="U169" s="5" t="s">
        <v>44</v>
      </c>
      <c r="V169" s="5" t="s">
        <v>40</v>
      </c>
      <c r="W169" s="5" t="s">
        <v>45</v>
      </c>
      <c r="X169" s="5" t="s">
        <v>40</v>
      </c>
      <c r="Y169" s="5" t="s">
        <v>555</v>
      </c>
      <c r="Z169" s="5" t="s">
        <v>556</v>
      </c>
      <c r="AA169" s="5" t="s">
        <v>557</v>
      </c>
      <c r="AB169" s="5" t="s">
        <v>557</v>
      </c>
      <c r="AC169" s="5" t="s">
        <v>557</v>
      </c>
      <c r="AD169" s="5" t="s">
        <v>557</v>
      </c>
      <c r="AE169" s="5" t="s">
        <v>557</v>
      </c>
      <c r="AF169" s="5" t="s">
        <v>49</v>
      </c>
      <c r="AG169" s="5" t="s">
        <v>49</v>
      </c>
      <c r="AH169" s="5" t="s">
        <v>49</v>
      </c>
      <c r="AI169" s="5" t="s">
        <v>377</v>
      </c>
    </row>
    <row r="170" spans="1:35" x14ac:dyDescent="0.3">
      <c r="A170" s="4">
        <v>713909000</v>
      </c>
      <c r="B170" s="5" t="s">
        <v>37</v>
      </c>
      <c r="C170" s="5" t="s">
        <v>38</v>
      </c>
      <c r="D170" s="5" t="s">
        <v>558</v>
      </c>
      <c r="E170" s="7">
        <v>45310</v>
      </c>
      <c r="F170" s="24">
        <f t="shared" si="4"/>
        <v>1</v>
      </c>
      <c r="G170" s="24">
        <f t="shared" si="5"/>
        <v>2024</v>
      </c>
      <c r="H170" s="5">
        <v>0</v>
      </c>
      <c r="I170" s="5" t="s">
        <v>40</v>
      </c>
      <c r="J170" s="5" t="s">
        <v>41</v>
      </c>
      <c r="K170" s="8">
        <v>3520</v>
      </c>
      <c r="L170" s="8">
        <v>3500</v>
      </c>
      <c r="M170" s="8">
        <v>3500</v>
      </c>
      <c r="N170" s="5" t="s">
        <v>42</v>
      </c>
      <c r="O170" s="8">
        <v>3500</v>
      </c>
      <c r="P170" s="5" t="s">
        <v>42</v>
      </c>
      <c r="Q170" s="8">
        <v>2450</v>
      </c>
      <c r="R170" s="9">
        <v>0.7</v>
      </c>
      <c r="S170" s="9">
        <v>0.7</v>
      </c>
      <c r="T170" s="5" t="s">
        <v>43</v>
      </c>
      <c r="U170" s="5" t="s">
        <v>44</v>
      </c>
      <c r="V170" s="5" t="s">
        <v>40</v>
      </c>
      <c r="W170" s="5" t="s">
        <v>45</v>
      </c>
      <c r="X170" s="5" t="s">
        <v>40</v>
      </c>
      <c r="Y170" s="5" t="s">
        <v>46</v>
      </c>
      <c r="Z170" s="5" t="s">
        <v>559</v>
      </c>
      <c r="AA170" s="5" t="s">
        <v>560</v>
      </c>
      <c r="AB170" s="5" t="s">
        <v>560</v>
      </c>
      <c r="AC170" s="5" t="s">
        <v>560</v>
      </c>
      <c r="AD170" s="5" t="s">
        <v>560</v>
      </c>
      <c r="AE170" s="5" t="s">
        <v>560</v>
      </c>
      <c r="AF170" s="5" t="s">
        <v>49</v>
      </c>
      <c r="AG170" s="5" t="s">
        <v>49</v>
      </c>
      <c r="AH170" s="5" t="s">
        <v>49</v>
      </c>
      <c r="AI170" s="5" t="s">
        <v>50</v>
      </c>
    </row>
    <row r="171" spans="1:35" x14ac:dyDescent="0.3">
      <c r="A171" s="4">
        <v>713909000</v>
      </c>
      <c r="B171" s="5" t="s">
        <v>37</v>
      </c>
      <c r="C171" s="5" t="s">
        <v>38</v>
      </c>
      <c r="D171" s="5" t="s">
        <v>561</v>
      </c>
      <c r="E171" s="7">
        <v>45261</v>
      </c>
      <c r="F171" s="24">
        <f t="shared" si="4"/>
        <v>12</v>
      </c>
      <c r="G171" s="24">
        <f t="shared" si="5"/>
        <v>2023</v>
      </c>
      <c r="H171" s="5">
        <v>0</v>
      </c>
      <c r="I171" s="5" t="s">
        <v>40</v>
      </c>
      <c r="J171" s="5" t="s">
        <v>41</v>
      </c>
      <c r="K171" s="8">
        <v>3770</v>
      </c>
      <c r="L171" s="8">
        <v>3750</v>
      </c>
      <c r="M171" s="8">
        <v>3750</v>
      </c>
      <c r="N171" s="5" t="s">
        <v>42</v>
      </c>
      <c r="O171" s="8">
        <v>3750</v>
      </c>
      <c r="P171" s="5" t="s">
        <v>42</v>
      </c>
      <c r="Q171" s="8">
        <v>3000</v>
      </c>
      <c r="R171" s="9">
        <v>0.8</v>
      </c>
      <c r="S171" s="9">
        <v>0.8</v>
      </c>
      <c r="T171" s="5" t="s">
        <v>43</v>
      </c>
      <c r="U171" s="5" t="s">
        <v>44</v>
      </c>
      <c r="V171" s="5" t="s">
        <v>40</v>
      </c>
      <c r="W171" s="5" t="s">
        <v>45</v>
      </c>
      <c r="X171" s="5" t="s">
        <v>40</v>
      </c>
      <c r="Y171" s="5" t="s">
        <v>46</v>
      </c>
      <c r="Z171" s="5" t="s">
        <v>562</v>
      </c>
      <c r="AA171" s="5" t="s">
        <v>563</v>
      </c>
      <c r="AB171" s="5" t="s">
        <v>563</v>
      </c>
      <c r="AC171" s="5" t="s">
        <v>563</v>
      </c>
      <c r="AD171" s="5" t="s">
        <v>563</v>
      </c>
      <c r="AE171" s="5" t="s">
        <v>563</v>
      </c>
      <c r="AF171" s="5" t="s">
        <v>49</v>
      </c>
      <c r="AG171" s="5" t="s">
        <v>49</v>
      </c>
      <c r="AH171" s="5" t="s">
        <v>49</v>
      </c>
      <c r="AI171" s="5" t="s">
        <v>50</v>
      </c>
    </row>
    <row r="172" spans="1:35" x14ac:dyDescent="0.3">
      <c r="A172" s="4">
        <v>713909000</v>
      </c>
      <c r="B172" s="5" t="s">
        <v>37</v>
      </c>
      <c r="C172" s="5" t="s">
        <v>63</v>
      </c>
      <c r="D172" s="5" t="s">
        <v>564</v>
      </c>
      <c r="E172" s="7">
        <v>45420</v>
      </c>
      <c r="F172" s="24">
        <f t="shared" si="4"/>
        <v>5</v>
      </c>
      <c r="G172" s="24">
        <f t="shared" si="5"/>
        <v>2024</v>
      </c>
      <c r="H172" s="5">
        <v>20450130908</v>
      </c>
      <c r="I172" s="5" t="s">
        <v>565</v>
      </c>
      <c r="J172" s="5" t="s">
        <v>566</v>
      </c>
      <c r="K172" s="8">
        <v>1546.01</v>
      </c>
      <c r="L172" s="8">
        <v>1250</v>
      </c>
      <c r="M172" s="8">
        <v>1250</v>
      </c>
      <c r="N172" s="5" t="s">
        <v>42</v>
      </c>
      <c r="O172" s="8">
        <v>50</v>
      </c>
      <c r="P172" s="5" t="s">
        <v>103</v>
      </c>
      <c r="Q172" s="8">
        <v>3400</v>
      </c>
      <c r="R172" s="9">
        <v>2.72</v>
      </c>
      <c r="S172" s="9">
        <v>68</v>
      </c>
      <c r="T172" s="5" t="s">
        <v>529</v>
      </c>
      <c r="U172" s="5" t="s">
        <v>116</v>
      </c>
      <c r="V172" s="5" t="s">
        <v>40</v>
      </c>
      <c r="W172" s="5" t="s">
        <v>70</v>
      </c>
      <c r="X172" s="5" t="s">
        <v>117</v>
      </c>
      <c r="Y172" s="5" t="s">
        <v>287</v>
      </c>
      <c r="Z172" s="5" t="s">
        <v>567</v>
      </c>
      <c r="AA172" s="5" t="s">
        <v>568</v>
      </c>
      <c r="AB172" s="5" t="s">
        <v>568</v>
      </c>
      <c r="AC172" s="5" t="s">
        <v>568</v>
      </c>
      <c r="AD172" s="5" t="s">
        <v>568</v>
      </c>
      <c r="AE172" s="5" t="s">
        <v>568</v>
      </c>
      <c r="AF172" s="5" t="s">
        <v>112</v>
      </c>
      <c r="AG172" s="5" t="s">
        <v>76</v>
      </c>
      <c r="AH172" s="5" t="s">
        <v>76</v>
      </c>
      <c r="AI172" s="5" t="s">
        <v>50</v>
      </c>
    </row>
    <row r="173" spans="1:35" x14ac:dyDescent="0.3">
      <c r="A173" s="4">
        <v>713909000</v>
      </c>
      <c r="B173" s="5" t="s">
        <v>37</v>
      </c>
      <c r="C173" s="5" t="s">
        <v>63</v>
      </c>
      <c r="D173" s="5" t="s">
        <v>569</v>
      </c>
      <c r="E173" s="7">
        <v>44845</v>
      </c>
      <c r="F173" s="24">
        <f t="shared" si="4"/>
        <v>10</v>
      </c>
      <c r="G173" s="24">
        <f t="shared" si="5"/>
        <v>2022</v>
      </c>
      <c r="H173" s="5">
        <v>20565443993</v>
      </c>
      <c r="I173" s="5" t="s">
        <v>143</v>
      </c>
      <c r="J173" s="5" t="s">
        <v>144</v>
      </c>
      <c r="K173" s="8">
        <v>3007.14</v>
      </c>
      <c r="L173" s="8">
        <v>2856.78</v>
      </c>
      <c r="M173" s="8">
        <v>2856.78</v>
      </c>
      <c r="N173" s="5" t="s">
        <v>42</v>
      </c>
      <c r="O173" s="8">
        <v>174</v>
      </c>
      <c r="P173" s="5" t="s">
        <v>67</v>
      </c>
      <c r="Q173" s="8">
        <v>7470</v>
      </c>
      <c r="R173" s="9">
        <v>2.6139999999999999</v>
      </c>
      <c r="S173" s="9">
        <v>42.930999999999997</v>
      </c>
      <c r="T173" s="5" t="s">
        <v>68</v>
      </c>
      <c r="U173" s="5" t="s">
        <v>69</v>
      </c>
      <c r="V173" s="5" t="s">
        <v>40</v>
      </c>
      <c r="W173" s="5" t="s">
        <v>70</v>
      </c>
      <c r="X173" s="5" t="s">
        <v>71</v>
      </c>
      <c r="Y173" s="5" t="s">
        <v>383</v>
      </c>
      <c r="Z173" s="5" t="s">
        <v>570</v>
      </c>
      <c r="AA173" s="5" t="s">
        <v>571</v>
      </c>
      <c r="AB173" s="5" t="s">
        <v>571</v>
      </c>
      <c r="AC173" s="5" t="s">
        <v>571</v>
      </c>
      <c r="AD173" s="5" t="s">
        <v>571</v>
      </c>
      <c r="AE173" s="5" t="s">
        <v>571</v>
      </c>
      <c r="AF173" s="5" t="s">
        <v>75</v>
      </c>
      <c r="AG173" s="5" t="s">
        <v>76</v>
      </c>
      <c r="AH173" s="5" t="s">
        <v>76</v>
      </c>
      <c r="AI173" s="5" t="s">
        <v>50</v>
      </c>
    </row>
    <row r="174" spans="1:35" x14ac:dyDescent="0.3">
      <c r="A174" s="4">
        <v>713909000</v>
      </c>
      <c r="B174" s="5" t="s">
        <v>37</v>
      </c>
      <c r="C174" s="5" t="s">
        <v>38</v>
      </c>
      <c r="D174" s="5" t="s">
        <v>572</v>
      </c>
      <c r="E174" s="7">
        <v>45247</v>
      </c>
      <c r="F174" s="24">
        <f t="shared" si="4"/>
        <v>11</v>
      </c>
      <c r="G174" s="24">
        <f t="shared" si="5"/>
        <v>2023</v>
      </c>
      <c r="H174" s="5">
        <v>0</v>
      </c>
      <c r="I174" s="5" t="s">
        <v>40</v>
      </c>
      <c r="J174" s="5" t="s">
        <v>41</v>
      </c>
      <c r="K174" s="8">
        <v>3770</v>
      </c>
      <c r="L174" s="8">
        <v>3750</v>
      </c>
      <c r="M174" s="8">
        <v>3750</v>
      </c>
      <c r="N174" s="5" t="s">
        <v>42</v>
      </c>
      <c r="O174" s="8">
        <v>3750</v>
      </c>
      <c r="P174" s="5" t="s">
        <v>42</v>
      </c>
      <c r="Q174" s="8">
        <v>2625</v>
      </c>
      <c r="R174" s="9">
        <v>0.7</v>
      </c>
      <c r="S174" s="9">
        <v>0.7</v>
      </c>
      <c r="T174" s="5" t="s">
        <v>43</v>
      </c>
      <c r="U174" s="5" t="s">
        <v>44</v>
      </c>
      <c r="V174" s="5" t="s">
        <v>40</v>
      </c>
      <c r="W174" s="5" t="s">
        <v>45</v>
      </c>
      <c r="X174" s="5" t="s">
        <v>40</v>
      </c>
      <c r="Y174" s="5" t="s">
        <v>46</v>
      </c>
      <c r="Z174" s="5" t="s">
        <v>573</v>
      </c>
      <c r="AA174" s="5" t="s">
        <v>574</v>
      </c>
      <c r="AB174" s="5" t="s">
        <v>574</v>
      </c>
      <c r="AC174" s="5" t="s">
        <v>574</v>
      </c>
      <c r="AD174" s="5" t="s">
        <v>574</v>
      </c>
      <c r="AE174" s="5" t="s">
        <v>574</v>
      </c>
      <c r="AF174" s="5" t="s">
        <v>49</v>
      </c>
      <c r="AG174" s="5" t="s">
        <v>49</v>
      </c>
      <c r="AH174" s="5" t="s">
        <v>49</v>
      </c>
      <c r="AI174" s="5" t="s">
        <v>50</v>
      </c>
    </row>
    <row r="175" spans="1:35" x14ac:dyDescent="0.3">
      <c r="A175" s="4">
        <v>713909000</v>
      </c>
      <c r="B175" s="5" t="s">
        <v>37</v>
      </c>
      <c r="C175" s="5" t="s">
        <v>38</v>
      </c>
      <c r="D175" s="5" t="s">
        <v>575</v>
      </c>
      <c r="E175" s="7">
        <v>45234</v>
      </c>
      <c r="F175" s="24">
        <f t="shared" si="4"/>
        <v>11</v>
      </c>
      <c r="G175" s="24">
        <f t="shared" si="5"/>
        <v>2023</v>
      </c>
      <c r="H175" s="5">
        <v>0</v>
      </c>
      <c r="I175" s="5" t="s">
        <v>40</v>
      </c>
      <c r="J175" s="5" t="s">
        <v>41</v>
      </c>
      <c r="K175" s="8">
        <v>9520</v>
      </c>
      <c r="L175" s="8">
        <v>9500</v>
      </c>
      <c r="M175" s="8">
        <v>9500</v>
      </c>
      <c r="N175" s="5" t="s">
        <v>42</v>
      </c>
      <c r="O175" s="8">
        <v>9500</v>
      </c>
      <c r="P175" s="5" t="s">
        <v>42</v>
      </c>
      <c r="Q175" s="8">
        <v>7600</v>
      </c>
      <c r="R175" s="9">
        <v>0.8</v>
      </c>
      <c r="S175" s="9">
        <v>0.8</v>
      </c>
      <c r="T175" s="5" t="s">
        <v>43</v>
      </c>
      <c r="U175" s="5" t="s">
        <v>44</v>
      </c>
      <c r="V175" s="5" t="s">
        <v>40</v>
      </c>
      <c r="W175" s="5" t="s">
        <v>45</v>
      </c>
      <c r="X175" s="5" t="s">
        <v>40</v>
      </c>
      <c r="Y175" s="5" t="s">
        <v>46</v>
      </c>
      <c r="Z175" s="5" t="s">
        <v>576</v>
      </c>
      <c r="AA175" s="5" t="s">
        <v>577</v>
      </c>
      <c r="AB175" s="5" t="s">
        <v>577</v>
      </c>
      <c r="AC175" s="5" t="s">
        <v>577</v>
      </c>
      <c r="AD175" s="5" t="s">
        <v>577</v>
      </c>
      <c r="AE175" s="5" t="s">
        <v>577</v>
      </c>
      <c r="AF175" s="5" t="s">
        <v>49</v>
      </c>
      <c r="AG175" s="5" t="s">
        <v>49</v>
      </c>
      <c r="AH175" s="5" t="s">
        <v>49</v>
      </c>
      <c r="AI175" s="5" t="s">
        <v>50</v>
      </c>
    </row>
    <row r="176" spans="1:35" x14ac:dyDescent="0.3">
      <c r="A176" s="4">
        <v>713909000</v>
      </c>
      <c r="B176" s="5" t="s">
        <v>37</v>
      </c>
      <c r="C176" s="5" t="s">
        <v>38</v>
      </c>
      <c r="D176" s="5" t="s">
        <v>578</v>
      </c>
      <c r="E176" s="7">
        <v>45216</v>
      </c>
      <c r="F176" s="24">
        <f t="shared" si="4"/>
        <v>10</v>
      </c>
      <c r="G176" s="24">
        <f t="shared" si="5"/>
        <v>2023</v>
      </c>
      <c r="H176" s="5">
        <v>0</v>
      </c>
      <c r="I176" s="5" t="s">
        <v>40</v>
      </c>
      <c r="J176" s="5" t="s">
        <v>579</v>
      </c>
      <c r="K176" s="8">
        <v>4320</v>
      </c>
      <c r="L176" s="8">
        <v>4300</v>
      </c>
      <c r="M176" s="8">
        <v>4300</v>
      </c>
      <c r="N176" s="5" t="s">
        <v>42</v>
      </c>
      <c r="O176" s="8">
        <v>4300</v>
      </c>
      <c r="P176" s="5" t="s">
        <v>42</v>
      </c>
      <c r="Q176" s="8">
        <v>3440</v>
      </c>
      <c r="R176" s="9">
        <v>0.8</v>
      </c>
      <c r="S176" s="9">
        <v>0.8</v>
      </c>
      <c r="T176" s="5" t="s">
        <v>43</v>
      </c>
      <c r="U176" s="5" t="s">
        <v>44</v>
      </c>
      <c r="V176" s="5" t="s">
        <v>40</v>
      </c>
      <c r="W176" s="5" t="s">
        <v>45</v>
      </c>
      <c r="X176" s="5" t="s">
        <v>40</v>
      </c>
      <c r="Y176" s="5" t="s">
        <v>46</v>
      </c>
      <c r="Z176" s="5" t="s">
        <v>580</v>
      </c>
      <c r="AA176" s="5" t="s">
        <v>581</v>
      </c>
      <c r="AB176" s="5" t="s">
        <v>581</v>
      </c>
      <c r="AC176" s="5" t="s">
        <v>581</v>
      </c>
      <c r="AD176" s="5" t="s">
        <v>581</v>
      </c>
      <c r="AE176" s="5" t="s">
        <v>581</v>
      </c>
      <c r="AF176" s="5" t="s">
        <v>49</v>
      </c>
      <c r="AG176" s="5" t="s">
        <v>49</v>
      </c>
      <c r="AH176" s="5" t="s">
        <v>49</v>
      </c>
      <c r="AI176" s="5" t="s">
        <v>50</v>
      </c>
    </row>
    <row r="177" spans="1:35" x14ac:dyDescent="0.3">
      <c r="A177" s="4">
        <v>713909000</v>
      </c>
      <c r="B177" s="5" t="s">
        <v>37</v>
      </c>
      <c r="C177" s="5" t="s">
        <v>233</v>
      </c>
      <c r="D177" s="5" t="s">
        <v>582</v>
      </c>
      <c r="E177" s="7">
        <v>44891</v>
      </c>
      <c r="F177" s="24">
        <f t="shared" si="4"/>
        <v>11</v>
      </c>
      <c r="G177" s="24">
        <f t="shared" si="5"/>
        <v>2022</v>
      </c>
      <c r="H177" s="5">
        <v>20603444346</v>
      </c>
      <c r="I177" s="5" t="s">
        <v>583</v>
      </c>
      <c r="J177" s="5" t="s">
        <v>584</v>
      </c>
      <c r="K177" s="8">
        <v>114.6</v>
      </c>
      <c r="L177" s="8">
        <v>108.87</v>
      </c>
      <c r="M177" s="8">
        <v>108.87</v>
      </c>
      <c r="N177" s="5" t="s">
        <v>42</v>
      </c>
      <c r="O177" s="8">
        <v>260</v>
      </c>
      <c r="P177" s="5" t="s">
        <v>585</v>
      </c>
      <c r="Q177" s="8">
        <v>419</v>
      </c>
      <c r="R177" s="9">
        <v>3.8479999999999999</v>
      </c>
      <c r="S177" s="9">
        <v>1.611</v>
      </c>
      <c r="T177" s="5" t="s">
        <v>237</v>
      </c>
      <c r="U177" s="5" t="s">
        <v>586</v>
      </c>
      <c r="V177" s="5" t="s">
        <v>40</v>
      </c>
      <c r="W177" s="5" t="s">
        <v>239</v>
      </c>
      <c r="X177" s="5" t="s">
        <v>587</v>
      </c>
      <c r="Y177" s="5" t="s">
        <v>588</v>
      </c>
      <c r="Z177" s="5" t="s">
        <v>589</v>
      </c>
      <c r="AA177" s="5" t="s">
        <v>590</v>
      </c>
      <c r="AB177" s="5" t="s">
        <v>590</v>
      </c>
      <c r="AC177" s="5" t="s">
        <v>590</v>
      </c>
      <c r="AD177" s="5" t="s">
        <v>590</v>
      </c>
      <c r="AE177" s="5" t="s">
        <v>590</v>
      </c>
      <c r="AF177" s="5" t="s">
        <v>591</v>
      </c>
      <c r="AG177" s="5" t="s">
        <v>76</v>
      </c>
      <c r="AH177" s="5" t="s">
        <v>76</v>
      </c>
      <c r="AI177" s="5" t="s">
        <v>50</v>
      </c>
    </row>
    <row r="178" spans="1:35" x14ac:dyDescent="0.3">
      <c r="A178" s="4">
        <v>713909000</v>
      </c>
      <c r="B178" s="5" t="s">
        <v>37</v>
      </c>
      <c r="C178" s="5" t="s">
        <v>63</v>
      </c>
      <c r="D178" s="5" t="s">
        <v>592</v>
      </c>
      <c r="E178" s="7">
        <v>45321</v>
      </c>
      <c r="F178" s="24">
        <f t="shared" si="4"/>
        <v>1</v>
      </c>
      <c r="G178" s="24">
        <f t="shared" si="5"/>
        <v>2024</v>
      </c>
      <c r="H178" s="5">
        <v>20565443993</v>
      </c>
      <c r="I178" s="5" t="s">
        <v>143</v>
      </c>
      <c r="J178" s="5" t="s">
        <v>144</v>
      </c>
      <c r="K178" s="8">
        <v>1864.2</v>
      </c>
      <c r="L178" s="8">
        <v>1784.76</v>
      </c>
      <c r="M178" s="8">
        <v>1784.76</v>
      </c>
      <c r="N178" s="5" t="s">
        <v>42</v>
      </c>
      <c r="O178" s="8">
        <v>197</v>
      </c>
      <c r="P178" s="5" t="s">
        <v>67</v>
      </c>
      <c r="Q178" s="8">
        <v>6287.79</v>
      </c>
      <c r="R178" s="9">
        <v>3.5230000000000001</v>
      </c>
      <c r="S178" s="9">
        <v>31.917000000000002</v>
      </c>
      <c r="T178" s="5" t="s">
        <v>68</v>
      </c>
      <c r="U178" s="5" t="s">
        <v>69</v>
      </c>
      <c r="V178" s="5" t="s">
        <v>40</v>
      </c>
      <c r="W178" s="5" t="s">
        <v>70</v>
      </c>
      <c r="X178" s="5" t="s">
        <v>71</v>
      </c>
      <c r="Y178" s="5" t="s">
        <v>72</v>
      </c>
      <c r="Z178" s="5" t="s">
        <v>593</v>
      </c>
      <c r="AA178" s="5" t="s">
        <v>594</v>
      </c>
      <c r="AB178" s="5" t="s">
        <v>594</v>
      </c>
      <c r="AC178" s="5" t="s">
        <v>594</v>
      </c>
      <c r="AD178" s="5" t="s">
        <v>594</v>
      </c>
      <c r="AE178" s="5" t="s">
        <v>594</v>
      </c>
      <c r="AF178" s="5" t="s">
        <v>75</v>
      </c>
      <c r="AG178" s="5" t="s">
        <v>76</v>
      </c>
      <c r="AH178" s="5" t="s">
        <v>76</v>
      </c>
      <c r="AI178" s="5" t="s">
        <v>50</v>
      </c>
    </row>
    <row r="179" spans="1:35" x14ac:dyDescent="0.3">
      <c r="A179" s="4">
        <v>713909000</v>
      </c>
      <c r="B179" s="5" t="s">
        <v>37</v>
      </c>
      <c r="C179" s="5" t="s">
        <v>233</v>
      </c>
      <c r="D179" s="5" t="s">
        <v>595</v>
      </c>
      <c r="E179" s="7">
        <v>44794</v>
      </c>
      <c r="F179" s="24">
        <f t="shared" si="4"/>
        <v>8</v>
      </c>
      <c r="G179" s="24">
        <f t="shared" si="5"/>
        <v>2022</v>
      </c>
      <c r="H179" s="5">
        <v>20603444346</v>
      </c>
      <c r="I179" s="5" t="s">
        <v>583</v>
      </c>
      <c r="J179" s="5" t="s">
        <v>584</v>
      </c>
      <c r="K179" s="8">
        <v>51.57</v>
      </c>
      <c r="L179" s="8">
        <v>48.99</v>
      </c>
      <c r="M179" s="8">
        <v>48.99</v>
      </c>
      <c r="N179" s="5" t="s">
        <v>42</v>
      </c>
      <c r="O179" s="8">
        <v>126</v>
      </c>
      <c r="P179" s="5" t="s">
        <v>585</v>
      </c>
      <c r="Q179" s="8">
        <v>202.86</v>
      </c>
      <c r="R179" s="9">
        <v>4.1399999999999997</v>
      </c>
      <c r="S179" s="9">
        <v>1.61</v>
      </c>
      <c r="T179" s="5" t="s">
        <v>237</v>
      </c>
      <c r="U179" s="5" t="s">
        <v>238</v>
      </c>
      <c r="V179" s="5" t="s">
        <v>40</v>
      </c>
      <c r="W179" s="5" t="s">
        <v>239</v>
      </c>
      <c r="X179" s="5" t="s">
        <v>240</v>
      </c>
      <c r="Y179" s="5" t="s">
        <v>588</v>
      </c>
      <c r="Z179" s="5" t="s">
        <v>596</v>
      </c>
      <c r="AA179" s="5" t="s">
        <v>597</v>
      </c>
      <c r="AB179" s="5" t="s">
        <v>597</v>
      </c>
      <c r="AC179" s="5" t="s">
        <v>597</v>
      </c>
      <c r="AD179" s="5" t="s">
        <v>597</v>
      </c>
      <c r="AE179" s="5" t="s">
        <v>597</v>
      </c>
      <c r="AF179" s="5" t="s">
        <v>243</v>
      </c>
      <c r="AG179" s="5" t="s">
        <v>76</v>
      </c>
      <c r="AH179" s="5" t="s">
        <v>76</v>
      </c>
      <c r="AI179" s="5" t="s">
        <v>50</v>
      </c>
    </row>
    <row r="180" spans="1:35" x14ac:dyDescent="0.3">
      <c r="A180" s="4">
        <v>713909000</v>
      </c>
      <c r="B180" s="5" t="s">
        <v>37</v>
      </c>
      <c r="C180" s="5" t="s">
        <v>38</v>
      </c>
      <c r="D180" s="5" t="s">
        <v>598</v>
      </c>
      <c r="E180" s="7">
        <v>45190</v>
      </c>
      <c r="F180" s="24">
        <f t="shared" si="4"/>
        <v>9</v>
      </c>
      <c r="G180" s="24">
        <f t="shared" si="5"/>
        <v>2023</v>
      </c>
      <c r="H180" s="5">
        <v>0</v>
      </c>
      <c r="I180" s="5" t="s">
        <v>40</v>
      </c>
      <c r="J180" s="5" t="s">
        <v>41</v>
      </c>
      <c r="K180" s="8">
        <v>10040</v>
      </c>
      <c r="L180" s="8">
        <v>10000</v>
      </c>
      <c r="M180" s="8">
        <v>10000</v>
      </c>
      <c r="N180" s="5" t="s">
        <v>42</v>
      </c>
      <c r="O180" s="8">
        <v>10000</v>
      </c>
      <c r="P180" s="5" t="s">
        <v>42</v>
      </c>
      <c r="Q180" s="8">
        <v>8000</v>
      </c>
      <c r="R180" s="9">
        <v>0.8</v>
      </c>
      <c r="S180" s="9">
        <v>0.8</v>
      </c>
      <c r="T180" s="5" t="s">
        <v>43</v>
      </c>
      <c r="U180" s="5" t="s">
        <v>44</v>
      </c>
      <c r="V180" s="5" t="s">
        <v>40</v>
      </c>
      <c r="W180" s="5" t="s">
        <v>45</v>
      </c>
      <c r="X180" s="5" t="s">
        <v>40</v>
      </c>
      <c r="Y180" s="5" t="s">
        <v>46</v>
      </c>
      <c r="Z180" s="5" t="s">
        <v>599</v>
      </c>
      <c r="AA180" s="5" t="s">
        <v>600</v>
      </c>
      <c r="AB180" s="5" t="s">
        <v>600</v>
      </c>
      <c r="AC180" s="5" t="s">
        <v>600</v>
      </c>
      <c r="AD180" s="5" t="s">
        <v>600</v>
      </c>
      <c r="AE180" s="5" t="s">
        <v>600</v>
      </c>
      <c r="AF180" s="5" t="s">
        <v>49</v>
      </c>
      <c r="AG180" s="5" t="s">
        <v>49</v>
      </c>
      <c r="AH180" s="5" t="s">
        <v>49</v>
      </c>
      <c r="AI180" s="5" t="s">
        <v>50</v>
      </c>
    </row>
    <row r="181" spans="1:35" x14ac:dyDescent="0.3">
      <c r="A181" s="4">
        <v>713909000</v>
      </c>
      <c r="B181" s="5" t="s">
        <v>37</v>
      </c>
      <c r="C181" s="5" t="s">
        <v>63</v>
      </c>
      <c r="D181" s="5" t="s">
        <v>601</v>
      </c>
      <c r="E181" s="7">
        <v>45435</v>
      </c>
      <c r="F181" s="24">
        <f t="shared" si="4"/>
        <v>5</v>
      </c>
      <c r="G181" s="24">
        <f t="shared" si="5"/>
        <v>2024</v>
      </c>
      <c r="H181" s="5">
        <v>20552256647</v>
      </c>
      <c r="I181" s="5" t="s">
        <v>602</v>
      </c>
      <c r="J181" s="5" t="s">
        <v>603</v>
      </c>
      <c r="K181" s="8">
        <v>2054.12</v>
      </c>
      <c r="L181" s="8">
        <v>2000</v>
      </c>
      <c r="M181" s="8">
        <v>2000</v>
      </c>
      <c r="N181" s="5" t="s">
        <v>42</v>
      </c>
      <c r="O181" s="8">
        <v>2</v>
      </c>
      <c r="P181" s="5" t="s">
        <v>604</v>
      </c>
      <c r="Q181" s="8">
        <v>6260</v>
      </c>
      <c r="R181" s="9">
        <v>3.13</v>
      </c>
      <c r="S181" s="9">
        <v>3130</v>
      </c>
      <c r="T181" s="5" t="s">
        <v>197</v>
      </c>
      <c r="U181" s="5" t="s">
        <v>247</v>
      </c>
      <c r="V181" s="5" t="s">
        <v>40</v>
      </c>
      <c r="W181" s="5" t="s">
        <v>70</v>
      </c>
      <c r="X181" s="5" t="s">
        <v>248</v>
      </c>
      <c r="Y181" s="5" t="s">
        <v>605</v>
      </c>
      <c r="Z181" s="5" t="s">
        <v>606</v>
      </c>
      <c r="AA181" s="5" t="s">
        <v>607</v>
      </c>
      <c r="AB181" s="5" t="s">
        <v>607</v>
      </c>
      <c r="AC181" s="5" t="s">
        <v>607</v>
      </c>
      <c r="AD181" s="5" t="s">
        <v>607</v>
      </c>
      <c r="AE181" s="5" t="s">
        <v>607</v>
      </c>
      <c r="AF181" s="5" t="s">
        <v>252</v>
      </c>
      <c r="AG181" s="5" t="s">
        <v>76</v>
      </c>
      <c r="AH181" s="5" t="s">
        <v>76</v>
      </c>
      <c r="AI181" s="5" t="s">
        <v>50</v>
      </c>
    </row>
    <row r="182" spans="1:35" x14ac:dyDescent="0.3">
      <c r="A182" s="4">
        <v>713909000</v>
      </c>
      <c r="B182" s="5" t="s">
        <v>37</v>
      </c>
      <c r="C182" s="5" t="s">
        <v>63</v>
      </c>
      <c r="D182" s="5" t="s">
        <v>608</v>
      </c>
      <c r="E182" s="7">
        <v>45463</v>
      </c>
      <c r="F182" s="24">
        <f t="shared" si="4"/>
        <v>6</v>
      </c>
      <c r="G182" s="24">
        <f t="shared" si="5"/>
        <v>2024</v>
      </c>
      <c r="H182" s="5">
        <v>20552256647</v>
      </c>
      <c r="I182" s="5" t="s">
        <v>602</v>
      </c>
      <c r="J182" s="5" t="s">
        <v>603</v>
      </c>
      <c r="K182" s="8">
        <v>5111.58</v>
      </c>
      <c r="L182" s="8">
        <v>5000</v>
      </c>
      <c r="M182" s="8">
        <v>5000</v>
      </c>
      <c r="N182" s="5" t="s">
        <v>42</v>
      </c>
      <c r="O182" s="8">
        <v>5</v>
      </c>
      <c r="P182" s="5" t="s">
        <v>604</v>
      </c>
      <c r="Q182" s="8">
        <v>15450</v>
      </c>
      <c r="R182" s="9">
        <v>3.09</v>
      </c>
      <c r="S182" s="9">
        <v>3090</v>
      </c>
      <c r="T182" s="5" t="s">
        <v>197</v>
      </c>
      <c r="U182" s="5" t="s">
        <v>247</v>
      </c>
      <c r="V182" s="5" t="s">
        <v>40</v>
      </c>
      <c r="W182" s="5" t="s">
        <v>70</v>
      </c>
      <c r="X182" s="5" t="s">
        <v>248</v>
      </c>
      <c r="Y182" s="5" t="s">
        <v>605</v>
      </c>
      <c r="Z182" s="5" t="s">
        <v>609</v>
      </c>
      <c r="AA182" s="5" t="s">
        <v>610</v>
      </c>
      <c r="AB182" s="5" t="s">
        <v>610</v>
      </c>
      <c r="AC182" s="5" t="s">
        <v>610</v>
      </c>
      <c r="AD182" s="5" t="s">
        <v>610</v>
      </c>
      <c r="AE182" s="5" t="s">
        <v>610</v>
      </c>
      <c r="AF182" s="5" t="s">
        <v>252</v>
      </c>
      <c r="AG182" s="5" t="s">
        <v>76</v>
      </c>
      <c r="AH182" s="5" t="s">
        <v>76</v>
      </c>
      <c r="AI182" s="5" t="s">
        <v>50</v>
      </c>
    </row>
    <row r="183" spans="1:35" x14ac:dyDescent="0.3">
      <c r="A183" s="4">
        <v>713909000</v>
      </c>
      <c r="B183" s="5" t="s">
        <v>37</v>
      </c>
      <c r="C183" s="5" t="s">
        <v>63</v>
      </c>
      <c r="D183" s="5" t="s">
        <v>611</v>
      </c>
      <c r="E183" s="7">
        <v>45442</v>
      </c>
      <c r="F183" s="24">
        <f t="shared" si="4"/>
        <v>5</v>
      </c>
      <c r="G183" s="24">
        <f t="shared" si="5"/>
        <v>2024</v>
      </c>
      <c r="H183" s="5">
        <v>20552256647</v>
      </c>
      <c r="I183" s="5" t="s">
        <v>602</v>
      </c>
      <c r="J183" s="5" t="s">
        <v>612</v>
      </c>
      <c r="K183" s="8">
        <v>2038.52</v>
      </c>
      <c r="L183" s="8">
        <v>1905.6</v>
      </c>
      <c r="M183" s="8">
        <v>1905.6</v>
      </c>
      <c r="N183" s="5" t="s">
        <v>42</v>
      </c>
      <c r="O183" s="8">
        <v>200</v>
      </c>
      <c r="P183" s="5" t="s">
        <v>42</v>
      </c>
      <c r="Q183" s="8">
        <v>5735.52</v>
      </c>
      <c r="R183" s="9">
        <v>3.0089999999999999</v>
      </c>
      <c r="S183" s="9">
        <v>28.677</v>
      </c>
      <c r="T183" s="5" t="s">
        <v>68</v>
      </c>
      <c r="U183" s="5" t="s">
        <v>247</v>
      </c>
      <c r="V183" s="5" t="s">
        <v>40</v>
      </c>
      <c r="W183" s="5" t="s">
        <v>70</v>
      </c>
      <c r="X183" s="5" t="s">
        <v>248</v>
      </c>
      <c r="Y183" s="5" t="s">
        <v>605</v>
      </c>
      <c r="Z183" s="5" t="s">
        <v>613</v>
      </c>
      <c r="AA183" s="5" t="s">
        <v>614</v>
      </c>
      <c r="AB183" s="5" t="s">
        <v>614</v>
      </c>
      <c r="AC183" s="5" t="s">
        <v>614</v>
      </c>
      <c r="AD183" s="5" t="s">
        <v>614</v>
      </c>
      <c r="AE183" s="5" t="s">
        <v>614</v>
      </c>
      <c r="AF183" s="5" t="s">
        <v>252</v>
      </c>
      <c r="AG183" s="5" t="s">
        <v>76</v>
      </c>
      <c r="AH183" s="5" t="s">
        <v>76</v>
      </c>
      <c r="AI183" s="5" t="s">
        <v>50</v>
      </c>
    </row>
    <row r="184" spans="1:35" x14ac:dyDescent="0.3">
      <c r="A184" s="4">
        <v>713909000</v>
      </c>
      <c r="B184" s="5" t="s">
        <v>37</v>
      </c>
      <c r="C184" s="5" t="s">
        <v>63</v>
      </c>
      <c r="D184" s="5" t="s">
        <v>615</v>
      </c>
      <c r="E184" s="7">
        <v>45407</v>
      </c>
      <c r="F184" s="24">
        <f t="shared" si="4"/>
        <v>4</v>
      </c>
      <c r="G184" s="24">
        <f t="shared" si="5"/>
        <v>2024</v>
      </c>
      <c r="H184" s="5">
        <v>20552256647</v>
      </c>
      <c r="I184" s="5" t="s">
        <v>602</v>
      </c>
      <c r="J184" s="5" t="s">
        <v>603</v>
      </c>
      <c r="K184" s="8">
        <v>1030.24</v>
      </c>
      <c r="L184" s="8">
        <v>1000</v>
      </c>
      <c r="M184" s="8">
        <v>1000</v>
      </c>
      <c r="N184" s="5" t="s">
        <v>42</v>
      </c>
      <c r="O184" s="8">
        <v>1</v>
      </c>
      <c r="P184" s="5" t="s">
        <v>604</v>
      </c>
      <c r="Q184" s="8">
        <v>3130</v>
      </c>
      <c r="R184" s="9">
        <v>3.13</v>
      </c>
      <c r="S184" s="9">
        <v>3130</v>
      </c>
      <c r="T184" s="5" t="s">
        <v>197</v>
      </c>
      <c r="U184" s="5" t="s">
        <v>247</v>
      </c>
      <c r="V184" s="5" t="s">
        <v>40</v>
      </c>
      <c r="W184" s="5" t="s">
        <v>70</v>
      </c>
      <c r="X184" s="5" t="s">
        <v>248</v>
      </c>
      <c r="Y184" s="5" t="s">
        <v>605</v>
      </c>
      <c r="Z184" s="5" t="s">
        <v>616</v>
      </c>
      <c r="AA184" s="5" t="s">
        <v>617</v>
      </c>
      <c r="AB184" s="5" t="s">
        <v>617</v>
      </c>
      <c r="AC184" s="5" t="s">
        <v>617</v>
      </c>
      <c r="AD184" s="5" t="s">
        <v>617</v>
      </c>
      <c r="AE184" s="5" t="s">
        <v>617</v>
      </c>
      <c r="AF184" s="5" t="s">
        <v>252</v>
      </c>
      <c r="AG184" s="5" t="s">
        <v>76</v>
      </c>
      <c r="AH184" s="5" t="s">
        <v>76</v>
      </c>
      <c r="AI184" s="5" t="s">
        <v>50</v>
      </c>
    </row>
    <row r="185" spans="1:35" x14ac:dyDescent="0.3">
      <c r="A185" s="4">
        <v>713909000</v>
      </c>
      <c r="B185" s="5" t="s">
        <v>37</v>
      </c>
      <c r="C185" s="5" t="s">
        <v>63</v>
      </c>
      <c r="D185" s="5" t="s">
        <v>618</v>
      </c>
      <c r="E185" s="7">
        <v>45400</v>
      </c>
      <c r="F185" s="24">
        <f t="shared" si="4"/>
        <v>4</v>
      </c>
      <c r="G185" s="24">
        <f t="shared" si="5"/>
        <v>2024</v>
      </c>
      <c r="H185" s="5">
        <v>20552256647</v>
      </c>
      <c r="I185" s="5" t="s">
        <v>602</v>
      </c>
      <c r="J185" s="5" t="s">
        <v>603</v>
      </c>
      <c r="K185" s="8">
        <v>1005.3</v>
      </c>
      <c r="L185" s="8">
        <v>1000</v>
      </c>
      <c r="M185" s="8">
        <v>1000</v>
      </c>
      <c r="N185" s="5" t="s">
        <v>42</v>
      </c>
      <c r="O185" s="8">
        <v>1</v>
      </c>
      <c r="P185" s="5" t="s">
        <v>604</v>
      </c>
      <c r="Q185" s="8">
        <v>2980</v>
      </c>
      <c r="R185" s="9">
        <v>2.98</v>
      </c>
      <c r="S185" s="9">
        <v>2980</v>
      </c>
      <c r="T185" s="5" t="s">
        <v>197</v>
      </c>
      <c r="U185" s="5" t="s">
        <v>247</v>
      </c>
      <c r="V185" s="5" t="s">
        <v>40</v>
      </c>
      <c r="W185" s="5" t="s">
        <v>70</v>
      </c>
      <c r="X185" s="5" t="s">
        <v>248</v>
      </c>
      <c r="Y185" s="5" t="s">
        <v>605</v>
      </c>
      <c r="Z185" s="5" t="s">
        <v>616</v>
      </c>
      <c r="AA185" s="5" t="s">
        <v>617</v>
      </c>
      <c r="AB185" s="5" t="s">
        <v>617</v>
      </c>
      <c r="AC185" s="5" t="s">
        <v>617</v>
      </c>
      <c r="AD185" s="5" t="s">
        <v>617</v>
      </c>
      <c r="AE185" s="5" t="s">
        <v>617</v>
      </c>
      <c r="AF185" s="5" t="s">
        <v>252</v>
      </c>
      <c r="AG185" s="5" t="s">
        <v>76</v>
      </c>
      <c r="AH185" s="5" t="s">
        <v>76</v>
      </c>
      <c r="AI185" s="5" t="s">
        <v>50</v>
      </c>
    </row>
    <row r="186" spans="1:35" x14ac:dyDescent="0.3">
      <c r="A186" s="4">
        <v>713909000</v>
      </c>
      <c r="B186" s="5" t="s">
        <v>37</v>
      </c>
      <c r="C186" s="5" t="s">
        <v>63</v>
      </c>
      <c r="D186" s="5" t="s">
        <v>619</v>
      </c>
      <c r="E186" s="7">
        <v>45399</v>
      </c>
      <c r="F186" s="24">
        <f t="shared" si="4"/>
        <v>4</v>
      </c>
      <c r="G186" s="24">
        <f t="shared" si="5"/>
        <v>2024</v>
      </c>
      <c r="H186" s="5">
        <v>20552256647</v>
      </c>
      <c r="I186" s="5" t="s">
        <v>602</v>
      </c>
      <c r="J186" s="5" t="s">
        <v>620</v>
      </c>
      <c r="K186" s="8">
        <v>1326.2</v>
      </c>
      <c r="L186" s="8">
        <v>1200</v>
      </c>
      <c r="M186" s="8">
        <v>1200</v>
      </c>
      <c r="N186" s="5" t="s">
        <v>42</v>
      </c>
      <c r="O186" s="8">
        <v>100</v>
      </c>
      <c r="P186" s="5" t="s">
        <v>67</v>
      </c>
      <c r="Q186" s="8">
        <v>4348.84</v>
      </c>
      <c r="R186" s="9">
        <v>3.6240000000000001</v>
      </c>
      <c r="S186" s="9">
        <v>43.488</v>
      </c>
      <c r="T186" s="5" t="s">
        <v>338</v>
      </c>
      <c r="U186" s="5" t="s">
        <v>116</v>
      </c>
      <c r="V186" s="5" t="s">
        <v>40</v>
      </c>
      <c r="W186" s="5" t="s">
        <v>70</v>
      </c>
      <c r="X186" s="5" t="s">
        <v>117</v>
      </c>
      <c r="Y186" s="5" t="s">
        <v>605</v>
      </c>
      <c r="Z186" s="5" t="s">
        <v>621</v>
      </c>
      <c r="AA186" s="5" t="s">
        <v>622</v>
      </c>
      <c r="AB186" s="5" t="s">
        <v>622</v>
      </c>
      <c r="AC186" s="5" t="s">
        <v>622</v>
      </c>
      <c r="AD186" s="5" t="s">
        <v>622</v>
      </c>
      <c r="AE186" s="5" t="s">
        <v>622</v>
      </c>
      <c r="AF186" s="5" t="s">
        <v>112</v>
      </c>
      <c r="AG186" s="5" t="s">
        <v>76</v>
      </c>
      <c r="AH186" s="5" t="s">
        <v>76</v>
      </c>
      <c r="AI186" s="5" t="s">
        <v>50</v>
      </c>
    </row>
    <row r="187" spans="1:35" x14ac:dyDescent="0.3">
      <c r="A187" s="4">
        <v>713909000</v>
      </c>
      <c r="B187" s="5" t="s">
        <v>37</v>
      </c>
      <c r="C187" s="5" t="s">
        <v>63</v>
      </c>
      <c r="D187" s="5" t="s">
        <v>623</v>
      </c>
      <c r="E187" s="7">
        <v>45366</v>
      </c>
      <c r="F187" s="24">
        <f t="shared" si="4"/>
        <v>3</v>
      </c>
      <c r="G187" s="24">
        <f t="shared" si="5"/>
        <v>2024</v>
      </c>
      <c r="H187" s="5">
        <v>20552256647</v>
      </c>
      <c r="I187" s="5" t="s">
        <v>602</v>
      </c>
      <c r="J187" s="5" t="s">
        <v>603</v>
      </c>
      <c r="K187" s="8">
        <v>2026.87</v>
      </c>
      <c r="L187" s="8">
        <v>2000</v>
      </c>
      <c r="M187" s="8">
        <v>2000</v>
      </c>
      <c r="N187" s="5" t="s">
        <v>42</v>
      </c>
      <c r="O187" s="8">
        <v>2</v>
      </c>
      <c r="P187" s="5" t="s">
        <v>604</v>
      </c>
      <c r="Q187" s="8">
        <v>6180</v>
      </c>
      <c r="R187" s="9">
        <v>3.09</v>
      </c>
      <c r="S187" s="9">
        <v>3090</v>
      </c>
      <c r="T187" s="5" t="s">
        <v>197</v>
      </c>
      <c r="U187" s="5" t="s">
        <v>247</v>
      </c>
      <c r="V187" s="5" t="s">
        <v>40</v>
      </c>
      <c r="W187" s="5" t="s">
        <v>70</v>
      </c>
      <c r="X187" s="5" t="s">
        <v>248</v>
      </c>
      <c r="Y187" s="5" t="s">
        <v>605</v>
      </c>
      <c r="Z187" s="5" t="s">
        <v>616</v>
      </c>
      <c r="AA187" s="5" t="s">
        <v>617</v>
      </c>
      <c r="AB187" s="5" t="s">
        <v>617</v>
      </c>
      <c r="AC187" s="5" t="s">
        <v>617</v>
      </c>
      <c r="AD187" s="5" t="s">
        <v>617</v>
      </c>
      <c r="AE187" s="5" t="s">
        <v>617</v>
      </c>
      <c r="AF187" s="5" t="s">
        <v>252</v>
      </c>
      <c r="AG187" s="5" t="s">
        <v>76</v>
      </c>
      <c r="AH187" s="5" t="s">
        <v>76</v>
      </c>
      <c r="AI187" s="5" t="s">
        <v>50</v>
      </c>
    </row>
    <row r="188" spans="1:35" x14ac:dyDescent="0.3">
      <c r="A188" s="4">
        <v>713909000</v>
      </c>
      <c r="B188" s="5" t="s">
        <v>37</v>
      </c>
      <c r="C188" s="5" t="s">
        <v>63</v>
      </c>
      <c r="D188" s="5" t="s">
        <v>624</v>
      </c>
      <c r="E188" s="7">
        <v>45336</v>
      </c>
      <c r="F188" s="24">
        <f t="shared" si="4"/>
        <v>2</v>
      </c>
      <c r="G188" s="24">
        <f t="shared" si="5"/>
        <v>2024</v>
      </c>
      <c r="H188" s="5">
        <v>20552256647</v>
      </c>
      <c r="I188" s="5" t="s">
        <v>602</v>
      </c>
      <c r="J188" s="5" t="s">
        <v>603</v>
      </c>
      <c r="K188" s="8">
        <v>1254</v>
      </c>
      <c r="L188" s="8">
        <v>1250</v>
      </c>
      <c r="M188" s="8">
        <v>1250</v>
      </c>
      <c r="N188" s="5" t="s">
        <v>42</v>
      </c>
      <c r="O188" s="8">
        <v>1</v>
      </c>
      <c r="P188" s="5" t="s">
        <v>604</v>
      </c>
      <c r="Q188" s="8">
        <v>3700</v>
      </c>
      <c r="R188" s="9">
        <v>2.96</v>
      </c>
      <c r="S188" s="9">
        <v>3700</v>
      </c>
      <c r="T188" s="5" t="s">
        <v>197</v>
      </c>
      <c r="U188" s="5" t="s">
        <v>247</v>
      </c>
      <c r="V188" s="5" t="s">
        <v>40</v>
      </c>
      <c r="W188" s="5" t="s">
        <v>70</v>
      </c>
      <c r="X188" s="5" t="s">
        <v>248</v>
      </c>
      <c r="Y188" s="5" t="s">
        <v>605</v>
      </c>
      <c r="Z188" s="5" t="s">
        <v>616</v>
      </c>
      <c r="AA188" s="5" t="s">
        <v>617</v>
      </c>
      <c r="AB188" s="5" t="s">
        <v>617</v>
      </c>
      <c r="AC188" s="5" t="s">
        <v>617</v>
      </c>
      <c r="AD188" s="5" t="s">
        <v>617</v>
      </c>
      <c r="AE188" s="5" t="s">
        <v>617</v>
      </c>
      <c r="AF188" s="5" t="s">
        <v>252</v>
      </c>
      <c r="AG188" s="5" t="s">
        <v>76</v>
      </c>
      <c r="AH188" s="5" t="s">
        <v>76</v>
      </c>
      <c r="AI188" s="5" t="s">
        <v>50</v>
      </c>
    </row>
    <row r="189" spans="1:35" x14ac:dyDescent="0.3">
      <c r="A189" s="4">
        <v>713909000</v>
      </c>
      <c r="B189" s="5" t="s">
        <v>37</v>
      </c>
      <c r="C189" s="5" t="s">
        <v>63</v>
      </c>
      <c r="D189" s="5" t="s">
        <v>625</v>
      </c>
      <c r="E189" s="7">
        <v>45315</v>
      </c>
      <c r="F189" s="24">
        <f t="shared" si="4"/>
        <v>1</v>
      </c>
      <c r="G189" s="24">
        <f t="shared" si="5"/>
        <v>2024</v>
      </c>
      <c r="H189" s="5">
        <v>20552256647</v>
      </c>
      <c r="I189" s="5" t="s">
        <v>602</v>
      </c>
      <c r="J189" s="5" t="s">
        <v>40</v>
      </c>
      <c r="K189" s="8">
        <v>4078.9</v>
      </c>
      <c r="L189" s="8">
        <v>3811.2</v>
      </c>
      <c r="M189" s="8">
        <v>3811.2</v>
      </c>
      <c r="N189" s="5" t="s">
        <v>42</v>
      </c>
      <c r="O189" s="8">
        <v>400</v>
      </c>
      <c r="P189" s="5" t="s">
        <v>67</v>
      </c>
      <c r="Q189" s="8">
        <v>11364.29</v>
      </c>
      <c r="R189" s="9">
        <v>2.9809999999999999</v>
      </c>
      <c r="S189" s="9">
        <v>28.41</v>
      </c>
      <c r="T189" s="5" t="s">
        <v>68</v>
      </c>
      <c r="U189" s="5" t="s">
        <v>247</v>
      </c>
      <c r="V189" s="5" t="s">
        <v>40</v>
      </c>
      <c r="W189" s="5" t="s">
        <v>70</v>
      </c>
      <c r="X189" s="5" t="s">
        <v>248</v>
      </c>
      <c r="Y189" s="5" t="s">
        <v>605</v>
      </c>
      <c r="Z189" s="5" t="s">
        <v>626</v>
      </c>
      <c r="AA189" s="5" t="s">
        <v>627</v>
      </c>
      <c r="AB189" s="5" t="s">
        <v>627</v>
      </c>
      <c r="AC189" s="5" t="s">
        <v>627</v>
      </c>
      <c r="AD189" s="5" t="s">
        <v>627</v>
      </c>
      <c r="AE189" s="5" t="s">
        <v>627</v>
      </c>
      <c r="AF189" s="5" t="s">
        <v>252</v>
      </c>
      <c r="AG189" s="5" t="s">
        <v>49</v>
      </c>
      <c r="AH189" s="5" t="s">
        <v>49</v>
      </c>
      <c r="AI189" s="5" t="s">
        <v>49</v>
      </c>
    </row>
    <row r="190" spans="1:35" x14ac:dyDescent="0.3">
      <c r="A190" s="4">
        <v>713909000</v>
      </c>
      <c r="B190" s="5" t="s">
        <v>37</v>
      </c>
      <c r="C190" s="5" t="s">
        <v>63</v>
      </c>
      <c r="D190" s="5" t="s">
        <v>628</v>
      </c>
      <c r="E190" s="7">
        <v>44712</v>
      </c>
      <c r="F190" s="24">
        <f t="shared" si="4"/>
        <v>5</v>
      </c>
      <c r="G190" s="24">
        <f t="shared" si="5"/>
        <v>2022</v>
      </c>
      <c r="H190" s="5">
        <v>20608502425</v>
      </c>
      <c r="I190" s="5" t="s">
        <v>629</v>
      </c>
      <c r="J190" s="5" t="s">
        <v>630</v>
      </c>
      <c r="K190" s="8">
        <v>2007.07</v>
      </c>
      <c r="L190" s="8">
        <v>2000</v>
      </c>
      <c r="M190" s="8">
        <v>2000</v>
      </c>
      <c r="N190" s="5" t="s">
        <v>42</v>
      </c>
      <c r="O190" s="8">
        <v>80</v>
      </c>
      <c r="P190" s="5" t="s">
        <v>631</v>
      </c>
      <c r="Q190" s="8">
        <v>4800</v>
      </c>
      <c r="R190" s="9">
        <v>2.4</v>
      </c>
      <c r="S190" s="9">
        <v>60</v>
      </c>
      <c r="T190" s="5" t="s">
        <v>197</v>
      </c>
      <c r="U190" s="5" t="s">
        <v>116</v>
      </c>
      <c r="V190" s="5" t="s">
        <v>40</v>
      </c>
      <c r="W190" s="5" t="s">
        <v>70</v>
      </c>
      <c r="X190" s="5" t="s">
        <v>632</v>
      </c>
      <c r="Y190" s="5" t="s">
        <v>450</v>
      </c>
      <c r="Z190" s="5" t="s">
        <v>633</v>
      </c>
      <c r="AA190" s="5" t="s">
        <v>634</v>
      </c>
      <c r="AB190" s="5" t="s">
        <v>634</v>
      </c>
      <c r="AC190" s="5" t="s">
        <v>634</v>
      </c>
      <c r="AD190" s="5" t="s">
        <v>634</v>
      </c>
      <c r="AE190" s="5" t="s">
        <v>634</v>
      </c>
      <c r="AF190" s="5" t="s">
        <v>112</v>
      </c>
      <c r="AG190" s="5" t="s">
        <v>635</v>
      </c>
      <c r="AH190" s="5" t="s">
        <v>636</v>
      </c>
      <c r="AI190" s="5" t="s">
        <v>50</v>
      </c>
    </row>
    <row r="191" spans="1:35" x14ac:dyDescent="0.3">
      <c r="A191" s="4">
        <v>713909000</v>
      </c>
      <c r="B191" s="5" t="s">
        <v>37</v>
      </c>
      <c r="C191" s="5" t="s">
        <v>63</v>
      </c>
      <c r="D191" s="5" t="s">
        <v>637</v>
      </c>
      <c r="E191" s="7">
        <v>45294</v>
      </c>
      <c r="F191" s="24">
        <f t="shared" si="4"/>
        <v>1</v>
      </c>
      <c r="G191" s="24">
        <f t="shared" si="5"/>
        <v>2024</v>
      </c>
      <c r="H191" s="5">
        <v>20552256647</v>
      </c>
      <c r="I191" s="5" t="s">
        <v>602</v>
      </c>
      <c r="J191" s="5" t="s">
        <v>603</v>
      </c>
      <c r="K191" s="8">
        <v>2035.48</v>
      </c>
      <c r="L191" s="8">
        <v>2000</v>
      </c>
      <c r="M191" s="8">
        <v>2000</v>
      </c>
      <c r="N191" s="5" t="s">
        <v>42</v>
      </c>
      <c r="O191" s="8">
        <v>2</v>
      </c>
      <c r="P191" s="5" t="s">
        <v>604</v>
      </c>
      <c r="Q191" s="8">
        <v>6200</v>
      </c>
      <c r="R191" s="9">
        <v>3.1</v>
      </c>
      <c r="S191" s="9">
        <v>3100</v>
      </c>
      <c r="T191" s="5" t="s">
        <v>197</v>
      </c>
      <c r="U191" s="5" t="s">
        <v>247</v>
      </c>
      <c r="V191" s="5" t="s">
        <v>40</v>
      </c>
      <c r="W191" s="5" t="s">
        <v>70</v>
      </c>
      <c r="X191" s="5" t="s">
        <v>248</v>
      </c>
      <c r="Y191" s="5" t="s">
        <v>605</v>
      </c>
      <c r="Z191" s="5" t="s">
        <v>616</v>
      </c>
      <c r="AA191" s="5" t="s">
        <v>617</v>
      </c>
      <c r="AB191" s="5" t="s">
        <v>617</v>
      </c>
      <c r="AC191" s="5" t="s">
        <v>617</v>
      </c>
      <c r="AD191" s="5" t="s">
        <v>617</v>
      </c>
      <c r="AE191" s="5" t="s">
        <v>617</v>
      </c>
      <c r="AF191" s="5" t="s">
        <v>638</v>
      </c>
      <c r="AG191" s="5" t="s">
        <v>76</v>
      </c>
      <c r="AH191" s="5" t="s">
        <v>76</v>
      </c>
      <c r="AI191" s="5" t="s">
        <v>50</v>
      </c>
    </row>
    <row r="192" spans="1:35" x14ac:dyDescent="0.3">
      <c r="A192" s="4">
        <v>713909000</v>
      </c>
      <c r="B192" s="5" t="s">
        <v>37</v>
      </c>
      <c r="C192" s="5" t="s">
        <v>63</v>
      </c>
      <c r="D192" s="5" t="s">
        <v>639</v>
      </c>
      <c r="E192" s="7">
        <v>45280</v>
      </c>
      <c r="F192" s="24">
        <f t="shared" si="4"/>
        <v>12</v>
      </c>
      <c r="G192" s="24">
        <f t="shared" si="5"/>
        <v>2023</v>
      </c>
      <c r="H192" s="5">
        <v>20552256647</v>
      </c>
      <c r="I192" s="5" t="s">
        <v>602</v>
      </c>
      <c r="J192" s="5" t="s">
        <v>603</v>
      </c>
      <c r="K192" s="8">
        <v>1755.6</v>
      </c>
      <c r="L192" s="8">
        <v>1750</v>
      </c>
      <c r="M192" s="8">
        <v>1750</v>
      </c>
      <c r="N192" s="5" t="s">
        <v>42</v>
      </c>
      <c r="O192" s="8">
        <v>1.75</v>
      </c>
      <c r="P192" s="5" t="s">
        <v>604</v>
      </c>
      <c r="Q192" s="8">
        <v>5180</v>
      </c>
      <c r="R192" s="9">
        <v>2.96</v>
      </c>
      <c r="S192" s="9">
        <v>2960</v>
      </c>
      <c r="T192" s="5" t="s">
        <v>197</v>
      </c>
      <c r="U192" s="5" t="s">
        <v>247</v>
      </c>
      <c r="V192" s="5" t="s">
        <v>40</v>
      </c>
      <c r="W192" s="5" t="s">
        <v>70</v>
      </c>
      <c r="X192" s="5" t="s">
        <v>248</v>
      </c>
      <c r="Y192" s="5" t="s">
        <v>605</v>
      </c>
      <c r="Z192" s="5" t="s">
        <v>640</v>
      </c>
      <c r="AA192" s="5" t="s">
        <v>641</v>
      </c>
      <c r="AB192" s="5" t="s">
        <v>641</v>
      </c>
      <c r="AC192" s="5" t="s">
        <v>641</v>
      </c>
      <c r="AD192" s="5" t="s">
        <v>641</v>
      </c>
      <c r="AE192" s="5" t="s">
        <v>641</v>
      </c>
      <c r="AF192" s="5" t="s">
        <v>252</v>
      </c>
      <c r="AG192" s="5" t="s">
        <v>76</v>
      </c>
      <c r="AH192" s="5" t="s">
        <v>76</v>
      </c>
      <c r="AI192" s="5" t="s">
        <v>50</v>
      </c>
    </row>
    <row r="193" spans="1:35" x14ac:dyDescent="0.3">
      <c r="A193" s="4">
        <v>713909000</v>
      </c>
      <c r="B193" s="5" t="s">
        <v>37</v>
      </c>
      <c r="C193" s="5" t="s">
        <v>63</v>
      </c>
      <c r="D193" s="5" t="s">
        <v>642</v>
      </c>
      <c r="E193" s="7">
        <v>45280</v>
      </c>
      <c r="F193" s="24">
        <f t="shared" si="4"/>
        <v>12</v>
      </c>
      <c r="G193" s="24">
        <f t="shared" si="5"/>
        <v>2023</v>
      </c>
      <c r="H193" s="5">
        <v>20552256647</v>
      </c>
      <c r="I193" s="5" t="s">
        <v>602</v>
      </c>
      <c r="J193" s="5" t="s">
        <v>612</v>
      </c>
      <c r="K193" s="8">
        <v>1218.02</v>
      </c>
      <c r="L193" s="8">
        <v>1136.4000000000001</v>
      </c>
      <c r="M193" s="8">
        <v>1136.4000000000001</v>
      </c>
      <c r="N193" s="5" t="s">
        <v>42</v>
      </c>
      <c r="O193" s="8">
        <v>50</v>
      </c>
      <c r="P193" s="5" t="s">
        <v>103</v>
      </c>
      <c r="Q193" s="8">
        <v>3363.06</v>
      </c>
      <c r="R193" s="9">
        <v>2.9590000000000001</v>
      </c>
      <c r="S193" s="9">
        <v>67.260999999999996</v>
      </c>
      <c r="T193" s="5" t="s">
        <v>68</v>
      </c>
      <c r="U193" s="5" t="s">
        <v>247</v>
      </c>
      <c r="V193" s="5" t="s">
        <v>40</v>
      </c>
      <c r="W193" s="5" t="s">
        <v>70</v>
      </c>
      <c r="X193" s="5" t="s">
        <v>248</v>
      </c>
      <c r="Y193" s="5" t="s">
        <v>605</v>
      </c>
      <c r="Z193" s="5" t="s">
        <v>643</v>
      </c>
      <c r="AA193" s="5" t="s">
        <v>644</v>
      </c>
      <c r="AB193" s="5" t="s">
        <v>644</v>
      </c>
      <c r="AC193" s="5" t="s">
        <v>644</v>
      </c>
      <c r="AD193" s="5" t="s">
        <v>644</v>
      </c>
      <c r="AE193" s="5" t="s">
        <v>644</v>
      </c>
      <c r="AF193" s="5" t="s">
        <v>252</v>
      </c>
      <c r="AG193" s="5" t="s">
        <v>76</v>
      </c>
      <c r="AH193" s="5" t="s">
        <v>76</v>
      </c>
      <c r="AI193" s="5" t="s">
        <v>50</v>
      </c>
    </row>
    <row r="194" spans="1:35" x14ac:dyDescent="0.3">
      <c r="A194" s="4">
        <v>713909000</v>
      </c>
      <c r="B194" s="5" t="s">
        <v>37</v>
      </c>
      <c r="C194" s="5" t="s">
        <v>63</v>
      </c>
      <c r="D194" s="5" t="s">
        <v>645</v>
      </c>
      <c r="E194" s="7">
        <v>45287</v>
      </c>
      <c r="F194" s="24">
        <f t="shared" si="4"/>
        <v>12</v>
      </c>
      <c r="G194" s="24">
        <f t="shared" si="5"/>
        <v>2023</v>
      </c>
      <c r="H194" s="5">
        <v>20552256647</v>
      </c>
      <c r="I194" s="5" t="s">
        <v>602</v>
      </c>
      <c r="J194" s="5" t="s">
        <v>603</v>
      </c>
      <c r="K194" s="8">
        <v>2038.59</v>
      </c>
      <c r="L194" s="8">
        <v>2000</v>
      </c>
      <c r="M194" s="8">
        <v>2000</v>
      </c>
      <c r="N194" s="5" t="s">
        <v>42</v>
      </c>
      <c r="O194" s="8">
        <v>2</v>
      </c>
      <c r="P194" s="5" t="s">
        <v>604</v>
      </c>
      <c r="Q194" s="8">
        <v>6200</v>
      </c>
      <c r="R194" s="9">
        <v>3.1</v>
      </c>
      <c r="S194" s="9">
        <v>3100</v>
      </c>
      <c r="T194" s="5" t="s">
        <v>197</v>
      </c>
      <c r="U194" s="5" t="s">
        <v>247</v>
      </c>
      <c r="V194" s="5" t="s">
        <v>40</v>
      </c>
      <c r="W194" s="5" t="s">
        <v>70</v>
      </c>
      <c r="X194" s="5" t="s">
        <v>248</v>
      </c>
      <c r="Y194" s="5" t="s">
        <v>605</v>
      </c>
      <c r="Z194" s="5" t="s">
        <v>616</v>
      </c>
      <c r="AA194" s="5" t="s">
        <v>617</v>
      </c>
      <c r="AB194" s="5" t="s">
        <v>617</v>
      </c>
      <c r="AC194" s="5" t="s">
        <v>617</v>
      </c>
      <c r="AD194" s="5" t="s">
        <v>617</v>
      </c>
      <c r="AE194" s="5" t="s">
        <v>617</v>
      </c>
      <c r="AF194" s="5" t="s">
        <v>252</v>
      </c>
      <c r="AG194" s="5" t="s">
        <v>76</v>
      </c>
      <c r="AH194" s="5" t="s">
        <v>76</v>
      </c>
      <c r="AI194" s="5" t="s">
        <v>50</v>
      </c>
    </row>
    <row r="195" spans="1:35" x14ac:dyDescent="0.3">
      <c r="A195" s="4">
        <v>713909000</v>
      </c>
      <c r="B195" s="5" t="s">
        <v>37</v>
      </c>
      <c r="C195" s="5" t="s">
        <v>63</v>
      </c>
      <c r="D195" s="5" t="s">
        <v>646</v>
      </c>
      <c r="E195" s="7">
        <v>45280</v>
      </c>
      <c r="F195" s="24">
        <f t="shared" si="4"/>
        <v>12</v>
      </c>
      <c r="G195" s="24">
        <f t="shared" si="5"/>
        <v>2023</v>
      </c>
      <c r="H195" s="5">
        <v>20552256647</v>
      </c>
      <c r="I195" s="5" t="s">
        <v>602</v>
      </c>
      <c r="J195" s="5" t="s">
        <v>612</v>
      </c>
      <c r="K195" s="8">
        <v>6127.43</v>
      </c>
      <c r="L195" s="8">
        <v>5716.8</v>
      </c>
      <c r="M195" s="8">
        <v>5716.8</v>
      </c>
      <c r="N195" s="5" t="s">
        <v>42</v>
      </c>
      <c r="O195" s="8">
        <v>600</v>
      </c>
      <c r="P195" s="5" t="s">
        <v>67</v>
      </c>
      <c r="Q195" s="8">
        <v>17100.52</v>
      </c>
      <c r="R195" s="9">
        <v>2.9910000000000001</v>
      </c>
      <c r="S195" s="9">
        <v>28.5</v>
      </c>
      <c r="T195" s="5" t="s">
        <v>68</v>
      </c>
      <c r="U195" s="5" t="s">
        <v>247</v>
      </c>
      <c r="V195" s="5" t="s">
        <v>40</v>
      </c>
      <c r="W195" s="5" t="s">
        <v>70</v>
      </c>
      <c r="X195" s="5" t="s">
        <v>248</v>
      </c>
      <c r="Y195" s="5" t="s">
        <v>605</v>
      </c>
      <c r="Z195" s="5" t="s">
        <v>647</v>
      </c>
      <c r="AA195" s="5" t="s">
        <v>648</v>
      </c>
      <c r="AB195" s="5" t="s">
        <v>648</v>
      </c>
      <c r="AC195" s="5" t="s">
        <v>648</v>
      </c>
      <c r="AD195" s="5" t="s">
        <v>648</v>
      </c>
      <c r="AE195" s="5" t="s">
        <v>648</v>
      </c>
      <c r="AF195" s="5" t="s">
        <v>252</v>
      </c>
      <c r="AG195" s="5" t="s">
        <v>76</v>
      </c>
      <c r="AH195" s="5" t="s">
        <v>76</v>
      </c>
      <c r="AI195" s="5" t="s">
        <v>50</v>
      </c>
    </row>
    <row r="196" spans="1:35" x14ac:dyDescent="0.3">
      <c r="A196" s="4">
        <v>713909000</v>
      </c>
      <c r="B196" s="5" t="s">
        <v>37</v>
      </c>
      <c r="C196" s="5" t="s">
        <v>63</v>
      </c>
      <c r="D196" s="5" t="s">
        <v>649</v>
      </c>
      <c r="E196" s="7">
        <v>45238</v>
      </c>
      <c r="F196" s="24">
        <f t="shared" si="4"/>
        <v>11</v>
      </c>
      <c r="G196" s="24">
        <f t="shared" si="5"/>
        <v>2023</v>
      </c>
      <c r="H196" s="5">
        <v>20552256647</v>
      </c>
      <c r="I196" s="5" t="s">
        <v>602</v>
      </c>
      <c r="J196" s="5" t="s">
        <v>612</v>
      </c>
      <c r="K196" s="8">
        <v>2038.92</v>
      </c>
      <c r="L196" s="8">
        <v>1905.6</v>
      </c>
      <c r="M196" s="8">
        <v>1905.6</v>
      </c>
      <c r="N196" s="5" t="s">
        <v>42</v>
      </c>
      <c r="O196" s="8">
        <v>200</v>
      </c>
      <c r="P196" s="5" t="s">
        <v>67</v>
      </c>
      <c r="Q196" s="8">
        <v>6021</v>
      </c>
      <c r="R196" s="9">
        <v>3.1589999999999998</v>
      </c>
      <c r="S196" s="9">
        <v>30.105</v>
      </c>
      <c r="T196" s="5" t="s">
        <v>68</v>
      </c>
      <c r="U196" s="5" t="s">
        <v>247</v>
      </c>
      <c r="V196" s="5" t="s">
        <v>40</v>
      </c>
      <c r="W196" s="5" t="s">
        <v>70</v>
      </c>
      <c r="X196" s="5" t="s">
        <v>248</v>
      </c>
      <c r="Y196" s="5" t="s">
        <v>605</v>
      </c>
      <c r="Z196" s="5" t="s">
        <v>650</v>
      </c>
      <c r="AA196" s="5" t="s">
        <v>651</v>
      </c>
      <c r="AB196" s="5" t="s">
        <v>651</v>
      </c>
      <c r="AC196" s="5" t="s">
        <v>651</v>
      </c>
      <c r="AD196" s="5" t="s">
        <v>651</v>
      </c>
      <c r="AE196" s="5" t="s">
        <v>651</v>
      </c>
      <c r="AF196" s="5" t="s">
        <v>252</v>
      </c>
      <c r="AG196" s="5" t="s">
        <v>76</v>
      </c>
      <c r="AH196" s="5" t="s">
        <v>76</v>
      </c>
      <c r="AI196" s="5" t="s">
        <v>50</v>
      </c>
    </row>
    <row r="197" spans="1:35" x14ac:dyDescent="0.3">
      <c r="A197" s="4">
        <v>713909000</v>
      </c>
      <c r="B197" s="5" t="s">
        <v>37</v>
      </c>
      <c r="C197" s="5" t="s">
        <v>63</v>
      </c>
      <c r="D197" s="5" t="s">
        <v>652</v>
      </c>
      <c r="E197" s="7">
        <v>45231</v>
      </c>
      <c r="F197" s="24">
        <f t="shared" si="4"/>
        <v>11</v>
      </c>
      <c r="G197" s="24">
        <f t="shared" si="5"/>
        <v>2023</v>
      </c>
      <c r="H197" s="5">
        <v>20552256647</v>
      </c>
      <c r="I197" s="5" t="s">
        <v>602</v>
      </c>
      <c r="J197" s="5" t="s">
        <v>603</v>
      </c>
      <c r="K197" s="8">
        <v>1043.1300000000001</v>
      </c>
      <c r="L197" s="8">
        <v>1000</v>
      </c>
      <c r="M197" s="8">
        <v>1000</v>
      </c>
      <c r="N197" s="5" t="s">
        <v>42</v>
      </c>
      <c r="O197" s="8">
        <v>1</v>
      </c>
      <c r="P197" s="5" t="s">
        <v>604</v>
      </c>
      <c r="Q197" s="8">
        <v>2990</v>
      </c>
      <c r="R197" s="9">
        <v>2.99</v>
      </c>
      <c r="S197" s="9">
        <v>2990</v>
      </c>
      <c r="T197" s="5" t="s">
        <v>197</v>
      </c>
      <c r="U197" s="5" t="s">
        <v>247</v>
      </c>
      <c r="V197" s="5" t="s">
        <v>40</v>
      </c>
      <c r="W197" s="5" t="s">
        <v>70</v>
      </c>
      <c r="X197" s="5" t="s">
        <v>248</v>
      </c>
      <c r="Y197" s="5" t="s">
        <v>605</v>
      </c>
      <c r="Z197" s="5" t="s">
        <v>653</v>
      </c>
      <c r="AA197" s="5" t="s">
        <v>654</v>
      </c>
      <c r="AB197" s="5" t="s">
        <v>654</v>
      </c>
      <c r="AC197" s="5" t="s">
        <v>654</v>
      </c>
      <c r="AD197" s="5" t="s">
        <v>654</v>
      </c>
      <c r="AE197" s="5" t="s">
        <v>654</v>
      </c>
      <c r="AF197" s="5" t="s">
        <v>252</v>
      </c>
      <c r="AG197" s="5" t="s">
        <v>76</v>
      </c>
      <c r="AH197" s="5" t="s">
        <v>76</v>
      </c>
      <c r="AI197" s="5" t="s">
        <v>377</v>
      </c>
    </row>
    <row r="198" spans="1:35" x14ac:dyDescent="0.3">
      <c r="A198" s="4">
        <v>713909000</v>
      </c>
      <c r="B198" s="5" t="s">
        <v>37</v>
      </c>
      <c r="C198" s="5" t="s">
        <v>63</v>
      </c>
      <c r="D198" s="5" t="s">
        <v>655</v>
      </c>
      <c r="E198" s="7">
        <v>45202</v>
      </c>
      <c r="F198" s="24">
        <f t="shared" si="4"/>
        <v>10</v>
      </c>
      <c r="G198" s="24">
        <f t="shared" si="5"/>
        <v>2023</v>
      </c>
      <c r="H198" s="5">
        <v>20552256647</v>
      </c>
      <c r="I198" s="5" t="s">
        <v>602</v>
      </c>
      <c r="J198" s="5" t="s">
        <v>603</v>
      </c>
      <c r="K198" s="8">
        <v>2004.02</v>
      </c>
      <c r="L198" s="8">
        <v>2000</v>
      </c>
      <c r="M198" s="8">
        <v>2000</v>
      </c>
      <c r="N198" s="5" t="s">
        <v>42</v>
      </c>
      <c r="O198" s="8">
        <v>2</v>
      </c>
      <c r="P198" s="5" t="s">
        <v>604</v>
      </c>
      <c r="Q198" s="8">
        <v>5160</v>
      </c>
      <c r="R198" s="9">
        <v>2.58</v>
      </c>
      <c r="S198" s="9">
        <v>2580</v>
      </c>
      <c r="T198" s="5" t="s">
        <v>197</v>
      </c>
      <c r="U198" s="5" t="s">
        <v>247</v>
      </c>
      <c r="V198" s="5" t="s">
        <v>40</v>
      </c>
      <c r="W198" s="5" t="s">
        <v>70</v>
      </c>
      <c r="X198" s="5" t="s">
        <v>248</v>
      </c>
      <c r="Y198" s="5" t="s">
        <v>605</v>
      </c>
      <c r="Z198" s="5" t="s">
        <v>616</v>
      </c>
      <c r="AA198" s="5" t="s">
        <v>617</v>
      </c>
      <c r="AB198" s="5" t="s">
        <v>617</v>
      </c>
      <c r="AC198" s="5" t="s">
        <v>617</v>
      </c>
      <c r="AD198" s="5" t="s">
        <v>617</v>
      </c>
      <c r="AE198" s="5" t="s">
        <v>617</v>
      </c>
      <c r="AF198" s="5" t="s">
        <v>252</v>
      </c>
      <c r="AG198" s="5" t="s">
        <v>76</v>
      </c>
      <c r="AH198" s="5" t="s">
        <v>76</v>
      </c>
      <c r="AI198" s="5" t="s">
        <v>50</v>
      </c>
    </row>
    <row r="199" spans="1:35" x14ac:dyDescent="0.3">
      <c r="A199" s="4">
        <v>713909000</v>
      </c>
      <c r="B199" s="5" t="s">
        <v>37</v>
      </c>
      <c r="C199" s="5" t="s">
        <v>63</v>
      </c>
      <c r="D199" s="5" t="s">
        <v>656</v>
      </c>
      <c r="E199" s="7">
        <v>45176</v>
      </c>
      <c r="F199" s="24">
        <f t="shared" si="4"/>
        <v>9</v>
      </c>
      <c r="G199" s="24">
        <f t="shared" si="5"/>
        <v>2023</v>
      </c>
      <c r="H199" s="5">
        <v>20552256647</v>
      </c>
      <c r="I199" s="5" t="s">
        <v>602</v>
      </c>
      <c r="J199" s="5" t="s">
        <v>603</v>
      </c>
      <c r="K199" s="8">
        <v>1012.4</v>
      </c>
      <c r="L199" s="8">
        <v>1000</v>
      </c>
      <c r="M199" s="8">
        <v>1000</v>
      </c>
      <c r="N199" s="5" t="s">
        <v>42</v>
      </c>
      <c r="O199" s="8">
        <v>1</v>
      </c>
      <c r="P199" s="5" t="s">
        <v>604</v>
      </c>
      <c r="Q199" s="8">
        <v>2570</v>
      </c>
      <c r="R199" s="9">
        <v>2.57</v>
      </c>
      <c r="S199" s="9">
        <v>2570</v>
      </c>
      <c r="T199" s="5" t="s">
        <v>197</v>
      </c>
      <c r="U199" s="5" t="s">
        <v>247</v>
      </c>
      <c r="V199" s="5" t="s">
        <v>40</v>
      </c>
      <c r="W199" s="5" t="s">
        <v>70</v>
      </c>
      <c r="X199" s="5" t="s">
        <v>248</v>
      </c>
      <c r="Y199" s="5" t="s">
        <v>605</v>
      </c>
      <c r="Z199" s="5" t="s">
        <v>616</v>
      </c>
      <c r="AA199" s="5" t="s">
        <v>617</v>
      </c>
      <c r="AB199" s="5" t="s">
        <v>617</v>
      </c>
      <c r="AC199" s="5" t="s">
        <v>617</v>
      </c>
      <c r="AD199" s="5" t="s">
        <v>617</v>
      </c>
      <c r="AE199" s="5" t="s">
        <v>617</v>
      </c>
      <c r="AF199" s="5" t="s">
        <v>252</v>
      </c>
      <c r="AG199" s="5" t="s">
        <v>76</v>
      </c>
      <c r="AH199" s="5" t="s">
        <v>76</v>
      </c>
      <c r="AI199" s="5" t="s">
        <v>50</v>
      </c>
    </row>
    <row r="200" spans="1:35" x14ac:dyDescent="0.3">
      <c r="A200" s="4">
        <v>713909000</v>
      </c>
      <c r="B200" s="5" t="s">
        <v>37</v>
      </c>
      <c r="C200" s="5" t="s">
        <v>63</v>
      </c>
      <c r="D200" s="5" t="s">
        <v>657</v>
      </c>
      <c r="E200" s="7">
        <v>45156</v>
      </c>
      <c r="F200" s="24">
        <f t="shared" ref="F200:F263" si="6">MONTH(E200)</f>
        <v>8</v>
      </c>
      <c r="G200" s="24">
        <f t="shared" ref="G200:G263" si="7">YEAR(E200)</f>
        <v>2023</v>
      </c>
      <c r="H200" s="5">
        <v>20552256647</v>
      </c>
      <c r="I200" s="5" t="s">
        <v>602</v>
      </c>
      <c r="J200" s="5" t="s">
        <v>603</v>
      </c>
      <c r="K200" s="8">
        <v>1897.99</v>
      </c>
      <c r="L200" s="8">
        <v>1875</v>
      </c>
      <c r="M200" s="8">
        <v>1875</v>
      </c>
      <c r="N200" s="5" t="s">
        <v>42</v>
      </c>
      <c r="O200" s="8">
        <v>1.87</v>
      </c>
      <c r="P200" s="5" t="s">
        <v>604</v>
      </c>
      <c r="Q200" s="8">
        <v>4819</v>
      </c>
      <c r="R200" s="9">
        <v>2.57</v>
      </c>
      <c r="S200" s="9">
        <v>2577.0050000000001</v>
      </c>
      <c r="T200" s="5" t="s">
        <v>197</v>
      </c>
      <c r="U200" s="5" t="s">
        <v>94</v>
      </c>
      <c r="V200" s="5" t="s">
        <v>40</v>
      </c>
      <c r="W200" s="5" t="s">
        <v>70</v>
      </c>
      <c r="X200" s="5" t="s">
        <v>117</v>
      </c>
      <c r="Y200" s="5" t="s">
        <v>605</v>
      </c>
      <c r="Z200" s="5" t="s">
        <v>658</v>
      </c>
      <c r="AA200" s="5" t="s">
        <v>659</v>
      </c>
      <c r="AB200" s="5" t="s">
        <v>659</v>
      </c>
      <c r="AC200" s="5" t="s">
        <v>659</v>
      </c>
      <c r="AD200" s="5" t="s">
        <v>659</v>
      </c>
      <c r="AE200" s="5" t="s">
        <v>659</v>
      </c>
      <c r="AF200" s="5" t="s">
        <v>252</v>
      </c>
      <c r="AG200" s="5" t="s">
        <v>76</v>
      </c>
      <c r="AH200" s="5" t="s">
        <v>76</v>
      </c>
      <c r="AI200" s="5" t="s">
        <v>50</v>
      </c>
    </row>
    <row r="201" spans="1:35" x14ac:dyDescent="0.3">
      <c r="A201" s="4">
        <v>713909000</v>
      </c>
      <c r="B201" s="5" t="s">
        <v>37</v>
      </c>
      <c r="C201" s="5" t="s">
        <v>63</v>
      </c>
      <c r="D201" s="5" t="s">
        <v>660</v>
      </c>
      <c r="E201" s="7">
        <v>45140</v>
      </c>
      <c r="F201" s="24">
        <f t="shared" si="6"/>
        <v>8</v>
      </c>
      <c r="G201" s="24">
        <f t="shared" si="7"/>
        <v>2023</v>
      </c>
      <c r="H201" s="5">
        <v>20552256647</v>
      </c>
      <c r="I201" s="5" t="s">
        <v>602</v>
      </c>
      <c r="J201" s="5" t="s">
        <v>620</v>
      </c>
      <c r="K201" s="8">
        <v>741.76</v>
      </c>
      <c r="L201" s="8">
        <v>600</v>
      </c>
      <c r="M201" s="8">
        <v>600</v>
      </c>
      <c r="N201" s="5" t="s">
        <v>42</v>
      </c>
      <c r="O201" s="8">
        <v>50</v>
      </c>
      <c r="P201" s="5" t="s">
        <v>67</v>
      </c>
      <c r="Q201" s="8">
        <v>1696</v>
      </c>
      <c r="R201" s="9">
        <v>2.8260000000000001</v>
      </c>
      <c r="S201" s="9">
        <v>33.92</v>
      </c>
      <c r="T201" s="5" t="s">
        <v>338</v>
      </c>
      <c r="U201" s="5" t="s">
        <v>81</v>
      </c>
      <c r="V201" s="5" t="s">
        <v>40</v>
      </c>
      <c r="W201" s="5" t="s">
        <v>70</v>
      </c>
      <c r="X201" s="5" t="s">
        <v>82</v>
      </c>
      <c r="Y201" s="5" t="s">
        <v>605</v>
      </c>
      <c r="Z201" s="5" t="s">
        <v>661</v>
      </c>
      <c r="AA201" s="5" t="s">
        <v>662</v>
      </c>
      <c r="AB201" s="5" t="s">
        <v>662</v>
      </c>
      <c r="AC201" s="5" t="s">
        <v>662</v>
      </c>
      <c r="AD201" s="5" t="s">
        <v>662</v>
      </c>
      <c r="AE201" s="5" t="s">
        <v>662</v>
      </c>
      <c r="AF201" s="5" t="s">
        <v>86</v>
      </c>
      <c r="AG201" s="5" t="s">
        <v>76</v>
      </c>
      <c r="AH201" s="5" t="s">
        <v>76</v>
      </c>
      <c r="AI201" s="5" t="s">
        <v>50</v>
      </c>
    </row>
    <row r="202" spans="1:35" x14ac:dyDescent="0.3">
      <c r="A202" s="4">
        <v>713909000</v>
      </c>
      <c r="B202" s="5" t="s">
        <v>37</v>
      </c>
      <c r="C202" s="5" t="s">
        <v>63</v>
      </c>
      <c r="D202" s="5" t="s">
        <v>663</v>
      </c>
      <c r="E202" s="7">
        <v>45093</v>
      </c>
      <c r="F202" s="24">
        <f t="shared" si="6"/>
        <v>6</v>
      </c>
      <c r="G202" s="24">
        <f t="shared" si="7"/>
        <v>2023</v>
      </c>
      <c r="H202" s="5">
        <v>20552256647</v>
      </c>
      <c r="I202" s="5" t="s">
        <v>602</v>
      </c>
      <c r="J202" s="5" t="s">
        <v>603</v>
      </c>
      <c r="K202" s="8">
        <v>2030</v>
      </c>
      <c r="L202" s="8">
        <v>2000</v>
      </c>
      <c r="M202" s="8">
        <v>2000</v>
      </c>
      <c r="N202" s="5" t="s">
        <v>42</v>
      </c>
      <c r="O202" s="8">
        <v>2</v>
      </c>
      <c r="P202" s="5" t="s">
        <v>604</v>
      </c>
      <c r="Q202" s="8">
        <v>5070</v>
      </c>
      <c r="R202" s="9">
        <v>2.5350000000000001</v>
      </c>
      <c r="S202" s="9">
        <v>2535</v>
      </c>
      <c r="T202" s="5" t="s">
        <v>197</v>
      </c>
      <c r="U202" s="5" t="s">
        <v>247</v>
      </c>
      <c r="V202" s="5" t="s">
        <v>40</v>
      </c>
      <c r="W202" s="5" t="s">
        <v>70</v>
      </c>
      <c r="X202" s="5" t="s">
        <v>248</v>
      </c>
      <c r="Y202" s="5" t="s">
        <v>605</v>
      </c>
      <c r="Z202" s="5" t="s">
        <v>616</v>
      </c>
      <c r="AA202" s="5" t="s">
        <v>617</v>
      </c>
      <c r="AB202" s="5" t="s">
        <v>617</v>
      </c>
      <c r="AC202" s="5" t="s">
        <v>617</v>
      </c>
      <c r="AD202" s="5" t="s">
        <v>617</v>
      </c>
      <c r="AE202" s="5" t="s">
        <v>617</v>
      </c>
      <c r="AF202" s="5" t="s">
        <v>252</v>
      </c>
      <c r="AG202" s="5" t="s">
        <v>76</v>
      </c>
      <c r="AH202" s="5" t="s">
        <v>76</v>
      </c>
      <c r="AI202" s="5" t="s">
        <v>50</v>
      </c>
    </row>
    <row r="203" spans="1:35" x14ac:dyDescent="0.3">
      <c r="A203" s="4">
        <v>713909000</v>
      </c>
      <c r="B203" s="5" t="s">
        <v>37</v>
      </c>
      <c r="C203" s="5" t="s">
        <v>38</v>
      </c>
      <c r="D203" s="5" t="s">
        <v>664</v>
      </c>
      <c r="E203" s="7">
        <v>44603</v>
      </c>
      <c r="F203" s="24">
        <f t="shared" si="6"/>
        <v>2</v>
      </c>
      <c r="G203" s="24">
        <f t="shared" si="7"/>
        <v>2022</v>
      </c>
      <c r="H203" s="5">
        <v>20607909637</v>
      </c>
      <c r="I203" s="5" t="s">
        <v>665</v>
      </c>
      <c r="J203" s="5" t="s">
        <v>41</v>
      </c>
      <c r="K203" s="8">
        <v>19002.36</v>
      </c>
      <c r="L203" s="8">
        <v>18950</v>
      </c>
      <c r="M203" s="8">
        <v>18950</v>
      </c>
      <c r="N203" s="5" t="s">
        <v>42</v>
      </c>
      <c r="O203" s="8">
        <v>18950</v>
      </c>
      <c r="P203" s="5" t="s">
        <v>42</v>
      </c>
      <c r="Q203" s="8">
        <v>15160</v>
      </c>
      <c r="R203" s="9">
        <v>0.8</v>
      </c>
      <c r="S203" s="9">
        <v>0.8</v>
      </c>
      <c r="T203" s="5" t="s">
        <v>43</v>
      </c>
      <c r="U203" s="5" t="s">
        <v>44</v>
      </c>
      <c r="V203" s="5" t="s">
        <v>40</v>
      </c>
      <c r="W203" s="5" t="s">
        <v>45</v>
      </c>
      <c r="X203" s="5" t="s">
        <v>40</v>
      </c>
      <c r="Y203" s="5" t="s">
        <v>439</v>
      </c>
      <c r="Z203" s="5" t="s">
        <v>440</v>
      </c>
      <c r="AA203" s="5" t="s">
        <v>441</v>
      </c>
      <c r="AB203" s="5" t="s">
        <v>441</v>
      </c>
      <c r="AC203" s="5" t="s">
        <v>441</v>
      </c>
      <c r="AD203" s="5" t="s">
        <v>441</v>
      </c>
      <c r="AE203" s="5" t="s">
        <v>441</v>
      </c>
      <c r="AF203" s="5" t="s">
        <v>49</v>
      </c>
      <c r="AG203" s="5" t="s">
        <v>49</v>
      </c>
      <c r="AH203" s="5" t="s">
        <v>49</v>
      </c>
      <c r="AI203" s="5" t="s">
        <v>50</v>
      </c>
    </row>
    <row r="204" spans="1:35" x14ac:dyDescent="0.3">
      <c r="A204" s="4">
        <v>713909000</v>
      </c>
      <c r="B204" s="5" t="s">
        <v>37</v>
      </c>
      <c r="C204" s="5" t="s">
        <v>63</v>
      </c>
      <c r="D204" s="5" t="s">
        <v>666</v>
      </c>
      <c r="E204" s="7">
        <v>45006</v>
      </c>
      <c r="F204" s="24">
        <f t="shared" si="6"/>
        <v>3</v>
      </c>
      <c r="G204" s="24">
        <f t="shared" si="7"/>
        <v>2023</v>
      </c>
      <c r="H204" s="5">
        <v>20552256647</v>
      </c>
      <c r="I204" s="5" t="s">
        <v>602</v>
      </c>
      <c r="J204" s="5" t="s">
        <v>612</v>
      </c>
      <c r="K204" s="8">
        <v>2100</v>
      </c>
      <c r="L204" s="8">
        <v>1905.6</v>
      </c>
      <c r="M204" s="8">
        <v>1905.6</v>
      </c>
      <c r="N204" s="5" t="s">
        <v>42</v>
      </c>
      <c r="O204" s="8">
        <v>200</v>
      </c>
      <c r="P204" s="5" t="s">
        <v>67</v>
      </c>
      <c r="Q204" s="8">
        <v>4887</v>
      </c>
      <c r="R204" s="9">
        <v>2.5640000000000001</v>
      </c>
      <c r="S204" s="9">
        <v>24.434999999999999</v>
      </c>
      <c r="T204" s="5" t="s">
        <v>68</v>
      </c>
      <c r="U204" s="5" t="s">
        <v>116</v>
      </c>
      <c r="V204" s="5" t="s">
        <v>40</v>
      </c>
      <c r="W204" s="5" t="s">
        <v>70</v>
      </c>
      <c r="X204" s="5" t="s">
        <v>117</v>
      </c>
      <c r="Y204" s="5" t="s">
        <v>605</v>
      </c>
      <c r="Z204" s="5" t="s">
        <v>667</v>
      </c>
      <c r="AA204" s="5" t="s">
        <v>668</v>
      </c>
      <c r="AB204" s="5" t="s">
        <v>668</v>
      </c>
      <c r="AC204" s="5" t="s">
        <v>668</v>
      </c>
      <c r="AD204" s="5" t="s">
        <v>668</v>
      </c>
      <c r="AE204" s="5" t="s">
        <v>668</v>
      </c>
      <c r="AF204" s="5" t="s">
        <v>121</v>
      </c>
      <c r="AG204" s="5" t="s">
        <v>76</v>
      </c>
      <c r="AH204" s="5" t="s">
        <v>76</v>
      </c>
      <c r="AI204" s="5" t="s">
        <v>50</v>
      </c>
    </row>
    <row r="205" spans="1:35" x14ac:dyDescent="0.3">
      <c r="A205" s="4">
        <v>713909000</v>
      </c>
      <c r="B205" s="5" t="s">
        <v>37</v>
      </c>
      <c r="C205" s="5" t="s">
        <v>63</v>
      </c>
      <c r="D205" s="5" t="s">
        <v>669</v>
      </c>
      <c r="E205" s="7">
        <v>44966</v>
      </c>
      <c r="F205" s="24">
        <f t="shared" si="6"/>
        <v>2</v>
      </c>
      <c r="G205" s="24">
        <f t="shared" si="7"/>
        <v>2023</v>
      </c>
      <c r="H205" s="5">
        <v>20552256647</v>
      </c>
      <c r="I205" s="5" t="s">
        <v>602</v>
      </c>
      <c r="J205" s="5" t="s">
        <v>603</v>
      </c>
      <c r="K205" s="8">
        <v>4060</v>
      </c>
      <c r="L205" s="8">
        <v>4000</v>
      </c>
      <c r="M205" s="8">
        <v>4000</v>
      </c>
      <c r="N205" s="5" t="s">
        <v>42</v>
      </c>
      <c r="O205" s="8">
        <v>4</v>
      </c>
      <c r="P205" s="5" t="s">
        <v>604</v>
      </c>
      <c r="Q205" s="8">
        <v>9780</v>
      </c>
      <c r="R205" s="9">
        <v>2.4449999999999998</v>
      </c>
      <c r="S205" s="9">
        <v>2445</v>
      </c>
      <c r="T205" s="5" t="s">
        <v>197</v>
      </c>
      <c r="U205" s="5" t="s">
        <v>247</v>
      </c>
      <c r="V205" s="5" t="s">
        <v>40</v>
      </c>
      <c r="W205" s="5" t="s">
        <v>70</v>
      </c>
      <c r="X205" s="5" t="s">
        <v>248</v>
      </c>
      <c r="Y205" s="5" t="s">
        <v>605</v>
      </c>
      <c r="Z205" s="5" t="s">
        <v>616</v>
      </c>
      <c r="AA205" s="5" t="s">
        <v>617</v>
      </c>
      <c r="AB205" s="5" t="s">
        <v>617</v>
      </c>
      <c r="AC205" s="5" t="s">
        <v>617</v>
      </c>
      <c r="AD205" s="5" t="s">
        <v>617</v>
      </c>
      <c r="AE205" s="5" t="s">
        <v>617</v>
      </c>
      <c r="AF205" s="5" t="s">
        <v>252</v>
      </c>
      <c r="AG205" s="5" t="s">
        <v>76</v>
      </c>
      <c r="AH205" s="5" t="s">
        <v>76</v>
      </c>
      <c r="AI205" s="5" t="s">
        <v>50</v>
      </c>
    </row>
    <row r="206" spans="1:35" x14ac:dyDescent="0.3">
      <c r="A206" s="4">
        <v>713909000</v>
      </c>
      <c r="B206" s="5" t="s">
        <v>37</v>
      </c>
      <c r="C206" s="5" t="s">
        <v>63</v>
      </c>
      <c r="D206" s="5" t="s">
        <v>670</v>
      </c>
      <c r="E206" s="7">
        <v>44929</v>
      </c>
      <c r="F206" s="24">
        <f t="shared" si="6"/>
        <v>1</v>
      </c>
      <c r="G206" s="24">
        <f t="shared" si="7"/>
        <v>2023</v>
      </c>
      <c r="H206" s="5">
        <v>20552256647</v>
      </c>
      <c r="I206" s="5" t="s">
        <v>602</v>
      </c>
      <c r="J206" s="5" t="s">
        <v>612</v>
      </c>
      <c r="K206" s="8">
        <v>3939.11</v>
      </c>
      <c r="L206" s="8">
        <v>3811.2</v>
      </c>
      <c r="M206" s="8">
        <v>3811.2</v>
      </c>
      <c r="N206" s="5" t="s">
        <v>42</v>
      </c>
      <c r="O206" s="8">
        <v>400</v>
      </c>
      <c r="P206" s="5" t="s">
        <v>67</v>
      </c>
      <c r="Q206" s="8">
        <v>9787</v>
      </c>
      <c r="R206" s="9">
        <v>2.5670000000000002</v>
      </c>
      <c r="S206" s="9">
        <v>24.466999999999999</v>
      </c>
      <c r="T206" s="5" t="s">
        <v>68</v>
      </c>
      <c r="U206" s="5" t="s">
        <v>116</v>
      </c>
      <c r="V206" s="5" t="s">
        <v>40</v>
      </c>
      <c r="W206" s="5" t="s">
        <v>70</v>
      </c>
      <c r="X206" s="5" t="s">
        <v>117</v>
      </c>
      <c r="Y206" s="5" t="s">
        <v>605</v>
      </c>
      <c r="Z206" s="5" t="s">
        <v>671</v>
      </c>
      <c r="AA206" s="5" t="s">
        <v>672</v>
      </c>
      <c r="AB206" s="5" t="s">
        <v>672</v>
      </c>
      <c r="AC206" s="5" t="s">
        <v>672</v>
      </c>
      <c r="AD206" s="5" t="s">
        <v>672</v>
      </c>
      <c r="AE206" s="5" t="s">
        <v>672</v>
      </c>
      <c r="AF206" s="5" t="s">
        <v>673</v>
      </c>
      <c r="AG206" s="5" t="s">
        <v>674</v>
      </c>
      <c r="AH206" s="5" t="s">
        <v>675</v>
      </c>
      <c r="AI206" s="5" t="s">
        <v>50</v>
      </c>
    </row>
    <row r="207" spans="1:35" x14ac:dyDescent="0.3">
      <c r="A207" s="4">
        <v>713909000</v>
      </c>
      <c r="B207" s="5" t="s">
        <v>37</v>
      </c>
      <c r="C207" s="5" t="s">
        <v>63</v>
      </c>
      <c r="D207" s="5" t="s">
        <v>676</v>
      </c>
      <c r="E207" s="7">
        <v>44929</v>
      </c>
      <c r="F207" s="24">
        <f t="shared" si="6"/>
        <v>1</v>
      </c>
      <c r="G207" s="24">
        <f t="shared" si="7"/>
        <v>2023</v>
      </c>
      <c r="H207" s="5">
        <v>20552256647</v>
      </c>
      <c r="I207" s="5" t="s">
        <v>602</v>
      </c>
      <c r="J207" s="5" t="s">
        <v>677</v>
      </c>
      <c r="K207" s="8">
        <v>1582.88</v>
      </c>
      <c r="L207" s="8">
        <v>1200</v>
      </c>
      <c r="M207" s="8">
        <v>1200</v>
      </c>
      <c r="N207" s="5" t="s">
        <v>42</v>
      </c>
      <c r="O207" s="8">
        <v>100</v>
      </c>
      <c r="P207" s="5" t="s">
        <v>67</v>
      </c>
      <c r="Q207" s="8">
        <v>3263</v>
      </c>
      <c r="R207" s="9">
        <v>2.7189999999999999</v>
      </c>
      <c r="S207" s="9">
        <v>32.630000000000003</v>
      </c>
      <c r="T207" s="5" t="s">
        <v>338</v>
      </c>
      <c r="U207" s="5" t="s">
        <v>116</v>
      </c>
      <c r="V207" s="5" t="s">
        <v>40</v>
      </c>
      <c r="W207" s="5" t="s">
        <v>70</v>
      </c>
      <c r="X207" s="5" t="s">
        <v>117</v>
      </c>
      <c r="Y207" s="5" t="s">
        <v>605</v>
      </c>
      <c r="Z207" s="5" t="s">
        <v>678</v>
      </c>
      <c r="AA207" s="5" t="s">
        <v>679</v>
      </c>
      <c r="AB207" s="5" t="s">
        <v>679</v>
      </c>
      <c r="AC207" s="5" t="s">
        <v>679</v>
      </c>
      <c r="AD207" s="5" t="s">
        <v>679</v>
      </c>
      <c r="AE207" s="5" t="s">
        <v>679</v>
      </c>
      <c r="AF207" s="5" t="s">
        <v>673</v>
      </c>
      <c r="AG207" s="5" t="s">
        <v>76</v>
      </c>
      <c r="AH207" s="5" t="s">
        <v>76</v>
      </c>
      <c r="AI207" s="5" t="s">
        <v>50</v>
      </c>
    </row>
    <row r="208" spans="1:35" x14ac:dyDescent="0.3">
      <c r="A208" s="4">
        <v>713909000</v>
      </c>
      <c r="B208" s="5" t="s">
        <v>37</v>
      </c>
      <c r="C208" s="5" t="s">
        <v>63</v>
      </c>
      <c r="D208" s="5" t="s">
        <v>680</v>
      </c>
      <c r="E208" s="7">
        <v>44769</v>
      </c>
      <c r="F208" s="24">
        <f t="shared" si="6"/>
        <v>7</v>
      </c>
      <c r="G208" s="24">
        <f t="shared" si="7"/>
        <v>2022</v>
      </c>
      <c r="H208" s="5">
        <v>20552256647</v>
      </c>
      <c r="I208" s="5" t="s">
        <v>602</v>
      </c>
      <c r="J208" s="5" t="s">
        <v>681</v>
      </c>
      <c r="K208" s="8">
        <v>5090</v>
      </c>
      <c r="L208" s="8">
        <v>5000</v>
      </c>
      <c r="M208" s="8">
        <v>5000</v>
      </c>
      <c r="N208" s="5" t="s">
        <v>42</v>
      </c>
      <c r="O208" s="8">
        <v>5</v>
      </c>
      <c r="P208" s="5" t="s">
        <v>604</v>
      </c>
      <c r="Q208" s="8">
        <v>12500</v>
      </c>
      <c r="R208" s="9">
        <v>2.5</v>
      </c>
      <c r="S208" s="9">
        <v>2500</v>
      </c>
      <c r="T208" s="5" t="s">
        <v>197</v>
      </c>
      <c r="U208" s="5" t="s">
        <v>116</v>
      </c>
      <c r="V208" s="5" t="s">
        <v>40</v>
      </c>
      <c r="W208" s="5" t="s">
        <v>70</v>
      </c>
      <c r="X208" s="5" t="s">
        <v>327</v>
      </c>
      <c r="Y208" s="5" t="s">
        <v>605</v>
      </c>
      <c r="Z208" s="5" t="s">
        <v>682</v>
      </c>
      <c r="AA208" s="5" t="s">
        <v>683</v>
      </c>
      <c r="AB208" s="5" t="s">
        <v>683</v>
      </c>
      <c r="AC208" s="5" t="s">
        <v>683</v>
      </c>
      <c r="AD208" s="5" t="s">
        <v>683</v>
      </c>
      <c r="AE208" s="5" t="s">
        <v>683</v>
      </c>
      <c r="AF208" s="5" t="s">
        <v>112</v>
      </c>
      <c r="AG208" s="5" t="s">
        <v>76</v>
      </c>
      <c r="AH208" s="5" t="s">
        <v>76</v>
      </c>
      <c r="AI208" s="5" t="s">
        <v>50</v>
      </c>
    </row>
    <row r="209" spans="1:35" x14ac:dyDescent="0.3">
      <c r="A209" s="4">
        <v>713909000</v>
      </c>
      <c r="B209" s="5" t="s">
        <v>37</v>
      </c>
      <c r="C209" s="5" t="s">
        <v>63</v>
      </c>
      <c r="D209" s="5" t="s">
        <v>684</v>
      </c>
      <c r="E209" s="7">
        <v>44733</v>
      </c>
      <c r="F209" s="24">
        <f t="shared" si="6"/>
        <v>6</v>
      </c>
      <c r="G209" s="24">
        <f t="shared" si="7"/>
        <v>2022</v>
      </c>
      <c r="H209" s="5">
        <v>20552256647</v>
      </c>
      <c r="I209" s="5" t="s">
        <v>602</v>
      </c>
      <c r="J209" s="5" t="s">
        <v>685</v>
      </c>
      <c r="K209" s="8">
        <v>1932.48</v>
      </c>
      <c r="L209" s="8">
        <v>1740</v>
      </c>
      <c r="M209" s="8">
        <v>1740</v>
      </c>
      <c r="N209" s="5" t="s">
        <v>42</v>
      </c>
      <c r="O209" s="8">
        <v>145</v>
      </c>
      <c r="P209" s="5" t="s">
        <v>67</v>
      </c>
      <c r="Q209" s="8">
        <v>5124.37</v>
      </c>
      <c r="R209" s="9">
        <v>2.9449999999999998</v>
      </c>
      <c r="S209" s="9">
        <v>35.340000000000003</v>
      </c>
      <c r="T209" s="5" t="s">
        <v>338</v>
      </c>
      <c r="U209" s="5" t="s">
        <v>116</v>
      </c>
      <c r="V209" s="5" t="s">
        <v>40</v>
      </c>
      <c r="W209" s="5" t="s">
        <v>70</v>
      </c>
      <c r="X209" s="5" t="s">
        <v>117</v>
      </c>
      <c r="Y209" s="5" t="s">
        <v>605</v>
      </c>
      <c r="Z209" s="5" t="s">
        <v>686</v>
      </c>
      <c r="AA209" s="5" t="s">
        <v>687</v>
      </c>
      <c r="AB209" s="5" t="s">
        <v>687</v>
      </c>
      <c r="AC209" s="5" t="s">
        <v>687</v>
      </c>
      <c r="AD209" s="5" t="s">
        <v>687</v>
      </c>
      <c r="AE209" s="5" t="s">
        <v>687</v>
      </c>
      <c r="AF209" s="5" t="s">
        <v>112</v>
      </c>
      <c r="AG209" s="5" t="s">
        <v>76</v>
      </c>
      <c r="AH209" s="5" t="s">
        <v>76</v>
      </c>
      <c r="AI209" s="5" t="s">
        <v>50</v>
      </c>
    </row>
    <row r="210" spans="1:35" x14ac:dyDescent="0.3">
      <c r="A210" s="4">
        <v>713909000</v>
      </c>
      <c r="B210" s="5" t="s">
        <v>37</v>
      </c>
      <c r="C210" s="5" t="s">
        <v>38</v>
      </c>
      <c r="D210" s="5" t="s">
        <v>688</v>
      </c>
      <c r="E210" s="7">
        <v>44588</v>
      </c>
      <c r="F210" s="24">
        <f t="shared" si="6"/>
        <v>1</v>
      </c>
      <c r="G210" s="24">
        <f t="shared" si="7"/>
        <v>2022</v>
      </c>
      <c r="H210" s="5">
        <v>20607909637</v>
      </c>
      <c r="I210" s="5" t="s">
        <v>665</v>
      </c>
      <c r="J210" s="5" t="s">
        <v>41</v>
      </c>
      <c r="K210" s="8">
        <v>14937.88</v>
      </c>
      <c r="L210" s="8">
        <v>14900</v>
      </c>
      <c r="M210" s="8">
        <v>14900</v>
      </c>
      <c r="N210" s="5" t="s">
        <v>42</v>
      </c>
      <c r="O210" s="8">
        <v>14900</v>
      </c>
      <c r="P210" s="5" t="s">
        <v>42</v>
      </c>
      <c r="Q210" s="8">
        <v>11920</v>
      </c>
      <c r="R210" s="9">
        <v>0.8</v>
      </c>
      <c r="S210" s="9">
        <v>0.8</v>
      </c>
      <c r="T210" s="5" t="s">
        <v>43</v>
      </c>
      <c r="U210" s="5" t="s">
        <v>44</v>
      </c>
      <c r="V210" s="5" t="s">
        <v>40</v>
      </c>
      <c r="W210" s="5" t="s">
        <v>45</v>
      </c>
      <c r="X210" s="5" t="s">
        <v>40</v>
      </c>
      <c r="Y210" s="5" t="s">
        <v>439</v>
      </c>
      <c r="Z210" s="5" t="s">
        <v>440</v>
      </c>
      <c r="AA210" s="5" t="s">
        <v>441</v>
      </c>
      <c r="AB210" s="5" t="s">
        <v>441</v>
      </c>
      <c r="AC210" s="5" t="s">
        <v>441</v>
      </c>
      <c r="AD210" s="5" t="s">
        <v>441</v>
      </c>
      <c r="AE210" s="5" t="s">
        <v>441</v>
      </c>
      <c r="AF210" s="5" t="s">
        <v>49</v>
      </c>
      <c r="AG210" s="5" t="s">
        <v>49</v>
      </c>
      <c r="AH210" s="5" t="s">
        <v>49</v>
      </c>
      <c r="AI210" s="5" t="s">
        <v>50</v>
      </c>
    </row>
    <row r="211" spans="1:35" x14ac:dyDescent="0.3">
      <c r="A211" s="4">
        <v>713909000</v>
      </c>
      <c r="B211" s="5" t="s">
        <v>37</v>
      </c>
      <c r="C211" s="5" t="s">
        <v>38</v>
      </c>
      <c r="D211" s="5" t="s">
        <v>689</v>
      </c>
      <c r="E211" s="7">
        <v>44581</v>
      </c>
      <c r="F211" s="24">
        <f t="shared" si="6"/>
        <v>1</v>
      </c>
      <c r="G211" s="24">
        <f t="shared" si="7"/>
        <v>2022</v>
      </c>
      <c r="H211" s="5">
        <v>20607909637</v>
      </c>
      <c r="I211" s="5" t="s">
        <v>665</v>
      </c>
      <c r="J211" s="5" t="s">
        <v>41</v>
      </c>
      <c r="K211" s="8">
        <v>3012</v>
      </c>
      <c r="L211" s="8">
        <v>3000</v>
      </c>
      <c r="M211" s="8">
        <v>3000</v>
      </c>
      <c r="N211" s="5" t="s">
        <v>42</v>
      </c>
      <c r="O211" s="8">
        <v>3000</v>
      </c>
      <c r="P211" s="5" t="s">
        <v>42</v>
      </c>
      <c r="Q211" s="8">
        <v>2400</v>
      </c>
      <c r="R211" s="9">
        <v>0.8</v>
      </c>
      <c r="S211" s="9">
        <v>0.8</v>
      </c>
      <c r="T211" s="5" t="s">
        <v>43</v>
      </c>
      <c r="U211" s="5" t="s">
        <v>44</v>
      </c>
      <c r="V211" s="5" t="s">
        <v>40</v>
      </c>
      <c r="W211" s="5" t="s">
        <v>45</v>
      </c>
      <c r="X211" s="5" t="s">
        <v>40</v>
      </c>
      <c r="Y211" s="5" t="s">
        <v>439</v>
      </c>
      <c r="Z211" s="5" t="s">
        <v>440</v>
      </c>
      <c r="AA211" s="5" t="s">
        <v>441</v>
      </c>
      <c r="AB211" s="5" t="s">
        <v>441</v>
      </c>
      <c r="AC211" s="5" t="s">
        <v>441</v>
      </c>
      <c r="AD211" s="5" t="s">
        <v>441</v>
      </c>
      <c r="AE211" s="5" t="s">
        <v>441</v>
      </c>
      <c r="AF211" s="5" t="s">
        <v>49</v>
      </c>
      <c r="AG211" s="5" t="s">
        <v>49</v>
      </c>
      <c r="AH211" s="5" t="s">
        <v>49</v>
      </c>
      <c r="AI211" s="5" t="s">
        <v>50</v>
      </c>
    </row>
    <row r="212" spans="1:35" x14ac:dyDescent="0.3">
      <c r="A212" s="4">
        <v>713909000</v>
      </c>
      <c r="B212" s="5" t="s">
        <v>37</v>
      </c>
      <c r="C212" s="5" t="s">
        <v>63</v>
      </c>
      <c r="D212" s="5" t="s">
        <v>690</v>
      </c>
      <c r="E212" s="7">
        <v>44695</v>
      </c>
      <c r="F212" s="24">
        <f t="shared" si="6"/>
        <v>5</v>
      </c>
      <c r="G212" s="24">
        <f t="shared" si="7"/>
        <v>2022</v>
      </c>
      <c r="H212" s="5">
        <v>20552256647</v>
      </c>
      <c r="I212" s="5" t="s">
        <v>602</v>
      </c>
      <c r="J212" s="5" t="s">
        <v>691</v>
      </c>
      <c r="K212" s="8">
        <v>3081.04</v>
      </c>
      <c r="L212" s="8">
        <v>3000</v>
      </c>
      <c r="M212" s="8">
        <v>3000</v>
      </c>
      <c r="N212" s="5" t="s">
        <v>42</v>
      </c>
      <c r="O212" s="8">
        <v>3</v>
      </c>
      <c r="P212" s="5" t="s">
        <v>604</v>
      </c>
      <c r="Q212" s="8">
        <v>7425</v>
      </c>
      <c r="R212" s="9">
        <v>2.4750000000000001</v>
      </c>
      <c r="S212" s="9">
        <v>2475</v>
      </c>
      <c r="T212" s="5" t="s">
        <v>197</v>
      </c>
      <c r="U212" s="5" t="s">
        <v>81</v>
      </c>
      <c r="V212" s="5" t="s">
        <v>40</v>
      </c>
      <c r="W212" s="5" t="s">
        <v>70</v>
      </c>
      <c r="X212" s="5" t="s">
        <v>82</v>
      </c>
      <c r="Y212" s="5" t="s">
        <v>605</v>
      </c>
      <c r="Z212" s="5" t="s">
        <v>682</v>
      </c>
      <c r="AA212" s="5" t="s">
        <v>683</v>
      </c>
      <c r="AB212" s="5" t="s">
        <v>683</v>
      </c>
      <c r="AC212" s="5" t="s">
        <v>683</v>
      </c>
      <c r="AD212" s="5" t="s">
        <v>683</v>
      </c>
      <c r="AE212" s="5" t="s">
        <v>683</v>
      </c>
      <c r="AF212" s="5" t="s">
        <v>86</v>
      </c>
      <c r="AG212" s="5" t="s">
        <v>76</v>
      </c>
      <c r="AH212" s="5" t="s">
        <v>76</v>
      </c>
      <c r="AI212" s="5" t="s">
        <v>50</v>
      </c>
    </row>
    <row r="213" spans="1:35" x14ac:dyDescent="0.3">
      <c r="A213" s="4">
        <v>713909000</v>
      </c>
      <c r="B213" s="5" t="s">
        <v>37</v>
      </c>
      <c r="C213" s="5" t="s">
        <v>63</v>
      </c>
      <c r="D213" s="5" t="s">
        <v>692</v>
      </c>
      <c r="E213" s="7">
        <v>44664</v>
      </c>
      <c r="F213" s="24">
        <f t="shared" si="6"/>
        <v>4</v>
      </c>
      <c r="G213" s="24">
        <f t="shared" si="7"/>
        <v>2022</v>
      </c>
      <c r="H213" s="5">
        <v>20552256647</v>
      </c>
      <c r="I213" s="5" t="s">
        <v>602</v>
      </c>
      <c r="J213" s="5" t="s">
        <v>612</v>
      </c>
      <c r="K213" s="8">
        <v>5063.04</v>
      </c>
      <c r="L213" s="8">
        <v>4764</v>
      </c>
      <c r="M213" s="8">
        <v>4764</v>
      </c>
      <c r="N213" s="5" t="s">
        <v>42</v>
      </c>
      <c r="O213" s="8">
        <v>500</v>
      </c>
      <c r="P213" s="5" t="s">
        <v>67</v>
      </c>
      <c r="Q213" s="8">
        <v>11958</v>
      </c>
      <c r="R213" s="9">
        <v>2.5099999999999998</v>
      </c>
      <c r="S213" s="9">
        <v>23.916</v>
      </c>
      <c r="T213" s="5" t="s">
        <v>68</v>
      </c>
      <c r="U213" s="5" t="s">
        <v>693</v>
      </c>
      <c r="V213" s="5" t="s">
        <v>40</v>
      </c>
      <c r="W213" s="5" t="s">
        <v>70</v>
      </c>
      <c r="X213" s="5" t="s">
        <v>117</v>
      </c>
      <c r="Y213" s="5" t="s">
        <v>605</v>
      </c>
      <c r="Z213" s="5" t="s">
        <v>694</v>
      </c>
      <c r="AA213" s="5" t="s">
        <v>695</v>
      </c>
      <c r="AB213" s="5" t="s">
        <v>695</v>
      </c>
      <c r="AC213" s="5" t="s">
        <v>695</v>
      </c>
      <c r="AD213" s="5" t="s">
        <v>695</v>
      </c>
      <c r="AE213" s="5" t="s">
        <v>695</v>
      </c>
      <c r="AF213" s="5" t="s">
        <v>696</v>
      </c>
      <c r="AG213" s="5" t="s">
        <v>674</v>
      </c>
      <c r="AH213" s="5" t="s">
        <v>697</v>
      </c>
      <c r="AI213" s="5" t="s">
        <v>50</v>
      </c>
    </row>
    <row r="214" spans="1:35" x14ac:dyDescent="0.3">
      <c r="A214" s="4">
        <v>713909000</v>
      </c>
      <c r="B214" s="5" t="s">
        <v>37</v>
      </c>
      <c r="C214" s="5" t="s">
        <v>63</v>
      </c>
      <c r="D214" s="5" t="s">
        <v>698</v>
      </c>
      <c r="E214" s="7">
        <v>44594</v>
      </c>
      <c r="F214" s="24">
        <f t="shared" si="6"/>
        <v>2</v>
      </c>
      <c r="G214" s="24">
        <f t="shared" si="7"/>
        <v>2022</v>
      </c>
      <c r="H214" s="5">
        <v>20552256647</v>
      </c>
      <c r="I214" s="5" t="s">
        <v>602</v>
      </c>
      <c r="J214" s="5" t="s">
        <v>612</v>
      </c>
      <c r="K214" s="8">
        <v>2995.24</v>
      </c>
      <c r="L214" s="8">
        <v>2858.4</v>
      </c>
      <c r="M214" s="8">
        <v>2858.4</v>
      </c>
      <c r="N214" s="5" t="s">
        <v>42</v>
      </c>
      <c r="O214" s="8">
        <v>300</v>
      </c>
      <c r="P214" s="5" t="s">
        <v>67</v>
      </c>
      <c r="Q214" s="8">
        <v>6740</v>
      </c>
      <c r="R214" s="9">
        <v>2.3570000000000002</v>
      </c>
      <c r="S214" s="9">
        <v>22.466000000000001</v>
      </c>
      <c r="T214" s="5" t="s">
        <v>68</v>
      </c>
      <c r="U214" s="5" t="s">
        <v>116</v>
      </c>
      <c r="V214" s="5" t="s">
        <v>40</v>
      </c>
      <c r="W214" s="5" t="s">
        <v>70</v>
      </c>
      <c r="X214" s="5" t="s">
        <v>117</v>
      </c>
      <c r="Y214" s="5" t="s">
        <v>339</v>
      </c>
      <c r="Z214" s="5" t="s">
        <v>699</v>
      </c>
      <c r="AA214" s="5" t="s">
        <v>700</v>
      </c>
      <c r="AB214" s="5" t="s">
        <v>700</v>
      </c>
      <c r="AC214" s="5" t="s">
        <v>700</v>
      </c>
      <c r="AD214" s="5" t="s">
        <v>700</v>
      </c>
      <c r="AE214" s="5" t="s">
        <v>700</v>
      </c>
      <c r="AF214" s="5" t="s">
        <v>696</v>
      </c>
      <c r="AG214" s="5" t="s">
        <v>674</v>
      </c>
      <c r="AH214" s="5" t="s">
        <v>701</v>
      </c>
      <c r="AI214" s="5" t="s">
        <v>50</v>
      </c>
    </row>
    <row r="215" spans="1:35" x14ac:dyDescent="0.3">
      <c r="A215" s="4">
        <v>713909000</v>
      </c>
      <c r="B215" s="5" t="s">
        <v>37</v>
      </c>
      <c r="C215" s="5" t="s">
        <v>38</v>
      </c>
      <c r="D215" s="5" t="s">
        <v>702</v>
      </c>
      <c r="E215" s="7">
        <v>44574</v>
      </c>
      <c r="F215" s="24">
        <f t="shared" si="6"/>
        <v>1</v>
      </c>
      <c r="G215" s="24">
        <f t="shared" si="7"/>
        <v>2022</v>
      </c>
      <c r="H215" s="5">
        <v>20607909637</v>
      </c>
      <c r="I215" s="5" t="s">
        <v>665</v>
      </c>
      <c r="J215" s="5" t="s">
        <v>41</v>
      </c>
      <c r="K215" s="8">
        <v>5565.81</v>
      </c>
      <c r="L215" s="8">
        <v>5550</v>
      </c>
      <c r="M215" s="8">
        <v>5550</v>
      </c>
      <c r="N215" s="5" t="s">
        <v>42</v>
      </c>
      <c r="O215" s="8">
        <v>5550</v>
      </c>
      <c r="P215" s="5" t="s">
        <v>42</v>
      </c>
      <c r="Q215" s="8">
        <v>4440</v>
      </c>
      <c r="R215" s="9">
        <v>0.8</v>
      </c>
      <c r="S215" s="9">
        <v>0.8</v>
      </c>
      <c r="T215" s="5" t="s">
        <v>43</v>
      </c>
      <c r="U215" s="5" t="s">
        <v>44</v>
      </c>
      <c r="V215" s="5" t="s">
        <v>40</v>
      </c>
      <c r="W215" s="5" t="s">
        <v>45</v>
      </c>
      <c r="X215" s="5" t="s">
        <v>40</v>
      </c>
      <c r="Y215" s="5" t="s">
        <v>439</v>
      </c>
      <c r="Z215" s="5" t="s">
        <v>440</v>
      </c>
      <c r="AA215" s="5" t="s">
        <v>441</v>
      </c>
      <c r="AB215" s="5" t="s">
        <v>441</v>
      </c>
      <c r="AC215" s="5" t="s">
        <v>441</v>
      </c>
      <c r="AD215" s="5" t="s">
        <v>441</v>
      </c>
      <c r="AE215" s="5" t="s">
        <v>441</v>
      </c>
      <c r="AF215" s="5" t="s">
        <v>49</v>
      </c>
      <c r="AG215" s="5" t="s">
        <v>49</v>
      </c>
      <c r="AH215" s="5" t="s">
        <v>49</v>
      </c>
      <c r="AI215" s="5" t="s">
        <v>50</v>
      </c>
    </row>
    <row r="216" spans="1:35" x14ac:dyDescent="0.3">
      <c r="A216" s="4">
        <v>713909000</v>
      </c>
      <c r="B216" s="5" t="s">
        <v>37</v>
      </c>
      <c r="C216" s="5" t="s">
        <v>63</v>
      </c>
      <c r="D216" s="5" t="s">
        <v>703</v>
      </c>
      <c r="E216" s="7">
        <v>44887</v>
      </c>
      <c r="F216" s="24">
        <f t="shared" si="6"/>
        <v>11</v>
      </c>
      <c r="G216" s="24">
        <f t="shared" si="7"/>
        <v>2022</v>
      </c>
      <c r="H216" s="5">
        <v>20605379070</v>
      </c>
      <c r="I216" s="5" t="s">
        <v>704</v>
      </c>
      <c r="J216" s="5" t="s">
        <v>705</v>
      </c>
      <c r="K216" s="8">
        <v>147</v>
      </c>
      <c r="L216" s="8">
        <v>140</v>
      </c>
      <c r="M216" s="8">
        <v>140</v>
      </c>
      <c r="N216" s="5" t="s">
        <v>42</v>
      </c>
      <c r="O216" s="8">
        <v>7</v>
      </c>
      <c r="P216" s="5" t="s">
        <v>80</v>
      </c>
      <c r="Q216" s="8">
        <v>354</v>
      </c>
      <c r="R216" s="9">
        <v>2.528</v>
      </c>
      <c r="S216" s="9">
        <v>50.570999999999998</v>
      </c>
      <c r="T216" s="5" t="s">
        <v>197</v>
      </c>
      <c r="U216" s="5" t="s">
        <v>116</v>
      </c>
      <c r="V216" s="5" t="s">
        <v>40</v>
      </c>
      <c r="W216" s="5" t="s">
        <v>70</v>
      </c>
      <c r="X216" s="5" t="s">
        <v>109</v>
      </c>
      <c r="Y216" s="5" t="s">
        <v>706</v>
      </c>
      <c r="Z216" s="5" t="s">
        <v>707</v>
      </c>
      <c r="AA216" s="5" t="s">
        <v>708</v>
      </c>
      <c r="AB216" s="5" t="s">
        <v>708</v>
      </c>
      <c r="AC216" s="5" t="s">
        <v>708</v>
      </c>
      <c r="AD216" s="5" t="s">
        <v>708</v>
      </c>
      <c r="AE216" s="5" t="s">
        <v>708</v>
      </c>
      <c r="AF216" s="5" t="s">
        <v>121</v>
      </c>
      <c r="AG216" s="5" t="s">
        <v>49</v>
      </c>
      <c r="AH216" s="5" t="s">
        <v>49</v>
      </c>
      <c r="AI216" s="5" t="s">
        <v>50</v>
      </c>
    </row>
    <row r="217" spans="1:35" x14ac:dyDescent="0.3">
      <c r="A217" s="4">
        <v>713909000</v>
      </c>
      <c r="B217" s="5" t="s">
        <v>37</v>
      </c>
      <c r="C217" s="5" t="s">
        <v>63</v>
      </c>
      <c r="D217" s="5" t="s">
        <v>709</v>
      </c>
      <c r="E217" s="7">
        <v>44887</v>
      </c>
      <c r="F217" s="24">
        <f t="shared" si="6"/>
        <v>11</v>
      </c>
      <c r="G217" s="24">
        <f t="shared" si="7"/>
        <v>2022</v>
      </c>
      <c r="H217" s="5">
        <v>20605379070</v>
      </c>
      <c r="I217" s="5" t="s">
        <v>704</v>
      </c>
      <c r="J217" s="5" t="s">
        <v>705</v>
      </c>
      <c r="K217" s="8">
        <v>150</v>
      </c>
      <c r="L217" s="8">
        <v>144</v>
      </c>
      <c r="M217" s="8">
        <v>144</v>
      </c>
      <c r="N217" s="5" t="s">
        <v>42</v>
      </c>
      <c r="O217" s="8">
        <v>12</v>
      </c>
      <c r="P217" s="5" t="s">
        <v>80</v>
      </c>
      <c r="Q217" s="8">
        <v>456</v>
      </c>
      <c r="R217" s="9">
        <v>3.1659999999999999</v>
      </c>
      <c r="S217" s="9">
        <v>38</v>
      </c>
      <c r="T217" s="5" t="s">
        <v>197</v>
      </c>
      <c r="U217" s="5" t="s">
        <v>116</v>
      </c>
      <c r="V217" s="5" t="s">
        <v>40</v>
      </c>
      <c r="W217" s="5" t="s">
        <v>70</v>
      </c>
      <c r="X217" s="5" t="s">
        <v>109</v>
      </c>
      <c r="Y217" s="5" t="s">
        <v>706</v>
      </c>
      <c r="Z217" s="5" t="s">
        <v>710</v>
      </c>
      <c r="AA217" s="5" t="s">
        <v>711</v>
      </c>
      <c r="AB217" s="5" t="s">
        <v>711</v>
      </c>
      <c r="AC217" s="5" t="s">
        <v>711</v>
      </c>
      <c r="AD217" s="5" t="s">
        <v>711</v>
      </c>
      <c r="AE217" s="5" t="s">
        <v>711</v>
      </c>
      <c r="AF217" s="5" t="s">
        <v>121</v>
      </c>
      <c r="AG217" s="5" t="s">
        <v>49</v>
      </c>
      <c r="AH217" s="5" t="s">
        <v>49</v>
      </c>
      <c r="AI217" s="5" t="s">
        <v>50</v>
      </c>
    </row>
    <row r="218" spans="1:35" x14ac:dyDescent="0.3">
      <c r="A218" s="4">
        <v>713909000</v>
      </c>
      <c r="B218" s="5" t="s">
        <v>37</v>
      </c>
      <c r="C218" s="5" t="s">
        <v>63</v>
      </c>
      <c r="D218" s="5" t="s">
        <v>712</v>
      </c>
      <c r="E218" s="7">
        <v>44671</v>
      </c>
      <c r="F218" s="24">
        <f t="shared" si="6"/>
        <v>4</v>
      </c>
      <c r="G218" s="24">
        <f t="shared" si="7"/>
        <v>2022</v>
      </c>
      <c r="H218" s="5">
        <v>20605379070</v>
      </c>
      <c r="I218" s="5" t="s">
        <v>704</v>
      </c>
      <c r="J218" s="5" t="s">
        <v>705</v>
      </c>
      <c r="K218" s="8">
        <v>66.7</v>
      </c>
      <c r="L218" s="8">
        <v>63.36</v>
      </c>
      <c r="M218" s="8">
        <v>63.36</v>
      </c>
      <c r="N218" s="5" t="s">
        <v>42</v>
      </c>
      <c r="O218" s="8">
        <v>7</v>
      </c>
      <c r="P218" s="5" t="s">
        <v>67</v>
      </c>
      <c r="Q218" s="8">
        <v>245</v>
      </c>
      <c r="R218" s="9">
        <v>3.8660000000000001</v>
      </c>
      <c r="S218" s="9">
        <v>35</v>
      </c>
      <c r="T218" s="5" t="s">
        <v>197</v>
      </c>
      <c r="U218" s="5" t="s">
        <v>247</v>
      </c>
      <c r="V218" s="5" t="s">
        <v>40</v>
      </c>
      <c r="W218" s="5" t="s">
        <v>70</v>
      </c>
      <c r="X218" s="5" t="s">
        <v>248</v>
      </c>
      <c r="Y218" s="5" t="s">
        <v>706</v>
      </c>
      <c r="Z218" s="5" t="s">
        <v>713</v>
      </c>
      <c r="AA218" s="5" t="s">
        <v>714</v>
      </c>
      <c r="AB218" s="5" t="s">
        <v>714</v>
      </c>
      <c r="AC218" s="5" t="s">
        <v>714</v>
      </c>
      <c r="AD218" s="5" t="s">
        <v>714</v>
      </c>
      <c r="AE218" s="5" t="s">
        <v>714</v>
      </c>
      <c r="AF218" s="5" t="s">
        <v>252</v>
      </c>
      <c r="AG218" s="5" t="s">
        <v>715</v>
      </c>
      <c r="AH218" s="5" t="s">
        <v>716</v>
      </c>
      <c r="AI218" s="5" t="s">
        <v>50</v>
      </c>
    </row>
    <row r="219" spans="1:35" x14ac:dyDescent="0.3">
      <c r="A219" s="4">
        <v>713909000</v>
      </c>
      <c r="B219" s="5" t="s">
        <v>37</v>
      </c>
      <c r="C219" s="5" t="s">
        <v>63</v>
      </c>
      <c r="D219" s="5" t="s">
        <v>717</v>
      </c>
      <c r="E219" s="7">
        <v>45351</v>
      </c>
      <c r="F219" s="24">
        <f t="shared" si="6"/>
        <v>2</v>
      </c>
      <c r="G219" s="24">
        <f t="shared" si="7"/>
        <v>2024</v>
      </c>
      <c r="H219" s="5">
        <v>20605997253</v>
      </c>
      <c r="I219" s="5" t="s">
        <v>718</v>
      </c>
      <c r="J219" s="5" t="s">
        <v>719</v>
      </c>
      <c r="K219" s="8">
        <v>1353.63</v>
      </c>
      <c r="L219" s="8">
        <v>1327.81</v>
      </c>
      <c r="M219" s="8">
        <v>1327.81</v>
      </c>
      <c r="N219" s="5" t="s">
        <v>42</v>
      </c>
      <c r="O219" s="8">
        <v>31</v>
      </c>
      <c r="P219" s="5" t="s">
        <v>631</v>
      </c>
      <c r="Q219" s="8">
        <v>4240.7700000000004</v>
      </c>
      <c r="R219" s="9">
        <v>3.1930000000000001</v>
      </c>
      <c r="S219" s="9">
        <v>136.79900000000001</v>
      </c>
      <c r="T219" s="5" t="s">
        <v>68</v>
      </c>
      <c r="U219" s="5" t="s">
        <v>247</v>
      </c>
      <c r="V219" s="5" t="s">
        <v>40</v>
      </c>
      <c r="W219" s="5" t="s">
        <v>70</v>
      </c>
      <c r="X219" s="5" t="s">
        <v>248</v>
      </c>
      <c r="Y219" s="5" t="s">
        <v>720</v>
      </c>
      <c r="Z219" s="5" t="s">
        <v>721</v>
      </c>
      <c r="AA219" s="5" t="s">
        <v>722</v>
      </c>
      <c r="AB219" s="5" t="s">
        <v>722</v>
      </c>
      <c r="AC219" s="5" t="s">
        <v>722</v>
      </c>
      <c r="AD219" s="5" t="s">
        <v>722</v>
      </c>
      <c r="AE219" s="5" t="s">
        <v>722</v>
      </c>
      <c r="AF219" s="5" t="s">
        <v>252</v>
      </c>
      <c r="AG219" s="5" t="s">
        <v>723</v>
      </c>
      <c r="AH219" s="5" t="s">
        <v>724</v>
      </c>
      <c r="AI219" s="5" t="s">
        <v>50</v>
      </c>
    </row>
    <row r="220" spans="1:35" x14ac:dyDescent="0.3">
      <c r="A220" s="4">
        <v>713909000</v>
      </c>
      <c r="B220" s="5" t="s">
        <v>37</v>
      </c>
      <c r="C220" s="5" t="s">
        <v>63</v>
      </c>
      <c r="D220" s="5" t="s">
        <v>725</v>
      </c>
      <c r="E220" s="7">
        <v>45315</v>
      </c>
      <c r="F220" s="24">
        <f t="shared" si="6"/>
        <v>1</v>
      </c>
      <c r="G220" s="24">
        <f t="shared" si="7"/>
        <v>2024</v>
      </c>
      <c r="H220" s="5">
        <v>20605997253</v>
      </c>
      <c r="I220" s="5" t="s">
        <v>718</v>
      </c>
      <c r="J220" s="5" t="s">
        <v>40</v>
      </c>
      <c r="K220" s="8">
        <v>2315.79</v>
      </c>
      <c r="L220" s="8">
        <v>2268.61</v>
      </c>
      <c r="M220" s="8">
        <v>2268.61</v>
      </c>
      <c r="N220" s="5" t="s">
        <v>42</v>
      </c>
      <c r="O220" s="8">
        <v>100</v>
      </c>
      <c r="P220" s="5" t="s">
        <v>631</v>
      </c>
      <c r="Q220" s="8">
        <v>24692.85</v>
      </c>
      <c r="R220" s="9">
        <v>10.884</v>
      </c>
      <c r="S220" s="9">
        <v>246.928</v>
      </c>
      <c r="T220" s="5" t="s">
        <v>68</v>
      </c>
      <c r="U220" s="5" t="s">
        <v>247</v>
      </c>
      <c r="V220" s="5" t="s">
        <v>40</v>
      </c>
      <c r="W220" s="5" t="s">
        <v>70</v>
      </c>
      <c r="X220" s="5" t="s">
        <v>248</v>
      </c>
      <c r="Y220" s="5" t="s">
        <v>720</v>
      </c>
      <c r="Z220" s="5" t="s">
        <v>726</v>
      </c>
      <c r="AA220" s="5" t="s">
        <v>727</v>
      </c>
      <c r="AB220" s="5" t="s">
        <v>727</v>
      </c>
      <c r="AC220" s="5" t="s">
        <v>727</v>
      </c>
      <c r="AD220" s="5" t="s">
        <v>727</v>
      </c>
      <c r="AE220" s="5" t="s">
        <v>727</v>
      </c>
      <c r="AF220" s="5" t="s">
        <v>252</v>
      </c>
      <c r="AG220" s="5" t="s">
        <v>49</v>
      </c>
      <c r="AH220" s="5" t="s">
        <v>49</v>
      </c>
      <c r="AI220" s="5" t="s">
        <v>49</v>
      </c>
    </row>
    <row r="221" spans="1:35" x14ac:dyDescent="0.3">
      <c r="A221" s="4">
        <v>713909000</v>
      </c>
      <c r="B221" s="5" t="s">
        <v>37</v>
      </c>
      <c r="C221" s="5" t="s">
        <v>63</v>
      </c>
      <c r="D221" s="5" t="s">
        <v>728</v>
      </c>
      <c r="E221" s="7">
        <v>45302</v>
      </c>
      <c r="F221" s="24">
        <f t="shared" si="6"/>
        <v>1</v>
      </c>
      <c r="G221" s="24">
        <f t="shared" si="7"/>
        <v>2024</v>
      </c>
      <c r="H221" s="5">
        <v>20605997253</v>
      </c>
      <c r="I221" s="5" t="s">
        <v>718</v>
      </c>
      <c r="J221" s="5" t="s">
        <v>719</v>
      </c>
      <c r="K221" s="8">
        <v>2307</v>
      </c>
      <c r="L221" s="8">
        <v>2268.61</v>
      </c>
      <c r="M221" s="8">
        <v>2268.61</v>
      </c>
      <c r="N221" s="5" t="s">
        <v>42</v>
      </c>
      <c r="O221" s="8">
        <v>100</v>
      </c>
      <c r="P221" s="5" t="s">
        <v>631</v>
      </c>
      <c r="Q221" s="8">
        <v>24692.85</v>
      </c>
      <c r="R221" s="9">
        <v>10.884</v>
      </c>
      <c r="S221" s="9">
        <v>246.928</v>
      </c>
      <c r="T221" s="5" t="s">
        <v>68</v>
      </c>
      <c r="U221" s="5" t="s">
        <v>247</v>
      </c>
      <c r="V221" s="5" t="s">
        <v>40</v>
      </c>
      <c r="W221" s="5" t="s">
        <v>70</v>
      </c>
      <c r="X221" s="5" t="s">
        <v>248</v>
      </c>
      <c r="Y221" s="5" t="s">
        <v>720</v>
      </c>
      <c r="Z221" s="5" t="s">
        <v>729</v>
      </c>
      <c r="AA221" s="5" t="s">
        <v>730</v>
      </c>
      <c r="AB221" s="5" t="s">
        <v>730</v>
      </c>
      <c r="AC221" s="5" t="s">
        <v>730</v>
      </c>
      <c r="AD221" s="5" t="s">
        <v>730</v>
      </c>
      <c r="AE221" s="5" t="s">
        <v>730</v>
      </c>
      <c r="AF221" s="5" t="s">
        <v>252</v>
      </c>
      <c r="AG221" s="5" t="s">
        <v>723</v>
      </c>
      <c r="AH221" s="5" t="s">
        <v>731</v>
      </c>
      <c r="AI221" s="5" t="s">
        <v>50</v>
      </c>
    </row>
    <row r="222" spans="1:35" x14ac:dyDescent="0.3">
      <c r="A222" s="4">
        <v>713909000</v>
      </c>
      <c r="B222" s="5" t="s">
        <v>37</v>
      </c>
      <c r="C222" s="5" t="s">
        <v>63</v>
      </c>
      <c r="D222" s="5" t="s">
        <v>732</v>
      </c>
      <c r="E222" s="7">
        <v>45245</v>
      </c>
      <c r="F222" s="24">
        <f t="shared" si="6"/>
        <v>11</v>
      </c>
      <c r="G222" s="24">
        <f t="shared" si="7"/>
        <v>2023</v>
      </c>
      <c r="H222" s="5">
        <v>20605997253</v>
      </c>
      <c r="I222" s="5" t="s">
        <v>718</v>
      </c>
      <c r="J222" s="5" t="s">
        <v>733</v>
      </c>
      <c r="K222" s="8">
        <v>1299.17</v>
      </c>
      <c r="L222" s="8">
        <v>1270</v>
      </c>
      <c r="M222" s="8">
        <v>1270</v>
      </c>
      <c r="N222" s="5" t="s">
        <v>42</v>
      </c>
      <c r="O222" s="8">
        <v>56</v>
      </c>
      <c r="P222" s="5" t="s">
        <v>631</v>
      </c>
      <c r="Q222" s="8">
        <v>13828</v>
      </c>
      <c r="R222" s="9">
        <v>10.888</v>
      </c>
      <c r="S222" s="9">
        <v>246.928</v>
      </c>
      <c r="T222" s="5" t="s">
        <v>68</v>
      </c>
      <c r="U222" s="5" t="s">
        <v>247</v>
      </c>
      <c r="V222" s="5" t="s">
        <v>40</v>
      </c>
      <c r="W222" s="5" t="s">
        <v>70</v>
      </c>
      <c r="X222" s="5" t="s">
        <v>248</v>
      </c>
      <c r="Y222" s="5" t="s">
        <v>720</v>
      </c>
      <c r="Z222" s="5" t="s">
        <v>734</v>
      </c>
      <c r="AA222" s="5" t="s">
        <v>735</v>
      </c>
      <c r="AB222" s="5" t="s">
        <v>735</v>
      </c>
      <c r="AC222" s="5" t="s">
        <v>735</v>
      </c>
      <c r="AD222" s="5" t="s">
        <v>735</v>
      </c>
      <c r="AE222" s="5" t="s">
        <v>735</v>
      </c>
      <c r="AF222" s="5" t="s">
        <v>252</v>
      </c>
      <c r="AG222" s="5" t="s">
        <v>723</v>
      </c>
      <c r="AH222" s="5" t="s">
        <v>724</v>
      </c>
      <c r="AI222" s="5" t="s">
        <v>50</v>
      </c>
    </row>
    <row r="223" spans="1:35" x14ac:dyDescent="0.3">
      <c r="A223" s="4">
        <v>713909000</v>
      </c>
      <c r="B223" s="5" t="s">
        <v>37</v>
      </c>
      <c r="C223" s="5" t="s">
        <v>233</v>
      </c>
      <c r="D223" s="5" t="s">
        <v>736</v>
      </c>
      <c r="E223" s="7">
        <v>44898</v>
      </c>
      <c r="F223" s="24">
        <f t="shared" si="6"/>
        <v>12</v>
      </c>
      <c r="G223" s="24">
        <f t="shared" si="7"/>
        <v>2022</v>
      </c>
      <c r="H223" s="5">
        <v>20609062551</v>
      </c>
      <c r="I223" s="5" t="s">
        <v>737</v>
      </c>
      <c r="J223" s="5" t="s">
        <v>738</v>
      </c>
      <c r="K223" s="8">
        <v>12.77</v>
      </c>
      <c r="L223" s="8">
        <v>12.13</v>
      </c>
      <c r="M223" s="8">
        <v>12.13</v>
      </c>
      <c r="N223" s="5" t="s">
        <v>42</v>
      </c>
      <c r="O223" s="8">
        <v>10</v>
      </c>
      <c r="P223" s="5" t="s">
        <v>42</v>
      </c>
      <c r="Q223" s="8">
        <v>45</v>
      </c>
      <c r="R223" s="9">
        <v>3.7090000000000001</v>
      </c>
      <c r="S223" s="9">
        <v>4.5</v>
      </c>
      <c r="T223" s="5" t="s">
        <v>739</v>
      </c>
      <c r="U223" s="5" t="s">
        <v>586</v>
      </c>
      <c r="V223" s="5" t="s">
        <v>40</v>
      </c>
      <c r="W223" s="5" t="s">
        <v>239</v>
      </c>
      <c r="X223" s="5" t="s">
        <v>587</v>
      </c>
      <c r="Y223" s="5" t="s">
        <v>588</v>
      </c>
      <c r="Z223" s="5" t="s">
        <v>740</v>
      </c>
      <c r="AA223" s="5" t="s">
        <v>741</v>
      </c>
      <c r="AB223" s="5" t="s">
        <v>741</v>
      </c>
      <c r="AC223" s="5" t="s">
        <v>741</v>
      </c>
      <c r="AD223" s="5" t="s">
        <v>741</v>
      </c>
      <c r="AE223" s="5" t="s">
        <v>741</v>
      </c>
      <c r="AF223" s="5" t="s">
        <v>591</v>
      </c>
      <c r="AG223" s="5" t="s">
        <v>76</v>
      </c>
      <c r="AH223" s="5" t="s">
        <v>76</v>
      </c>
      <c r="AI223" s="5" t="s">
        <v>50</v>
      </c>
    </row>
    <row r="224" spans="1:35" x14ac:dyDescent="0.3">
      <c r="A224" s="4">
        <v>713909000</v>
      </c>
      <c r="B224" s="5" t="s">
        <v>37</v>
      </c>
      <c r="C224" s="5" t="s">
        <v>233</v>
      </c>
      <c r="D224" s="5" t="s">
        <v>742</v>
      </c>
      <c r="E224" s="7">
        <v>44779</v>
      </c>
      <c r="F224" s="24">
        <f t="shared" si="6"/>
        <v>8</v>
      </c>
      <c r="G224" s="24">
        <f t="shared" si="7"/>
        <v>2022</v>
      </c>
      <c r="H224" s="5">
        <v>20609062551</v>
      </c>
      <c r="I224" s="5" t="s">
        <v>737</v>
      </c>
      <c r="J224" s="5" t="s">
        <v>738</v>
      </c>
      <c r="K224" s="8">
        <v>21.05</v>
      </c>
      <c r="L224" s="8">
        <v>20</v>
      </c>
      <c r="M224" s="8">
        <v>20</v>
      </c>
      <c r="N224" s="5" t="s">
        <v>42</v>
      </c>
      <c r="O224" s="8">
        <v>30</v>
      </c>
      <c r="P224" s="5" t="s">
        <v>42</v>
      </c>
      <c r="Q224" s="8">
        <v>89.4</v>
      </c>
      <c r="R224" s="9">
        <v>4.47</v>
      </c>
      <c r="S224" s="9">
        <v>2.98</v>
      </c>
      <c r="T224" s="5" t="s">
        <v>739</v>
      </c>
      <c r="U224" s="5" t="s">
        <v>238</v>
      </c>
      <c r="V224" s="5" t="s">
        <v>40</v>
      </c>
      <c r="W224" s="5" t="s">
        <v>239</v>
      </c>
      <c r="X224" s="5" t="s">
        <v>743</v>
      </c>
      <c r="Y224" s="5" t="s">
        <v>744</v>
      </c>
      <c r="Z224" s="5" t="s">
        <v>745</v>
      </c>
      <c r="AA224" s="5" t="s">
        <v>746</v>
      </c>
      <c r="AB224" s="5" t="s">
        <v>746</v>
      </c>
      <c r="AC224" s="5" t="s">
        <v>746</v>
      </c>
      <c r="AD224" s="5" t="s">
        <v>746</v>
      </c>
      <c r="AE224" s="5" t="s">
        <v>746</v>
      </c>
      <c r="AF224" s="5" t="s">
        <v>747</v>
      </c>
      <c r="AG224" s="5" t="s">
        <v>76</v>
      </c>
      <c r="AH224" s="5" t="s">
        <v>76</v>
      </c>
      <c r="AI224" s="5" t="s">
        <v>377</v>
      </c>
    </row>
    <row r="225" spans="1:35" x14ac:dyDescent="0.3">
      <c r="A225" s="4">
        <v>713909000</v>
      </c>
      <c r="B225" s="5" t="s">
        <v>37</v>
      </c>
      <c r="C225" s="5" t="s">
        <v>63</v>
      </c>
      <c r="D225" s="5" t="s">
        <v>748</v>
      </c>
      <c r="E225" s="7">
        <v>45190</v>
      </c>
      <c r="F225" s="24">
        <f t="shared" si="6"/>
        <v>9</v>
      </c>
      <c r="G225" s="24">
        <f t="shared" si="7"/>
        <v>2023</v>
      </c>
      <c r="H225" s="5">
        <v>20601698928</v>
      </c>
      <c r="I225" s="5" t="s">
        <v>749</v>
      </c>
      <c r="J225" s="5" t="s">
        <v>750</v>
      </c>
      <c r="K225" s="8">
        <v>1618.35</v>
      </c>
      <c r="L225" s="8">
        <v>1536</v>
      </c>
      <c r="M225" s="8">
        <v>1536</v>
      </c>
      <c r="N225" s="5" t="s">
        <v>42</v>
      </c>
      <c r="O225" s="8">
        <v>128</v>
      </c>
      <c r="P225" s="5" t="s">
        <v>67</v>
      </c>
      <c r="Q225" s="8">
        <v>3008</v>
      </c>
      <c r="R225" s="9">
        <v>1.958</v>
      </c>
      <c r="S225" s="9">
        <v>23.5</v>
      </c>
      <c r="T225" s="5" t="s">
        <v>197</v>
      </c>
      <c r="U225" s="5" t="s">
        <v>247</v>
      </c>
      <c r="V225" s="5" t="s">
        <v>40</v>
      </c>
      <c r="W225" s="5" t="s">
        <v>70</v>
      </c>
      <c r="X225" s="5" t="s">
        <v>248</v>
      </c>
      <c r="Y225" s="5" t="s">
        <v>198</v>
      </c>
      <c r="Z225" s="5" t="s">
        <v>751</v>
      </c>
      <c r="AA225" s="5" t="s">
        <v>752</v>
      </c>
      <c r="AB225" s="5" t="s">
        <v>752</v>
      </c>
      <c r="AC225" s="5" t="s">
        <v>752</v>
      </c>
      <c r="AD225" s="5" t="s">
        <v>752</v>
      </c>
      <c r="AE225" s="5" t="s">
        <v>752</v>
      </c>
      <c r="AF225" s="5" t="s">
        <v>252</v>
      </c>
      <c r="AG225" s="5" t="s">
        <v>76</v>
      </c>
      <c r="AH225" s="5" t="s">
        <v>76</v>
      </c>
      <c r="AI225" s="5" t="s">
        <v>50</v>
      </c>
    </row>
    <row r="226" spans="1:35" x14ac:dyDescent="0.3">
      <c r="A226" s="4">
        <v>713909000</v>
      </c>
      <c r="B226" s="5" t="s">
        <v>37</v>
      </c>
      <c r="C226" s="5" t="s">
        <v>63</v>
      </c>
      <c r="D226" s="5" t="s">
        <v>753</v>
      </c>
      <c r="E226" s="7">
        <v>44733</v>
      </c>
      <c r="F226" s="24">
        <f t="shared" si="6"/>
        <v>6</v>
      </c>
      <c r="G226" s="24">
        <f t="shared" si="7"/>
        <v>2022</v>
      </c>
      <c r="H226" s="5">
        <v>20601698928</v>
      </c>
      <c r="I226" s="5" t="s">
        <v>749</v>
      </c>
      <c r="J226" s="5" t="s">
        <v>754</v>
      </c>
      <c r="K226" s="8">
        <v>1376.84</v>
      </c>
      <c r="L226" s="8">
        <v>1308</v>
      </c>
      <c r="M226" s="8">
        <v>1308</v>
      </c>
      <c r="N226" s="5" t="s">
        <v>42</v>
      </c>
      <c r="O226" s="8">
        <v>109</v>
      </c>
      <c r="P226" s="5" t="s">
        <v>67</v>
      </c>
      <c r="Q226" s="8">
        <v>2092.8000000000002</v>
      </c>
      <c r="R226" s="9">
        <v>1.6</v>
      </c>
      <c r="S226" s="9">
        <v>19.2</v>
      </c>
      <c r="T226" s="5" t="s">
        <v>197</v>
      </c>
      <c r="U226" s="5" t="s">
        <v>116</v>
      </c>
      <c r="V226" s="5" t="s">
        <v>40</v>
      </c>
      <c r="W226" s="5" t="s">
        <v>70</v>
      </c>
      <c r="X226" s="5" t="s">
        <v>117</v>
      </c>
      <c r="Y226" s="5" t="s">
        <v>198</v>
      </c>
      <c r="Z226" s="5" t="s">
        <v>755</v>
      </c>
      <c r="AA226" s="5" t="s">
        <v>756</v>
      </c>
      <c r="AB226" s="5" t="s">
        <v>756</v>
      </c>
      <c r="AC226" s="5" t="s">
        <v>756</v>
      </c>
      <c r="AD226" s="5" t="s">
        <v>756</v>
      </c>
      <c r="AE226" s="5" t="s">
        <v>756</v>
      </c>
      <c r="AF226" s="5" t="s">
        <v>121</v>
      </c>
      <c r="AG226" s="5" t="s">
        <v>106</v>
      </c>
      <c r="AH226" s="5" t="s">
        <v>757</v>
      </c>
      <c r="AI226" s="5" t="s">
        <v>50</v>
      </c>
    </row>
    <row r="227" spans="1:35" x14ac:dyDescent="0.3">
      <c r="A227" s="4">
        <v>713909000</v>
      </c>
      <c r="B227" s="5" t="s">
        <v>37</v>
      </c>
      <c r="C227" s="5" t="s">
        <v>63</v>
      </c>
      <c r="D227" s="5" t="s">
        <v>758</v>
      </c>
      <c r="E227" s="7">
        <v>45078</v>
      </c>
      <c r="F227" s="24">
        <f t="shared" si="6"/>
        <v>6</v>
      </c>
      <c r="G227" s="24">
        <f t="shared" si="7"/>
        <v>2023</v>
      </c>
      <c r="H227" s="5">
        <v>20601698928</v>
      </c>
      <c r="I227" s="5" t="s">
        <v>749</v>
      </c>
      <c r="J227" s="5" t="s">
        <v>750</v>
      </c>
      <c r="K227" s="8">
        <v>1243.69</v>
      </c>
      <c r="L227" s="8">
        <v>1116</v>
      </c>
      <c r="M227" s="8">
        <v>1116</v>
      </c>
      <c r="N227" s="5" t="s">
        <v>42</v>
      </c>
      <c r="O227" s="8">
        <v>93</v>
      </c>
      <c r="P227" s="5" t="s">
        <v>67</v>
      </c>
      <c r="Q227" s="8">
        <v>1788</v>
      </c>
      <c r="R227" s="9">
        <v>1.6020000000000001</v>
      </c>
      <c r="S227" s="9">
        <v>19.225000000000001</v>
      </c>
      <c r="T227" s="5" t="s">
        <v>197</v>
      </c>
      <c r="U227" s="5" t="s">
        <v>247</v>
      </c>
      <c r="V227" s="5" t="s">
        <v>40</v>
      </c>
      <c r="W227" s="5" t="s">
        <v>70</v>
      </c>
      <c r="X227" s="5" t="s">
        <v>248</v>
      </c>
      <c r="Y227" s="5" t="s">
        <v>198</v>
      </c>
      <c r="Z227" s="5" t="s">
        <v>755</v>
      </c>
      <c r="AA227" s="5" t="s">
        <v>756</v>
      </c>
      <c r="AB227" s="5" t="s">
        <v>756</v>
      </c>
      <c r="AC227" s="5" t="s">
        <v>756</v>
      </c>
      <c r="AD227" s="5" t="s">
        <v>756</v>
      </c>
      <c r="AE227" s="5" t="s">
        <v>756</v>
      </c>
      <c r="AF227" s="5" t="s">
        <v>252</v>
      </c>
      <c r="AG227" s="5" t="s">
        <v>76</v>
      </c>
      <c r="AH227" s="5" t="s">
        <v>76</v>
      </c>
      <c r="AI227" s="5" t="s">
        <v>50</v>
      </c>
    </row>
    <row r="228" spans="1:35" x14ac:dyDescent="0.3">
      <c r="A228" s="4">
        <v>713909000</v>
      </c>
      <c r="B228" s="5" t="s">
        <v>37</v>
      </c>
      <c r="C228" s="5" t="s">
        <v>233</v>
      </c>
      <c r="D228" s="5" t="s">
        <v>759</v>
      </c>
      <c r="E228" s="7">
        <v>45335</v>
      </c>
      <c r="F228" s="24">
        <f t="shared" si="6"/>
        <v>2</v>
      </c>
      <c r="G228" s="24">
        <f t="shared" si="7"/>
        <v>2024</v>
      </c>
      <c r="H228" s="5">
        <v>20603351755</v>
      </c>
      <c r="I228" s="5" t="s">
        <v>760</v>
      </c>
      <c r="J228" s="5" t="s">
        <v>761</v>
      </c>
      <c r="K228" s="8">
        <v>2</v>
      </c>
      <c r="L228" s="8">
        <v>1</v>
      </c>
      <c r="M228" s="8">
        <v>1</v>
      </c>
      <c r="N228" s="5" t="s">
        <v>42</v>
      </c>
      <c r="O228" s="8">
        <v>10</v>
      </c>
      <c r="P228" s="5" t="s">
        <v>585</v>
      </c>
      <c r="Q228" s="8">
        <v>2</v>
      </c>
      <c r="R228" s="9">
        <v>2</v>
      </c>
      <c r="S228" s="9">
        <v>0.2</v>
      </c>
      <c r="T228" s="5" t="s">
        <v>739</v>
      </c>
      <c r="U228" s="5" t="s">
        <v>586</v>
      </c>
      <c r="V228" s="5" t="s">
        <v>40</v>
      </c>
      <c r="W228" s="5" t="s">
        <v>239</v>
      </c>
      <c r="X228" s="5" t="s">
        <v>587</v>
      </c>
      <c r="Y228" s="5" t="s">
        <v>762</v>
      </c>
      <c r="Z228" s="5" t="s">
        <v>763</v>
      </c>
      <c r="AA228" s="5" t="s">
        <v>764</v>
      </c>
      <c r="AB228" s="5" t="s">
        <v>764</v>
      </c>
      <c r="AC228" s="5" t="s">
        <v>764</v>
      </c>
      <c r="AD228" s="5" t="s">
        <v>764</v>
      </c>
      <c r="AE228" s="5" t="s">
        <v>764</v>
      </c>
      <c r="AF228" s="5" t="s">
        <v>591</v>
      </c>
      <c r="AG228" s="5" t="s">
        <v>76</v>
      </c>
      <c r="AH228" s="5" t="s">
        <v>76</v>
      </c>
      <c r="AI228" s="5" t="s">
        <v>50</v>
      </c>
    </row>
    <row r="229" spans="1:35" x14ac:dyDescent="0.3">
      <c r="A229" s="4">
        <v>713909000</v>
      </c>
      <c r="B229" s="5" t="s">
        <v>37</v>
      </c>
      <c r="C229" s="5" t="s">
        <v>38</v>
      </c>
      <c r="D229" s="5" t="s">
        <v>765</v>
      </c>
      <c r="E229" s="7">
        <v>44567</v>
      </c>
      <c r="F229" s="24">
        <f t="shared" si="6"/>
        <v>1</v>
      </c>
      <c r="G229" s="24">
        <f t="shared" si="7"/>
        <v>2022</v>
      </c>
      <c r="H229" s="5">
        <v>20603844468</v>
      </c>
      <c r="I229" s="5" t="s">
        <v>766</v>
      </c>
      <c r="J229" s="5" t="s">
        <v>157</v>
      </c>
      <c r="K229" s="8">
        <v>5022.8900000000003</v>
      </c>
      <c r="L229" s="8">
        <v>5000</v>
      </c>
      <c r="M229" s="8">
        <v>5000</v>
      </c>
      <c r="N229" s="5" t="s">
        <v>42</v>
      </c>
      <c r="O229" s="8">
        <v>5000</v>
      </c>
      <c r="P229" s="5" t="s">
        <v>42</v>
      </c>
      <c r="Q229" s="8">
        <v>4000</v>
      </c>
      <c r="R229" s="9">
        <v>0.8</v>
      </c>
      <c r="S229" s="9">
        <v>0.8</v>
      </c>
      <c r="T229" s="5" t="s">
        <v>43</v>
      </c>
      <c r="U229" s="5" t="s">
        <v>44</v>
      </c>
      <c r="V229" s="5" t="s">
        <v>40</v>
      </c>
      <c r="W229" s="5" t="s">
        <v>45</v>
      </c>
      <c r="X229" s="5" t="s">
        <v>40</v>
      </c>
      <c r="Y229" s="5" t="s">
        <v>158</v>
      </c>
      <c r="Z229" s="5" t="s">
        <v>396</v>
      </c>
      <c r="AA229" s="5" t="s">
        <v>397</v>
      </c>
      <c r="AB229" s="5" t="s">
        <v>397</v>
      </c>
      <c r="AC229" s="5" t="s">
        <v>397</v>
      </c>
      <c r="AD229" s="5" t="s">
        <v>397</v>
      </c>
      <c r="AE229" s="5" t="s">
        <v>397</v>
      </c>
      <c r="AF229" s="5" t="s">
        <v>49</v>
      </c>
      <c r="AG229" s="5" t="s">
        <v>49</v>
      </c>
      <c r="AH229" s="5" t="s">
        <v>49</v>
      </c>
      <c r="AI229" s="5" t="s">
        <v>50</v>
      </c>
    </row>
    <row r="230" spans="1:35" x14ac:dyDescent="0.3">
      <c r="A230" s="4">
        <v>713909000</v>
      </c>
      <c r="B230" s="5" t="s">
        <v>37</v>
      </c>
      <c r="C230" s="5" t="s">
        <v>38</v>
      </c>
      <c r="D230" s="5" t="s">
        <v>767</v>
      </c>
      <c r="E230" s="7">
        <v>44995</v>
      </c>
      <c r="F230" s="24">
        <f t="shared" si="6"/>
        <v>3</v>
      </c>
      <c r="G230" s="24">
        <f t="shared" si="7"/>
        <v>2023</v>
      </c>
      <c r="H230" s="5">
        <v>20603844468</v>
      </c>
      <c r="I230" s="5" t="s">
        <v>766</v>
      </c>
      <c r="J230" s="5" t="s">
        <v>768</v>
      </c>
      <c r="K230" s="8">
        <v>3010</v>
      </c>
      <c r="L230" s="8">
        <v>3000</v>
      </c>
      <c r="M230" s="8">
        <v>3000</v>
      </c>
      <c r="N230" s="5" t="s">
        <v>42</v>
      </c>
      <c r="O230" s="8">
        <v>3000</v>
      </c>
      <c r="P230" s="5" t="s">
        <v>42</v>
      </c>
      <c r="Q230" s="8">
        <v>2400</v>
      </c>
      <c r="R230" s="9">
        <v>0.8</v>
      </c>
      <c r="S230" s="9">
        <v>0.8</v>
      </c>
      <c r="T230" s="5" t="s">
        <v>43</v>
      </c>
      <c r="U230" s="5" t="s">
        <v>44</v>
      </c>
      <c r="V230" s="5" t="s">
        <v>40</v>
      </c>
      <c r="W230" s="5" t="s">
        <v>45</v>
      </c>
      <c r="X230" s="5" t="s">
        <v>40</v>
      </c>
      <c r="Y230" s="5" t="s">
        <v>46</v>
      </c>
      <c r="Z230" s="5" t="s">
        <v>769</v>
      </c>
      <c r="AA230" s="5" t="s">
        <v>770</v>
      </c>
      <c r="AB230" s="5" t="s">
        <v>770</v>
      </c>
      <c r="AC230" s="5" t="s">
        <v>770</v>
      </c>
      <c r="AD230" s="5" t="s">
        <v>770</v>
      </c>
      <c r="AE230" s="5" t="s">
        <v>770</v>
      </c>
      <c r="AF230" s="5" t="s">
        <v>49</v>
      </c>
      <c r="AG230" s="5" t="s">
        <v>49</v>
      </c>
      <c r="AH230" s="5" t="s">
        <v>49</v>
      </c>
      <c r="AI230" s="5" t="s">
        <v>50</v>
      </c>
    </row>
    <row r="231" spans="1:35" x14ac:dyDescent="0.3">
      <c r="A231" s="4">
        <v>713909000</v>
      </c>
      <c r="B231" s="5" t="s">
        <v>37</v>
      </c>
      <c r="C231" s="5" t="s">
        <v>38</v>
      </c>
      <c r="D231" s="5" t="s">
        <v>771</v>
      </c>
      <c r="E231" s="7">
        <v>45009</v>
      </c>
      <c r="F231" s="24">
        <f t="shared" si="6"/>
        <v>3</v>
      </c>
      <c r="G231" s="24">
        <f t="shared" si="7"/>
        <v>2023</v>
      </c>
      <c r="H231" s="5">
        <v>20603844468</v>
      </c>
      <c r="I231" s="5" t="s">
        <v>766</v>
      </c>
      <c r="J231" s="5" t="s">
        <v>768</v>
      </c>
      <c r="K231" s="8">
        <v>8025</v>
      </c>
      <c r="L231" s="8">
        <v>8000</v>
      </c>
      <c r="M231" s="8">
        <v>8000</v>
      </c>
      <c r="N231" s="5" t="s">
        <v>42</v>
      </c>
      <c r="O231" s="8">
        <v>8000</v>
      </c>
      <c r="P231" s="5" t="s">
        <v>42</v>
      </c>
      <c r="Q231" s="8">
        <v>6400</v>
      </c>
      <c r="R231" s="9">
        <v>0.8</v>
      </c>
      <c r="S231" s="9">
        <v>0.8</v>
      </c>
      <c r="T231" s="5" t="s">
        <v>43</v>
      </c>
      <c r="U231" s="5" t="s">
        <v>44</v>
      </c>
      <c r="V231" s="5" t="s">
        <v>40</v>
      </c>
      <c r="W231" s="5" t="s">
        <v>45</v>
      </c>
      <c r="X231" s="5" t="s">
        <v>40</v>
      </c>
      <c r="Y231" s="5" t="s">
        <v>83</v>
      </c>
      <c r="Z231" s="5" t="s">
        <v>772</v>
      </c>
      <c r="AA231" s="5" t="s">
        <v>773</v>
      </c>
      <c r="AB231" s="5" t="s">
        <v>773</v>
      </c>
      <c r="AC231" s="5" t="s">
        <v>773</v>
      </c>
      <c r="AD231" s="5" t="s">
        <v>773</v>
      </c>
      <c r="AE231" s="5" t="s">
        <v>773</v>
      </c>
      <c r="AF231" s="5" t="s">
        <v>49</v>
      </c>
      <c r="AG231" s="5" t="s">
        <v>49</v>
      </c>
      <c r="AH231" s="5" t="s">
        <v>49</v>
      </c>
      <c r="AI231" s="5" t="s">
        <v>50</v>
      </c>
    </row>
    <row r="232" spans="1:35" x14ac:dyDescent="0.3">
      <c r="A232" s="4">
        <v>713909000</v>
      </c>
      <c r="B232" s="5" t="s">
        <v>37</v>
      </c>
      <c r="C232" s="5" t="s">
        <v>38</v>
      </c>
      <c r="D232" s="5" t="s">
        <v>774</v>
      </c>
      <c r="E232" s="7">
        <v>45037</v>
      </c>
      <c r="F232" s="24">
        <f t="shared" si="6"/>
        <v>4</v>
      </c>
      <c r="G232" s="24">
        <f t="shared" si="7"/>
        <v>2023</v>
      </c>
      <c r="H232" s="5">
        <v>20603844468</v>
      </c>
      <c r="I232" s="5" t="s">
        <v>766</v>
      </c>
      <c r="J232" s="5" t="s">
        <v>421</v>
      </c>
      <c r="K232" s="8">
        <v>4030</v>
      </c>
      <c r="L232" s="8">
        <v>4000</v>
      </c>
      <c r="M232" s="8">
        <v>4000</v>
      </c>
      <c r="N232" s="5" t="s">
        <v>42</v>
      </c>
      <c r="O232" s="8">
        <v>4000</v>
      </c>
      <c r="P232" s="5" t="s">
        <v>42</v>
      </c>
      <c r="Q232" s="8">
        <v>3200</v>
      </c>
      <c r="R232" s="9">
        <v>0.8</v>
      </c>
      <c r="S232" s="9">
        <v>0.8</v>
      </c>
      <c r="T232" s="5" t="s">
        <v>43</v>
      </c>
      <c r="U232" s="5" t="s">
        <v>44</v>
      </c>
      <c r="V232" s="5" t="s">
        <v>40</v>
      </c>
      <c r="W232" s="5" t="s">
        <v>45</v>
      </c>
      <c r="X232" s="5" t="s">
        <v>40</v>
      </c>
      <c r="Y232" s="5" t="s">
        <v>46</v>
      </c>
      <c r="Z232" s="5" t="s">
        <v>775</v>
      </c>
      <c r="AA232" s="5" t="s">
        <v>776</v>
      </c>
      <c r="AB232" s="5" t="s">
        <v>776</v>
      </c>
      <c r="AC232" s="5" t="s">
        <v>776</v>
      </c>
      <c r="AD232" s="5" t="s">
        <v>776</v>
      </c>
      <c r="AE232" s="5" t="s">
        <v>776</v>
      </c>
      <c r="AF232" s="5" t="s">
        <v>49</v>
      </c>
      <c r="AG232" s="5" t="s">
        <v>49</v>
      </c>
      <c r="AH232" s="5" t="s">
        <v>49</v>
      </c>
      <c r="AI232" s="5" t="s">
        <v>50</v>
      </c>
    </row>
    <row r="233" spans="1:35" x14ac:dyDescent="0.3">
      <c r="A233" s="4">
        <v>713909000</v>
      </c>
      <c r="B233" s="5" t="s">
        <v>37</v>
      </c>
      <c r="C233" s="5" t="s">
        <v>38</v>
      </c>
      <c r="D233" s="5" t="s">
        <v>777</v>
      </c>
      <c r="E233" s="7">
        <v>44945</v>
      </c>
      <c r="F233" s="24">
        <f t="shared" si="6"/>
        <v>1</v>
      </c>
      <c r="G233" s="24">
        <f t="shared" si="7"/>
        <v>2023</v>
      </c>
      <c r="H233" s="5">
        <v>20603844468</v>
      </c>
      <c r="I233" s="5" t="s">
        <v>766</v>
      </c>
      <c r="J233" s="5" t="s">
        <v>778</v>
      </c>
      <c r="K233" s="8">
        <v>2520</v>
      </c>
      <c r="L233" s="8">
        <v>2500</v>
      </c>
      <c r="M233" s="8">
        <v>2500</v>
      </c>
      <c r="N233" s="5" t="s">
        <v>42</v>
      </c>
      <c r="O233" s="8">
        <v>2500</v>
      </c>
      <c r="P233" s="5" t="s">
        <v>42</v>
      </c>
      <c r="Q233" s="8">
        <v>2000</v>
      </c>
      <c r="R233" s="9">
        <v>0.8</v>
      </c>
      <c r="S233" s="9">
        <v>0.8</v>
      </c>
      <c r="T233" s="5" t="s">
        <v>43</v>
      </c>
      <c r="U233" s="5" t="s">
        <v>44</v>
      </c>
      <c r="V233" s="5" t="s">
        <v>40</v>
      </c>
      <c r="W233" s="5" t="s">
        <v>45</v>
      </c>
      <c r="X233" s="5" t="s">
        <v>40</v>
      </c>
      <c r="Y233" s="5" t="s">
        <v>46</v>
      </c>
      <c r="Z233" s="5" t="s">
        <v>779</v>
      </c>
      <c r="AA233" s="5" t="s">
        <v>780</v>
      </c>
      <c r="AB233" s="5" t="s">
        <v>780</v>
      </c>
      <c r="AC233" s="5" t="s">
        <v>780</v>
      </c>
      <c r="AD233" s="5" t="s">
        <v>780</v>
      </c>
      <c r="AE233" s="5" t="s">
        <v>780</v>
      </c>
      <c r="AF233" s="5" t="s">
        <v>49</v>
      </c>
      <c r="AG233" s="5" t="s">
        <v>49</v>
      </c>
      <c r="AH233" s="5" t="s">
        <v>49</v>
      </c>
      <c r="AI233" s="5" t="s">
        <v>50</v>
      </c>
    </row>
    <row r="234" spans="1:35" x14ac:dyDescent="0.3">
      <c r="A234" s="4">
        <v>713909000</v>
      </c>
      <c r="B234" s="5" t="s">
        <v>37</v>
      </c>
      <c r="C234" s="5" t="s">
        <v>38</v>
      </c>
      <c r="D234" s="5" t="s">
        <v>781</v>
      </c>
      <c r="E234" s="7">
        <v>44959</v>
      </c>
      <c r="F234" s="24">
        <f t="shared" si="6"/>
        <v>2</v>
      </c>
      <c r="G234" s="24">
        <f t="shared" si="7"/>
        <v>2023</v>
      </c>
      <c r="H234" s="5">
        <v>20603844468</v>
      </c>
      <c r="I234" s="5" t="s">
        <v>766</v>
      </c>
      <c r="J234" s="5" t="s">
        <v>778</v>
      </c>
      <c r="K234" s="8">
        <v>3280</v>
      </c>
      <c r="L234" s="8">
        <v>3250</v>
      </c>
      <c r="M234" s="8">
        <v>3250</v>
      </c>
      <c r="N234" s="5" t="s">
        <v>42</v>
      </c>
      <c r="O234" s="8">
        <v>3250</v>
      </c>
      <c r="P234" s="5" t="s">
        <v>42</v>
      </c>
      <c r="Q234" s="8">
        <v>2600</v>
      </c>
      <c r="R234" s="9">
        <v>0.8</v>
      </c>
      <c r="S234" s="9">
        <v>0.8</v>
      </c>
      <c r="T234" s="5" t="s">
        <v>43</v>
      </c>
      <c r="U234" s="5" t="s">
        <v>44</v>
      </c>
      <c r="V234" s="5" t="s">
        <v>40</v>
      </c>
      <c r="W234" s="5" t="s">
        <v>45</v>
      </c>
      <c r="X234" s="5" t="s">
        <v>40</v>
      </c>
      <c r="Y234" s="5" t="s">
        <v>46</v>
      </c>
      <c r="Z234" s="5" t="s">
        <v>782</v>
      </c>
      <c r="AA234" s="5" t="s">
        <v>783</v>
      </c>
      <c r="AB234" s="5" t="s">
        <v>783</v>
      </c>
      <c r="AC234" s="5" t="s">
        <v>783</v>
      </c>
      <c r="AD234" s="5" t="s">
        <v>783</v>
      </c>
      <c r="AE234" s="5" t="s">
        <v>783</v>
      </c>
      <c r="AF234" s="5" t="s">
        <v>49</v>
      </c>
      <c r="AG234" s="5" t="s">
        <v>49</v>
      </c>
      <c r="AH234" s="5" t="s">
        <v>49</v>
      </c>
      <c r="AI234" s="5" t="s">
        <v>50</v>
      </c>
    </row>
    <row r="235" spans="1:35" x14ac:dyDescent="0.3">
      <c r="A235" s="4">
        <v>713909000</v>
      </c>
      <c r="B235" s="5" t="s">
        <v>37</v>
      </c>
      <c r="C235" s="5" t="s">
        <v>38</v>
      </c>
      <c r="D235" s="5" t="s">
        <v>784</v>
      </c>
      <c r="E235" s="7">
        <v>44889</v>
      </c>
      <c r="F235" s="24">
        <f t="shared" si="6"/>
        <v>11</v>
      </c>
      <c r="G235" s="24">
        <f t="shared" si="7"/>
        <v>2022</v>
      </c>
      <c r="H235" s="5">
        <v>20603844468</v>
      </c>
      <c r="I235" s="5" t="s">
        <v>766</v>
      </c>
      <c r="J235" s="5" t="s">
        <v>785</v>
      </c>
      <c r="K235" s="8">
        <v>3760</v>
      </c>
      <c r="L235" s="8">
        <v>3750</v>
      </c>
      <c r="M235" s="8">
        <v>3750</v>
      </c>
      <c r="N235" s="5" t="s">
        <v>42</v>
      </c>
      <c r="O235" s="8">
        <v>3750</v>
      </c>
      <c r="P235" s="5" t="s">
        <v>42</v>
      </c>
      <c r="Q235" s="8">
        <v>3000</v>
      </c>
      <c r="R235" s="9">
        <v>0.8</v>
      </c>
      <c r="S235" s="9">
        <v>0.8</v>
      </c>
      <c r="T235" s="5" t="s">
        <v>43</v>
      </c>
      <c r="U235" s="5" t="s">
        <v>44</v>
      </c>
      <c r="V235" s="5" t="s">
        <v>40</v>
      </c>
      <c r="W235" s="5" t="s">
        <v>45</v>
      </c>
      <c r="X235" s="5" t="s">
        <v>40</v>
      </c>
      <c r="Y235" s="5" t="s">
        <v>46</v>
      </c>
      <c r="Z235" s="5" t="s">
        <v>562</v>
      </c>
      <c r="AA235" s="5" t="s">
        <v>563</v>
      </c>
      <c r="AB235" s="5" t="s">
        <v>563</v>
      </c>
      <c r="AC235" s="5" t="s">
        <v>563</v>
      </c>
      <c r="AD235" s="5" t="s">
        <v>563</v>
      </c>
      <c r="AE235" s="5" t="s">
        <v>563</v>
      </c>
      <c r="AF235" s="5" t="s">
        <v>49</v>
      </c>
      <c r="AG235" s="5" t="s">
        <v>49</v>
      </c>
      <c r="AH235" s="5" t="s">
        <v>49</v>
      </c>
      <c r="AI235" s="5" t="s">
        <v>377</v>
      </c>
    </row>
    <row r="236" spans="1:35" x14ac:dyDescent="0.3">
      <c r="A236" s="4">
        <v>713909000</v>
      </c>
      <c r="B236" s="5" t="s">
        <v>37</v>
      </c>
      <c r="C236" s="5" t="s">
        <v>38</v>
      </c>
      <c r="D236" s="5" t="s">
        <v>786</v>
      </c>
      <c r="E236" s="7">
        <v>44876</v>
      </c>
      <c r="F236" s="24">
        <f t="shared" si="6"/>
        <v>11</v>
      </c>
      <c r="G236" s="24">
        <f t="shared" si="7"/>
        <v>2022</v>
      </c>
      <c r="H236" s="5">
        <v>20603844468</v>
      </c>
      <c r="I236" s="5" t="s">
        <v>766</v>
      </c>
      <c r="J236" s="5" t="s">
        <v>785</v>
      </c>
      <c r="K236" s="8">
        <v>10037.950000000001</v>
      </c>
      <c r="L236" s="8">
        <v>10000</v>
      </c>
      <c r="M236" s="8">
        <v>10000</v>
      </c>
      <c r="N236" s="5" t="s">
        <v>42</v>
      </c>
      <c r="O236" s="8">
        <v>10000</v>
      </c>
      <c r="P236" s="5" t="s">
        <v>42</v>
      </c>
      <c r="Q236" s="8">
        <v>8000</v>
      </c>
      <c r="R236" s="9">
        <v>0.8</v>
      </c>
      <c r="S236" s="9">
        <v>0.8</v>
      </c>
      <c r="T236" s="5" t="s">
        <v>43</v>
      </c>
      <c r="U236" s="5" t="s">
        <v>44</v>
      </c>
      <c r="V236" s="5" t="s">
        <v>40</v>
      </c>
      <c r="W236" s="5" t="s">
        <v>45</v>
      </c>
      <c r="X236" s="5" t="s">
        <v>40</v>
      </c>
      <c r="Y236" s="5" t="s">
        <v>439</v>
      </c>
      <c r="Z236" s="5" t="s">
        <v>440</v>
      </c>
      <c r="AA236" s="5" t="s">
        <v>441</v>
      </c>
      <c r="AB236" s="5" t="s">
        <v>441</v>
      </c>
      <c r="AC236" s="5" t="s">
        <v>441</v>
      </c>
      <c r="AD236" s="5" t="s">
        <v>441</v>
      </c>
      <c r="AE236" s="5" t="s">
        <v>441</v>
      </c>
      <c r="AF236" s="5" t="s">
        <v>49</v>
      </c>
      <c r="AG236" s="5" t="s">
        <v>49</v>
      </c>
      <c r="AH236" s="5" t="s">
        <v>49</v>
      </c>
      <c r="AI236" s="5" t="s">
        <v>377</v>
      </c>
    </row>
    <row r="237" spans="1:35" x14ac:dyDescent="0.3">
      <c r="A237" s="4">
        <v>713909000</v>
      </c>
      <c r="B237" s="5" t="s">
        <v>37</v>
      </c>
      <c r="C237" s="5" t="s">
        <v>38</v>
      </c>
      <c r="D237" s="5" t="s">
        <v>787</v>
      </c>
      <c r="E237" s="7">
        <v>44855</v>
      </c>
      <c r="F237" s="24">
        <f t="shared" si="6"/>
        <v>10</v>
      </c>
      <c r="G237" s="24">
        <f t="shared" si="7"/>
        <v>2022</v>
      </c>
      <c r="H237" s="5">
        <v>20603844468</v>
      </c>
      <c r="I237" s="5" t="s">
        <v>766</v>
      </c>
      <c r="J237" s="5" t="s">
        <v>785</v>
      </c>
      <c r="K237" s="8">
        <v>6513.59</v>
      </c>
      <c r="L237" s="8">
        <v>6500</v>
      </c>
      <c r="M237" s="8">
        <v>6500</v>
      </c>
      <c r="N237" s="5" t="s">
        <v>42</v>
      </c>
      <c r="O237" s="8">
        <v>6500</v>
      </c>
      <c r="P237" s="5" t="s">
        <v>42</v>
      </c>
      <c r="Q237" s="8">
        <v>5200</v>
      </c>
      <c r="R237" s="9">
        <v>0.8</v>
      </c>
      <c r="S237" s="9">
        <v>0.8</v>
      </c>
      <c r="T237" s="5" t="s">
        <v>43</v>
      </c>
      <c r="U237" s="5" t="s">
        <v>44</v>
      </c>
      <c r="V237" s="5" t="s">
        <v>40</v>
      </c>
      <c r="W237" s="5" t="s">
        <v>45</v>
      </c>
      <c r="X237" s="5" t="s">
        <v>40</v>
      </c>
      <c r="Y237" s="5" t="s">
        <v>439</v>
      </c>
      <c r="Z237" s="5" t="s">
        <v>440</v>
      </c>
      <c r="AA237" s="5" t="s">
        <v>441</v>
      </c>
      <c r="AB237" s="5" t="s">
        <v>441</v>
      </c>
      <c r="AC237" s="5" t="s">
        <v>441</v>
      </c>
      <c r="AD237" s="5" t="s">
        <v>441</v>
      </c>
      <c r="AE237" s="5" t="s">
        <v>441</v>
      </c>
      <c r="AF237" s="5" t="s">
        <v>49</v>
      </c>
      <c r="AG237" s="5" t="s">
        <v>49</v>
      </c>
      <c r="AH237" s="5" t="s">
        <v>49</v>
      </c>
      <c r="AI237" s="5" t="s">
        <v>50</v>
      </c>
    </row>
    <row r="238" spans="1:35" x14ac:dyDescent="0.3">
      <c r="A238" s="4">
        <v>713909000</v>
      </c>
      <c r="B238" s="5" t="s">
        <v>37</v>
      </c>
      <c r="C238" s="5" t="s">
        <v>38</v>
      </c>
      <c r="D238" s="5" t="s">
        <v>788</v>
      </c>
      <c r="E238" s="7">
        <v>44840</v>
      </c>
      <c r="F238" s="24">
        <f t="shared" si="6"/>
        <v>10</v>
      </c>
      <c r="G238" s="24">
        <f t="shared" si="7"/>
        <v>2022</v>
      </c>
      <c r="H238" s="5">
        <v>20603844468</v>
      </c>
      <c r="I238" s="5" t="s">
        <v>766</v>
      </c>
      <c r="J238" s="5" t="s">
        <v>785</v>
      </c>
      <c r="K238" s="8">
        <v>9020.35</v>
      </c>
      <c r="L238" s="8">
        <v>9000</v>
      </c>
      <c r="M238" s="8">
        <v>9000</v>
      </c>
      <c r="N238" s="5" t="s">
        <v>42</v>
      </c>
      <c r="O238" s="8">
        <v>9000</v>
      </c>
      <c r="P238" s="5" t="s">
        <v>42</v>
      </c>
      <c r="Q238" s="8">
        <v>7200</v>
      </c>
      <c r="R238" s="9">
        <v>0.8</v>
      </c>
      <c r="S238" s="9">
        <v>0.8</v>
      </c>
      <c r="T238" s="5" t="s">
        <v>43</v>
      </c>
      <c r="U238" s="5" t="s">
        <v>44</v>
      </c>
      <c r="V238" s="5" t="s">
        <v>40</v>
      </c>
      <c r="W238" s="5" t="s">
        <v>45</v>
      </c>
      <c r="X238" s="5" t="s">
        <v>40</v>
      </c>
      <c r="Y238" s="5" t="s">
        <v>439</v>
      </c>
      <c r="Z238" s="5" t="s">
        <v>440</v>
      </c>
      <c r="AA238" s="5" t="s">
        <v>441</v>
      </c>
      <c r="AB238" s="5" t="s">
        <v>441</v>
      </c>
      <c r="AC238" s="5" t="s">
        <v>441</v>
      </c>
      <c r="AD238" s="5" t="s">
        <v>441</v>
      </c>
      <c r="AE238" s="5" t="s">
        <v>441</v>
      </c>
      <c r="AF238" s="5" t="s">
        <v>49</v>
      </c>
      <c r="AG238" s="5" t="s">
        <v>49</v>
      </c>
      <c r="AH238" s="5" t="s">
        <v>49</v>
      </c>
      <c r="AI238" s="5" t="s">
        <v>50</v>
      </c>
    </row>
    <row r="239" spans="1:35" x14ac:dyDescent="0.3">
      <c r="A239" s="4">
        <v>713909000</v>
      </c>
      <c r="B239" s="5" t="s">
        <v>37</v>
      </c>
      <c r="C239" s="5" t="s">
        <v>38</v>
      </c>
      <c r="D239" s="5" t="s">
        <v>789</v>
      </c>
      <c r="E239" s="7">
        <v>44826</v>
      </c>
      <c r="F239" s="24">
        <f t="shared" si="6"/>
        <v>9</v>
      </c>
      <c r="G239" s="24">
        <f t="shared" si="7"/>
        <v>2022</v>
      </c>
      <c r="H239" s="5">
        <v>20603844468</v>
      </c>
      <c r="I239" s="5" t="s">
        <v>766</v>
      </c>
      <c r="J239" s="5" t="s">
        <v>778</v>
      </c>
      <c r="K239" s="8">
        <v>9085.6299999999992</v>
      </c>
      <c r="L239" s="8">
        <v>9050</v>
      </c>
      <c r="M239" s="8">
        <v>9050</v>
      </c>
      <c r="N239" s="5" t="s">
        <v>42</v>
      </c>
      <c r="O239" s="8">
        <v>9050</v>
      </c>
      <c r="P239" s="5" t="s">
        <v>42</v>
      </c>
      <c r="Q239" s="8">
        <v>7240</v>
      </c>
      <c r="R239" s="9">
        <v>0.8</v>
      </c>
      <c r="S239" s="9">
        <v>0.8</v>
      </c>
      <c r="T239" s="5" t="s">
        <v>43</v>
      </c>
      <c r="U239" s="5" t="s">
        <v>44</v>
      </c>
      <c r="V239" s="5" t="s">
        <v>40</v>
      </c>
      <c r="W239" s="5" t="s">
        <v>45</v>
      </c>
      <c r="X239" s="5" t="s">
        <v>40</v>
      </c>
      <c r="Y239" s="5" t="s">
        <v>439</v>
      </c>
      <c r="Z239" s="5" t="s">
        <v>440</v>
      </c>
      <c r="AA239" s="5" t="s">
        <v>441</v>
      </c>
      <c r="AB239" s="5" t="s">
        <v>441</v>
      </c>
      <c r="AC239" s="5" t="s">
        <v>441</v>
      </c>
      <c r="AD239" s="5" t="s">
        <v>441</v>
      </c>
      <c r="AE239" s="5" t="s">
        <v>441</v>
      </c>
      <c r="AF239" s="5" t="s">
        <v>49</v>
      </c>
      <c r="AG239" s="5" t="s">
        <v>49</v>
      </c>
      <c r="AH239" s="5" t="s">
        <v>49</v>
      </c>
      <c r="AI239" s="5" t="s">
        <v>50</v>
      </c>
    </row>
    <row r="240" spans="1:35" x14ac:dyDescent="0.3">
      <c r="A240" s="4">
        <v>713909000</v>
      </c>
      <c r="B240" s="5" t="s">
        <v>37</v>
      </c>
      <c r="C240" s="5" t="s">
        <v>38</v>
      </c>
      <c r="D240" s="5" t="s">
        <v>790</v>
      </c>
      <c r="E240" s="7">
        <v>44812</v>
      </c>
      <c r="F240" s="24">
        <f t="shared" si="6"/>
        <v>9</v>
      </c>
      <c r="G240" s="24">
        <f t="shared" si="7"/>
        <v>2022</v>
      </c>
      <c r="H240" s="5">
        <v>20603844468</v>
      </c>
      <c r="I240" s="5" t="s">
        <v>766</v>
      </c>
      <c r="J240" s="5" t="s">
        <v>768</v>
      </c>
      <c r="K240" s="8">
        <v>5019.54</v>
      </c>
      <c r="L240" s="8">
        <v>5000</v>
      </c>
      <c r="M240" s="8">
        <v>5000</v>
      </c>
      <c r="N240" s="5" t="s">
        <v>42</v>
      </c>
      <c r="O240" s="8">
        <v>5000</v>
      </c>
      <c r="P240" s="5" t="s">
        <v>42</v>
      </c>
      <c r="Q240" s="8">
        <v>4000</v>
      </c>
      <c r="R240" s="9">
        <v>0.8</v>
      </c>
      <c r="S240" s="9">
        <v>0.8</v>
      </c>
      <c r="T240" s="5" t="s">
        <v>43</v>
      </c>
      <c r="U240" s="5" t="s">
        <v>44</v>
      </c>
      <c r="V240" s="5" t="s">
        <v>40</v>
      </c>
      <c r="W240" s="5" t="s">
        <v>45</v>
      </c>
      <c r="X240" s="5" t="s">
        <v>40</v>
      </c>
      <c r="Y240" s="5" t="s">
        <v>439</v>
      </c>
      <c r="Z240" s="5" t="s">
        <v>440</v>
      </c>
      <c r="AA240" s="5" t="s">
        <v>441</v>
      </c>
      <c r="AB240" s="5" t="s">
        <v>441</v>
      </c>
      <c r="AC240" s="5" t="s">
        <v>441</v>
      </c>
      <c r="AD240" s="5" t="s">
        <v>441</v>
      </c>
      <c r="AE240" s="5" t="s">
        <v>441</v>
      </c>
      <c r="AF240" s="5" t="s">
        <v>49</v>
      </c>
      <c r="AG240" s="5" t="s">
        <v>49</v>
      </c>
      <c r="AH240" s="5" t="s">
        <v>49</v>
      </c>
      <c r="AI240" s="5" t="s">
        <v>377</v>
      </c>
    </row>
    <row r="241" spans="1:35" x14ac:dyDescent="0.3">
      <c r="A241" s="4">
        <v>713909000</v>
      </c>
      <c r="B241" s="5" t="s">
        <v>37</v>
      </c>
      <c r="C241" s="5" t="s">
        <v>38</v>
      </c>
      <c r="D241" s="5" t="s">
        <v>791</v>
      </c>
      <c r="E241" s="7">
        <v>44819</v>
      </c>
      <c r="F241" s="24">
        <f t="shared" si="6"/>
        <v>9</v>
      </c>
      <c r="G241" s="24">
        <f t="shared" si="7"/>
        <v>2022</v>
      </c>
      <c r="H241" s="5">
        <v>20603844468</v>
      </c>
      <c r="I241" s="5" t="s">
        <v>766</v>
      </c>
      <c r="J241" s="5" t="s">
        <v>778</v>
      </c>
      <c r="K241" s="8">
        <v>4775</v>
      </c>
      <c r="L241" s="8">
        <v>4750</v>
      </c>
      <c r="M241" s="8">
        <v>4750</v>
      </c>
      <c r="N241" s="5" t="s">
        <v>42</v>
      </c>
      <c r="O241" s="8">
        <v>4750</v>
      </c>
      <c r="P241" s="5" t="s">
        <v>42</v>
      </c>
      <c r="Q241" s="8">
        <v>3800</v>
      </c>
      <c r="R241" s="9">
        <v>0.8</v>
      </c>
      <c r="S241" s="9">
        <v>0.8</v>
      </c>
      <c r="T241" s="5" t="s">
        <v>43</v>
      </c>
      <c r="U241" s="5" t="s">
        <v>44</v>
      </c>
      <c r="V241" s="5" t="s">
        <v>40</v>
      </c>
      <c r="W241" s="5" t="s">
        <v>45</v>
      </c>
      <c r="X241" s="5" t="s">
        <v>40</v>
      </c>
      <c r="Y241" s="5" t="s">
        <v>439</v>
      </c>
      <c r="Z241" s="5" t="s">
        <v>440</v>
      </c>
      <c r="AA241" s="5" t="s">
        <v>441</v>
      </c>
      <c r="AB241" s="5" t="s">
        <v>441</v>
      </c>
      <c r="AC241" s="5" t="s">
        <v>441</v>
      </c>
      <c r="AD241" s="5" t="s">
        <v>441</v>
      </c>
      <c r="AE241" s="5" t="s">
        <v>441</v>
      </c>
      <c r="AF241" s="5" t="s">
        <v>49</v>
      </c>
      <c r="AG241" s="5" t="s">
        <v>49</v>
      </c>
      <c r="AH241" s="5" t="s">
        <v>49</v>
      </c>
      <c r="AI241" s="5" t="s">
        <v>50</v>
      </c>
    </row>
    <row r="242" spans="1:35" x14ac:dyDescent="0.3">
      <c r="A242" s="4">
        <v>713909000</v>
      </c>
      <c r="B242" s="5" t="s">
        <v>37</v>
      </c>
      <c r="C242" s="5" t="s">
        <v>38</v>
      </c>
      <c r="D242" s="5" t="s">
        <v>792</v>
      </c>
      <c r="E242" s="7">
        <v>44777</v>
      </c>
      <c r="F242" s="24">
        <f t="shared" si="6"/>
        <v>8</v>
      </c>
      <c r="G242" s="24">
        <f t="shared" si="7"/>
        <v>2022</v>
      </c>
      <c r="H242" s="5">
        <v>20603844468</v>
      </c>
      <c r="I242" s="5" t="s">
        <v>766</v>
      </c>
      <c r="J242" s="5" t="s">
        <v>778</v>
      </c>
      <c r="K242" s="8">
        <v>10026.17</v>
      </c>
      <c r="L242" s="8">
        <v>10000</v>
      </c>
      <c r="M242" s="8">
        <v>10000</v>
      </c>
      <c r="N242" s="5" t="s">
        <v>42</v>
      </c>
      <c r="O242" s="8">
        <v>10000</v>
      </c>
      <c r="P242" s="5" t="s">
        <v>42</v>
      </c>
      <c r="Q242" s="8">
        <v>8000</v>
      </c>
      <c r="R242" s="9">
        <v>0.8</v>
      </c>
      <c r="S242" s="9">
        <v>0.8</v>
      </c>
      <c r="T242" s="5" t="s">
        <v>43</v>
      </c>
      <c r="U242" s="5" t="s">
        <v>44</v>
      </c>
      <c r="V242" s="5" t="s">
        <v>40</v>
      </c>
      <c r="W242" s="5" t="s">
        <v>45</v>
      </c>
      <c r="X242" s="5" t="s">
        <v>40</v>
      </c>
      <c r="Y242" s="5" t="s">
        <v>439</v>
      </c>
      <c r="Z242" s="5" t="s">
        <v>440</v>
      </c>
      <c r="AA242" s="5" t="s">
        <v>441</v>
      </c>
      <c r="AB242" s="5" t="s">
        <v>441</v>
      </c>
      <c r="AC242" s="5" t="s">
        <v>441</v>
      </c>
      <c r="AD242" s="5" t="s">
        <v>441</v>
      </c>
      <c r="AE242" s="5" t="s">
        <v>441</v>
      </c>
      <c r="AF242" s="5" t="s">
        <v>49</v>
      </c>
      <c r="AG242" s="5" t="s">
        <v>49</v>
      </c>
      <c r="AH242" s="5" t="s">
        <v>49</v>
      </c>
      <c r="AI242" s="5" t="s">
        <v>50</v>
      </c>
    </row>
    <row r="243" spans="1:35" x14ac:dyDescent="0.3">
      <c r="A243" s="4">
        <v>713909000</v>
      </c>
      <c r="B243" s="5" t="s">
        <v>37</v>
      </c>
      <c r="C243" s="5" t="s">
        <v>38</v>
      </c>
      <c r="D243" s="5" t="s">
        <v>793</v>
      </c>
      <c r="E243" s="7">
        <v>44784</v>
      </c>
      <c r="F243" s="24">
        <f t="shared" si="6"/>
        <v>8</v>
      </c>
      <c r="G243" s="24">
        <f t="shared" si="7"/>
        <v>2022</v>
      </c>
      <c r="H243" s="5">
        <v>20603844468</v>
      </c>
      <c r="I243" s="5" t="s">
        <v>766</v>
      </c>
      <c r="J243" s="5" t="s">
        <v>778</v>
      </c>
      <c r="K243" s="8">
        <v>10484.219999999999</v>
      </c>
      <c r="L243" s="8">
        <v>10450</v>
      </c>
      <c r="M243" s="8">
        <v>10450</v>
      </c>
      <c r="N243" s="5" t="s">
        <v>42</v>
      </c>
      <c r="O243" s="8">
        <v>10450</v>
      </c>
      <c r="P243" s="5" t="s">
        <v>42</v>
      </c>
      <c r="Q243" s="8">
        <v>8360</v>
      </c>
      <c r="R243" s="9">
        <v>0.8</v>
      </c>
      <c r="S243" s="9">
        <v>0.8</v>
      </c>
      <c r="T243" s="5" t="s">
        <v>43</v>
      </c>
      <c r="U243" s="5" t="s">
        <v>44</v>
      </c>
      <c r="V243" s="5" t="s">
        <v>40</v>
      </c>
      <c r="W243" s="5" t="s">
        <v>45</v>
      </c>
      <c r="X243" s="5" t="s">
        <v>40</v>
      </c>
      <c r="Y243" s="5" t="s">
        <v>439</v>
      </c>
      <c r="Z243" s="5" t="s">
        <v>440</v>
      </c>
      <c r="AA243" s="5" t="s">
        <v>441</v>
      </c>
      <c r="AB243" s="5" t="s">
        <v>441</v>
      </c>
      <c r="AC243" s="5" t="s">
        <v>441</v>
      </c>
      <c r="AD243" s="5" t="s">
        <v>441</v>
      </c>
      <c r="AE243" s="5" t="s">
        <v>441</v>
      </c>
      <c r="AF243" s="5" t="s">
        <v>49</v>
      </c>
      <c r="AG243" s="5" t="s">
        <v>49</v>
      </c>
      <c r="AH243" s="5" t="s">
        <v>49</v>
      </c>
      <c r="AI243" s="5" t="s">
        <v>377</v>
      </c>
    </row>
    <row r="244" spans="1:35" x14ac:dyDescent="0.3">
      <c r="A244" s="4">
        <v>713909000</v>
      </c>
      <c r="B244" s="5" t="s">
        <v>37</v>
      </c>
      <c r="C244" s="5" t="s">
        <v>38</v>
      </c>
      <c r="D244" s="5" t="s">
        <v>794</v>
      </c>
      <c r="E244" s="7">
        <v>44763</v>
      </c>
      <c r="F244" s="24">
        <f t="shared" si="6"/>
        <v>7</v>
      </c>
      <c r="G244" s="24">
        <f t="shared" si="7"/>
        <v>2022</v>
      </c>
      <c r="H244" s="5">
        <v>20603844468</v>
      </c>
      <c r="I244" s="5" t="s">
        <v>766</v>
      </c>
      <c r="J244" s="5" t="s">
        <v>768</v>
      </c>
      <c r="K244" s="8">
        <v>11538.44</v>
      </c>
      <c r="L244" s="8">
        <v>11500</v>
      </c>
      <c r="M244" s="8">
        <v>11500</v>
      </c>
      <c r="N244" s="5" t="s">
        <v>42</v>
      </c>
      <c r="O244" s="8">
        <v>11500</v>
      </c>
      <c r="P244" s="5" t="s">
        <v>42</v>
      </c>
      <c r="Q244" s="8">
        <v>9200</v>
      </c>
      <c r="R244" s="9">
        <v>0.8</v>
      </c>
      <c r="S244" s="9">
        <v>0.8</v>
      </c>
      <c r="T244" s="5" t="s">
        <v>43</v>
      </c>
      <c r="U244" s="5" t="s">
        <v>94</v>
      </c>
      <c r="V244" s="5" t="s">
        <v>40</v>
      </c>
      <c r="W244" s="5" t="s">
        <v>45</v>
      </c>
      <c r="X244" s="5" t="s">
        <v>40</v>
      </c>
      <c r="Y244" s="5" t="s">
        <v>439</v>
      </c>
      <c r="Z244" s="5" t="s">
        <v>440</v>
      </c>
      <c r="AA244" s="5" t="s">
        <v>441</v>
      </c>
      <c r="AB244" s="5" t="s">
        <v>441</v>
      </c>
      <c r="AC244" s="5" t="s">
        <v>441</v>
      </c>
      <c r="AD244" s="5" t="s">
        <v>441</v>
      </c>
      <c r="AE244" s="5" t="s">
        <v>441</v>
      </c>
      <c r="AF244" s="5" t="s">
        <v>49</v>
      </c>
      <c r="AG244" s="5" t="s">
        <v>49</v>
      </c>
      <c r="AH244" s="5" t="s">
        <v>49</v>
      </c>
      <c r="AI244" s="5" t="s">
        <v>377</v>
      </c>
    </row>
    <row r="245" spans="1:35" x14ac:dyDescent="0.3">
      <c r="A245" s="4">
        <v>713909000</v>
      </c>
      <c r="B245" s="5" t="s">
        <v>37</v>
      </c>
      <c r="C245" s="5" t="s">
        <v>38</v>
      </c>
      <c r="D245" s="5" t="s">
        <v>795</v>
      </c>
      <c r="E245" s="7">
        <v>44756</v>
      </c>
      <c r="F245" s="24">
        <f t="shared" si="6"/>
        <v>7</v>
      </c>
      <c r="G245" s="24">
        <f t="shared" si="7"/>
        <v>2022</v>
      </c>
      <c r="H245" s="5">
        <v>20603844468</v>
      </c>
      <c r="I245" s="5" t="s">
        <v>766</v>
      </c>
      <c r="J245" s="5" t="s">
        <v>778</v>
      </c>
      <c r="K245" s="8">
        <v>3409.14</v>
      </c>
      <c r="L245" s="8">
        <v>3400</v>
      </c>
      <c r="M245" s="8">
        <v>3400</v>
      </c>
      <c r="N245" s="5" t="s">
        <v>42</v>
      </c>
      <c r="O245" s="8">
        <v>3400</v>
      </c>
      <c r="P245" s="5" t="s">
        <v>42</v>
      </c>
      <c r="Q245" s="8">
        <v>2720</v>
      </c>
      <c r="R245" s="9">
        <v>0.8</v>
      </c>
      <c r="S245" s="9">
        <v>0.8</v>
      </c>
      <c r="T245" s="5" t="s">
        <v>43</v>
      </c>
      <c r="U245" s="5" t="s">
        <v>44</v>
      </c>
      <c r="V245" s="5" t="s">
        <v>40</v>
      </c>
      <c r="W245" s="5" t="s">
        <v>45</v>
      </c>
      <c r="X245" s="5" t="s">
        <v>40</v>
      </c>
      <c r="Y245" s="5" t="s">
        <v>439</v>
      </c>
      <c r="Z245" s="5" t="s">
        <v>440</v>
      </c>
      <c r="AA245" s="5" t="s">
        <v>441</v>
      </c>
      <c r="AB245" s="5" t="s">
        <v>441</v>
      </c>
      <c r="AC245" s="5" t="s">
        <v>441</v>
      </c>
      <c r="AD245" s="5" t="s">
        <v>441</v>
      </c>
      <c r="AE245" s="5" t="s">
        <v>441</v>
      </c>
      <c r="AF245" s="5" t="s">
        <v>49</v>
      </c>
      <c r="AG245" s="5" t="s">
        <v>49</v>
      </c>
      <c r="AH245" s="5" t="s">
        <v>49</v>
      </c>
      <c r="AI245" s="5" t="s">
        <v>377</v>
      </c>
    </row>
    <row r="246" spans="1:35" x14ac:dyDescent="0.3">
      <c r="A246" s="4">
        <v>713909000</v>
      </c>
      <c r="B246" s="5" t="s">
        <v>37</v>
      </c>
      <c r="C246" s="5" t="s">
        <v>38</v>
      </c>
      <c r="D246" s="5" t="s">
        <v>796</v>
      </c>
      <c r="E246" s="7">
        <v>44749</v>
      </c>
      <c r="F246" s="24">
        <f t="shared" si="6"/>
        <v>7</v>
      </c>
      <c r="G246" s="24">
        <f t="shared" si="7"/>
        <v>2022</v>
      </c>
      <c r="H246" s="5">
        <v>20603844468</v>
      </c>
      <c r="I246" s="5" t="s">
        <v>766</v>
      </c>
      <c r="J246" s="5" t="s">
        <v>41</v>
      </c>
      <c r="K246" s="8">
        <v>4964.88</v>
      </c>
      <c r="L246" s="8">
        <v>4950</v>
      </c>
      <c r="M246" s="8">
        <v>4950</v>
      </c>
      <c r="N246" s="5" t="s">
        <v>42</v>
      </c>
      <c r="O246" s="8">
        <v>4950</v>
      </c>
      <c r="P246" s="5" t="s">
        <v>42</v>
      </c>
      <c r="Q246" s="8">
        <v>3960</v>
      </c>
      <c r="R246" s="9">
        <v>0.8</v>
      </c>
      <c r="S246" s="9">
        <v>0.8</v>
      </c>
      <c r="T246" s="5" t="s">
        <v>43</v>
      </c>
      <c r="U246" s="5" t="s">
        <v>44</v>
      </c>
      <c r="V246" s="5" t="s">
        <v>40</v>
      </c>
      <c r="W246" s="5" t="s">
        <v>45</v>
      </c>
      <c r="X246" s="5" t="s">
        <v>40</v>
      </c>
      <c r="Y246" s="5" t="s">
        <v>439</v>
      </c>
      <c r="Z246" s="5" t="s">
        <v>440</v>
      </c>
      <c r="AA246" s="5" t="s">
        <v>441</v>
      </c>
      <c r="AB246" s="5" t="s">
        <v>441</v>
      </c>
      <c r="AC246" s="5" t="s">
        <v>441</v>
      </c>
      <c r="AD246" s="5" t="s">
        <v>441</v>
      </c>
      <c r="AE246" s="5" t="s">
        <v>441</v>
      </c>
      <c r="AF246" s="5" t="s">
        <v>49</v>
      </c>
      <c r="AG246" s="5" t="s">
        <v>49</v>
      </c>
      <c r="AH246" s="5" t="s">
        <v>49</v>
      </c>
      <c r="AI246" s="5" t="s">
        <v>377</v>
      </c>
    </row>
    <row r="247" spans="1:35" x14ac:dyDescent="0.3">
      <c r="A247" s="4">
        <v>713909000</v>
      </c>
      <c r="B247" s="5" t="s">
        <v>37</v>
      </c>
      <c r="C247" s="5" t="s">
        <v>38</v>
      </c>
      <c r="D247" s="5" t="s">
        <v>797</v>
      </c>
      <c r="E247" s="7">
        <v>44728</v>
      </c>
      <c r="F247" s="24">
        <f t="shared" si="6"/>
        <v>6</v>
      </c>
      <c r="G247" s="24">
        <f t="shared" si="7"/>
        <v>2022</v>
      </c>
      <c r="H247" s="5">
        <v>20603844468</v>
      </c>
      <c r="I247" s="5" t="s">
        <v>766</v>
      </c>
      <c r="J247" s="5" t="s">
        <v>421</v>
      </c>
      <c r="K247" s="8">
        <v>16802.689999999999</v>
      </c>
      <c r="L247" s="8">
        <v>16750</v>
      </c>
      <c r="M247" s="8">
        <v>16750</v>
      </c>
      <c r="N247" s="5" t="s">
        <v>42</v>
      </c>
      <c r="O247" s="8">
        <v>16750</v>
      </c>
      <c r="P247" s="5" t="s">
        <v>42</v>
      </c>
      <c r="Q247" s="8">
        <v>13400</v>
      </c>
      <c r="R247" s="9">
        <v>0.8</v>
      </c>
      <c r="S247" s="9">
        <v>0.8</v>
      </c>
      <c r="T247" s="5" t="s">
        <v>43</v>
      </c>
      <c r="U247" s="5" t="s">
        <v>44</v>
      </c>
      <c r="V247" s="5" t="s">
        <v>40</v>
      </c>
      <c r="W247" s="5" t="s">
        <v>45</v>
      </c>
      <c r="X247" s="5" t="s">
        <v>40</v>
      </c>
      <c r="Y247" s="5" t="s">
        <v>439</v>
      </c>
      <c r="Z247" s="5" t="s">
        <v>440</v>
      </c>
      <c r="AA247" s="5" t="s">
        <v>441</v>
      </c>
      <c r="AB247" s="5" t="s">
        <v>441</v>
      </c>
      <c r="AC247" s="5" t="s">
        <v>441</v>
      </c>
      <c r="AD247" s="5" t="s">
        <v>441</v>
      </c>
      <c r="AE247" s="5" t="s">
        <v>441</v>
      </c>
      <c r="AF247" s="5" t="s">
        <v>49</v>
      </c>
      <c r="AG247" s="5" t="s">
        <v>49</v>
      </c>
      <c r="AH247" s="5" t="s">
        <v>49</v>
      </c>
      <c r="AI247" s="5" t="s">
        <v>50</v>
      </c>
    </row>
    <row r="248" spans="1:35" x14ac:dyDescent="0.3">
      <c r="A248" s="4">
        <v>713909000</v>
      </c>
      <c r="B248" s="5" t="s">
        <v>37</v>
      </c>
      <c r="C248" s="5" t="s">
        <v>38</v>
      </c>
      <c r="D248" s="5" t="s">
        <v>798</v>
      </c>
      <c r="E248" s="7">
        <v>44708</v>
      </c>
      <c r="F248" s="24">
        <f t="shared" si="6"/>
        <v>5</v>
      </c>
      <c r="G248" s="24">
        <f t="shared" si="7"/>
        <v>2022</v>
      </c>
      <c r="H248" s="5">
        <v>20603844468</v>
      </c>
      <c r="I248" s="5" t="s">
        <v>766</v>
      </c>
      <c r="J248" s="5" t="s">
        <v>421</v>
      </c>
      <c r="K248" s="8">
        <v>7369.9</v>
      </c>
      <c r="L248" s="8">
        <v>7350</v>
      </c>
      <c r="M248" s="8">
        <v>7350</v>
      </c>
      <c r="N248" s="5" t="s">
        <v>42</v>
      </c>
      <c r="O248" s="8">
        <v>7350</v>
      </c>
      <c r="P248" s="5" t="s">
        <v>42</v>
      </c>
      <c r="Q248" s="8">
        <v>5880</v>
      </c>
      <c r="R248" s="9">
        <v>0.8</v>
      </c>
      <c r="S248" s="9">
        <v>0.8</v>
      </c>
      <c r="T248" s="5" t="s">
        <v>43</v>
      </c>
      <c r="U248" s="5" t="s">
        <v>44</v>
      </c>
      <c r="V248" s="5" t="s">
        <v>40</v>
      </c>
      <c r="W248" s="5" t="s">
        <v>45</v>
      </c>
      <c r="X248" s="5" t="s">
        <v>40</v>
      </c>
      <c r="Y248" s="5" t="s">
        <v>439</v>
      </c>
      <c r="Z248" s="5" t="s">
        <v>440</v>
      </c>
      <c r="AA248" s="5" t="s">
        <v>441</v>
      </c>
      <c r="AB248" s="5" t="s">
        <v>441</v>
      </c>
      <c r="AC248" s="5" t="s">
        <v>441</v>
      </c>
      <c r="AD248" s="5" t="s">
        <v>441</v>
      </c>
      <c r="AE248" s="5" t="s">
        <v>441</v>
      </c>
      <c r="AF248" s="5" t="s">
        <v>49</v>
      </c>
      <c r="AG248" s="5" t="s">
        <v>49</v>
      </c>
      <c r="AH248" s="5" t="s">
        <v>49</v>
      </c>
      <c r="AI248" s="5" t="s">
        <v>377</v>
      </c>
    </row>
    <row r="249" spans="1:35" x14ac:dyDescent="0.3">
      <c r="A249" s="4">
        <v>713909000</v>
      </c>
      <c r="B249" s="5" t="s">
        <v>37</v>
      </c>
      <c r="C249" s="5" t="s">
        <v>38</v>
      </c>
      <c r="D249" s="5" t="s">
        <v>799</v>
      </c>
      <c r="E249" s="7">
        <v>44721</v>
      </c>
      <c r="F249" s="24">
        <f t="shared" si="6"/>
        <v>6</v>
      </c>
      <c r="G249" s="24">
        <f t="shared" si="7"/>
        <v>2022</v>
      </c>
      <c r="H249" s="5">
        <v>20603844468</v>
      </c>
      <c r="I249" s="5" t="s">
        <v>766</v>
      </c>
      <c r="J249" s="5" t="s">
        <v>778</v>
      </c>
      <c r="K249" s="8">
        <v>4313.95</v>
      </c>
      <c r="L249" s="8">
        <v>4300</v>
      </c>
      <c r="M249" s="8">
        <v>4300</v>
      </c>
      <c r="N249" s="5" t="s">
        <v>42</v>
      </c>
      <c r="O249" s="8">
        <v>4300</v>
      </c>
      <c r="P249" s="5" t="s">
        <v>42</v>
      </c>
      <c r="Q249" s="8">
        <v>3440</v>
      </c>
      <c r="R249" s="9">
        <v>0.8</v>
      </c>
      <c r="S249" s="9">
        <v>0.8</v>
      </c>
      <c r="T249" s="5" t="s">
        <v>43</v>
      </c>
      <c r="U249" s="5" t="s">
        <v>44</v>
      </c>
      <c r="V249" s="5" t="s">
        <v>40</v>
      </c>
      <c r="W249" s="5" t="s">
        <v>45</v>
      </c>
      <c r="X249" s="5" t="s">
        <v>40</v>
      </c>
      <c r="Y249" s="5" t="s">
        <v>439</v>
      </c>
      <c r="Z249" s="5" t="s">
        <v>440</v>
      </c>
      <c r="AA249" s="5" t="s">
        <v>441</v>
      </c>
      <c r="AB249" s="5" t="s">
        <v>441</v>
      </c>
      <c r="AC249" s="5" t="s">
        <v>441</v>
      </c>
      <c r="AD249" s="5" t="s">
        <v>441</v>
      </c>
      <c r="AE249" s="5" t="s">
        <v>441</v>
      </c>
      <c r="AF249" s="5" t="s">
        <v>49</v>
      </c>
      <c r="AG249" s="5" t="s">
        <v>49</v>
      </c>
      <c r="AH249" s="5" t="s">
        <v>49</v>
      </c>
      <c r="AI249" s="5" t="s">
        <v>50</v>
      </c>
    </row>
    <row r="250" spans="1:35" x14ac:dyDescent="0.3">
      <c r="A250" s="4">
        <v>713909000</v>
      </c>
      <c r="B250" s="5" t="s">
        <v>37</v>
      </c>
      <c r="C250" s="5" t="s">
        <v>38</v>
      </c>
      <c r="D250" s="5" t="s">
        <v>800</v>
      </c>
      <c r="E250" s="7">
        <v>44693</v>
      </c>
      <c r="F250" s="24">
        <f t="shared" si="6"/>
        <v>5</v>
      </c>
      <c r="G250" s="24">
        <f t="shared" si="7"/>
        <v>2022</v>
      </c>
      <c r="H250" s="5">
        <v>20603844468</v>
      </c>
      <c r="I250" s="5" t="s">
        <v>766</v>
      </c>
      <c r="J250" s="5" t="s">
        <v>421</v>
      </c>
      <c r="K250" s="8">
        <v>15942.92</v>
      </c>
      <c r="L250" s="8">
        <v>15900</v>
      </c>
      <c r="M250" s="8">
        <v>15900</v>
      </c>
      <c r="N250" s="5" t="s">
        <v>42</v>
      </c>
      <c r="O250" s="8">
        <v>15900</v>
      </c>
      <c r="P250" s="5" t="s">
        <v>42</v>
      </c>
      <c r="Q250" s="8">
        <v>12720</v>
      </c>
      <c r="R250" s="9">
        <v>0.8</v>
      </c>
      <c r="S250" s="9">
        <v>0.8</v>
      </c>
      <c r="T250" s="5" t="s">
        <v>43</v>
      </c>
      <c r="U250" s="5" t="s">
        <v>44</v>
      </c>
      <c r="V250" s="5" t="s">
        <v>40</v>
      </c>
      <c r="W250" s="5" t="s">
        <v>45</v>
      </c>
      <c r="X250" s="5" t="s">
        <v>40</v>
      </c>
      <c r="Y250" s="5" t="s">
        <v>439</v>
      </c>
      <c r="Z250" s="5" t="s">
        <v>440</v>
      </c>
      <c r="AA250" s="5" t="s">
        <v>441</v>
      </c>
      <c r="AB250" s="5" t="s">
        <v>441</v>
      </c>
      <c r="AC250" s="5" t="s">
        <v>441</v>
      </c>
      <c r="AD250" s="5" t="s">
        <v>441</v>
      </c>
      <c r="AE250" s="5" t="s">
        <v>441</v>
      </c>
      <c r="AF250" s="5" t="s">
        <v>49</v>
      </c>
      <c r="AG250" s="5" t="s">
        <v>49</v>
      </c>
      <c r="AH250" s="5" t="s">
        <v>49</v>
      </c>
      <c r="AI250" s="5" t="s">
        <v>50</v>
      </c>
    </row>
    <row r="251" spans="1:35" x14ac:dyDescent="0.3">
      <c r="A251" s="4">
        <v>713909000</v>
      </c>
      <c r="B251" s="5" t="s">
        <v>37</v>
      </c>
      <c r="C251" s="5" t="s">
        <v>38</v>
      </c>
      <c r="D251" s="5" t="s">
        <v>801</v>
      </c>
      <c r="E251" s="7">
        <v>44672</v>
      </c>
      <c r="F251" s="24">
        <f t="shared" si="6"/>
        <v>4</v>
      </c>
      <c r="G251" s="24">
        <f t="shared" si="7"/>
        <v>2022</v>
      </c>
      <c r="H251" s="5">
        <v>20603844468</v>
      </c>
      <c r="I251" s="5" t="s">
        <v>766</v>
      </c>
      <c r="J251" s="5" t="s">
        <v>157</v>
      </c>
      <c r="K251" s="8">
        <v>22108.79</v>
      </c>
      <c r="L251" s="8">
        <v>22000</v>
      </c>
      <c r="M251" s="8">
        <v>22000</v>
      </c>
      <c r="N251" s="5" t="s">
        <v>42</v>
      </c>
      <c r="O251" s="8">
        <v>22000</v>
      </c>
      <c r="P251" s="5" t="s">
        <v>42</v>
      </c>
      <c r="Q251" s="8">
        <v>17600</v>
      </c>
      <c r="R251" s="9">
        <v>0.8</v>
      </c>
      <c r="S251" s="9">
        <v>0.8</v>
      </c>
      <c r="T251" s="5" t="s">
        <v>43</v>
      </c>
      <c r="U251" s="5" t="s">
        <v>44</v>
      </c>
      <c r="V251" s="5" t="s">
        <v>40</v>
      </c>
      <c r="W251" s="5" t="s">
        <v>45</v>
      </c>
      <c r="X251" s="5" t="s">
        <v>40</v>
      </c>
      <c r="Y251" s="5" t="s">
        <v>158</v>
      </c>
      <c r="Z251" s="5" t="s">
        <v>396</v>
      </c>
      <c r="AA251" s="5" t="s">
        <v>397</v>
      </c>
      <c r="AB251" s="5" t="s">
        <v>397</v>
      </c>
      <c r="AC251" s="5" t="s">
        <v>397</v>
      </c>
      <c r="AD251" s="5" t="s">
        <v>397</v>
      </c>
      <c r="AE251" s="5" t="s">
        <v>397</v>
      </c>
      <c r="AF251" s="5" t="s">
        <v>49</v>
      </c>
      <c r="AG251" s="5" t="s">
        <v>49</v>
      </c>
      <c r="AH251" s="5" t="s">
        <v>49</v>
      </c>
      <c r="AI251" s="5" t="s">
        <v>50</v>
      </c>
    </row>
    <row r="252" spans="1:35" x14ac:dyDescent="0.3">
      <c r="A252" s="4">
        <v>713909000</v>
      </c>
      <c r="B252" s="5" t="s">
        <v>37</v>
      </c>
      <c r="C252" s="5" t="s">
        <v>38</v>
      </c>
      <c r="D252" s="5" t="s">
        <v>802</v>
      </c>
      <c r="E252" s="7">
        <v>44637</v>
      </c>
      <c r="F252" s="24">
        <f t="shared" si="6"/>
        <v>3</v>
      </c>
      <c r="G252" s="24">
        <f t="shared" si="7"/>
        <v>2022</v>
      </c>
      <c r="H252" s="5">
        <v>20603844468</v>
      </c>
      <c r="I252" s="5" t="s">
        <v>766</v>
      </c>
      <c r="J252" s="5" t="s">
        <v>257</v>
      </c>
      <c r="K252" s="8">
        <v>10044.5</v>
      </c>
      <c r="L252" s="8">
        <v>10000</v>
      </c>
      <c r="M252" s="8">
        <v>10000</v>
      </c>
      <c r="N252" s="5" t="s">
        <v>42</v>
      </c>
      <c r="O252" s="8">
        <v>10000</v>
      </c>
      <c r="P252" s="5" t="s">
        <v>42</v>
      </c>
      <c r="Q252" s="8">
        <v>8000</v>
      </c>
      <c r="R252" s="9">
        <v>0.8</v>
      </c>
      <c r="S252" s="9">
        <v>0.8</v>
      </c>
      <c r="T252" s="5" t="s">
        <v>43</v>
      </c>
      <c r="U252" s="5" t="s">
        <v>44</v>
      </c>
      <c r="V252" s="5" t="s">
        <v>40</v>
      </c>
      <c r="W252" s="5" t="s">
        <v>45</v>
      </c>
      <c r="X252" s="5" t="s">
        <v>40</v>
      </c>
      <c r="Y252" s="5" t="s">
        <v>158</v>
      </c>
      <c r="Z252" s="5" t="s">
        <v>396</v>
      </c>
      <c r="AA252" s="5" t="s">
        <v>397</v>
      </c>
      <c r="AB252" s="5" t="s">
        <v>397</v>
      </c>
      <c r="AC252" s="5" t="s">
        <v>397</v>
      </c>
      <c r="AD252" s="5" t="s">
        <v>397</v>
      </c>
      <c r="AE252" s="5" t="s">
        <v>397</v>
      </c>
      <c r="AF252" s="5" t="s">
        <v>49</v>
      </c>
      <c r="AG252" s="5" t="s">
        <v>49</v>
      </c>
      <c r="AH252" s="5" t="s">
        <v>49</v>
      </c>
      <c r="AI252" s="5" t="s">
        <v>50</v>
      </c>
    </row>
    <row r="253" spans="1:35" x14ac:dyDescent="0.3">
      <c r="A253" s="4">
        <v>713909000</v>
      </c>
      <c r="B253" s="5" t="s">
        <v>37</v>
      </c>
      <c r="C253" s="5" t="s">
        <v>38</v>
      </c>
      <c r="D253" s="5" t="s">
        <v>803</v>
      </c>
      <c r="E253" s="7">
        <v>44658</v>
      </c>
      <c r="F253" s="24">
        <f t="shared" si="6"/>
        <v>4</v>
      </c>
      <c r="G253" s="24">
        <f t="shared" si="7"/>
        <v>2022</v>
      </c>
      <c r="H253" s="5">
        <v>20603844468</v>
      </c>
      <c r="I253" s="5" t="s">
        <v>766</v>
      </c>
      <c r="J253" s="5" t="s">
        <v>157</v>
      </c>
      <c r="K253" s="8">
        <v>10799.23</v>
      </c>
      <c r="L253" s="8">
        <v>10750</v>
      </c>
      <c r="M253" s="8">
        <v>10750</v>
      </c>
      <c r="N253" s="5" t="s">
        <v>42</v>
      </c>
      <c r="O253" s="8">
        <v>10750</v>
      </c>
      <c r="P253" s="5" t="s">
        <v>42</v>
      </c>
      <c r="Q253" s="8">
        <v>8600</v>
      </c>
      <c r="R253" s="9">
        <v>0.8</v>
      </c>
      <c r="S253" s="9">
        <v>0.8</v>
      </c>
      <c r="T253" s="5" t="s">
        <v>43</v>
      </c>
      <c r="U253" s="5" t="s">
        <v>44</v>
      </c>
      <c r="V253" s="5" t="s">
        <v>40</v>
      </c>
      <c r="W253" s="5" t="s">
        <v>45</v>
      </c>
      <c r="X253" s="5" t="s">
        <v>40</v>
      </c>
      <c r="Y253" s="5" t="s">
        <v>158</v>
      </c>
      <c r="Z253" s="5" t="s">
        <v>396</v>
      </c>
      <c r="AA253" s="5" t="s">
        <v>397</v>
      </c>
      <c r="AB253" s="5" t="s">
        <v>397</v>
      </c>
      <c r="AC253" s="5" t="s">
        <v>397</v>
      </c>
      <c r="AD253" s="5" t="s">
        <v>397</v>
      </c>
      <c r="AE253" s="5" t="s">
        <v>397</v>
      </c>
      <c r="AF253" s="5" t="s">
        <v>49</v>
      </c>
      <c r="AG253" s="5" t="s">
        <v>49</v>
      </c>
      <c r="AH253" s="5" t="s">
        <v>49</v>
      </c>
      <c r="AI253" s="5" t="s">
        <v>50</v>
      </c>
    </row>
    <row r="254" spans="1:35" x14ac:dyDescent="0.3">
      <c r="A254" s="4">
        <v>713909000</v>
      </c>
      <c r="B254" s="5" t="s">
        <v>37</v>
      </c>
      <c r="C254" s="5" t="s">
        <v>233</v>
      </c>
      <c r="D254" s="5" t="s">
        <v>804</v>
      </c>
      <c r="E254" s="7">
        <v>45262</v>
      </c>
      <c r="F254" s="24">
        <f t="shared" si="6"/>
        <v>12</v>
      </c>
      <c r="G254" s="24">
        <f t="shared" si="7"/>
        <v>2023</v>
      </c>
      <c r="H254" s="5">
        <v>20603351755</v>
      </c>
      <c r="I254" s="5" t="s">
        <v>760</v>
      </c>
      <c r="J254" s="5" t="s">
        <v>761</v>
      </c>
      <c r="K254" s="8">
        <v>12.33</v>
      </c>
      <c r="L254" s="8">
        <v>11.67</v>
      </c>
      <c r="M254" s="8">
        <v>11.67</v>
      </c>
      <c r="N254" s="5" t="s">
        <v>42</v>
      </c>
      <c r="O254" s="8">
        <v>24</v>
      </c>
      <c r="P254" s="5" t="s">
        <v>585</v>
      </c>
      <c r="Q254" s="8">
        <v>37.200000000000003</v>
      </c>
      <c r="R254" s="9">
        <v>3.1869999999999998</v>
      </c>
      <c r="S254" s="9">
        <v>1.55</v>
      </c>
      <c r="T254" s="5" t="s">
        <v>739</v>
      </c>
      <c r="U254" s="5" t="s">
        <v>586</v>
      </c>
      <c r="V254" s="5" t="s">
        <v>40</v>
      </c>
      <c r="W254" s="5" t="s">
        <v>239</v>
      </c>
      <c r="X254" s="5" t="s">
        <v>587</v>
      </c>
      <c r="Y254" s="5" t="s">
        <v>762</v>
      </c>
      <c r="Z254" s="5" t="s">
        <v>805</v>
      </c>
      <c r="AA254" s="5" t="s">
        <v>806</v>
      </c>
      <c r="AB254" s="5" t="s">
        <v>806</v>
      </c>
      <c r="AC254" s="5" t="s">
        <v>806</v>
      </c>
      <c r="AD254" s="5" t="s">
        <v>806</v>
      </c>
      <c r="AE254" s="5" t="s">
        <v>806</v>
      </c>
      <c r="AF254" s="5" t="s">
        <v>591</v>
      </c>
      <c r="AG254" s="5" t="s">
        <v>76</v>
      </c>
      <c r="AH254" s="5" t="s">
        <v>76</v>
      </c>
      <c r="AI254" s="5" t="s">
        <v>50</v>
      </c>
    </row>
    <row r="255" spans="1:35" x14ac:dyDescent="0.3">
      <c r="A255" s="4">
        <v>713909000</v>
      </c>
      <c r="B255" s="5" t="s">
        <v>37</v>
      </c>
      <c r="C255" s="5" t="s">
        <v>38</v>
      </c>
      <c r="D255" s="5" t="s">
        <v>807</v>
      </c>
      <c r="E255" s="7">
        <v>44630</v>
      </c>
      <c r="F255" s="24">
        <f t="shared" si="6"/>
        <v>3</v>
      </c>
      <c r="G255" s="24">
        <f t="shared" si="7"/>
        <v>2022</v>
      </c>
      <c r="H255" s="5">
        <v>20603844468</v>
      </c>
      <c r="I255" s="5" t="s">
        <v>766</v>
      </c>
      <c r="J255" s="5" t="s">
        <v>157</v>
      </c>
      <c r="K255" s="8">
        <v>2562.7199999999998</v>
      </c>
      <c r="L255" s="8">
        <v>2550</v>
      </c>
      <c r="M255" s="8">
        <v>2550</v>
      </c>
      <c r="N255" s="5" t="s">
        <v>42</v>
      </c>
      <c r="O255" s="8">
        <v>2550</v>
      </c>
      <c r="P255" s="5" t="s">
        <v>42</v>
      </c>
      <c r="Q255" s="8">
        <v>2040</v>
      </c>
      <c r="R255" s="9">
        <v>0.8</v>
      </c>
      <c r="S255" s="9">
        <v>0.8</v>
      </c>
      <c r="T255" s="5" t="s">
        <v>43</v>
      </c>
      <c r="U255" s="5" t="s">
        <v>44</v>
      </c>
      <c r="V255" s="5" t="s">
        <v>40</v>
      </c>
      <c r="W255" s="5" t="s">
        <v>45</v>
      </c>
      <c r="X255" s="5" t="s">
        <v>40</v>
      </c>
      <c r="Y255" s="5" t="s">
        <v>158</v>
      </c>
      <c r="Z255" s="5" t="s">
        <v>396</v>
      </c>
      <c r="AA255" s="5" t="s">
        <v>397</v>
      </c>
      <c r="AB255" s="5" t="s">
        <v>397</v>
      </c>
      <c r="AC255" s="5" t="s">
        <v>397</v>
      </c>
      <c r="AD255" s="5" t="s">
        <v>397</v>
      </c>
      <c r="AE255" s="5" t="s">
        <v>397</v>
      </c>
      <c r="AF255" s="5" t="s">
        <v>49</v>
      </c>
      <c r="AG255" s="5" t="s">
        <v>49</v>
      </c>
      <c r="AH255" s="5" t="s">
        <v>49</v>
      </c>
      <c r="AI255" s="5" t="s">
        <v>50</v>
      </c>
    </row>
    <row r="256" spans="1:35" x14ac:dyDescent="0.3">
      <c r="A256" s="4">
        <v>713909000</v>
      </c>
      <c r="B256" s="5" t="s">
        <v>37</v>
      </c>
      <c r="C256" s="5" t="s">
        <v>38</v>
      </c>
      <c r="D256" s="5" t="s">
        <v>808</v>
      </c>
      <c r="E256" s="7">
        <v>44581</v>
      </c>
      <c r="F256" s="24">
        <f t="shared" si="6"/>
        <v>1</v>
      </c>
      <c r="G256" s="24">
        <f t="shared" si="7"/>
        <v>2022</v>
      </c>
      <c r="H256" s="5">
        <v>20603844468</v>
      </c>
      <c r="I256" s="5" t="s">
        <v>766</v>
      </c>
      <c r="J256" s="5" t="s">
        <v>315</v>
      </c>
      <c r="K256" s="8">
        <v>24050</v>
      </c>
      <c r="L256" s="8">
        <v>24000</v>
      </c>
      <c r="M256" s="8">
        <v>24000</v>
      </c>
      <c r="N256" s="5" t="s">
        <v>42</v>
      </c>
      <c r="O256" s="8">
        <v>24000</v>
      </c>
      <c r="P256" s="5" t="s">
        <v>42</v>
      </c>
      <c r="Q256" s="8">
        <v>18720</v>
      </c>
      <c r="R256" s="9">
        <v>0.78</v>
      </c>
      <c r="S256" s="9">
        <v>0.78</v>
      </c>
      <c r="T256" s="5" t="s">
        <v>43</v>
      </c>
      <c r="U256" s="5" t="s">
        <v>466</v>
      </c>
      <c r="V256" s="5" t="s">
        <v>40</v>
      </c>
      <c r="W256" s="5" t="s">
        <v>45</v>
      </c>
      <c r="X256" s="5" t="s">
        <v>40</v>
      </c>
      <c r="Y256" s="5" t="s">
        <v>46</v>
      </c>
      <c r="Z256" s="5" t="s">
        <v>809</v>
      </c>
      <c r="AA256" s="5" t="s">
        <v>810</v>
      </c>
      <c r="AB256" s="5" t="s">
        <v>810</v>
      </c>
      <c r="AC256" s="5" t="s">
        <v>810</v>
      </c>
      <c r="AD256" s="5" t="s">
        <v>810</v>
      </c>
      <c r="AE256" s="5" t="s">
        <v>810</v>
      </c>
      <c r="AF256" s="5" t="s">
        <v>49</v>
      </c>
      <c r="AG256" s="5" t="s">
        <v>49</v>
      </c>
      <c r="AH256" s="5" t="s">
        <v>49</v>
      </c>
      <c r="AI256" s="5" t="s">
        <v>50</v>
      </c>
    </row>
    <row r="257" spans="1:35" x14ac:dyDescent="0.3">
      <c r="A257" s="4">
        <v>713909000</v>
      </c>
      <c r="B257" s="5" t="s">
        <v>37</v>
      </c>
      <c r="C257" s="5" t="s">
        <v>38</v>
      </c>
      <c r="D257" s="5" t="s">
        <v>811</v>
      </c>
      <c r="E257" s="7">
        <v>44581</v>
      </c>
      <c r="F257" s="24">
        <f t="shared" si="6"/>
        <v>1</v>
      </c>
      <c r="G257" s="24">
        <f t="shared" si="7"/>
        <v>2022</v>
      </c>
      <c r="H257" s="5">
        <v>20603844468</v>
      </c>
      <c r="I257" s="5" t="s">
        <v>766</v>
      </c>
      <c r="J257" s="5" t="s">
        <v>157</v>
      </c>
      <c r="K257" s="8">
        <v>3517.77</v>
      </c>
      <c r="L257" s="8">
        <v>3500</v>
      </c>
      <c r="M257" s="8">
        <v>3500</v>
      </c>
      <c r="N257" s="5" t="s">
        <v>42</v>
      </c>
      <c r="O257" s="8">
        <v>3500</v>
      </c>
      <c r="P257" s="5" t="s">
        <v>42</v>
      </c>
      <c r="Q257" s="8">
        <v>2800</v>
      </c>
      <c r="R257" s="9">
        <v>0.8</v>
      </c>
      <c r="S257" s="9">
        <v>0.8</v>
      </c>
      <c r="T257" s="5" t="s">
        <v>43</v>
      </c>
      <c r="U257" s="5" t="s">
        <v>44</v>
      </c>
      <c r="V257" s="5" t="s">
        <v>40</v>
      </c>
      <c r="W257" s="5" t="s">
        <v>45</v>
      </c>
      <c r="X257" s="5" t="s">
        <v>40</v>
      </c>
      <c r="Y257" s="5" t="s">
        <v>158</v>
      </c>
      <c r="Z257" s="5" t="s">
        <v>396</v>
      </c>
      <c r="AA257" s="5" t="s">
        <v>397</v>
      </c>
      <c r="AB257" s="5" t="s">
        <v>397</v>
      </c>
      <c r="AC257" s="5" t="s">
        <v>397</v>
      </c>
      <c r="AD257" s="5" t="s">
        <v>397</v>
      </c>
      <c r="AE257" s="5" t="s">
        <v>397</v>
      </c>
      <c r="AF257" s="5" t="s">
        <v>49</v>
      </c>
      <c r="AG257" s="5" t="s">
        <v>49</v>
      </c>
      <c r="AH257" s="5" t="s">
        <v>49</v>
      </c>
      <c r="AI257" s="5" t="s">
        <v>50</v>
      </c>
    </row>
    <row r="258" spans="1:35" x14ac:dyDescent="0.3">
      <c r="A258" s="4">
        <v>713909000</v>
      </c>
      <c r="B258" s="5" t="s">
        <v>37</v>
      </c>
      <c r="C258" s="5" t="s">
        <v>38</v>
      </c>
      <c r="D258" s="5" t="s">
        <v>812</v>
      </c>
      <c r="E258" s="7">
        <v>44574</v>
      </c>
      <c r="F258" s="24">
        <f t="shared" si="6"/>
        <v>1</v>
      </c>
      <c r="G258" s="24">
        <f t="shared" si="7"/>
        <v>2022</v>
      </c>
      <c r="H258" s="5">
        <v>20603844468</v>
      </c>
      <c r="I258" s="5" t="s">
        <v>766</v>
      </c>
      <c r="J258" s="5" t="s">
        <v>257</v>
      </c>
      <c r="K258" s="8">
        <v>5926.24</v>
      </c>
      <c r="L258" s="8">
        <v>5900</v>
      </c>
      <c r="M258" s="8">
        <v>5900</v>
      </c>
      <c r="N258" s="5" t="s">
        <v>42</v>
      </c>
      <c r="O258" s="8">
        <v>5900</v>
      </c>
      <c r="P258" s="5" t="s">
        <v>42</v>
      </c>
      <c r="Q258" s="8">
        <v>4720</v>
      </c>
      <c r="R258" s="9">
        <v>0.8</v>
      </c>
      <c r="S258" s="9">
        <v>0.8</v>
      </c>
      <c r="T258" s="5" t="s">
        <v>43</v>
      </c>
      <c r="U258" s="5" t="s">
        <v>44</v>
      </c>
      <c r="V258" s="5" t="s">
        <v>40</v>
      </c>
      <c r="W258" s="5" t="s">
        <v>45</v>
      </c>
      <c r="X258" s="5" t="s">
        <v>40</v>
      </c>
      <c r="Y258" s="5" t="s">
        <v>158</v>
      </c>
      <c r="Z258" s="5" t="s">
        <v>396</v>
      </c>
      <c r="AA258" s="5" t="s">
        <v>397</v>
      </c>
      <c r="AB258" s="5" t="s">
        <v>397</v>
      </c>
      <c r="AC258" s="5" t="s">
        <v>397</v>
      </c>
      <c r="AD258" s="5" t="s">
        <v>397</v>
      </c>
      <c r="AE258" s="5" t="s">
        <v>397</v>
      </c>
      <c r="AF258" s="5" t="s">
        <v>49</v>
      </c>
      <c r="AG258" s="5" t="s">
        <v>49</v>
      </c>
      <c r="AH258" s="5" t="s">
        <v>49</v>
      </c>
      <c r="AI258" s="5" t="s">
        <v>50</v>
      </c>
    </row>
    <row r="259" spans="1:35" x14ac:dyDescent="0.3">
      <c r="A259" s="4">
        <v>713909000</v>
      </c>
      <c r="B259" s="5" t="s">
        <v>37</v>
      </c>
      <c r="C259" s="5" t="s">
        <v>537</v>
      </c>
      <c r="D259" s="5" t="s">
        <v>813</v>
      </c>
      <c r="E259" s="7">
        <v>44810</v>
      </c>
      <c r="F259" s="24">
        <f t="shared" si="6"/>
        <v>9</v>
      </c>
      <c r="G259" s="24">
        <f t="shared" si="7"/>
        <v>2022</v>
      </c>
      <c r="H259" s="5">
        <v>20601703425</v>
      </c>
      <c r="I259" s="5" t="s">
        <v>814</v>
      </c>
      <c r="J259" s="5" t="s">
        <v>815</v>
      </c>
      <c r="K259" s="8">
        <v>6.17</v>
      </c>
      <c r="L259" s="8">
        <v>5.91</v>
      </c>
      <c r="M259" s="8">
        <v>5.91</v>
      </c>
      <c r="N259" s="5" t="s">
        <v>42</v>
      </c>
      <c r="O259" s="8">
        <v>1</v>
      </c>
      <c r="P259" s="5" t="s">
        <v>816</v>
      </c>
      <c r="Q259" s="8">
        <v>0</v>
      </c>
      <c r="R259" s="9">
        <v>0</v>
      </c>
      <c r="S259" s="9">
        <v>0</v>
      </c>
      <c r="T259" s="5" t="s">
        <v>541</v>
      </c>
      <c r="U259" s="5" t="s">
        <v>542</v>
      </c>
      <c r="V259" s="5" t="s">
        <v>40</v>
      </c>
      <c r="W259" s="5" t="s">
        <v>45</v>
      </c>
      <c r="X259" s="5" t="s">
        <v>40</v>
      </c>
      <c r="Y259" s="5" t="s">
        <v>543</v>
      </c>
      <c r="Z259" s="5" t="s">
        <v>817</v>
      </c>
      <c r="AA259" s="5" t="s">
        <v>818</v>
      </c>
      <c r="AB259" s="5" t="s">
        <v>818</v>
      </c>
      <c r="AC259" s="5" t="s">
        <v>818</v>
      </c>
      <c r="AD259" s="5" t="s">
        <v>818</v>
      </c>
      <c r="AE259" s="5" t="s">
        <v>818</v>
      </c>
      <c r="AF259" s="5" t="s">
        <v>49</v>
      </c>
      <c r="AG259" s="5" t="s">
        <v>49</v>
      </c>
      <c r="AH259" s="5" t="s">
        <v>49</v>
      </c>
      <c r="AI259" s="5" t="s">
        <v>50</v>
      </c>
    </row>
    <row r="260" spans="1:35" x14ac:dyDescent="0.3">
      <c r="A260" s="4">
        <v>713909000</v>
      </c>
      <c r="B260" s="5" t="s">
        <v>37</v>
      </c>
      <c r="C260" s="5" t="s">
        <v>233</v>
      </c>
      <c r="D260" s="5" t="s">
        <v>819</v>
      </c>
      <c r="E260" s="7">
        <v>45206</v>
      </c>
      <c r="F260" s="24">
        <f t="shared" si="6"/>
        <v>10</v>
      </c>
      <c r="G260" s="24">
        <f t="shared" si="7"/>
        <v>2023</v>
      </c>
      <c r="H260" s="5">
        <v>20603351755</v>
      </c>
      <c r="I260" s="5" t="s">
        <v>760</v>
      </c>
      <c r="J260" s="5" t="s">
        <v>761</v>
      </c>
      <c r="K260" s="8">
        <v>6.85</v>
      </c>
      <c r="L260" s="8">
        <v>6.42</v>
      </c>
      <c r="M260" s="8">
        <v>6.42</v>
      </c>
      <c r="N260" s="5" t="s">
        <v>42</v>
      </c>
      <c r="O260" s="8">
        <v>10</v>
      </c>
      <c r="P260" s="5" t="s">
        <v>585</v>
      </c>
      <c r="Q260" s="8">
        <v>16</v>
      </c>
      <c r="R260" s="9">
        <v>2.492</v>
      </c>
      <c r="S260" s="9">
        <v>1.6</v>
      </c>
      <c r="T260" s="5" t="s">
        <v>739</v>
      </c>
      <c r="U260" s="5" t="s">
        <v>238</v>
      </c>
      <c r="V260" s="5" t="s">
        <v>40</v>
      </c>
      <c r="W260" s="5" t="s">
        <v>239</v>
      </c>
      <c r="X260" s="5" t="s">
        <v>240</v>
      </c>
      <c r="Y260" s="5" t="s">
        <v>762</v>
      </c>
      <c r="Z260" s="5" t="s">
        <v>820</v>
      </c>
      <c r="AA260" s="5" t="s">
        <v>821</v>
      </c>
      <c r="AB260" s="5" t="s">
        <v>821</v>
      </c>
      <c r="AC260" s="5" t="s">
        <v>821</v>
      </c>
      <c r="AD260" s="5" t="s">
        <v>821</v>
      </c>
      <c r="AE260" s="5" t="s">
        <v>821</v>
      </c>
      <c r="AF260" s="5" t="s">
        <v>243</v>
      </c>
      <c r="AG260" s="5" t="s">
        <v>76</v>
      </c>
      <c r="AH260" s="5" t="s">
        <v>76</v>
      </c>
      <c r="AI260" s="5" t="s">
        <v>50</v>
      </c>
    </row>
    <row r="261" spans="1:35" x14ac:dyDescent="0.3">
      <c r="A261" s="4">
        <v>713909000</v>
      </c>
      <c r="B261" s="5" t="s">
        <v>37</v>
      </c>
      <c r="C261" s="5" t="s">
        <v>233</v>
      </c>
      <c r="D261" s="5" t="s">
        <v>822</v>
      </c>
      <c r="E261" s="7">
        <v>44821</v>
      </c>
      <c r="F261" s="24">
        <f t="shared" si="6"/>
        <v>9</v>
      </c>
      <c r="G261" s="24">
        <f t="shared" si="7"/>
        <v>2022</v>
      </c>
      <c r="H261" s="5">
        <v>20600553675</v>
      </c>
      <c r="I261" s="5" t="s">
        <v>823</v>
      </c>
      <c r="J261" s="5" t="s">
        <v>824</v>
      </c>
      <c r="K261" s="8">
        <v>13.18</v>
      </c>
      <c r="L261" s="8">
        <v>12.52</v>
      </c>
      <c r="M261" s="8">
        <v>12.52</v>
      </c>
      <c r="N261" s="5" t="s">
        <v>42</v>
      </c>
      <c r="O261" s="8">
        <v>38.4</v>
      </c>
      <c r="P261" s="5" t="s">
        <v>585</v>
      </c>
      <c r="Q261" s="8">
        <v>51</v>
      </c>
      <c r="R261" s="9">
        <v>4.0730000000000004</v>
      </c>
      <c r="S261" s="9">
        <v>1.3280000000000001</v>
      </c>
      <c r="T261" s="5" t="s">
        <v>237</v>
      </c>
      <c r="U261" s="5" t="s">
        <v>238</v>
      </c>
      <c r="V261" s="5" t="s">
        <v>40</v>
      </c>
      <c r="W261" s="5" t="s">
        <v>239</v>
      </c>
      <c r="X261" s="5" t="s">
        <v>240</v>
      </c>
      <c r="Y261" s="5" t="s">
        <v>588</v>
      </c>
      <c r="Z261" s="5" t="s">
        <v>825</v>
      </c>
      <c r="AA261" s="5" t="s">
        <v>826</v>
      </c>
      <c r="AB261" s="5" t="s">
        <v>826</v>
      </c>
      <c r="AC261" s="5" t="s">
        <v>826</v>
      </c>
      <c r="AD261" s="5" t="s">
        <v>826</v>
      </c>
      <c r="AE261" s="5" t="s">
        <v>826</v>
      </c>
      <c r="AF261" s="5" t="s">
        <v>243</v>
      </c>
      <c r="AG261" s="5" t="s">
        <v>76</v>
      </c>
      <c r="AH261" s="5" t="s">
        <v>76</v>
      </c>
      <c r="AI261" s="5" t="s">
        <v>50</v>
      </c>
    </row>
    <row r="262" spans="1:35" x14ac:dyDescent="0.3">
      <c r="A262" s="4">
        <v>713909000</v>
      </c>
      <c r="B262" s="5" t="s">
        <v>37</v>
      </c>
      <c r="C262" s="5" t="s">
        <v>233</v>
      </c>
      <c r="D262" s="5" t="s">
        <v>827</v>
      </c>
      <c r="E262" s="7">
        <v>45147</v>
      </c>
      <c r="F262" s="24">
        <f t="shared" si="6"/>
        <v>8</v>
      </c>
      <c r="G262" s="24">
        <f t="shared" si="7"/>
        <v>2023</v>
      </c>
      <c r="H262" s="5">
        <v>20603351755</v>
      </c>
      <c r="I262" s="5" t="s">
        <v>760</v>
      </c>
      <c r="J262" s="5" t="s">
        <v>761</v>
      </c>
      <c r="K262" s="8">
        <v>3.83</v>
      </c>
      <c r="L262" s="8">
        <v>3.63</v>
      </c>
      <c r="M262" s="8">
        <v>3.63</v>
      </c>
      <c r="N262" s="5" t="s">
        <v>42</v>
      </c>
      <c r="O262" s="8">
        <v>10</v>
      </c>
      <c r="P262" s="5" t="s">
        <v>585</v>
      </c>
      <c r="Q262" s="8">
        <v>16</v>
      </c>
      <c r="R262" s="9">
        <v>4.407</v>
      </c>
      <c r="S262" s="9">
        <v>1.6</v>
      </c>
      <c r="T262" s="5" t="s">
        <v>739</v>
      </c>
      <c r="U262" s="5" t="s">
        <v>586</v>
      </c>
      <c r="V262" s="5" t="s">
        <v>40</v>
      </c>
      <c r="W262" s="5" t="s">
        <v>239</v>
      </c>
      <c r="X262" s="5" t="s">
        <v>587</v>
      </c>
      <c r="Y262" s="5" t="s">
        <v>762</v>
      </c>
      <c r="Z262" s="5" t="s">
        <v>805</v>
      </c>
      <c r="AA262" s="5" t="s">
        <v>806</v>
      </c>
      <c r="AB262" s="5" t="s">
        <v>806</v>
      </c>
      <c r="AC262" s="5" t="s">
        <v>806</v>
      </c>
      <c r="AD262" s="5" t="s">
        <v>806</v>
      </c>
      <c r="AE262" s="5" t="s">
        <v>806</v>
      </c>
      <c r="AF262" s="5" t="s">
        <v>591</v>
      </c>
      <c r="AG262" s="5" t="s">
        <v>76</v>
      </c>
      <c r="AH262" s="5" t="s">
        <v>76</v>
      </c>
      <c r="AI262" s="5" t="s">
        <v>50</v>
      </c>
    </row>
    <row r="263" spans="1:35" x14ac:dyDescent="0.3">
      <c r="A263" s="4">
        <v>713909000</v>
      </c>
      <c r="B263" s="5" t="s">
        <v>37</v>
      </c>
      <c r="C263" s="5" t="s">
        <v>63</v>
      </c>
      <c r="D263" s="5" t="s">
        <v>828</v>
      </c>
      <c r="E263" s="7">
        <v>44880</v>
      </c>
      <c r="F263" s="24">
        <f t="shared" si="6"/>
        <v>11</v>
      </c>
      <c r="G263" s="24">
        <f t="shared" si="7"/>
        <v>2022</v>
      </c>
      <c r="H263" s="5">
        <v>20607438031</v>
      </c>
      <c r="I263" s="5" t="s">
        <v>829</v>
      </c>
      <c r="J263" s="5" t="s">
        <v>830</v>
      </c>
      <c r="K263" s="8">
        <v>859.96</v>
      </c>
      <c r="L263" s="8">
        <v>759</v>
      </c>
      <c r="M263" s="8">
        <v>759</v>
      </c>
      <c r="N263" s="5" t="s">
        <v>42</v>
      </c>
      <c r="O263" s="8">
        <v>30</v>
      </c>
      <c r="P263" s="5" t="s">
        <v>585</v>
      </c>
      <c r="Q263" s="8">
        <v>1920</v>
      </c>
      <c r="R263" s="9">
        <v>2.5289999999999999</v>
      </c>
      <c r="S263" s="9">
        <v>64</v>
      </c>
      <c r="T263" s="5" t="s">
        <v>197</v>
      </c>
      <c r="U263" s="5" t="s">
        <v>116</v>
      </c>
      <c r="V263" s="5" t="s">
        <v>40</v>
      </c>
      <c r="W263" s="5" t="s">
        <v>70</v>
      </c>
      <c r="X263" s="5" t="s">
        <v>117</v>
      </c>
      <c r="Y263" s="5" t="s">
        <v>450</v>
      </c>
      <c r="Z263" s="5" t="s">
        <v>831</v>
      </c>
      <c r="AA263" s="5" t="s">
        <v>832</v>
      </c>
      <c r="AB263" s="5" t="s">
        <v>832</v>
      </c>
      <c r="AC263" s="5" t="s">
        <v>832</v>
      </c>
      <c r="AD263" s="5" t="s">
        <v>832</v>
      </c>
      <c r="AE263" s="5" t="s">
        <v>832</v>
      </c>
      <c r="AF263" s="5" t="s">
        <v>112</v>
      </c>
      <c r="AG263" s="5" t="s">
        <v>76</v>
      </c>
      <c r="AH263" s="5" t="s">
        <v>76</v>
      </c>
      <c r="AI263" s="5" t="s">
        <v>377</v>
      </c>
    </row>
    <row r="264" spans="1:35" x14ac:dyDescent="0.3">
      <c r="A264" s="4">
        <v>713909000</v>
      </c>
      <c r="B264" s="5" t="s">
        <v>37</v>
      </c>
      <c r="C264" s="5" t="s">
        <v>63</v>
      </c>
      <c r="D264" s="5" t="s">
        <v>833</v>
      </c>
      <c r="E264" s="7">
        <v>44824</v>
      </c>
      <c r="F264" s="24">
        <f t="shared" ref="F264:F295" si="8">MONTH(E264)</f>
        <v>9</v>
      </c>
      <c r="G264" s="24">
        <f t="shared" ref="G264:G295" si="9">YEAR(E264)</f>
        <v>2022</v>
      </c>
      <c r="H264" s="5">
        <v>20607438031</v>
      </c>
      <c r="I264" s="5" t="s">
        <v>829</v>
      </c>
      <c r="J264" s="5" t="s">
        <v>830</v>
      </c>
      <c r="K264" s="8">
        <v>1324.77</v>
      </c>
      <c r="L264" s="8">
        <v>1250</v>
      </c>
      <c r="M264" s="8">
        <v>1250</v>
      </c>
      <c r="N264" s="5" t="s">
        <v>42</v>
      </c>
      <c r="O264" s="8">
        <v>50</v>
      </c>
      <c r="P264" s="5" t="s">
        <v>585</v>
      </c>
      <c r="Q264" s="8">
        <v>3200</v>
      </c>
      <c r="R264" s="9">
        <v>2.56</v>
      </c>
      <c r="S264" s="9">
        <v>64</v>
      </c>
      <c r="T264" s="5" t="s">
        <v>197</v>
      </c>
      <c r="U264" s="5" t="s">
        <v>116</v>
      </c>
      <c r="V264" s="5" t="s">
        <v>40</v>
      </c>
      <c r="W264" s="5" t="s">
        <v>70</v>
      </c>
      <c r="X264" s="5" t="s">
        <v>117</v>
      </c>
      <c r="Y264" s="5" t="s">
        <v>450</v>
      </c>
      <c r="Z264" s="5" t="s">
        <v>834</v>
      </c>
      <c r="AA264" s="5" t="s">
        <v>835</v>
      </c>
      <c r="AB264" s="5" t="s">
        <v>835</v>
      </c>
      <c r="AC264" s="5" t="s">
        <v>835</v>
      </c>
      <c r="AD264" s="5" t="s">
        <v>835</v>
      </c>
      <c r="AE264" s="5" t="s">
        <v>835</v>
      </c>
      <c r="AF264" s="5" t="s">
        <v>112</v>
      </c>
      <c r="AG264" s="5" t="s">
        <v>76</v>
      </c>
      <c r="AH264" s="5" t="s">
        <v>76</v>
      </c>
      <c r="AI264" s="5" t="s">
        <v>377</v>
      </c>
    </row>
    <row r="265" spans="1:35" x14ac:dyDescent="0.3">
      <c r="A265" s="4">
        <v>713909000</v>
      </c>
      <c r="B265" s="5" t="s">
        <v>37</v>
      </c>
      <c r="C265" s="5" t="s">
        <v>63</v>
      </c>
      <c r="D265" s="5" t="s">
        <v>836</v>
      </c>
      <c r="E265" s="7">
        <v>44646</v>
      </c>
      <c r="F265" s="24">
        <f t="shared" si="8"/>
        <v>3</v>
      </c>
      <c r="G265" s="24">
        <f t="shared" si="9"/>
        <v>2022</v>
      </c>
      <c r="H265" s="5">
        <v>20607438031</v>
      </c>
      <c r="I265" s="5" t="s">
        <v>829</v>
      </c>
      <c r="J265" s="5" t="s">
        <v>837</v>
      </c>
      <c r="K265" s="8">
        <v>1598.38</v>
      </c>
      <c r="L265" s="8">
        <v>1585.35</v>
      </c>
      <c r="M265" s="8">
        <v>1585.35</v>
      </c>
      <c r="N265" s="5" t="s">
        <v>42</v>
      </c>
      <c r="O265" s="8">
        <v>50</v>
      </c>
      <c r="P265" s="5" t="s">
        <v>67</v>
      </c>
      <c r="Q265" s="8">
        <v>3133</v>
      </c>
      <c r="R265" s="9">
        <v>1.976</v>
      </c>
      <c r="S265" s="9">
        <v>62.66</v>
      </c>
      <c r="T265" s="5" t="s">
        <v>197</v>
      </c>
      <c r="U265" s="5" t="s">
        <v>81</v>
      </c>
      <c r="V265" s="5" t="s">
        <v>40</v>
      </c>
      <c r="W265" s="5" t="s">
        <v>70</v>
      </c>
      <c r="X265" s="5" t="s">
        <v>82</v>
      </c>
      <c r="Y265" s="5" t="s">
        <v>83</v>
      </c>
      <c r="Z265" s="5" t="s">
        <v>838</v>
      </c>
      <c r="AA265" s="5" t="s">
        <v>839</v>
      </c>
      <c r="AB265" s="5" t="s">
        <v>839</v>
      </c>
      <c r="AC265" s="5" t="s">
        <v>839</v>
      </c>
      <c r="AD265" s="5" t="s">
        <v>839</v>
      </c>
      <c r="AE265" s="5" t="s">
        <v>839</v>
      </c>
      <c r="AF265" s="5" t="s">
        <v>86</v>
      </c>
      <c r="AG265" s="5" t="s">
        <v>840</v>
      </c>
      <c r="AH265" s="5" t="s">
        <v>841</v>
      </c>
      <c r="AI265" s="5" t="s">
        <v>50</v>
      </c>
    </row>
    <row r="266" spans="1:35" x14ac:dyDescent="0.3">
      <c r="A266" s="4">
        <v>713909000</v>
      </c>
      <c r="B266" s="5" t="s">
        <v>37</v>
      </c>
      <c r="C266" s="5" t="s">
        <v>63</v>
      </c>
      <c r="D266" s="5" t="s">
        <v>842</v>
      </c>
      <c r="E266" s="7">
        <v>45498</v>
      </c>
      <c r="F266" s="24">
        <f t="shared" si="8"/>
        <v>7</v>
      </c>
      <c r="G266" s="24">
        <f t="shared" si="9"/>
        <v>2024</v>
      </c>
      <c r="H266" s="5">
        <v>20515713710</v>
      </c>
      <c r="I266" s="5" t="s">
        <v>843</v>
      </c>
      <c r="J266" s="5" t="s">
        <v>844</v>
      </c>
      <c r="K266" s="8">
        <v>485.16</v>
      </c>
      <c r="L266" s="8">
        <v>431.2</v>
      </c>
      <c r="M266" s="8">
        <v>431.2</v>
      </c>
      <c r="N266" s="5" t="s">
        <v>42</v>
      </c>
      <c r="O266" s="8">
        <v>40</v>
      </c>
      <c r="P266" s="5" t="s">
        <v>67</v>
      </c>
      <c r="Q266" s="8">
        <v>1120</v>
      </c>
      <c r="R266" s="9">
        <v>2.597</v>
      </c>
      <c r="S266" s="9">
        <v>28</v>
      </c>
      <c r="T266" s="5" t="s">
        <v>68</v>
      </c>
      <c r="U266" s="5" t="s">
        <v>247</v>
      </c>
      <c r="V266" s="5" t="s">
        <v>40</v>
      </c>
      <c r="W266" s="5" t="s">
        <v>70</v>
      </c>
      <c r="X266" s="5" t="s">
        <v>248</v>
      </c>
      <c r="Y266" s="5" t="s">
        <v>83</v>
      </c>
      <c r="Z266" s="5" t="s">
        <v>845</v>
      </c>
      <c r="AA266" s="5" t="s">
        <v>846</v>
      </c>
      <c r="AB266" s="5" t="s">
        <v>846</v>
      </c>
      <c r="AC266" s="5" t="s">
        <v>846</v>
      </c>
      <c r="AD266" s="5" t="s">
        <v>846</v>
      </c>
      <c r="AE266" s="5" t="s">
        <v>846</v>
      </c>
      <c r="AF266" s="5" t="s">
        <v>252</v>
      </c>
      <c r="AG266" s="5" t="s">
        <v>87</v>
      </c>
      <c r="AH266" s="5" t="s">
        <v>847</v>
      </c>
      <c r="AI266" s="5" t="s">
        <v>50</v>
      </c>
    </row>
    <row r="267" spans="1:35" x14ac:dyDescent="0.3">
      <c r="A267" s="4">
        <v>713909000</v>
      </c>
      <c r="B267" s="5" t="s">
        <v>37</v>
      </c>
      <c r="C267" s="5" t="s">
        <v>63</v>
      </c>
      <c r="D267" s="5" t="s">
        <v>848</v>
      </c>
      <c r="E267" s="7">
        <v>45463</v>
      </c>
      <c r="F267" s="24">
        <f t="shared" si="8"/>
        <v>6</v>
      </c>
      <c r="G267" s="24">
        <f t="shared" si="9"/>
        <v>2024</v>
      </c>
      <c r="H267" s="5">
        <v>20515713710</v>
      </c>
      <c r="I267" s="5" t="s">
        <v>843</v>
      </c>
      <c r="J267" s="5" t="s">
        <v>849</v>
      </c>
      <c r="K267" s="8">
        <v>1489.1</v>
      </c>
      <c r="L267" s="8">
        <v>1486.36</v>
      </c>
      <c r="M267" s="8">
        <v>1486.36</v>
      </c>
      <c r="N267" s="5" t="s">
        <v>42</v>
      </c>
      <c r="O267" s="8">
        <v>156</v>
      </c>
      <c r="P267" s="5" t="s">
        <v>80</v>
      </c>
      <c r="Q267" s="8">
        <v>6552</v>
      </c>
      <c r="R267" s="9">
        <v>4.4080000000000004</v>
      </c>
      <c r="S267" s="9">
        <v>42</v>
      </c>
      <c r="T267" s="5" t="s">
        <v>68</v>
      </c>
      <c r="U267" s="5" t="s">
        <v>94</v>
      </c>
      <c r="V267" s="5" t="s">
        <v>40</v>
      </c>
      <c r="W267" s="5" t="s">
        <v>70</v>
      </c>
      <c r="X267" s="5" t="s">
        <v>109</v>
      </c>
      <c r="Y267" s="5" t="s">
        <v>83</v>
      </c>
      <c r="Z267" s="5" t="s">
        <v>850</v>
      </c>
      <c r="AA267" s="5" t="s">
        <v>851</v>
      </c>
      <c r="AB267" s="5" t="s">
        <v>851</v>
      </c>
      <c r="AC267" s="5" t="s">
        <v>851</v>
      </c>
      <c r="AD267" s="5" t="s">
        <v>851</v>
      </c>
      <c r="AE267" s="5" t="s">
        <v>851</v>
      </c>
      <c r="AF267" s="5" t="s">
        <v>696</v>
      </c>
      <c r="AG267" s="5" t="s">
        <v>87</v>
      </c>
      <c r="AH267" s="5" t="s">
        <v>852</v>
      </c>
      <c r="AI267" s="5" t="s">
        <v>50</v>
      </c>
    </row>
    <row r="268" spans="1:35" x14ac:dyDescent="0.3">
      <c r="A268" s="4">
        <v>713909000</v>
      </c>
      <c r="B268" s="5" t="s">
        <v>37</v>
      </c>
      <c r="C268" s="5" t="s">
        <v>38</v>
      </c>
      <c r="D268" s="5" t="s">
        <v>853</v>
      </c>
      <c r="E268" s="7">
        <v>44902</v>
      </c>
      <c r="F268" s="24">
        <f t="shared" si="8"/>
        <v>12</v>
      </c>
      <c r="G268" s="24">
        <f t="shared" si="9"/>
        <v>2022</v>
      </c>
      <c r="H268" s="5">
        <v>20606376147</v>
      </c>
      <c r="I268" s="5" t="s">
        <v>854</v>
      </c>
      <c r="J268" s="5" t="s">
        <v>465</v>
      </c>
      <c r="K268" s="8">
        <v>30070</v>
      </c>
      <c r="L268" s="8">
        <v>29970</v>
      </c>
      <c r="M268" s="8">
        <v>29970</v>
      </c>
      <c r="N268" s="5" t="s">
        <v>42</v>
      </c>
      <c r="O268" s="8">
        <v>666</v>
      </c>
      <c r="P268" s="5" t="s">
        <v>103</v>
      </c>
      <c r="Q268" s="8">
        <v>73260</v>
      </c>
      <c r="R268" s="9">
        <v>2.444</v>
      </c>
      <c r="S268" s="9">
        <v>110</v>
      </c>
      <c r="T268" s="5" t="s">
        <v>43</v>
      </c>
      <c r="U268" s="5" t="s">
        <v>466</v>
      </c>
      <c r="V268" s="5" t="s">
        <v>40</v>
      </c>
      <c r="W268" s="5" t="s">
        <v>45</v>
      </c>
      <c r="X268" s="5" t="s">
        <v>40</v>
      </c>
      <c r="Y268" s="5" t="s">
        <v>439</v>
      </c>
      <c r="Z268" s="5" t="s">
        <v>467</v>
      </c>
      <c r="AA268" s="5" t="s">
        <v>468</v>
      </c>
      <c r="AB268" s="5" t="s">
        <v>468</v>
      </c>
      <c r="AC268" s="5" t="s">
        <v>468</v>
      </c>
      <c r="AD268" s="5" t="s">
        <v>468</v>
      </c>
      <c r="AE268" s="5" t="s">
        <v>468</v>
      </c>
      <c r="AF268" s="5" t="s">
        <v>49</v>
      </c>
      <c r="AG268" s="5" t="s">
        <v>49</v>
      </c>
      <c r="AH268" s="5" t="s">
        <v>49</v>
      </c>
      <c r="AI268" s="5" t="s">
        <v>50</v>
      </c>
    </row>
    <row r="269" spans="1:35" x14ac:dyDescent="0.3">
      <c r="A269" s="4">
        <v>713909000</v>
      </c>
      <c r="B269" s="5" t="s">
        <v>37</v>
      </c>
      <c r="C269" s="5" t="s">
        <v>38</v>
      </c>
      <c r="D269" s="5" t="s">
        <v>855</v>
      </c>
      <c r="E269" s="7">
        <v>45397</v>
      </c>
      <c r="F269" s="24">
        <f t="shared" si="8"/>
        <v>4</v>
      </c>
      <c r="G269" s="24">
        <f t="shared" si="9"/>
        <v>2024</v>
      </c>
      <c r="H269" s="5">
        <v>20606376147</v>
      </c>
      <c r="I269" s="5" t="s">
        <v>854</v>
      </c>
      <c r="J269" s="5" t="s">
        <v>465</v>
      </c>
      <c r="K269" s="8">
        <v>30070</v>
      </c>
      <c r="L269" s="8">
        <v>29970</v>
      </c>
      <c r="M269" s="8">
        <v>29970</v>
      </c>
      <c r="N269" s="5" t="s">
        <v>42</v>
      </c>
      <c r="O269" s="8">
        <v>666</v>
      </c>
      <c r="P269" s="5" t="s">
        <v>103</v>
      </c>
      <c r="Q269" s="8">
        <v>79920</v>
      </c>
      <c r="R269" s="9">
        <v>2.6659999999999999</v>
      </c>
      <c r="S269" s="9">
        <v>120</v>
      </c>
      <c r="T269" s="5" t="s">
        <v>43</v>
      </c>
      <c r="U269" s="5" t="s">
        <v>466</v>
      </c>
      <c r="V269" s="5" t="s">
        <v>40</v>
      </c>
      <c r="W269" s="5" t="s">
        <v>45</v>
      </c>
      <c r="X269" s="5" t="s">
        <v>40</v>
      </c>
      <c r="Y269" s="5" t="s">
        <v>439</v>
      </c>
      <c r="Z269" s="5" t="s">
        <v>467</v>
      </c>
      <c r="AA269" s="5" t="s">
        <v>468</v>
      </c>
      <c r="AB269" s="5" t="s">
        <v>468</v>
      </c>
      <c r="AC269" s="5" t="s">
        <v>468</v>
      </c>
      <c r="AD269" s="5" t="s">
        <v>468</v>
      </c>
      <c r="AE269" s="5" t="s">
        <v>468</v>
      </c>
      <c r="AF269" s="5" t="s">
        <v>49</v>
      </c>
      <c r="AG269" s="5" t="s">
        <v>49</v>
      </c>
      <c r="AH269" s="5" t="s">
        <v>49</v>
      </c>
      <c r="AI269" s="5" t="s">
        <v>50</v>
      </c>
    </row>
    <row r="270" spans="1:35" x14ac:dyDescent="0.3">
      <c r="A270" s="4">
        <v>713909000</v>
      </c>
      <c r="B270" s="5" t="s">
        <v>37</v>
      </c>
      <c r="C270" s="5" t="s">
        <v>38</v>
      </c>
      <c r="D270" s="5" t="s">
        <v>856</v>
      </c>
      <c r="E270" s="7">
        <v>45474</v>
      </c>
      <c r="F270" s="24">
        <f t="shared" si="8"/>
        <v>7</v>
      </c>
      <c r="G270" s="24">
        <f t="shared" si="9"/>
        <v>2024</v>
      </c>
      <c r="H270" s="5">
        <v>20606376147</v>
      </c>
      <c r="I270" s="5" t="s">
        <v>854</v>
      </c>
      <c r="J270" s="5" t="s">
        <v>465</v>
      </c>
      <c r="K270" s="8">
        <v>30070</v>
      </c>
      <c r="L270" s="8">
        <v>29970</v>
      </c>
      <c r="M270" s="8">
        <v>29970</v>
      </c>
      <c r="N270" s="5" t="s">
        <v>42</v>
      </c>
      <c r="O270" s="8">
        <v>666</v>
      </c>
      <c r="P270" s="5" t="s">
        <v>103</v>
      </c>
      <c r="Q270" s="8">
        <v>81252</v>
      </c>
      <c r="R270" s="9">
        <v>2.7109999999999999</v>
      </c>
      <c r="S270" s="9">
        <v>122</v>
      </c>
      <c r="T270" s="5" t="s">
        <v>43</v>
      </c>
      <c r="U270" s="5" t="s">
        <v>466</v>
      </c>
      <c r="V270" s="5" t="s">
        <v>40</v>
      </c>
      <c r="W270" s="5" t="s">
        <v>45</v>
      </c>
      <c r="X270" s="5" t="s">
        <v>40</v>
      </c>
      <c r="Y270" s="5" t="s">
        <v>439</v>
      </c>
      <c r="Z270" s="5" t="s">
        <v>467</v>
      </c>
      <c r="AA270" s="5" t="s">
        <v>468</v>
      </c>
      <c r="AB270" s="5" t="s">
        <v>468</v>
      </c>
      <c r="AC270" s="5" t="s">
        <v>468</v>
      </c>
      <c r="AD270" s="5" t="s">
        <v>468</v>
      </c>
      <c r="AE270" s="5" t="s">
        <v>468</v>
      </c>
      <c r="AF270" s="5" t="s">
        <v>49</v>
      </c>
      <c r="AG270" s="5" t="s">
        <v>49</v>
      </c>
      <c r="AH270" s="5" t="s">
        <v>49</v>
      </c>
      <c r="AI270" s="5" t="s">
        <v>50</v>
      </c>
    </row>
    <row r="271" spans="1:35" x14ac:dyDescent="0.3">
      <c r="A271" s="4">
        <v>713909000</v>
      </c>
      <c r="B271" s="5" t="s">
        <v>37</v>
      </c>
      <c r="C271" s="5" t="s">
        <v>63</v>
      </c>
      <c r="D271" s="5" t="s">
        <v>857</v>
      </c>
      <c r="E271" s="7">
        <v>45525</v>
      </c>
      <c r="F271" s="24">
        <f t="shared" si="8"/>
        <v>8</v>
      </c>
      <c r="G271" s="24">
        <f t="shared" si="9"/>
        <v>2024</v>
      </c>
      <c r="H271" s="5">
        <v>20515713710</v>
      </c>
      <c r="I271" s="5" t="s">
        <v>843</v>
      </c>
      <c r="J271" s="5" t="s">
        <v>79</v>
      </c>
      <c r="K271" s="8">
        <v>1066.1600000000001</v>
      </c>
      <c r="L271" s="8">
        <v>990.91</v>
      </c>
      <c r="M271" s="8">
        <v>990.91</v>
      </c>
      <c r="N271" s="5" t="s">
        <v>42</v>
      </c>
      <c r="O271" s="8">
        <v>104</v>
      </c>
      <c r="P271" s="5" t="s">
        <v>80</v>
      </c>
      <c r="Q271" s="8">
        <v>4368</v>
      </c>
      <c r="R271" s="9">
        <v>4.4080000000000004</v>
      </c>
      <c r="S271" s="9">
        <v>42</v>
      </c>
      <c r="T271" s="5" t="s">
        <v>68</v>
      </c>
      <c r="U271" s="5" t="s">
        <v>94</v>
      </c>
      <c r="V271" s="5" t="s">
        <v>40</v>
      </c>
      <c r="W271" s="5" t="s">
        <v>70</v>
      </c>
      <c r="X271" s="5" t="s">
        <v>109</v>
      </c>
      <c r="Y271" s="5" t="s">
        <v>83</v>
      </c>
      <c r="Z271" s="5" t="s">
        <v>858</v>
      </c>
      <c r="AA271" s="5" t="s">
        <v>859</v>
      </c>
      <c r="AB271" s="5" t="s">
        <v>859</v>
      </c>
      <c r="AC271" s="5" t="s">
        <v>859</v>
      </c>
      <c r="AD271" s="5" t="s">
        <v>859</v>
      </c>
      <c r="AE271" s="5" t="s">
        <v>859</v>
      </c>
      <c r="AF271" s="5" t="s">
        <v>523</v>
      </c>
      <c r="AG271" s="5" t="s">
        <v>87</v>
      </c>
      <c r="AH271" s="5" t="s">
        <v>860</v>
      </c>
      <c r="AI271" s="5" t="s">
        <v>50</v>
      </c>
    </row>
    <row r="272" spans="1:35" x14ac:dyDescent="0.3">
      <c r="A272" s="4">
        <v>713909000</v>
      </c>
      <c r="B272" s="5" t="s">
        <v>37</v>
      </c>
      <c r="C272" s="5" t="s">
        <v>38</v>
      </c>
      <c r="D272" s="5" t="s">
        <v>861</v>
      </c>
      <c r="E272" s="7">
        <v>45527</v>
      </c>
      <c r="F272" s="24">
        <f t="shared" si="8"/>
        <v>8</v>
      </c>
      <c r="G272" s="24">
        <f t="shared" si="9"/>
        <v>2024</v>
      </c>
      <c r="H272" s="5">
        <v>20409318135</v>
      </c>
      <c r="I272" s="5" t="s">
        <v>130</v>
      </c>
      <c r="J272" s="5" t="s">
        <v>273</v>
      </c>
      <c r="K272" s="8">
        <v>16568.27</v>
      </c>
      <c r="L272" s="8">
        <v>16500</v>
      </c>
      <c r="M272" s="8">
        <v>16500</v>
      </c>
      <c r="N272" s="5" t="s">
        <v>42</v>
      </c>
      <c r="O272" s="8">
        <v>16500</v>
      </c>
      <c r="P272" s="5" t="s">
        <v>42</v>
      </c>
      <c r="Q272" s="8">
        <v>12210</v>
      </c>
      <c r="R272" s="9">
        <v>0.74</v>
      </c>
      <c r="S272" s="9">
        <v>0.74</v>
      </c>
      <c r="T272" s="5" t="s">
        <v>43</v>
      </c>
      <c r="U272" s="5" t="s">
        <v>44</v>
      </c>
      <c r="V272" s="5" t="s">
        <v>40</v>
      </c>
      <c r="W272" s="5" t="s">
        <v>45</v>
      </c>
      <c r="X272" s="5" t="s">
        <v>40</v>
      </c>
      <c r="Y272" s="5" t="s">
        <v>132</v>
      </c>
      <c r="Z272" s="5" t="s">
        <v>277</v>
      </c>
      <c r="AA272" s="5" t="s">
        <v>278</v>
      </c>
      <c r="AB272" s="5" t="s">
        <v>278</v>
      </c>
      <c r="AC272" s="5" t="s">
        <v>278</v>
      </c>
      <c r="AD272" s="5" t="s">
        <v>278</v>
      </c>
      <c r="AE272" s="5" t="s">
        <v>278</v>
      </c>
      <c r="AF272" s="5" t="s">
        <v>49</v>
      </c>
      <c r="AG272" s="5" t="s">
        <v>49</v>
      </c>
      <c r="AH272" s="5" t="s">
        <v>49</v>
      </c>
      <c r="AI272" s="5" t="s">
        <v>50</v>
      </c>
    </row>
    <row r="273" spans="1:35" x14ac:dyDescent="0.3">
      <c r="A273" s="4">
        <v>713909000</v>
      </c>
      <c r="B273" s="5" t="s">
        <v>37</v>
      </c>
      <c r="C273" s="5" t="s">
        <v>38</v>
      </c>
      <c r="D273" s="5" t="s">
        <v>862</v>
      </c>
      <c r="E273" s="7">
        <v>45526</v>
      </c>
      <c r="F273" s="24">
        <f t="shared" si="8"/>
        <v>8</v>
      </c>
      <c r="G273" s="24">
        <f t="shared" si="9"/>
        <v>2024</v>
      </c>
      <c r="H273" s="5">
        <v>20606376147</v>
      </c>
      <c r="I273" s="5" t="s">
        <v>854</v>
      </c>
      <c r="J273" s="5" t="s">
        <v>465</v>
      </c>
      <c r="K273" s="8">
        <v>30070</v>
      </c>
      <c r="L273" s="8">
        <v>29970</v>
      </c>
      <c r="M273" s="8">
        <v>29970</v>
      </c>
      <c r="N273" s="5" t="s">
        <v>42</v>
      </c>
      <c r="O273" s="8">
        <v>666</v>
      </c>
      <c r="P273" s="5" t="s">
        <v>103</v>
      </c>
      <c r="Q273" s="8">
        <v>81252</v>
      </c>
      <c r="R273" s="9">
        <v>2.7109999999999999</v>
      </c>
      <c r="S273" s="9">
        <v>122</v>
      </c>
      <c r="T273" s="5" t="s">
        <v>43</v>
      </c>
      <c r="U273" s="5" t="s">
        <v>466</v>
      </c>
      <c r="V273" s="5" t="s">
        <v>40</v>
      </c>
      <c r="W273" s="5" t="s">
        <v>45</v>
      </c>
      <c r="X273" s="5" t="s">
        <v>40</v>
      </c>
      <c r="Y273" s="5" t="s">
        <v>439</v>
      </c>
      <c r="Z273" s="5" t="s">
        <v>467</v>
      </c>
      <c r="AA273" s="5" t="s">
        <v>468</v>
      </c>
      <c r="AB273" s="5" t="s">
        <v>468</v>
      </c>
      <c r="AC273" s="5" t="s">
        <v>468</v>
      </c>
      <c r="AD273" s="5" t="s">
        <v>468</v>
      </c>
      <c r="AE273" s="5" t="s">
        <v>468</v>
      </c>
      <c r="AF273" s="5" t="s">
        <v>49</v>
      </c>
      <c r="AG273" s="5" t="s">
        <v>49</v>
      </c>
      <c r="AH273" s="5" t="s">
        <v>49</v>
      </c>
      <c r="AI273" s="5" t="s">
        <v>50</v>
      </c>
    </row>
    <row r="274" spans="1:35" x14ac:dyDescent="0.3">
      <c r="A274" s="4">
        <v>713909000</v>
      </c>
      <c r="B274" s="5" t="s">
        <v>37</v>
      </c>
      <c r="C274" s="5" t="s">
        <v>63</v>
      </c>
      <c r="D274" s="5" t="s">
        <v>863</v>
      </c>
      <c r="E274" s="7">
        <v>45524</v>
      </c>
      <c r="F274" s="24">
        <f t="shared" si="8"/>
        <v>8</v>
      </c>
      <c r="G274" s="24">
        <f t="shared" si="9"/>
        <v>2024</v>
      </c>
      <c r="H274" s="5">
        <v>20523273265</v>
      </c>
      <c r="I274" s="5" t="s">
        <v>65</v>
      </c>
      <c r="J274" s="5" t="s">
        <v>66</v>
      </c>
      <c r="K274" s="8">
        <v>1161.93</v>
      </c>
      <c r="L274" s="8">
        <v>1079.04</v>
      </c>
      <c r="M274" s="8">
        <v>1079.04</v>
      </c>
      <c r="N274" s="5" t="s">
        <v>42</v>
      </c>
      <c r="O274" s="8">
        <v>151</v>
      </c>
      <c r="P274" s="5" t="s">
        <v>67</v>
      </c>
      <c r="Q274" s="8">
        <v>4416.75</v>
      </c>
      <c r="R274" s="9">
        <v>4.093</v>
      </c>
      <c r="S274" s="9">
        <v>29.25</v>
      </c>
      <c r="T274" s="5" t="s">
        <v>68</v>
      </c>
      <c r="U274" s="5" t="s">
        <v>69</v>
      </c>
      <c r="V274" s="5" t="s">
        <v>40</v>
      </c>
      <c r="W274" s="5" t="s">
        <v>70</v>
      </c>
      <c r="X274" s="5" t="s">
        <v>71</v>
      </c>
      <c r="Y274" s="5" t="s">
        <v>72</v>
      </c>
      <c r="Z274" s="5" t="s">
        <v>73</v>
      </c>
      <c r="AA274" s="5" t="s">
        <v>74</v>
      </c>
      <c r="AB274" s="5" t="s">
        <v>74</v>
      </c>
      <c r="AC274" s="5" t="s">
        <v>74</v>
      </c>
      <c r="AD274" s="5" t="s">
        <v>74</v>
      </c>
      <c r="AE274" s="5" t="s">
        <v>74</v>
      </c>
      <c r="AF274" s="5" t="s">
        <v>75</v>
      </c>
      <c r="AG274" s="5" t="s">
        <v>76</v>
      </c>
      <c r="AH274" s="5" t="s">
        <v>76</v>
      </c>
      <c r="AI274" s="5" t="s">
        <v>50</v>
      </c>
    </row>
    <row r="275" spans="1:35" x14ac:dyDescent="0.3">
      <c r="A275" s="4">
        <v>713909000</v>
      </c>
      <c r="B275" s="5" t="s">
        <v>37</v>
      </c>
      <c r="C275" s="5" t="s">
        <v>38</v>
      </c>
      <c r="D275" s="5" t="s">
        <v>864</v>
      </c>
      <c r="E275" s="7">
        <v>45540</v>
      </c>
      <c r="F275" s="24">
        <f t="shared" si="8"/>
        <v>9</v>
      </c>
      <c r="G275" s="24">
        <f t="shared" si="9"/>
        <v>2024</v>
      </c>
      <c r="H275" s="5">
        <v>20409318135</v>
      </c>
      <c r="I275" s="5" t="s">
        <v>130</v>
      </c>
      <c r="J275" s="5" t="s">
        <v>273</v>
      </c>
      <c r="K275" s="8">
        <v>15063.15</v>
      </c>
      <c r="L275" s="8">
        <v>15000</v>
      </c>
      <c r="M275" s="8">
        <v>15000</v>
      </c>
      <c r="N275" s="5" t="s">
        <v>42</v>
      </c>
      <c r="O275" s="8">
        <v>15000</v>
      </c>
      <c r="P275" s="5" t="s">
        <v>42</v>
      </c>
      <c r="Q275" s="8">
        <v>11100</v>
      </c>
      <c r="R275" s="9">
        <v>0.74</v>
      </c>
      <c r="S275" s="9">
        <v>0.74</v>
      </c>
      <c r="T275" s="5" t="s">
        <v>43</v>
      </c>
      <c r="U275" s="5" t="s">
        <v>44</v>
      </c>
      <c r="V275" s="5" t="s">
        <v>40</v>
      </c>
      <c r="W275" s="5" t="s">
        <v>45</v>
      </c>
      <c r="X275" s="5" t="s">
        <v>40</v>
      </c>
      <c r="Y275" s="5" t="s">
        <v>132</v>
      </c>
      <c r="Z275" s="5" t="s">
        <v>154</v>
      </c>
      <c r="AA275" s="5" t="s">
        <v>155</v>
      </c>
      <c r="AB275" s="5" t="s">
        <v>155</v>
      </c>
      <c r="AC275" s="5" t="s">
        <v>155</v>
      </c>
      <c r="AD275" s="5" t="s">
        <v>155</v>
      </c>
      <c r="AE275" s="5" t="s">
        <v>155</v>
      </c>
      <c r="AF275" s="5" t="s">
        <v>49</v>
      </c>
      <c r="AG275" s="5" t="s">
        <v>49</v>
      </c>
      <c r="AH275" s="5" t="s">
        <v>49</v>
      </c>
      <c r="AI275" s="5" t="s">
        <v>50</v>
      </c>
    </row>
    <row r="276" spans="1:35" x14ac:dyDescent="0.3">
      <c r="A276" s="4">
        <v>713909000</v>
      </c>
      <c r="B276" s="5" t="s">
        <v>37</v>
      </c>
      <c r="C276" s="5" t="s">
        <v>63</v>
      </c>
      <c r="D276" s="5" t="s">
        <v>865</v>
      </c>
      <c r="E276" s="7">
        <v>45532</v>
      </c>
      <c r="F276" s="24">
        <f t="shared" si="8"/>
        <v>8</v>
      </c>
      <c r="G276" s="24">
        <f t="shared" si="9"/>
        <v>2024</v>
      </c>
      <c r="H276" s="5">
        <v>20544535669</v>
      </c>
      <c r="I276" s="5" t="s">
        <v>195</v>
      </c>
      <c r="J276" s="5" t="s">
        <v>196</v>
      </c>
      <c r="K276" s="8">
        <v>1529.28</v>
      </c>
      <c r="L276" s="8">
        <v>1296</v>
      </c>
      <c r="M276" s="8">
        <v>1296</v>
      </c>
      <c r="N276" s="5" t="s">
        <v>42</v>
      </c>
      <c r="O276" s="8">
        <v>108</v>
      </c>
      <c r="P276" s="5" t="s">
        <v>67</v>
      </c>
      <c r="Q276" s="8">
        <v>4374</v>
      </c>
      <c r="R276" s="9">
        <v>3.375</v>
      </c>
      <c r="S276" s="9">
        <v>40.5</v>
      </c>
      <c r="T276" s="5" t="s">
        <v>197</v>
      </c>
      <c r="U276" s="5" t="s">
        <v>116</v>
      </c>
      <c r="V276" s="5" t="s">
        <v>40</v>
      </c>
      <c r="W276" s="5" t="s">
        <v>70</v>
      </c>
      <c r="X276" s="5" t="s">
        <v>117</v>
      </c>
      <c r="Y276" s="5" t="s">
        <v>198</v>
      </c>
      <c r="Z276" s="5" t="s">
        <v>199</v>
      </c>
      <c r="AA276" s="5" t="s">
        <v>200</v>
      </c>
      <c r="AB276" s="5" t="s">
        <v>200</v>
      </c>
      <c r="AC276" s="5" t="s">
        <v>200</v>
      </c>
      <c r="AD276" s="5" t="s">
        <v>200</v>
      </c>
      <c r="AE276" s="5" t="s">
        <v>200</v>
      </c>
      <c r="AF276" s="5" t="s">
        <v>112</v>
      </c>
      <c r="AG276" s="5" t="s">
        <v>76</v>
      </c>
      <c r="AH276" s="5" t="s">
        <v>76</v>
      </c>
      <c r="AI276" s="5" t="s">
        <v>50</v>
      </c>
    </row>
    <row r="277" spans="1:35" x14ac:dyDescent="0.3">
      <c r="A277" s="4">
        <v>713909000</v>
      </c>
      <c r="B277" s="5" t="s">
        <v>37</v>
      </c>
      <c r="C277" s="5" t="s">
        <v>63</v>
      </c>
      <c r="D277" s="5" t="s">
        <v>866</v>
      </c>
      <c r="E277" s="7">
        <v>45545</v>
      </c>
      <c r="F277" s="24">
        <f t="shared" si="8"/>
        <v>9</v>
      </c>
      <c r="G277" s="24">
        <f t="shared" si="9"/>
        <v>2024</v>
      </c>
      <c r="H277" s="5">
        <v>20565443993</v>
      </c>
      <c r="I277" s="5" t="s">
        <v>143</v>
      </c>
      <c r="J277" s="5" t="s">
        <v>454</v>
      </c>
      <c r="K277" s="8">
        <v>499.37</v>
      </c>
      <c r="L277" s="8">
        <v>476.7</v>
      </c>
      <c r="M277" s="8">
        <v>476.7</v>
      </c>
      <c r="N277" s="5" t="s">
        <v>42</v>
      </c>
      <c r="O277" s="8">
        <v>21</v>
      </c>
      <c r="P277" s="5" t="s">
        <v>103</v>
      </c>
      <c r="Q277" s="8">
        <v>614.07000000000005</v>
      </c>
      <c r="R277" s="9">
        <v>1.288</v>
      </c>
      <c r="S277" s="9">
        <v>29.241</v>
      </c>
      <c r="T277" s="5" t="s">
        <v>68</v>
      </c>
      <c r="U277" s="5" t="s">
        <v>69</v>
      </c>
      <c r="V277" s="5" t="s">
        <v>40</v>
      </c>
      <c r="W277" s="5" t="s">
        <v>70</v>
      </c>
      <c r="X277" s="5" t="s">
        <v>71</v>
      </c>
      <c r="Y277" s="5" t="s">
        <v>72</v>
      </c>
      <c r="Z277" s="5" t="s">
        <v>867</v>
      </c>
      <c r="AA277" s="5" t="s">
        <v>868</v>
      </c>
      <c r="AB277" s="5" t="s">
        <v>868</v>
      </c>
      <c r="AC277" s="5" t="s">
        <v>868</v>
      </c>
      <c r="AD277" s="5" t="s">
        <v>868</v>
      </c>
      <c r="AE277" s="5" t="s">
        <v>868</v>
      </c>
      <c r="AF277" s="5" t="s">
        <v>75</v>
      </c>
      <c r="AG277" s="5" t="s">
        <v>76</v>
      </c>
      <c r="AH277" s="5" t="s">
        <v>76</v>
      </c>
      <c r="AI277" s="5" t="s">
        <v>50</v>
      </c>
    </row>
    <row r="278" spans="1:35" x14ac:dyDescent="0.3">
      <c r="A278" s="4">
        <v>713909000</v>
      </c>
      <c r="B278" s="5" t="s">
        <v>37</v>
      </c>
      <c r="C278" s="5" t="s">
        <v>233</v>
      </c>
      <c r="D278" s="5" t="s">
        <v>869</v>
      </c>
      <c r="E278" s="7">
        <v>45557</v>
      </c>
      <c r="F278" s="24">
        <f t="shared" si="8"/>
        <v>9</v>
      </c>
      <c r="G278" s="24">
        <f t="shared" si="9"/>
        <v>2024</v>
      </c>
      <c r="H278" s="5">
        <v>20510807694</v>
      </c>
      <c r="I278" s="5" t="s">
        <v>235</v>
      </c>
      <c r="J278" s="5" t="s">
        <v>236</v>
      </c>
      <c r="K278" s="8">
        <v>50</v>
      </c>
      <c r="L278" s="8">
        <v>50</v>
      </c>
      <c r="M278" s="8">
        <v>50</v>
      </c>
      <c r="N278" s="5" t="s">
        <v>42</v>
      </c>
      <c r="O278" s="8">
        <v>50</v>
      </c>
      <c r="P278" s="5" t="s">
        <v>42</v>
      </c>
      <c r="Q278" s="8">
        <v>75</v>
      </c>
      <c r="R278" s="9">
        <v>1.5</v>
      </c>
      <c r="S278" s="9">
        <v>1.5</v>
      </c>
      <c r="T278" s="5" t="s">
        <v>237</v>
      </c>
      <c r="U278" s="5" t="s">
        <v>238</v>
      </c>
      <c r="V278" s="5" t="s">
        <v>40</v>
      </c>
      <c r="W278" s="5" t="s">
        <v>239</v>
      </c>
      <c r="X278" s="5" t="s">
        <v>240</v>
      </c>
      <c r="Y278" s="5" t="s">
        <v>158</v>
      </c>
      <c r="Z278" s="5" t="s">
        <v>241</v>
      </c>
      <c r="AA278" s="5" t="s">
        <v>242</v>
      </c>
      <c r="AB278" s="5" t="s">
        <v>242</v>
      </c>
      <c r="AC278" s="5" t="s">
        <v>242</v>
      </c>
      <c r="AD278" s="5" t="s">
        <v>242</v>
      </c>
      <c r="AE278" s="5" t="s">
        <v>242</v>
      </c>
      <c r="AF278" s="5" t="s">
        <v>243</v>
      </c>
      <c r="AG278" s="5" t="s">
        <v>76</v>
      </c>
      <c r="AH278" s="5" t="s">
        <v>76</v>
      </c>
      <c r="AI278" s="5" t="s">
        <v>50</v>
      </c>
    </row>
    <row r="279" spans="1:35" x14ac:dyDescent="0.3">
      <c r="A279" s="4">
        <v>713909000</v>
      </c>
      <c r="B279" s="5" t="s">
        <v>37</v>
      </c>
      <c r="C279" s="5" t="s">
        <v>63</v>
      </c>
      <c r="D279" s="5" t="s">
        <v>870</v>
      </c>
      <c r="E279" s="7">
        <v>45553</v>
      </c>
      <c r="F279" s="24">
        <f t="shared" si="8"/>
        <v>9</v>
      </c>
      <c r="G279" s="24">
        <f t="shared" si="9"/>
        <v>2024</v>
      </c>
      <c r="H279" s="5">
        <v>20552256647</v>
      </c>
      <c r="I279" s="5" t="s">
        <v>602</v>
      </c>
      <c r="J279" s="5" t="s">
        <v>620</v>
      </c>
      <c r="K279" s="8">
        <v>737.23</v>
      </c>
      <c r="L279" s="8">
        <v>600</v>
      </c>
      <c r="M279" s="8">
        <v>600</v>
      </c>
      <c r="N279" s="5" t="s">
        <v>42</v>
      </c>
      <c r="O279" s="8">
        <v>50</v>
      </c>
      <c r="P279" s="5" t="s">
        <v>67</v>
      </c>
      <c r="Q279" s="8">
        <v>2248.2399999999998</v>
      </c>
      <c r="R279" s="9">
        <v>3.7469999999999999</v>
      </c>
      <c r="S279" s="9">
        <v>44.963999999999999</v>
      </c>
      <c r="T279" s="5" t="s">
        <v>338</v>
      </c>
      <c r="U279" s="5" t="s">
        <v>871</v>
      </c>
      <c r="V279" s="5" t="s">
        <v>40</v>
      </c>
      <c r="W279" s="5" t="s">
        <v>70</v>
      </c>
      <c r="X279" s="5" t="s">
        <v>82</v>
      </c>
      <c r="Y279" s="5" t="s">
        <v>605</v>
      </c>
      <c r="Z279" s="5" t="s">
        <v>872</v>
      </c>
      <c r="AA279" s="5" t="s">
        <v>873</v>
      </c>
      <c r="AB279" s="5" t="s">
        <v>873</v>
      </c>
      <c r="AC279" s="5" t="s">
        <v>873</v>
      </c>
      <c r="AD279" s="5" t="s">
        <v>873</v>
      </c>
      <c r="AE279" s="5" t="s">
        <v>873</v>
      </c>
      <c r="AF279" s="5" t="s">
        <v>86</v>
      </c>
      <c r="AG279" s="5" t="s">
        <v>76</v>
      </c>
      <c r="AH279" s="5" t="s">
        <v>76</v>
      </c>
      <c r="AI279" s="5" t="s">
        <v>50</v>
      </c>
    </row>
    <row r="280" spans="1:35" x14ac:dyDescent="0.3">
      <c r="A280" s="4">
        <v>713909000</v>
      </c>
      <c r="B280" s="5" t="s">
        <v>37</v>
      </c>
      <c r="C280" s="5" t="s">
        <v>38</v>
      </c>
      <c r="D280" s="5" t="s">
        <v>874</v>
      </c>
      <c r="E280" s="7">
        <v>45575</v>
      </c>
      <c r="F280" s="24">
        <f t="shared" si="8"/>
        <v>10</v>
      </c>
      <c r="G280" s="24">
        <f t="shared" si="9"/>
        <v>2024</v>
      </c>
      <c r="H280" s="5">
        <v>20409318135</v>
      </c>
      <c r="I280" s="5" t="s">
        <v>130</v>
      </c>
      <c r="J280" s="5" t="s">
        <v>273</v>
      </c>
      <c r="K280" s="8">
        <v>16819.310000000001</v>
      </c>
      <c r="L280" s="8">
        <v>16750</v>
      </c>
      <c r="M280" s="8">
        <v>16750</v>
      </c>
      <c r="N280" s="5" t="s">
        <v>42</v>
      </c>
      <c r="O280" s="8">
        <v>16750</v>
      </c>
      <c r="P280" s="5" t="s">
        <v>42</v>
      </c>
      <c r="Q280" s="8">
        <v>12395</v>
      </c>
      <c r="R280" s="9">
        <v>0.74</v>
      </c>
      <c r="S280" s="9">
        <v>0.74</v>
      </c>
      <c r="T280" s="5" t="s">
        <v>43</v>
      </c>
      <c r="U280" s="5" t="s">
        <v>44</v>
      </c>
      <c r="V280" s="5" t="s">
        <v>40</v>
      </c>
      <c r="W280" s="5" t="s">
        <v>45</v>
      </c>
      <c r="X280" s="5" t="s">
        <v>40</v>
      </c>
      <c r="Y280" s="5" t="s">
        <v>132</v>
      </c>
      <c r="Z280" s="5" t="s">
        <v>875</v>
      </c>
      <c r="AA280" s="5" t="s">
        <v>876</v>
      </c>
      <c r="AB280" s="5" t="s">
        <v>876</v>
      </c>
      <c r="AC280" s="5" t="s">
        <v>876</v>
      </c>
      <c r="AD280" s="5" t="s">
        <v>876</v>
      </c>
      <c r="AE280" s="5" t="s">
        <v>876</v>
      </c>
      <c r="AF280" s="5" t="s">
        <v>49</v>
      </c>
      <c r="AG280" s="5" t="s">
        <v>49</v>
      </c>
      <c r="AH280" s="5" t="s">
        <v>49</v>
      </c>
      <c r="AI280" s="5" t="s">
        <v>50</v>
      </c>
    </row>
    <row r="281" spans="1:35" x14ac:dyDescent="0.3">
      <c r="A281" s="4">
        <v>713909000</v>
      </c>
      <c r="B281" s="5" t="s">
        <v>37</v>
      </c>
      <c r="C281" s="5" t="s">
        <v>38</v>
      </c>
      <c r="D281" s="5" t="s">
        <v>877</v>
      </c>
      <c r="E281" s="7">
        <v>45569</v>
      </c>
      <c r="F281" s="24">
        <f t="shared" si="8"/>
        <v>10</v>
      </c>
      <c r="G281" s="24">
        <f t="shared" si="9"/>
        <v>2024</v>
      </c>
      <c r="H281" s="5">
        <v>0</v>
      </c>
      <c r="I281" s="5" t="s">
        <v>40</v>
      </c>
      <c r="J281" s="5" t="s">
        <v>157</v>
      </c>
      <c r="K281" s="8">
        <v>11561.33</v>
      </c>
      <c r="L281" s="8">
        <v>11500</v>
      </c>
      <c r="M281" s="8">
        <v>11500</v>
      </c>
      <c r="N281" s="5" t="s">
        <v>42</v>
      </c>
      <c r="O281" s="8">
        <v>11500</v>
      </c>
      <c r="P281" s="5" t="s">
        <v>42</v>
      </c>
      <c r="Q281" s="8">
        <v>8050</v>
      </c>
      <c r="R281" s="9">
        <v>0.7</v>
      </c>
      <c r="S281" s="9">
        <v>0.7</v>
      </c>
      <c r="T281" s="5" t="s">
        <v>43</v>
      </c>
      <c r="U281" s="5" t="s">
        <v>44</v>
      </c>
      <c r="V281" s="5" t="s">
        <v>40</v>
      </c>
      <c r="W281" s="5" t="s">
        <v>45</v>
      </c>
      <c r="X281" s="5" t="s">
        <v>40</v>
      </c>
      <c r="Y281" s="5" t="s">
        <v>158</v>
      </c>
      <c r="Z281" s="5" t="s">
        <v>878</v>
      </c>
      <c r="AA281" s="5" t="s">
        <v>879</v>
      </c>
      <c r="AB281" s="5" t="s">
        <v>879</v>
      </c>
      <c r="AC281" s="5" t="s">
        <v>879</v>
      </c>
      <c r="AD281" s="5" t="s">
        <v>879</v>
      </c>
      <c r="AE281" s="5" t="s">
        <v>879</v>
      </c>
      <c r="AF281" s="5" t="s">
        <v>49</v>
      </c>
      <c r="AG281" s="5" t="s">
        <v>49</v>
      </c>
      <c r="AH281" s="5" t="s">
        <v>49</v>
      </c>
      <c r="AI281" s="5" t="s">
        <v>50</v>
      </c>
    </row>
    <row r="282" spans="1:35" x14ac:dyDescent="0.3">
      <c r="A282" s="4">
        <v>713909000</v>
      </c>
      <c r="B282" s="5" t="s">
        <v>37</v>
      </c>
      <c r="C282" s="5" t="s">
        <v>63</v>
      </c>
      <c r="D282" s="5" t="s">
        <v>880</v>
      </c>
      <c r="E282" s="7">
        <v>45587</v>
      </c>
      <c r="F282" s="24">
        <f t="shared" si="8"/>
        <v>10</v>
      </c>
      <c r="G282" s="24">
        <f t="shared" si="9"/>
        <v>2024</v>
      </c>
      <c r="H282" s="5">
        <v>20523273265</v>
      </c>
      <c r="I282" s="5" t="s">
        <v>65</v>
      </c>
      <c r="J282" s="5" t="s">
        <v>66</v>
      </c>
      <c r="K282" s="8">
        <v>1190.4100000000001</v>
      </c>
      <c r="L282" s="8">
        <v>1114.78</v>
      </c>
      <c r="M282" s="8">
        <v>1114.78</v>
      </c>
      <c r="N282" s="5" t="s">
        <v>42</v>
      </c>
      <c r="O282" s="8">
        <v>156</v>
      </c>
      <c r="P282" s="5" t="s">
        <v>67</v>
      </c>
      <c r="Q282" s="8">
        <v>4668.3</v>
      </c>
      <c r="R282" s="9">
        <v>4.1870000000000003</v>
      </c>
      <c r="S282" s="9">
        <v>29.925000000000001</v>
      </c>
      <c r="T282" s="5" t="s">
        <v>68</v>
      </c>
      <c r="U282" s="5" t="s">
        <v>69</v>
      </c>
      <c r="V282" s="5" t="s">
        <v>40</v>
      </c>
      <c r="W282" s="5" t="s">
        <v>70</v>
      </c>
      <c r="X282" s="5" t="s">
        <v>71</v>
      </c>
      <c r="Y282" s="5" t="s">
        <v>72</v>
      </c>
      <c r="Z282" s="5" t="s">
        <v>73</v>
      </c>
      <c r="AA282" s="5" t="s">
        <v>74</v>
      </c>
      <c r="AB282" s="5" t="s">
        <v>74</v>
      </c>
      <c r="AC282" s="5" t="s">
        <v>74</v>
      </c>
      <c r="AD282" s="5" t="s">
        <v>74</v>
      </c>
      <c r="AE282" s="5" t="s">
        <v>74</v>
      </c>
      <c r="AF282" s="5" t="s">
        <v>75</v>
      </c>
      <c r="AG282" s="5" t="s">
        <v>76</v>
      </c>
      <c r="AH282" s="5" t="s">
        <v>76</v>
      </c>
      <c r="AI282" s="5" t="s">
        <v>50</v>
      </c>
    </row>
    <row r="283" spans="1:35" x14ac:dyDescent="0.3">
      <c r="A283" s="4">
        <v>713909000</v>
      </c>
      <c r="B283" s="5" t="s">
        <v>37</v>
      </c>
      <c r="C283" s="5" t="s">
        <v>63</v>
      </c>
      <c r="D283" s="5" t="s">
        <v>881</v>
      </c>
      <c r="E283" s="7">
        <v>45566</v>
      </c>
      <c r="F283" s="24">
        <f t="shared" si="8"/>
        <v>10</v>
      </c>
      <c r="G283" s="24">
        <f t="shared" si="9"/>
        <v>2024</v>
      </c>
      <c r="H283" s="5">
        <v>20565443993</v>
      </c>
      <c r="I283" s="5" t="s">
        <v>143</v>
      </c>
      <c r="J283" s="5" t="s">
        <v>454</v>
      </c>
      <c r="K283" s="8">
        <v>4341.05</v>
      </c>
      <c r="L283" s="8">
        <v>4154.1000000000004</v>
      </c>
      <c r="M283" s="8">
        <v>4154.1000000000004</v>
      </c>
      <c r="N283" s="5" t="s">
        <v>42</v>
      </c>
      <c r="O283" s="8">
        <v>183</v>
      </c>
      <c r="P283" s="5" t="s">
        <v>103</v>
      </c>
      <c r="Q283" s="8">
        <v>5327.28</v>
      </c>
      <c r="R283" s="9">
        <v>1.282</v>
      </c>
      <c r="S283" s="9">
        <v>29.11</v>
      </c>
      <c r="T283" s="5" t="s">
        <v>68</v>
      </c>
      <c r="U283" s="5" t="s">
        <v>69</v>
      </c>
      <c r="V283" s="5" t="s">
        <v>40</v>
      </c>
      <c r="W283" s="5" t="s">
        <v>70</v>
      </c>
      <c r="X283" s="5" t="s">
        <v>71</v>
      </c>
      <c r="Y283" s="5" t="s">
        <v>72</v>
      </c>
      <c r="Z283" s="5" t="s">
        <v>882</v>
      </c>
      <c r="AA283" s="5" t="s">
        <v>883</v>
      </c>
      <c r="AB283" s="5" t="s">
        <v>883</v>
      </c>
      <c r="AC283" s="5" t="s">
        <v>883</v>
      </c>
      <c r="AD283" s="5" t="s">
        <v>883</v>
      </c>
      <c r="AE283" s="5" t="s">
        <v>883</v>
      </c>
      <c r="AF283" s="5" t="s">
        <v>75</v>
      </c>
      <c r="AG283" s="5" t="s">
        <v>76</v>
      </c>
      <c r="AH283" s="5" t="s">
        <v>76</v>
      </c>
      <c r="AI283" s="5" t="s">
        <v>50</v>
      </c>
    </row>
    <row r="284" spans="1:35" x14ac:dyDescent="0.3">
      <c r="A284" s="4">
        <v>713909000</v>
      </c>
      <c r="B284" s="5" t="s">
        <v>37</v>
      </c>
      <c r="C284" s="5" t="s">
        <v>63</v>
      </c>
      <c r="D284" s="5" t="s">
        <v>884</v>
      </c>
      <c r="E284" s="7">
        <v>45574</v>
      </c>
      <c r="F284" s="24">
        <f t="shared" si="8"/>
        <v>10</v>
      </c>
      <c r="G284" s="24">
        <f t="shared" si="9"/>
        <v>2024</v>
      </c>
      <c r="H284" s="5">
        <v>20515713710</v>
      </c>
      <c r="I284" s="5" t="s">
        <v>843</v>
      </c>
      <c r="J284" s="5" t="s">
        <v>90</v>
      </c>
      <c r="K284" s="8">
        <v>536.34</v>
      </c>
      <c r="L284" s="8">
        <v>495.46</v>
      </c>
      <c r="M284" s="8">
        <v>495.46</v>
      </c>
      <c r="N284" s="5" t="s">
        <v>42</v>
      </c>
      <c r="O284" s="8">
        <v>52</v>
      </c>
      <c r="P284" s="5" t="s">
        <v>80</v>
      </c>
      <c r="Q284" s="8">
        <v>2184</v>
      </c>
      <c r="R284" s="9">
        <v>4.4080000000000004</v>
      </c>
      <c r="S284" s="9">
        <v>42</v>
      </c>
      <c r="T284" s="5" t="s">
        <v>68</v>
      </c>
      <c r="U284" s="5" t="s">
        <v>885</v>
      </c>
      <c r="V284" s="5" t="s">
        <v>40</v>
      </c>
      <c r="W284" s="5" t="s">
        <v>70</v>
      </c>
      <c r="X284" s="5" t="s">
        <v>95</v>
      </c>
      <c r="Y284" s="5" t="s">
        <v>83</v>
      </c>
      <c r="Z284" s="5" t="s">
        <v>886</v>
      </c>
      <c r="AA284" s="5" t="s">
        <v>887</v>
      </c>
      <c r="AB284" s="5" t="s">
        <v>887</v>
      </c>
      <c r="AC284" s="5" t="s">
        <v>887</v>
      </c>
      <c r="AD284" s="5" t="s">
        <v>887</v>
      </c>
      <c r="AE284" s="5" t="s">
        <v>887</v>
      </c>
      <c r="AF284" s="5" t="s">
        <v>98</v>
      </c>
      <c r="AG284" s="5" t="s">
        <v>888</v>
      </c>
      <c r="AH284" s="5" t="s">
        <v>99</v>
      </c>
      <c r="AI284" s="5" t="s">
        <v>50</v>
      </c>
    </row>
    <row r="285" spans="1:35" x14ac:dyDescent="0.3">
      <c r="A285" s="4">
        <v>713909000</v>
      </c>
      <c r="B285" s="5" t="s">
        <v>37</v>
      </c>
      <c r="C285" s="5" t="s">
        <v>63</v>
      </c>
      <c r="D285" s="5" t="s">
        <v>889</v>
      </c>
      <c r="E285" s="7">
        <v>45591</v>
      </c>
      <c r="F285" s="24">
        <f t="shared" si="8"/>
        <v>10</v>
      </c>
      <c r="G285" s="24">
        <f t="shared" si="9"/>
        <v>2024</v>
      </c>
      <c r="H285" s="5">
        <v>20552256647</v>
      </c>
      <c r="I285" s="5" t="s">
        <v>602</v>
      </c>
      <c r="J285" s="5" t="s">
        <v>603</v>
      </c>
      <c r="K285" s="8">
        <v>3023.2</v>
      </c>
      <c r="L285" s="8">
        <v>3000</v>
      </c>
      <c r="M285" s="8">
        <v>3000</v>
      </c>
      <c r="N285" s="5" t="s">
        <v>42</v>
      </c>
      <c r="O285" s="8">
        <v>3</v>
      </c>
      <c r="P285" s="5" t="s">
        <v>604</v>
      </c>
      <c r="Q285" s="8">
        <v>9345</v>
      </c>
      <c r="R285" s="9">
        <v>3.1150000000000002</v>
      </c>
      <c r="S285" s="9">
        <v>3115</v>
      </c>
      <c r="T285" s="5" t="s">
        <v>197</v>
      </c>
      <c r="U285" s="5" t="s">
        <v>94</v>
      </c>
      <c r="V285" s="5" t="s">
        <v>40</v>
      </c>
      <c r="W285" s="5" t="s">
        <v>70</v>
      </c>
      <c r="X285" s="5" t="s">
        <v>890</v>
      </c>
      <c r="Y285" s="5" t="s">
        <v>605</v>
      </c>
      <c r="Z285" s="5" t="s">
        <v>616</v>
      </c>
      <c r="AA285" s="5" t="s">
        <v>617</v>
      </c>
      <c r="AB285" s="5" t="s">
        <v>617</v>
      </c>
      <c r="AC285" s="5" t="s">
        <v>617</v>
      </c>
      <c r="AD285" s="5" t="s">
        <v>617</v>
      </c>
      <c r="AE285" s="5" t="s">
        <v>617</v>
      </c>
      <c r="AF285" s="5" t="s">
        <v>252</v>
      </c>
      <c r="AG285" s="5" t="s">
        <v>76</v>
      </c>
      <c r="AH285" s="5" t="s">
        <v>76</v>
      </c>
      <c r="AI285" s="5" t="s">
        <v>50</v>
      </c>
    </row>
    <row r="286" spans="1:35" x14ac:dyDescent="0.3">
      <c r="A286" s="4">
        <v>713909000</v>
      </c>
      <c r="B286" s="5" t="s">
        <v>37</v>
      </c>
      <c r="C286" s="5" t="s">
        <v>38</v>
      </c>
      <c r="D286" s="5" t="s">
        <v>891</v>
      </c>
      <c r="E286" s="7">
        <v>45594</v>
      </c>
      <c r="F286" s="24">
        <f t="shared" si="8"/>
        <v>10</v>
      </c>
      <c r="G286" s="24">
        <f t="shared" si="9"/>
        <v>2024</v>
      </c>
      <c r="H286" s="5">
        <v>20606861011</v>
      </c>
      <c r="I286" s="5" t="s">
        <v>892</v>
      </c>
      <c r="J286" s="5" t="s">
        <v>465</v>
      </c>
      <c r="K286" s="8">
        <v>30070</v>
      </c>
      <c r="L286" s="8">
        <v>29970</v>
      </c>
      <c r="M286" s="8">
        <v>29970</v>
      </c>
      <c r="N286" s="5" t="s">
        <v>42</v>
      </c>
      <c r="O286" s="8">
        <v>29970</v>
      </c>
      <c r="P286" s="5" t="s">
        <v>42</v>
      </c>
      <c r="Q286" s="8">
        <v>64337.3</v>
      </c>
      <c r="R286" s="9">
        <v>2.1459999999999999</v>
      </c>
      <c r="S286" s="9">
        <v>2.1459999999999999</v>
      </c>
      <c r="T286" s="5" t="s">
        <v>43</v>
      </c>
      <c r="U286" s="5" t="s">
        <v>466</v>
      </c>
      <c r="V286" s="5" t="s">
        <v>40</v>
      </c>
      <c r="W286" s="5" t="s">
        <v>45</v>
      </c>
      <c r="X286" s="5" t="s">
        <v>40</v>
      </c>
      <c r="Y286" s="5" t="s">
        <v>439</v>
      </c>
      <c r="Z286" s="5" t="s">
        <v>893</v>
      </c>
      <c r="AA286" s="5" t="s">
        <v>894</v>
      </c>
      <c r="AB286" s="5" t="s">
        <v>894</v>
      </c>
      <c r="AC286" s="5" t="s">
        <v>894</v>
      </c>
      <c r="AD286" s="5" t="s">
        <v>894</v>
      </c>
      <c r="AE286" s="5" t="s">
        <v>894</v>
      </c>
      <c r="AF286" s="5" t="s">
        <v>49</v>
      </c>
      <c r="AG286" s="5" t="s">
        <v>49</v>
      </c>
      <c r="AH286" s="5" t="s">
        <v>49</v>
      </c>
      <c r="AI286" s="5" t="s">
        <v>377</v>
      </c>
    </row>
    <row r="287" spans="1:35" x14ac:dyDescent="0.3">
      <c r="A287" s="4">
        <v>713909000</v>
      </c>
      <c r="B287" s="5" t="s">
        <v>37</v>
      </c>
      <c r="C287" s="5" t="s">
        <v>63</v>
      </c>
      <c r="D287" s="5" t="s">
        <v>895</v>
      </c>
      <c r="E287" s="7">
        <v>45615</v>
      </c>
      <c r="F287" s="24">
        <f t="shared" si="8"/>
        <v>11</v>
      </c>
      <c r="G287" s="24">
        <f t="shared" si="9"/>
        <v>2024</v>
      </c>
      <c r="H287" s="5">
        <v>20552256647</v>
      </c>
      <c r="I287" s="5" t="s">
        <v>602</v>
      </c>
      <c r="J287" s="5" t="s">
        <v>896</v>
      </c>
      <c r="K287" s="8">
        <v>4176.22</v>
      </c>
      <c r="L287" s="8">
        <v>3811.2</v>
      </c>
      <c r="M287" s="8">
        <v>3811.2</v>
      </c>
      <c r="N287" s="5" t="s">
        <v>42</v>
      </c>
      <c r="O287" s="8">
        <v>400</v>
      </c>
      <c r="P287" s="5" t="s">
        <v>67</v>
      </c>
      <c r="Q287" s="8">
        <v>10672</v>
      </c>
      <c r="R287" s="9">
        <v>2.8</v>
      </c>
      <c r="S287" s="9">
        <v>26.68</v>
      </c>
      <c r="T287" s="5" t="s">
        <v>68</v>
      </c>
      <c r="U287" s="5" t="s">
        <v>69</v>
      </c>
      <c r="V287" s="5" t="s">
        <v>40</v>
      </c>
      <c r="W287" s="5" t="s">
        <v>70</v>
      </c>
      <c r="X287" s="5" t="s">
        <v>71</v>
      </c>
      <c r="Y287" s="5" t="s">
        <v>605</v>
      </c>
      <c r="Z287" s="5" t="s">
        <v>897</v>
      </c>
      <c r="AA287" s="5" t="s">
        <v>898</v>
      </c>
      <c r="AB287" s="5" t="s">
        <v>898</v>
      </c>
      <c r="AC287" s="5" t="s">
        <v>898</v>
      </c>
      <c r="AD287" s="5" t="s">
        <v>898</v>
      </c>
      <c r="AE287" s="5" t="s">
        <v>898</v>
      </c>
      <c r="AF287" s="5" t="s">
        <v>71</v>
      </c>
      <c r="AG287" s="5" t="s">
        <v>76</v>
      </c>
      <c r="AH287" s="5" t="s">
        <v>76</v>
      </c>
      <c r="AI287" s="5" t="s">
        <v>50</v>
      </c>
    </row>
    <row r="288" spans="1:35" x14ac:dyDescent="0.3">
      <c r="A288" s="4">
        <v>713909000</v>
      </c>
      <c r="B288" s="5" t="s">
        <v>37</v>
      </c>
      <c r="C288" s="5" t="s">
        <v>38</v>
      </c>
      <c r="D288" s="5" t="s">
        <v>899</v>
      </c>
      <c r="E288" s="7">
        <v>45631</v>
      </c>
      <c r="F288" s="24">
        <f t="shared" si="8"/>
        <v>12</v>
      </c>
      <c r="G288" s="24">
        <f t="shared" si="9"/>
        <v>2024</v>
      </c>
      <c r="H288" s="5">
        <v>20409318135</v>
      </c>
      <c r="I288" s="5" t="s">
        <v>130</v>
      </c>
      <c r="J288" s="5" t="s">
        <v>131</v>
      </c>
      <c r="K288" s="8">
        <v>22591.01</v>
      </c>
      <c r="L288" s="8">
        <v>22500</v>
      </c>
      <c r="M288" s="8">
        <v>22500</v>
      </c>
      <c r="N288" s="5" t="s">
        <v>42</v>
      </c>
      <c r="O288" s="8">
        <v>22500</v>
      </c>
      <c r="P288" s="5" t="s">
        <v>42</v>
      </c>
      <c r="Q288" s="8">
        <v>16650</v>
      </c>
      <c r="R288" s="9">
        <v>0.74</v>
      </c>
      <c r="S288" s="9">
        <v>0.74</v>
      </c>
      <c r="T288" s="5" t="s">
        <v>43</v>
      </c>
      <c r="U288" s="5" t="s">
        <v>44</v>
      </c>
      <c r="V288" s="5" t="s">
        <v>40</v>
      </c>
      <c r="W288" s="5" t="s">
        <v>45</v>
      </c>
      <c r="X288" s="5" t="s">
        <v>40</v>
      </c>
      <c r="Y288" s="5" t="s">
        <v>132</v>
      </c>
      <c r="Z288" s="5" t="s">
        <v>184</v>
      </c>
      <c r="AA288" s="5" t="s">
        <v>185</v>
      </c>
      <c r="AB288" s="5" t="s">
        <v>185</v>
      </c>
      <c r="AC288" s="5" t="s">
        <v>185</v>
      </c>
      <c r="AD288" s="5" t="s">
        <v>185</v>
      </c>
      <c r="AE288" s="5" t="s">
        <v>185</v>
      </c>
      <c r="AF288" s="5" t="s">
        <v>49</v>
      </c>
      <c r="AG288" s="5" t="s">
        <v>49</v>
      </c>
      <c r="AH288" s="5" t="s">
        <v>49</v>
      </c>
      <c r="AI288" s="5" t="s">
        <v>50</v>
      </c>
    </row>
    <row r="289" spans="1:35" x14ac:dyDescent="0.3">
      <c r="A289" s="4">
        <v>713909000</v>
      </c>
      <c r="B289" s="5" t="s">
        <v>37</v>
      </c>
      <c r="C289" s="5" t="s">
        <v>38</v>
      </c>
      <c r="D289" s="5" t="s">
        <v>900</v>
      </c>
      <c r="E289" s="7">
        <v>45625</v>
      </c>
      <c r="F289" s="24">
        <f t="shared" si="8"/>
        <v>11</v>
      </c>
      <c r="G289" s="24">
        <f t="shared" si="9"/>
        <v>2024</v>
      </c>
      <c r="H289" s="5">
        <v>20606861011</v>
      </c>
      <c r="I289" s="5" t="s">
        <v>892</v>
      </c>
      <c r="J289" s="5" t="s">
        <v>465</v>
      </c>
      <c r="K289" s="8">
        <v>30070</v>
      </c>
      <c r="L289" s="8">
        <v>29970</v>
      </c>
      <c r="M289" s="8">
        <v>29970</v>
      </c>
      <c r="N289" s="5" t="s">
        <v>42</v>
      </c>
      <c r="O289" s="8">
        <v>29970</v>
      </c>
      <c r="P289" s="5" t="s">
        <v>42</v>
      </c>
      <c r="Q289" s="8">
        <v>69132.5</v>
      </c>
      <c r="R289" s="9">
        <v>2.306</v>
      </c>
      <c r="S289" s="9">
        <v>2.306</v>
      </c>
      <c r="T289" s="5" t="s">
        <v>43</v>
      </c>
      <c r="U289" s="5" t="s">
        <v>466</v>
      </c>
      <c r="V289" s="5" t="s">
        <v>40</v>
      </c>
      <c r="W289" s="5" t="s">
        <v>45</v>
      </c>
      <c r="X289" s="5" t="s">
        <v>40</v>
      </c>
      <c r="Y289" s="5" t="s">
        <v>439</v>
      </c>
      <c r="Z289" s="5" t="s">
        <v>893</v>
      </c>
      <c r="AA289" s="5" t="s">
        <v>894</v>
      </c>
      <c r="AB289" s="5" t="s">
        <v>894</v>
      </c>
      <c r="AC289" s="5" t="s">
        <v>894</v>
      </c>
      <c r="AD289" s="5" t="s">
        <v>894</v>
      </c>
      <c r="AE289" s="5" t="s">
        <v>894</v>
      </c>
      <c r="AF289" s="5" t="s">
        <v>49</v>
      </c>
      <c r="AG289" s="5" t="s">
        <v>49</v>
      </c>
      <c r="AH289" s="5" t="s">
        <v>49</v>
      </c>
      <c r="AI289" s="5" t="s">
        <v>377</v>
      </c>
    </row>
    <row r="290" spans="1:35" x14ac:dyDescent="0.3">
      <c r="A290" s="4">
        <v>713909000</v>
      </c>
      <c r="B290" s="5" t="s">
        <v>37</v>
      </c>
      <c r="C290" s="5" t="s">
        <v>38</v>
      </c>
      <c r="D290" s="5" t="s">
        <v>901</v>
      </c>
      <c r="E290" s="7">
        <v>45624</v>
      </c>
      <c r="F290" s="24">
        <f t="shared" si="8"/>
        <v>11</v>
      </c>
      <c r="G290" s="24">
        <f t="shared" si="9"/>
        <v>2024</v>
      </c>
      <c r="H290" s="5">
        <v>20409318135</v>
      </c>
      <c r="I290" s="5" t="s">
        <v>130</v>
      </c>
      <c r="J290" s="5" t="s">
        <v>902</v>
      </c>
      <c r="K290" s="8">
        <v>15060</v>
      </c>
      <c r="L290" s="8">
        <v>15000</v>
      </c>
      <c r="M290" s="8">
        <v>15000</v>
      </c>
      <c r="N290" s="5" t="s">
        <v>42</v>
      </c>
      <c r="O290" s="8">
        <v>15000</v>
      </c>
      <c r="P290" s="5" t="s">
        <v>42</v>
      </c>
      <c r="Q290" s="8">
        <v>11100</v>
      </c>
      <c r="R290" s="9">
        <v>0.74</v>
      </c>
      <c r="S290" s="9">
        <v>0.74</v>
      </c>
      <c r="T290" s="5" t="s">
        <v>43</v>
      </c>
      <c r="U290" s="5" t="s">
        <v>44</v>
      </c>
      <c r="V290" s="5" t="s">
        <v>40</v>
      </c>
      <c r="W290" s="5" t="s">
        <v>45</v>
      </c>
      <c r="X290" s="5" t="s">
        <v>40</v>
      </c>
      <c r="Y290" s="5" t="s">
        <v>132</v>
      </c>
      <c r="Z290" s="5" t="s">
        <v>154</v>
      </c>
      <c r="AA290" s="5" t="s">
        <v>155</v>
      </c>
      <c r="AB290" s="5" t="s">
        <v>155</v>
      </c>
      <c r="AC290" s="5" t="s">
        <v>155</v>
      </c>
      <c r="AD290" s="5" t="s">
        <v>155</v>
      </c>
      <c r="AE290" s="5" t="s">
        <v>155</v>
      </c>
      <c r="AF290" s="5" t="s">
        <v>49</v>
      </c>
      <c r="AG290" s="5" t="s">
        <v>49</v>
      </c>
      <c r="AH290" s="5" t="s">
        <v>49</v>
      </c>
      <c r="AI290" s="5" t="s">
        <v>50</v>
      </c>
    </row>
    <row r="291" spans="1:35" x14ac:dyDescent="0.3">
      <c r="A291" s="4">
        <v>713909000</v>
      </c>
      <c r="B291" s="5" t="s">
        <v>37</v>
      </c>
      <c r="C291" s="5" t="s">
        <v>38</v>
      </c>
      <c r="D291" s="5" t="s">
        <v>903</v>
      </c>
      <c r="E291" s="7">
        <v>45638</v>
      </c>
      <c r="F291" s="24">
        <f t="shared" si="8"/>
        <v>12</v>
      </c>
      <c r="G291" s="24">
        <f t="shared" si="9"/>
        <v>2024</v>
      </c>
      <c r="H291" s="5">
        <v>20409318135</v>
      </c>
      <c r="I291" s="5" t="s">
        <v>130</v>
      </c>
      <c r="J291" s="5" t="s">
        <v>902</v>
      </c>
      <c r="K291" s="8">
        <v>20934.87</v>
      </c>
      <c r="L291" s="8">
        <v>20850</v>
      </c>
      <c r="M291" s="8">
        <v>20850</v>
      </c>
      <c r="N291" s="5" t="s">
        <v>42</v>
      </c>
      <c r="O291" s="8">
        <v>20850</v>
      </c>
      <c r="P291" s="5" t="s">
        <v>42</v>
      </c>
      <c r="Q291" s="8">
        <v>15429</v>
      </c>
      <c r="R291" s="9">
        <v>0.74</v>
      </c>
      <c r="S291" s="9">
        <v>0.74</v>
      </c>
      <c r="T291" s="5" t="s">
        <v>43</v>
      </c>
      <c r="U291" s="5" t="s">
        <v>44</v>
      </c>
      <c r="V291" s="5" t="s">
        <v>40</v>
      </c>
      <c r="W291" s="5" t="s">
        <v>45</v>
      </c>
      <c r="X291" s="5" t="s">
        <v>40</v>
      </c>
      <c r="Y291" s="5" t="s">
        <v>132</v>
      </c>
      <c r="Z291" s="5" t="s">
        <v>904</v>
      </c>
      <c r="AA291" s="5" t="s">
        <v>905</v>
      </c>
      <c r="AB291" s="5" t="s">
        <v>905</v>
      </c>
      <c r="AC291" s="5" t="s">
        <v>905</v>
      </c>
      <c r="AD291" s="5" t="s">
        <v>905</v>
      </c>
      <c r="AE291" s="5" t="s">
        <v>905</v>
      </c>
      <c r="AF291" s="5" t="s">
        <v>49</v>
      </c>
      <c r="AG291" s="5" t="s">
        <v>49</v>
      </c>
      <c r="AH291" s="5" t="s">
        <v>49</v>
      </c>
      <c r="AI291" s="5" t="s">
        <v>50</v>
      </c>
    </row>
    <row r="292" spans="1:35" x14ac:dyDescent="0.3">
      <c r="A292" s="4">
        <v>713909000</v>
      </c>
      <c r="B292" s="5" t="s">
        <v>37</v>
      </c>
      <c r="C292" s="5" t="s">
        <v>63</v>
      </c>
      <c r="D292" s="5" t="s">
        <v>906</v>
      </c>
      <c r="E292" s="7">
        <v>45637</v>
      </c>
      <c r="F292" s="24">
        <f t="shared" si="8"/>
        <v>12</v>
      </c>
      <c r="G292" s="24">
        <f t="shared" si="9"/>
        <v>2024</v>
      </c>
      <c r="H292" s="5">
        <v>20612342017</v>
      </c>
      <c r="I292" s="5" t="s">
        <v>907</v>
      </c>
      <c r="J292" s="5" t="s">
        <v>750</v>
      </c>
      <c r="K292" s="8">
        <v>3005.05</v>
      </c>
      <c r="L292" s="8">
        <v>3000</v>
      </c>
      <c r="M292" s="8">
        <v>3000</v>
      </c>
      <c r="N292" s="5" t="s">
        <v>42</v>
      </c>
      <c r="O292" s="8">
        <v>3000</v>
      </c>
      <c r="P292" s="5" t="s">
        <v>42</v>
      </c>
      <c r="Q292" s="8">
        <v>5940.82</v>
      </c>
      <c r="R292" s="9">
        <v>1.98</v>
      </c>
      <c r="S292" s="9">
        <v>1.98</v>
      </c>
      <c r="T292" s="5" t="s">
        <v>197</v>
      </c>
      <c r="U292" s="5" t="s">
        <v>871</v>
      </c>
      <c r="V292" s="5" t="s">
        <v>40</v>
      </c>
      <c r="W292" s="5" t="s">
        <v>70</v>
      </c>
      <c r="X292" s="5" t="s">
        <v>82</v>
      </c>
      <c r="Y292" s="5" t="s">
        <v>908</v>
      </c>
      <c r="Z292" s="5" t="s">
        <v>909</v>
      </c>
      <c r="AA292" s="5" t="s">
        <v>910</v>
      </c>
      <c r="AB292" s="5" t="s">
        <v>910</v>
      </c>
      <c r="AC292" s="5" t="s">
        <v>910</v>
      </c>
      <c r="AD292" s="5" t="s">
        <v>910</v>
      </c>
      <c r="AE292" s="5" t="s">
        <v>910</v>
      </c>
      <c r="AF292" s="5" t="s">
        <v>911</v>
      </c>
      <c r="AG292" s="5" t="s">
        <v>912</v>
      </c>
      <c r="AH292" s="5" t="s">
        <v>913</v>
      </c>
      <c r="AI292" s="5" t="s">
        <v>50</v>
      </c>
    </row>
    <row r="293" spans="1:35" x14ac:dyDescent="0.3">
      <c r="A293" s="4">
        <v>713909000</v>
      </c>
      <c r="B293" s="5" t="s">
        <v>37</v>
      </c>
      <c r="C293" s="5" t="s">
        <v>63</v>
      </c>
      <c r="D293" s="5" t="s">
        <v>914</v>
      </c>
      <c r="E293" s="7">
        <v>45637</v>
      </c>
      <c r="F293" s="24">
        <f t="shared" si="8"/>
        <v>12</v>
      </c>
      <c r="G293" s="24">
        <f t="shared" si="9"/>
        <v>2024</v>
      </c>
      <c r="H293" s="5">
        <v>20612342017</v>
      </c>
      <c r="I293" s="5" t="s">
        <v>907</v>
      </c>
      <c r="J293" s="5" t="s">
        <v>750</v>
      </c>
      <c r="K293" s="8">
        <v>3005.05</v>
      </c>
      <c r="L293" s="8">
        <v>3000</v>
      </c>
      <c r="M293" s="8">
        <v>3000</v>
      </c>
      <c r="N293" s="5" t="s">
        <v>42</v>
      </c>
      <c r="O293" s="8">
        <v>3000</v>
      </c>
      <c r="P293" s="5" t="s">
        <v>42</v>
      </c>
      <c r="Q293" s="8">
        <v>6863.67</v>
      </c>
      <c r="R293" s="9">
        <v>2.2869999999999999</v>
      </c>
      <c r="S293" s="9">
        <v>2.2869999999999999</v>
      </c>
      <c r="T293" s="5" t="s">
        <v>197</v>
      </c>
      <c r="U293" s="5" t="s">
        <v>871</v>
      </c>
      <c r="V293" s="5" t="s">
        <v>40</v>
      </c>
      <c r="W293" s="5" t="s">
        <v>70</v>
      </c>
      <c r="X293" s="5" t="s">
        <v>82</v>
      </c>
      <c r="Y293" s="5" t="s">
        <v>908</v>
      </c>
      <c r="Z293" s="5" t="s">
        <v>915</v>
      </c>
      <c r="AA293" s="5" t="s">
        <v>916</v>
      </c>
      <c r="AB293" s="5" t="s">
        <v>916</v>
      </c>
      <c r="AC293" s="5" t="s">
        <v>916</v>
      </c>
      <c r="AD293" s="5" t="s">
        <v>916</v>
      </c>
      <c r="AE293" s="5" t="s">
        <v>916</v>
      </c>
      <c r="AF293" s="5" t="s">
        <v>911</v>
      </c>
      <c r="AG293" s="5" t="s">
        <v>912</v>
      </c>
      <c r="AH293" s="5" t="s">
        <v>913</v>
      </c>
      <c r="AI293" s="5" t="s">
        <v>50</v>
      </c>
    </row>
    <row r="294" spans="1:35" x14ac:dyDescent="0.3">
      <c r="A294" s="4">
        <v>713909000</v>
      </c>
      <c r="B294" s="5" t="s">
        <v>37</v>
      </c>
      <c r="C294" s="5" t="s">
        <v>63</v>
      </c>
      <c r="D294" s="5" t="s">
        <v>917</v>
      </c>
      <c r="E294" s="7">
        <v>45629</v>
      </c>
      <c r="F294" s="24">
        <f t="shared" si="8"/>
        <v>12</v>
      </c>
      <c r="G294" s="24">
        <f t="shared" si="9"/>
        <v>2024</v>
      </c>
      <c r="H294" s="5">
        <v>20565443993</v>
      </c>
      <c r="I294" s="5" t="s">
        <v>143</v>
      </c>
      <c r="J294" s="5" t="s">
        <v>115</v>
      </c>
      <c r="K294" s="8">
        <v>1474.2</v>
      </c>
      <c r="L294" s="8">
        <v>1415.8</v>
      </c>
      <c r="M294" s="8">
        <v>1415.8</v>
      </c>
      <c r="N294" s="5" t="s">
        <v>42</v>
      </c>
      <c r="O294" s="8">
        <v>198</v>
      </c>
      <c r="P294" s="5" t="s">
        <v>67</v>
      </c>
      <c r="Q294" s="8">
        <v>5560.85</v>
      </c>
      <c r="R294" s="9">
        <v>3.927</v>
      </c>
      <c r="S294" s="9">
        <v>28.085000000000001</v>
      </c>
      <c r="T294" s="5" t="s">
        <v>68</v>
      </c>
      <c r="U294" s="5" t="s">
        <v>69</v>
      </c>
      <c r="V294" s="5" t="s">
        <v>40</v>
      </c>
      <c r="W294" s="5" t="s">
        <v>70</v>
      </c>
      <c r="X294" s="5" t="s">
        <v>71</v>
      </c>
      <c r="Y294" s="5" t="s">
        <v>72</v>
      </c>
      <c r="Z294" s="5" t="s">
        <v>918</v>
      </c>
      <c r="AA294" s="5" t="s">
        <v>919</v>
      </c>
      <c r="AB294" s="5" t="s">
        <v>919</v>
      </c>
      <c r="AC294" s="5" t="s">
        <v>919</v>
      </c>
      <c r="AD294" s="5" t="s">
        <v>919</v>
      </c>
      <c r="AE294" s="5" t="s">
        <v>919</v>
      </c>
      <c r="AF294" s="5" t="s">
        <v>75</v>
      </c>
      <c r="AG294" s="5" t="s">
        <v>76</v>
      </c>
      <c r="AH294" s="5" t="s">
        <v>76</v>
      </c>
      <c r="AI294" s="5" t="s">
        <v>50</v>
      </c>
    </row>
    <row r="295" spans="1:35" x14ac:dyDescent="0.3">
      <c r="A295" s="4">
        <v>713909000</v>
      </c>
      <c r="B295" s="5" t="s">
        <v>37</v>
      </c>
      <c r="C295" s="5" t="s">
        <v>63</v>
      </c>
      <c r="D295" s="5" t="s">
        <v>920</v>
      </c>
      <c r="E295" s="7">
        <v>45646</v>
      </c>
      <c r="F295" s="24">
        <f t="shared" si="8"/>
        <v>12</v>
      </c>
      <c r="G295" s="24">
        <f t="shared" si="9"/>
        <v>2024</v>
      </c>
      <c r="H295" s="5">
        <v>20552256647</v>
      </c>
      <c r="I295" s="5" t="s">
        <v>602</v>
      </c>
      <c r="J295" s="5" t="s">
        <v>603</v>
      </c>
      <c r="K295" s="8">
        <v>7033.6</v>
      </c>
      <c r="L295" s="8">
        <v>7000</v>
      </c>
      <c r="M295" s="8">
        <v>7000</v>
      </c>
      <c r="N295" s="5" t="s">
        <v>42</v>
      </c>
      <c r="O295" s="8">
        <v>7</v>
      </c>
      <c r="P295" s="5" t="s">
        <v>604</v>
      </c>
      <c r="Q295" s="8">
        <v>21770</v>
      </c>
      <c r="R295" s="9">
        <v>3.11</v>
      </c>
      <c r="S295" s="9">
        <v>3110</v>
      </c>
      <c r="T295" s="5" t="s">
        <v>197</v>
      </c>
      <c r="U295" s="5" t="s">
        <v>247</v>
      </c>
      <c r="V295" s="5" t="s">
        <v>40</v>
      </c>
      <c r="W295" s="5" t="s">
        <v>70</v>
      </c>
      <c r="X295" s="5" t="s">
        <v>248</v>
      </c>
      <c r="Y295" s="5" t="s">
        <v>605</v>
      </c>
      <c r="Z295" s="5" t="s">
        <v>616</v>
      </c>
      <c r="AA295" s="5" t="s">
        <v>617</v>
      </c>
      <c r="AB295" s="5" t="s">
        <v>617</v>
      </c>
      <c r="AC295" s="5" t="s">
        <v>617</v>
      </c>
      <c r="AD295" s="5" t="s">
        <v>617</v>
      </c>
      <c r="AE295" s="5" t="s">
        <v>617</v>
      </c>
      <c r="AF295" s="5" t="s">
        <v>252</v>
      </c>
      <c r="AG295" s="5" t="s">
        <v>76</v>
      </c>
      <c r="AH295" s="5" t="s">
        <v>76</v>
      </c>
      <c r="AI295" s="5" t="s">
        <v>50</v>
      </c>
    </row>
  </sheetData>
  <autoFilter ref="A6:AI295" xr:uid="{00000000-0001-0000-0000-000000000000}"/>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67630-DDD0-4662-94C0-502E435C3317}">
  <dimension ref="A1"/>
  <sheetViews>
    <sheetView workbookViewId="0">
      <selection activeCell="K16" sqref="K16"/>
    </sheetView>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Hoja2</vt:lpstr>
      <vt:lpstr>Hoja3</vt:lpstr>
      <vt:lpstr>Veritrade</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2025-07-31T22:21:31Z</dcterms:modified>
</cp:coreProperties>
</file>