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E:\EC-448 EVALUACION PRIVADA DE PROYECTOS\Unidad 3\CASOS RESUELTOS\"/>
    </mc:Choice>
  </mc:AlternateContent>
  <xr:revisionPtr revIDLastSave="0" documentId="8_{83633005-9CFE-48C6-A187-4469F82DD76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IRAjustad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1" l="1"/>
  <c r="E14" i="1"/>
  <c r="I13" i="1"/>
  <c r="H13" i="1"/>
  <c r="G13" i="1"/>
  <c r="F13" i="1"/>
  <c r="F12" i="1" s="1"/>
  <c r="E13" i="1"/>
  <c r="E12" i="1"/>
  <c r="E18" i="1"/>
  <c r="F18" i="1"/>
  <c r="G18" i="1"/>
  <c r="H18" i="1"/>
  <c r="I18" i="1"/>
  <c r="E30" i="1"/>
  <c r="D25" i="1"/>
  <c r="D15" i="1"/>
  <c r="D23" i="1" s="1"/>
  <c r="D8" i="1"/>
  <c r="D7" i="1"/>
  <c r="F30" i="1"/>
  <c r="G30" i="1"/>
  <c r="H30" i="1"/>
  <c r="I30" i="1"/>
  <c r="E22" i="1"/>
  <c r="F22" i="1" s="1"/>
  <c r="G22" i="1" s="1"/>
  <c r="H22" i="1" s="1"/>
  <c r="I22" i="1" s="1"/>
  <c r="E10" i="1"/>
  <c r="F10" i="1" s="1"/>
  <c r="G10" i="1" s="1"/>
  <c r="H10" i="1" s="1"/>
  <c r="I10" i="1" s="1"/>
  <c r="E4" i="1"/>
  <c r="F4" i="1" s="1"/>
  <c r="G4" i="1" s="1"/>
  <c r="H4" i="1" s="1"/>
  <c r="I4" i="1" s="1"/>
  <c r="G12" i="1" l="1"/>
  <c r="E25" i="1"/>
  <c r="E15" i="1"/>
  <c r="E23" i="1" s="1"/>
  <c r="F14" i="1" l="1"/>
  <c r="F25" i="1" s="1"/>
  <c r="F15" i="1" l="1"/>
  <c r="F23" i="1" s="1"/>
  <c r="H12" i="1" l="1"/>
  <c r="G14" i="1"/>
  <c r="G25" i="1" s="1"/>
  <c r="G15" i="1" l="1"/>
  <c r="G23" i="1" s="1"/>
  <c r="I12" i="1"/>
  <c r="H14" i="1" l="1"/>
  <c r="H25" i="1" s="1"/>
  <c r="H15" i="1" l="1"/>
  <c r="H23" i="1" s="1"/>
  <c r="I14" i="1" l="1"/>
  <c r="I25" i="1" s="1"/>
  <c r="D27" i="1" s="1"/>
  <c r="I15" i="1" l="1"/>
  <c r="I23" i="1" l="1"/>
  <c r="D24" i="1" s="1"/>
  <c r="D30" i="1" l="1"/>
  <c r="D32" i="1" s="1"/>
  <c r="D28" i="1"/>
</calcChain>
</file>

<file path=xl/sharedStrings.xml><?xml version="1.0" encoding="utf-8"?>
<sst xmlns="http://schemas.openxmlformats.org/spreadsheetml/2006/main" count="35" uniqueCount="33">
  <si>
    <t>FCE</t>
  </si>
  <si>
    <t>VANE</t>
  </si>
  <si>
    <t>Préstamo</t>
  </si>
  <si>
    <t>Devolución del capital</t>
  </si>
  <si>
    <t>Interés</t>
  </si>
  <si>
    <t>Escudo fiscal interés</t>
  </si>
  <si>
    <t>Flujo de la Deuda</t>
  </si>
  <si>
    <t>kd=</t>
  </si>
  <si>
    <t>VAEFI =</t>
  </si>
  <si>
    <t>Flujo de Caja Financiero</t>
  </si>
  <si>
    <t>TIRF =</t>
  </si>
  <si>
    <t>TIR Ajustado 2</t>
  </si>
  <si>
    <t>RUBRO/PERIODO</t>
  </si>
  <si>
    <t>TASA INTERNA DE RETORNO AJUSTADO</t>
  </si>
  <si>
    <t>t</t>
  </si>
  <si>
    <t>Ku</t>
  </si>
  <si>
    <t>TIRE</t>
  </si>
  <si>
    <t>VAN AJUSTADO= VANF</t>
  </si>
  <si>
    <t>TIR Ajustado 1</t>
  </si>
  <si>
    <t>Valor creado por el financiamiento via deuda</t>
  </si>
  <si>
    <t>Valor creado por la operación del proyecto financiado 100% Capital propio</t>
  </si>
  <si>
    <t>La rentabilidad promedio es 25.75%, mayor a 13% (rentabilidad minima exigida)</t>
  </si>
  <si>
    <t>Rentabilidad mínima exigida para el proyecto</t>
  </si>
  <si>
    <t>Rentabilidad Financiera es mayor a la rentabilidad económica</t>
  </si>
  <si>
    <t>FC Ajustado1 *</t>
  </si>
  <si>
    <t>(*) igual al FCE + Escudo fiscal del interés</t>
  </si>
  <si>
    <t>FC Ajustado 2**</t>
  </si>
  <si>
    <t>(**) en periodo cero se suma Inversión total + VAEFI, en el resto es FCE</t>
  </si>
  <si>
    <t>Rentabilidad Financiera es mayor que la rentabilidad economica</t>
  </si>
  <si>
    <t>VANF &gt; VANE</t>
  </si>
  <si>
    <t>TIRFE &gt; TIRE</t>
  </si>
  <si>
    <t>Periodo de pago</t>
  </si>
  <si>
    <t>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</si>
</sst>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S/&quot;#,##0;[Red]\-&quot;S/&quot;#,##0"/>
    <numFmt numFmtId="8" formatCode="&quot;S/&quot;#,##0.00;[Red]\-&quot;S/&quot;#,##0.00"/>
    <numFmt numFmtId="43" formatCode="_-* #,##0.00_-;\-* #,##0.00_-;_-* &quot;-&quot;??_-;_-@_-"/>
    <numFmt numFmtId="164" formatCode="0.0%"/>
    <numFmt numFmtId="166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6">
    <xf numFmtId="0" fontId="0" fillId="0" borderId="0" xfId="0"/>
    <xf numFmtId="9" fontId="0" fillId="0" borderId="0" xfId="0" applyNumberFormat="1"/>
    <xf numFmtId="8" fontId="0" fillId="0" borderId="0" xfId="0" applyNumberFormat="1"/>
    <xf numFmtId="164" fontId="0" fillId="0" borderId="0" xfId="0" applyNumberFormat="1"/>
    <xf numFmtId="0" fontId="0" fillId="0" borderId="1" xfId="0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0" fontId="0" fillId="0" borderId="0" xfId="0" applyNumberFormat="1" applyFill="1"/>
    <xf numFmtId="0" fontId="0" fillId="0" borderId="8" xfId="0" applyBorder="1"/>
    <xf numFmtId="0" fontId="1" fillId="0" borderId="1" xfId="0" applyFont="1" applyBorder="1"/>
    <xf numFmtId="6" fontId="1" fillId="0" borderId="1" xfId="0" applyNumberFormat="1" applyFont="1" applyBorder="1"/>
    <xf numFmtId="0" fontId="1" fillId="0" borderId="8" xfId="0" applyFont="1" applyBorder="1"/>
    <xf numFmtId="0" fontId="3" fillId="0" borderId="5" xfId="0" applyFont="1" applyBorder="1"/>
    <xf numFmtId="0" fontId="3" fillId="0" borderId="6" xfId="0" applyFont="1" applyBorder="1"/>
    <xf numFmtId="1" fontId="3" fillId="0" borderId="6" xfId="0" applyNumberFormat="1" applyFont="1" applyBorder="1"/>
    <xf numFmtId="0" fontId="3" fillId="0" borderId="5" xfId="0" applyFont="1" applyBorder="1" applyAlignment="1">
      <alignment horizontal="center"/>
    </xf>
    <xf numFmtId="0" fontId="3" fillId="0" borderId="7" xfId="0" applyFont="1" applyBorder="1"/>
    <xf numFmtId="1" fontId="1" fillId="0" borderId="1" xfId="0" applyNumberFormat="1" applyFont="1" applyBorder="1"/>
    <xf numFmtId="10" fontId="1" fillId="2" borderId="0" xfId="0" applyNumberFormat="1" applyFont="1" applyFill="1"/>
    <xf numFmtId="8" fontId="1" fillId="0" borderId="0" xfId="0" applyNumberFormat="1" applyFont="1"/>
    <xf numFmtId="6" fontId="1" fillId="0" borderId="0" xfId="0" applyNumberFormat="1" applyFont="1"/>
    <xf numFmtId="0" fontId="2" fillId="0" borderId="0" xfId="0" applyFont="1" applyAlignment="1">
      <alignment horizontal="center"/>
    </xf>
    <xf numFmtId="43" fontId="0" fillId="0" borderId="0" xfId="1" applyFont="1"/>
    <xf numFmtId="166" fontId="0" fillId="0" borderId="0" xfId="1" applyNumberFormat="1" applyFont="1"/>
    <xf numFmtId="166" fontId="0" fillId="0" borderId="1" xfId="0" applyNumberFormat="1" applyBorder="1"/>
    <xf numFmtId="166" fontId="0" fillId="0" borderId="0" xfId="0" applyNumberFormat="1"/>
    <xf numFmtId="166" fontId="0" fillId="0" borderId="9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1" fontId="1" fillId="0" borderId="9" xfId="0" applyNumberFormat="1" applyFont="1" applyBorder="1"/>
    <xf numFmtId="1" fontId="3" fillId="0" borderId="7" xfId="0" applyNumberFormat="1" applyFon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J36"/>
  <sheetViews>
    <sheetView tabSelected="1" zoomScale="142" zoomScaleNormal="142" workbookViewId="0">
      <selection activeCell="D30" sqref="D30"/>
    </sheetView>
  </sheetViews>
  <sheetFormatPr baseColWidth="10" defaultColWidth="9.140625" defaultRowHeight="15" x14ac:dyDescent="0.25"/>
  <cols>
    <col min="3" max="3" width="22.28515625" customWidth="1"/>
    <col min="4" max="4" width="11.7109375" bestFit="1" customWidth="1"/>
    <col min="5" max="5" width="11.28515625" customWidth="1"/>
    <col min="6" max="6" width="12.28515625" customWidth="1"/>
    <col min="7" max="7" width="11.5703125" customWidth="1"/>
    <col min="8" max="8" width="10.85546875" customWidth="1"/>
    <col min="9" max="9" width="11.7109375" customWidth="1"/>
  </cols>
  <sheetData>
    <row r="2" spans="3:10" ht="18.75" x14ac:dyDescent="0.3">
      <c r="C2" s="22" t="s">
        <v>13</v>
      </c>
      <c r="D2" s="22"/>
      <c r="E2" s="22"/>
      <c r="F2" s="22"/>
      <c r="G2" s="22"/>
      <c r="H2" s="22"/>
      <c r="I2" s="22"/>
    </row>
    <row r="3" spans="3:10" ht="15.75" thickBot="1" x14ac:dyDescent="0.3"/>
    <row r="4" spans="3:10" x14ac:dyDescent="0.25">
      <c r="C4" s="5" t="s">
        <v>12</v>
      </c>
      <c r="D4" s="6">
        <v>0</v>
      </c>
      <c r="E4" s="6">
        <f>D4+1</f>
        <v>1</v>
      </c>
      <c r="F4" s="6">
        <f t="shared" ref="F4:I4" si="0">E4+1</f>
        <v>2</v>
      </c>
      <c r="G4" s="6">
        <f t="shared" si="0"/>
        <v>3</v>
      </c>
      <c r="H4" s="6">
        <f t="shared" si="0"/>
        <v>4</v>
      </c>
      <c r="I4" s="7">
        <f t="shared" si="0"/>
        <v>5</v>
      </c>
    </row>
    <row r="5" spans="3:10" ht="15.75" thickBot="1" x14ac:dyDescent="0.3">
      <c r="C5" s="16" t="s">
        <v>0</v>
      </c>
      <c r="D5" s="14">
        <v>-40000</v>
      </c>
      <c r="E5" s="14">
        <v>10960</v>
      </c>
      <c r="F5" s="14">
        <v>12696</v>
      </c>
      <c r="G5" s="14">
        <v>14606</v>
      </c>
      <c r="H5" s="14">
        <v>16706</v>
      </c>
      <c r="I5" s="17">
        <v>29017</v>
      </c>
    </row>
    <row r="6" spans="3:10" x14ac:dyDescent="0.25">
      <c r="C6" t="s">
        <v>15</v>
      </c>
      <c r="D6" s="1">
        <v>0.13</v>
      </c>
      <c r="E6" t="s">
        <v>22</v>
      </c>
    </row>
    <row r="7" spans="3:10" x14ac:dyDescent="0.25">
      <c r="C7" t="s">
        <v>1</v>
      </c>
      <c r="D7" s="21">
        <f>NPV(D6,E5:I5)+D5</f>
        <v>15760.003734097198</v>
      </c>
      <c r="E7" t="s">
        <v>20</v>
      </c>
    </row>
    <row r="8" spans="3:10" x14ac:dyDescent="0.25">
      <c r="C8" t="s">
        <v>16</v>
      </c>
      <c r="D8" s="19">
        <f>IRR(D5:I5)</f>
        <v>0.25748806179878092</v>
      </c>
      <c r="E8" t="s">
        <v>21</v>
      </c>
    </row>
    <row r="9" spans="3:10" ht="15.75" thickBot="1" x14ac:dyDescent="0.3">
      <c r="D9" s="8"/>
    </row>
    <row r="10" spans="3:10" ht="15.75" thickBot="1" x14ac:dyDescent="0.3">
      <c r="C10" s="31" t="s">
        <v>12</v>
      </c>
      <c r="D10" s="32">
        <v>0</v>
      </c>
      <c r="E10" s="32">
        <f>D10+1</f>
        <v>1</v>
      </c>
      <c r="F10" s="32">
        <f t="shared" ref="F10" si="1">E10+1</f>
        <v>2</v>
      </c>
      <c r="G10" s="32">
        <f t="shared" ref="G10" si="2">F10+1</f>
        <v>3</v>
      </c>
      <c r="H10" s="32">
        <f t="shared" ref="H10" si="3">G10+1</f>
        <v>4</v>
      </c>
      <c r="I10" s="33">
        <f t="shared" ref="I10" si="4">H10+1</f>
        <v>5</v>
      </c>
    </row>
    <row r="11" spans="3:10" x14ac:dyDescent="0.25">
      <c r="C11" s="28" t="s">
        <v>2</v>
      </c>
      <c r="D11" s="29">
        <v>16000</v>
      </c>
      <c r="E11" s="29"/>
      <c r="F11" s="29"/>
      <c r="G11" s="29"/>
      <c r="H11" s="29"/>
      <c r="I11" s="30"/>
    </row>
    <row r="12" spans="3:10" x14ac:dyDescent="0.25">
      <c r="C12" s="9" t="s">
        <v>3</v>
      </c>
      <c r="D12" s="4"/>
      <c r="E12" s="25">
        <f>-(E18+E13)</f>
        <v>-2620.7596927159266</v>
      </c>
      <c r="F12" s="25">
        <f>-(F18+F13)</f>
        <v>-2882.8356619875194</v>
      </c>
      <c r="G12" s="25">
        <f>-(G18+G13)</f>
        <v>-3171.1192281862714</v>
      </c>
      <c r="H12" s="25">
        <f>-(H18+H13)</f>
        <v>-3488.2311510048985</v>
      </c>
      <c r="I12" s="27">
        <f>-(I18+I13)</f>
        <v>-3837.0542661053883</v>
      </c>
      <c r="J12" s="26"/>
    </row>
    <row r="13" spans="3:10" x14ac:dyDescent="0.25">
      <c r="C13" s="9" t="s">
        <v>4</v>
      </c>
      <c r="D13" s="4"/>
      <c r="E13" s="4">
        <f>-D11*D16</f>
        <v>-1600</v>
      </c>
      <c r="F13" s="25">
        <f>-D16*(D11+E12)</f>
        <v>-1337.9240307284074</v>
      </c>
      <c r="G13" s="25">
        <f>-D16*(D11+E12+F12)</f>
        <v>-1049.6404645296554</v>
      </c>
      <c r="H13" s="25">
        <f>-D16*(D11+E12+F12+G12)</f>
        <v>-732.52854171102831</v>
      </c>
      <c r="I13" s="27">
        <f>-D16*(D11+E12+F12+G12+H12)</f>
        <v>-383.70542661053844</v>
      </c>
    </row>
    <row r="14" spans="3:10" x14ac:dyDescent="0.25">
      <c r="C14" s="12" t="s">
        <v>5</v>
      </c>
      <c r="D14" s="4"/>
      <c r="E14" s="18">
        <f>-E13*$G$16</f>
        <v>472</v>
      </c>
      <c r="F14" s="18">
        <f t="shared" ref="F14:I14" si="5">-F13*$G$16</f>
        <v>394.68758906488017</v>
      </c>
      <c r="G14" s="18">
        <f t="shared" si="5"/>
        <v>309.64393703624836</v>
      </c>
      <c r="H14" s="18">
        <f t="shared" si="5"/>
        <v>216.09591980475335</v>
      </c>
      <c r="I14" s="34">
        <f t="shared" si="5"/>
        <v>113.19310085010883</v>
      </c>
    </row>
    <row r="15" spans="3:10" ht="15.75" thickBot="1" x14ac:dyDescent="0.3">
      <c r="C15" s="13" t="s">
        <v>6</v>
      </c>
      <c r="D15" s="14">
        <f>SUM(D11:D14)</f>
        <v>16000</v>
      </c>
      <c r="E15" s="15">
        <f t="shared" ref="E15:H15" si="6">SUM(E11:E14)</f>
        <v>-3748.7596927159266</v>
      </c>
      <c r="F15" s="15">
        <f t="shared" si="6"/>
        <v>-3826.0721036510463</v>
      </c>
      <c r="G15" s="15">
        <f t="shared" si="6"/>
        <v>-3911.1157556796784</v>
      </c>
      <c r="H15" s="15">
        <f t="shared" si="6"/>
        <v>-4004.6637729111731</v>
      </c>
      <c r="I15" s="35">
        <f>SUM(I11:I14)</f>
        <v>-4107.5665918658178</v>
      </c>
    </row>
    <row r="16" spans="3:10" x14ac:dyDescent="0.25">
      <c r="C16" t="s">
        <v>7</v>
      </c>
      <c r="D16" s="3">
        <v>0.1</v>
      </c>
      <c r="F16" t="s">
        <v>14</v>
      </c>
      <c r="G16" s="3">
        <v>0.29499999999999998</v>
      </c>
    </row>
    <row r="17" spans="3:9" x14ac:dyDescent="0.25">
      <c r="C17" t="s">
        <v>31</v>
      </c>
      <c r="D17" s="23">
        <v>5</v>
      </c>
      <c r="G17" s="3"/>
    </row>
    <row r="18" spans="3:9" x14ac:dyDescent="0.25">
      <c r="C18" t="s">
        <v>32</v>
      </c>
      <c r="D18" s="24"/>
      <c r="E18" s="24">
        <f t="shared" ref="E18:I18" si="7">-PMT($D$16,$D$17,$D$11)</f>
        <v>4220.7596927159266</v>
      </c>
      <c r="F18" s="24">
        <f t="shared" si="7"/>
        <v>4220.7596927159266</v>
      </c>
      <c r="G18" s="24">
        <f t="shared" si="7"/>
        <v>4220.7596927159266</v>
      </c>
      <c r="H18" s="24">
        <f t="shared" si="7"/>
        <v>4220.7596927159266</v>
      </c>
      <c r="I18" s="24">
        <f t="shared" si="7"/>
        <v>4220.7596927159266</v>
      </c>
    </row>
    <row r="19" spans="3:9" x14ac:dyDescent="0.25">
      <c r="D19" s="3"/>
      <c r="G19" s="3"/>
    </row>
    <row r="20" spans="3:9" x14ac:dyDescent="0.25">
      <c r="C20" t="s">
        <v>8</v>
      </c>
      <c r="D20" s="21">
        <f>NPV(D16,E14:I14)</f>
        <v>1205.7995029490987</v>
      </c>
      <c r="E20" t="s">
        <v>19</v>
      </c>
    </row>
    <row r="21" spans="3:9" ht="15.75" thickBot="1" x14ac:dyDescent="0.3">
      <c r="D21" s="2"/>
    </row>
    <row r="22" spans="3:9" x14ac:dyDescent="0.25">
      <c r="C22" s="5" t="s">
        <v>12</v>
      </c>
      <c r="D22" s="6">
        <v>0</v>
      </c>
      <c r="E22" s="6">
        <f>D22+1</f>
        <v>1</v>
      </c>
      <c r="F22" s="6">
        <f t="shared" ref="F22" si="8">E22+1</f>
        <v>2</v>
      </c>
      <c r="G22" s="6">
        <f t="shared" ref="G22" si="9">F22+1</f>
        <v>3</v>
      </c>
      <c r="H22" s="6">
        <f t="shared" ref="H22" si="10">G22+1</f>
        <v>4</v>
      </c>
      <c r="I22" s="7">
        <f t="shared" ref="I22" si="11">H22+1</f>
        <v>5</v>
      </c>
    </row>
    <row r="23" spans="3:9" ht="15.75" thickBot="1" x14ac:dyDescent="0.3">
      <c r="C23" s="13" t="s">
        <v>9</v>
      </c>
      <c r="D23" s="14">
        <f>D5+D15</f>
        <v>-24000</v>
      </c>
      <c r="E23" s="15">
        <f t="shared" ref="E23:I23" si="12">E5+E15</f>
        <v>7211.2403072840734</v>
      </c>
      <c r="F23" s="15">
        <f t="shared" si="12"/>
        <v>8869.9278963489542</v>
      </c>
      <c r="G23" s="15">
        <f t="shared" si="12"/>
        <v>10694.884244320321</v>
      </c>
      <c r="H23" s="15">
        <f t="shared" si="12"/>
        <v>12701.336227088826</v>
      </c>
      <c r="I23" s="15">
        <f t="shared" si="12"/>
        <v>24909.43340813418</v>
      </c>
    </row>
    <row r="24" spans="3:9" x14ac:dyDescent="0.25">
      <c r="C24" t="s">
        <v>10</v>
      </c>
      <c r="D24" s="19">
        <f>IRR(D23:I23)</f>
        <v>0.34876093976937717</v>
      </c>
    </row>
    <row r="25" spans="3:9" x14ac:dyDescent="0.25">
      <c r="C25" s="10" t="s">
        <v>24</v>
      </c>
      <c r="D25" s="11">
        <f>D5+D14</f>
        <v>-40000</v>
      </c>
      <c r="E25" s="11">
        <f t="shared" ref="E25:I25" si="13">E5+E14</f>
        <v>11432</v>
      </c>
      <c r="F25" s="11">
        <f t="shared" si="13"/>
        <v>13090.687589064881</v>
      </c>
      <c r="G25" s="11">
        <f t="shared" si="13"/>
        <v>14915.643937036248</v>
      </c>
      <c r="H25" s="11">
        <f t="shared" si="13"/>
        <v>16922.095919804753</v>
      </c>
      <c r="I25" s="11">
        <f t="shared" si="13"/>
        <v>29130.193100850109</v>
      </c>
    </row>
    <row r="26" spans="3:9" x14ac:dyDescent="0.25">
      <c r="C26" t="s">
        <v>25</v>
      </c>
    </row>
    <row r="27" spans="3:9" x14ac:dyDescent="0.25">
      <c r="C27" t="s">
        <v>18</v>
      </c>
      <c r="D27" s="19">
        <f>IRR(D25:I25)</f>
        <v>0.26699780064162471</v>
      </c>
    </row>
    <row r="28" spans="3:9" x14ac:dyDescent="0.25">
      <c r="C28" t="s">
        <v>17</v>
      </c>
      <c r="D28" s="20">
        <f>D7+D20</f>
        <v>16965.803237046297</v>
      </c>
      <c r="E28" t="s">
        <v>23</v>
      </c>
    </row>
    <row r="30" spans="3:9" x14ac:dyDescent="0.25">
      <c r="C30" s="10" t="s">
        <v>26</v>
      </c>
      <c r="D30" s="11">
        <f>D5+D20</f>
        <v>-38794.200497050901</v>
      </c>
      <c r="E30" s="10">
        <f>E5</f>
        <v>10960</v>
      </c>
      <c r="F30" s="10">
        <f t="shared" ref="F30:I30" si="14">F5</f>
        <v>12696</v>
      </c>
      <c r="G30" s="10">
        <f t="shared" si="14"/>
        <v>14606</v>
      </c>
      <c r="H30" s="10">
        <f t="shared" si="14"/>
        <v>16706</v>
      </c>
      <c r="I30" s="10">
        <f t="shared" si="14"/>
        <v>29017</v>
      </c>
    </row>
    <row r="31" spans="3:9" x14ac:dyDescent="0.25">
      <c r="C31" t="s">
        <v>27</v>
      </c>
    </row>
    <row r="32" spans="3:9" x14ac:dyDescent="0.25">
      <c r="C32" t="s">
        <v>11</v>
      </c>
      <c r="D32" s="19">
        <f>IRR(D30:I30)</f>
        <v>0.27046704597062443</v>
      </c>
    </row>
    <row r="34" spans="3:3" x14ac:dyDescent="0.25">
      <c r="C34" t="s">
        <v>28</v>
      </c>
    </row>
    <row r="35" spans="3:3" x14ac:dyDescent="0.25">
      <c r="C35" t="s">
        <v>29</v>
      </c>
    </row>
    <row r="36" spans="3:3" x14ac:dyDescent="0.25">
      <c r="C36" t="s">
        <v>30</v>
      </c>
    </row>
  </sheetData>
  <mergeCells count="1">
    <mergeCell ref="C2:I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TIRAjustado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2015-06-05T18:17:20Z</dcterms:created>
  <dcterms:modified xsi:type="dcterms:W3CDTF">2021-07-02T15:48:45Z</dcterms:modified>
</cp:coreProperties>
</file>