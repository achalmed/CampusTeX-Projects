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\Promperu\Red de Inteligencia Comercial\Ayacucho\"/>
    </mc:Choice>
  </mc:AlternateContent>
  <xr:revisionPtr revIDLastSave="0" documentId="13_ncr:1_{3C1C3529-9C64-45DC-BCD5-3AF68F3B7164}" xr6:coauthVersionLast="47" xr6:coauthVersionMax="47" xr10:uidLastSave="{00000000-0000-0000-0000-000000000000}"/>
  <bookViews>
    <workbookView xWindow="-108" yWindow="-108" windowWidth="23256" windowHeight="12456" activeTab="1" xr2:uid="{58ABB3AA-BA9F-4AFF-AFB0-4B5CF43CA601}"/>
  </bookViews>
  <sheets>
    <sheet name="BARRAS VERTICALES" sheetId="1" r:id="rId1"/>
    <sheet name="BARRAS HORIZONT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2" l="1"/>
  <c r="Y13" i="2"/>
  <c r="Y14" i="2"/>
  <c r="Y15" i="2"/>
  <c r="Y16" i="2"/>
  <c r="M16" i="2" s="1"/>
  <c r="M17" i="2"/>
  <c r="Y18" i="2"/>
  <c r="M18" i="2" s="1"/>
  <c r="Y19" i="2"/>
  <c r="M19" i="2" s="1"/>
  <c r="Y20" i="2"/>
  <c r="M20" i="2" s="1"/>
  <c r="Y21" i="2"/>
  <c r="Y12" i="2"/>
  <c r="M12" i="2" s="1"/>
  <c r="X12" i="2"/>
  <c r="K12" i="2" s="1"/>
  <c r="W12" i="2"/>
  <c r="M13" i="2"/>
  <c r="M14" i="2"/>
  <c r="M15" i="2"/>
  <c r="M21" i="2"/>
  <c r="X21" i="2"/>
  <c r="K21" i="2" s="1"/>
  <c r="X13" i="2"/>
  <c r="K13" i="2" s="1"/>
  <c r="X14" i="2"/>
  <c r="K14" i="2" s="1"/>
  <c r="X15" i="2"/>
  <c r="K15" i="2" s="1"/>
  <c r="X16" i="2"/>
  <c r="K16" i="2" s="1"/>
  <c r="X17" i="2"/>
  <c r="K17" i="2" s="1"/>
  <c r="X18" i="2"/>
  <c r="K18" i="2" s="1"/>
  <c r="X19" i="2"/>
  <c r="K19" i="2" s="1"/>
  <c r="X20" i="2"/>
  <c r="K20" i="2" s="1"/>
  <c r="J12" i="1"/>
  <c r="J11" i="1"/>
  <c r="J10" i="1"/>
  <c r="J9" i="1"/>
  <c r="J8" i="1"/>
  <c r="W19" i="2" l="1"/>
  <c r="I19" i="2" s="1"/>
  <c r="W18" i="2"/>
  <c r="I18" i="2" s="1"/>
  <c r="W17" i="2"/>
  <c r="I17" i="2" s="1"/>
  <c r="W16" i="2"/>
  <c r="I16" i="2" s="1"/>
  <c r="W15" i="2"/>
  <c r="I15" i="2" s="1"/>
  <c r="W21" i="2"/>
  <c r="I21" i="2" s="1"/>
  <c r="W20" i="2"/>
  <c r="I20" i="2" s="1"/>
  <c r="I12" i="2"/>
  <c r="W14" i="2"/>
  <c r="I14" i="2" s="1"/>
  <c r="W13" i="2"/>
  <c r="I13" i="2" s="1"/>
</calcChain>
</file>

<file path=xl/sharedStrings.xml><?xml version="1.0" encoding="utf-8"?>
<sst xmlns="http://schemas.openxmlformats.org/spreadsheetml/2006/main" count="28" uniqueCount="27">
  <si>
    <t>Puno</t>
  </si>
  <si>
    <t>Ayacucho</t>
  </si>
  <si>
    <t>PERÚ: PRODUCCIÓN NACIONAL DE QUINUA 2018-2022</t>
  </si>
  <si>
    <t>(Volumen de producción en toneladas)</t>
  </si>
  <si>
    <t>Año</t>
  </si>
  <si>
    <t>Toneladas</t>
  </si>
  <si>
    <t>Var. Anual</t>
  </si>
  <si>
    <t>TOTAL</t>
  </si>
  <si>
    <t>Rank 2022</t>
  </si>
  <si>
    <t>PERÚ: PRODUCCIÓN NACIONAL DE QUINUA POR REGIONES 2018, 2021 y 2022</t>
  </si>
  <si>
    <t>Callao</t>
  </si>
  <si>
    <t>Arequipa</t>
  </si>
  <si>
    <t>Junín</t>
  </si>
  <si>
    <t>Piura</t>
  </si>
  <si>
    <t>Lambayeque</t>
  </si>
  <si>
    <t>Ancash</t>
  </si>
  <si>
    <t>Tacna</t>
  </si>
  <si>
    <t>TONELADAS</t>
  </si>
  <si>
    <t>Departamento</t>
  </si>
  <si>
    <t>Part % 2022</t>
  </si>
  <si>
    <t>Var% 22/21</t>
  </si>
  <si>
    <t>TCP% 22/18</t>
  </si>
  <si>
    <t>INDICADORES</t>
  </si>
  <si>
    <t>Part % 2024</t>
  </si>
  <si>
    <t>Var% 24/23</t>
  </si>
  <si>
    <t>TCP% 24/20</t>
  </si>
  <si>
    <t>Lima (Lima)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</si>
</sst>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165" fontId="0" fillId="2" borderId="0" xfId="2" applyNumberFormat="1" applyFont="1" applyFill="1"/>
    <xf numFmtId="0" fontId="0" fillId="3" borderId="1" xfId="0" applyFill="1" applyBorder="1"/>
    <xf numFmtId="0" fontId="0" fillId="3" borderId="1" xfId="0" quotePrefix="1" applyFill="1" applyBorder="1"/>
    <xf numFmtId="0" fontId="0" fillId="4" borderId="1" xfId="0" applyFill="1" applyBorder="1"/>
    <xf numFmtId="9" fontId="0" fillId="2" borderId="1" xfId="2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5" borderId="0" xfId="0" applyFont="1" applyFill="1"/>
    <xf numFmtId="9" fontId="0" fillId="2" borderId="0" xfId="0" applyNumberFormat="1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64" fontId="0" fillId="3" borderId="1" xfId="1" applyNumberFormat="1" applyFont="1" applyFill="1" applyBorder="1" applyAlignment="1">
      <alignment vertical="center"/>
    </xf>
    <xf numFmtId="9" fontId="5" fillId="2" borderId="0" xfId="0" applyNumberFormat="1" applyFont="1" applyFill="1" applyAlignment="1">
      <alignment horizontal="center" vertical="center"/>
    </xf>
    <xf numFmtId="164" fontId="0" fillId="2" borderId="1" xfId="1" applyNumberFormat="1" applyFont="1" applyFill="1" applyBorder="1" applyAlignment="1">
      <alignment vertical="center"/>
    </xf>
    <xf numFmtId="0" fontId="0" fillId="3" borderId="10" xfId="0" applyFill="1" applyBorder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quotePrefix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150240087278115E-2"/>
          <c:y val="0.31843154953737507"/>
          <c:w val="0.88826289427568594"/>
          <c:h val="0.5443134722137563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'BARRAS VERTICALES'!$I$6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'BARRAS VERTICALES'!$H$8:$H$12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'BARRAS VERTICALES'!$I$8:$I$12</c:f>
              <c:numCache>
                <c:formatCode>_-* #,##0_-;\-* #,##0_-;_-* "-"??_-;_-@_-</c:formatCode>
                <c:ptCount val="5"/>
                <c:pt idx="0">
                  <c:v>1263</c:v>
                </c:pt>
                <c:pt idx="1">
                  <c:v>1445</c:v>
                </c:pt>
                <c:pt idx="2">
                  <c:v>1371</c:v>
                </c:pt>
                <c:pt idx="3">
                  <c:v>2381</c:v>
                </c:pt>
                <c:pt idx="4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6-421E-90D9-D0672171C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945568"/>
        <c:axId val="1816942208"/>
      </c:barChart>
      <c:catAx>
        <c:axId val="18169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16942208"/>
        <c:crosses val="autoZero"/>
        <c:auto val="1"/>
        <c:lblAlgn val="ctr"/>
        <c:lblOffset val="100"/>
        <c:noMultiLvlLbl val="0"/>
      </c:catAx>
      <c:valAx>
        <c:axId val="181694220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81694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150240087278115E-2"/>
          <c:y val="0.26901975736778239"/>
          <c:w val="0.92769951982544374"/>
          <c:h val="0.67058805220271533"/>
        </c:manualLayout>
      </c:layout>
      <c:lineChart>
        <c:grouping val="standard"/>
        <c:varyColors val="0"/>
        <c:ser>
          <c:idx val="2"/>
          <c:order val="0"/>
          <c:tx>
            <c:strRef>
              <c:f>'BARRAS VERTICALES'!$J$6</c:f>
              <c:strCache>
                <c:ptCount val="1"/>
                <c:pt idx="0">
                  <c:v>Var. 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'BARRAS VERTICALES'!$H$8:$H$12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'BARRAS VERTICALES'!$J$8:$J$12</c:f>
              <c:numCache>
                <c:formatCode>0%</c:formatCode>
                <c:ptCount val="5"/>
                <c:pt idx="0">
                  <c:v>-4.8229088168801781E-2</c:v>
                </c:pt>
                <c:pt idx="1">
                  <c:v>0.14410134600158364</c:v>
                </c:pt>
                <c:pt idx="2">
                  <c:v>-5.1211072664359869E-2</c:v>
                </c:pt>
                <c:pt idx="3">
                  <c:v>0.73668854850474097</c:v>
                </c:pt>
                <c:pt idx="4">
                  <c:v>-0.12767744645107093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1-48D7-9843-4C54CCAA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945568"/>
        <c:axId val="1816942208"/>
      </c:lineChart>
      <c:catAx>
        <c:axId val="1816945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6942208"/>
        <c:crosses val="autoZero"/>
        <c:auto val="1"/>
        <c:lblAlgn val="ctr"/>
        <c:lblOffset val="100"/>
        <c:noMultiLvlLbl val="0"/>
      </c:catAx>
      <c:valAx>
        <c:axId val="18169422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1694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30336832895887"/>
          <c:y val="3.3287096401236775E-2"/>
          <c:w val="0.74188407699037617"/>
          <c:h val="0.86983154596259482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'BARRAS HORIZONTALES'!$V$11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'BARRAS HORIZONTALES'!$Q$12:$Q$21</c:f>
              <c:strCache>
                <c:ptCount val="10"/>
                <c:pt idx="0">
                  <c:v>Lima (Lima)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Junín</c:v>
                </c:pt>
                <c:pt idx="5">
                  <c:v>Puno</c:v>
                </c:pt>
                <c:pt idx="6">
                  <c:v>Piura</c:v>
                </c:pt>
                <c:pt idx="7">
                  <c:v>Lambayeque</c:v>
                </c:pt>
                <c:pt idx="8">
                  <c:v>Ancash</c:v>
                </c:pt>
                <c:pt idx="9">
                  <c:v>Tacna</c:v>
                </c:pt>
              </c:strCache>
            </c:strRef>
          </c:cat>
          <c:val>
            <c:numRef>
              <c:f>'BARRAS HORIZONTALES'!$V$12:$V$21</c:f>
              <c:numCache>
                <c:formatCode>_-* #,##0_-;\-* #,##0_-;_-* "-"??_-;_-@_-</c:formatCode>
                <c:ptCount val="10"/>
                <c:pt idx="0">
                  <c:v>31326.76</c:v>
                </c:pt>
                <c:pt idx="1">
                  <c:v>6853.79</c:v>
                </c:pt>
                <c:pt idx="2">
                  <c:v>4003.16</c:v>
                </c:pt>
                <c:pt idx="3">
                  <c:v>2774.55</c:v>
                </c:pt>
                <c:pt idx="4">
                  <c:v>601.57000000000005</c:v>
                </c:pt>
                <c:pt idx="5">
                  <c:v>550.29</c:v>
                </c:pt>
                <c:pt idx="6">
                  <c:v>216</c:v>
                </c:pt>
                <c:pt idx="7">
                  <c:v>93</c:v>
                </c:pt>
                <c:pt idx="8">
                  <c:v>29.15</c:v>
                </c:pt>
                <c:pt idx="9">
                  <c:v>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3-4858-A38E-49B29F79C8A5}"/>
            </c:ext>
          </c:extLst>
        </c:ser>
        <c:ser>
          <c:idx val="1"/>
          <c:order val="1"/>
          <c:tx>
            <c:strRef>
              <c:f>'BARRAS HORIZONTALES'!$U$11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'BARRAS HORIZONTALES'!$Q$12:$Q$21</c:f>
              <c:strCache>
                <c:ptCount val="10"/>
                <c:pt idx="0">
                  <c:v>Lima (Lima)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Junín</c:v>
                </c:pt>
                <c:pt idx="5">
                  <c:v>Puno</c:v>
                </c:pt>
                <c:pt idx="6">
                  <c:v>Piura</c:v>
                </c:pt>
                <c:pt idx="7">
                  <c:v>Lambayeque</c:v>
                </c:pt>
                <c:pt idx="8">
                  <c:v>Ancash</c:v>
                </c:pt>
                <c:pt idx="9">
                  <c:v>Tacna</c:v>
                </c:pt>
              </c:strCache>
            </c:strRef>
          </c:cat>
          <c:val>
            <c:numRef>
              <c:f>'BARRAS HORIZONTALES'!$U$12:$U$21</c:f>
              <c:numCache>
                <c:formatCode>_-* #,##0_-;\-* #,##0_-;_-* "-"??_-;_-@_-</c:formatCode>
                <c:ptCount val="10"/>
                <c:pt idx="0">
                  <c:v>37597.97</c:v>
                </c:pt>
                <c:pt idx="1">
                  <c:v>6454.11</c:v>
                </c:pt>
                <c:pt idx="2">
                  <c:v>2387.62</c:v>
                </c:pt>
                <c:pt idx="3">
                  <c:v>4256.67</c:v>
                </c:pt>
                <c:pt idx="4">
                  <c:v>354.39</c:v>
                </c:pt>
                <c:pt idx="5">
                  <c:v>842.02</c:v>
                </c:pt>
                <c:pt idx="6">
                  <c:v>55.5</c:v>
                </c:pt>
                <c:pt idx="7">
                  <c:v>117.84</c:v>
                </c:pt>
                <c:pt idx="8">
                  <c:v>2.76</c:v>
                </c:pt>
                <c:pt idx="9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3-4858-A38E-49B29F79C8A5}"/>
            </c:ext>
          </c:extLst>
        </c:ser>
        <c:ser>
          <c:idx val="0"/>
          <c:order val="2"/>
          <c:tx>
            <c:strRef>
              <c:f>'BARRAS HORIZONTALES'!$T$11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'BARRAS HORIZONTALES'!$Q$12:$Q$21</c:f>
              <c:strCache>
                <c:ptCount val="10"/>
                <c:pt idx="0">
                  <c:v>Lima (Lima)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Junín</c:v>
                </c:pt>
                <c:pt idx="5">
                  <c:v>Puno</c:v>
                </c:pt>
                <c:pt idx="6">
                  <c:v>Piura</c:v>
                </c:pt>
                <c:pt idx="7">
                  <c:v>Lambayeque</c:v>
                </c:pt>
                <c:pt idx="8">
                  <c:v>Ancash</c:v>
                </c:pt>
                <c:pt idx="9">
                  <c:v>Tacna</c:v>
                </c:pt>
              </c:strCache>
            </c:strRef>
          </c:cat>
          <c:val>
            <c:numRef>
              <c:f>'BARRAS HORIZONTALES'!$T$12:$T$21</c:f>
              <c:numCache>
                <c:formatCode>_-* #,##0_-;\-* #,##0_-;_-* "-"??_-;_-@_-</c:formatCode>
                <c:ptCount val="10"/>
                <c:pt idx="0">
                  <c:v>41218.47714699991</c:v>
                </c:pt>
                <c:pt idx="1">
                  <c:v>2590.5024399999993</c:v>
                </c:pt>
                <c:pt idx="2">
                  <c:v>3751.0049399999994</c:v>
                </c:pt>
                <c:pt idx="3">
                  <c:v>1264.2742489999998</c:v>
                </c:pt>
                <c:pt idx="4">
                  <c:v>3.1502000000000002E-2</c:v>
                </c:pt>
                <c:pt idx="5">
                  <c:v>1908.6684220000004</c:v>
                </c:pt>
                <c:pt idx="6">
                  <c:v>4</c:v>
                </c:pt>
                <c:pt idx="7">
                  <c:v>704.25742400000001</c:v>
                </c:pt>
                <c:pt idx="8">
                  <c:v>9.6126410000000018</c:v>
                </c:pt>
                <c:pt idx="9">
                  <c:v>26.716000000000001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3-4858-A38E-49B29F79C8A5}"/>
            </c:ext>
          </c:extLst>
        </c:ser>
        <c:ser>
          <c:idx val="3"/>
          <c:order val="3"/>
          <c:tx>
            <c:strRef>
              <c:f>'BARRAS HORIZONTALES'!$S$11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'BARRAS HORIZONTALES'!$S$12:$S$21</c:f>
              <c:numCache>
                <c:formatCode>General</c:formatCode>
                <c:ptCount val="10"/>
                <c:pt idx="0">
                  <c:v>23454</c:v>
                </c:pt>
                <c:pt idx="1">
                  <c:v>2456</c:v>
                </c:pt>
                <c:pt idx="2">
                  <c:v>3567</c:v>
                </c:pt>
                <c:pt idx="3">
                  <c:v>3423</c:v>
                </c:pt>
                <c:pt idx="4">
                  <c:v>355</c:v>
                </c:pt>
                <c:pt idx="6">
                  <c:v>9</c:v>
                </c:pt>
                <c:pt idx="7">
                  <c:v>123</c:v>
                </c:pt>
                <c:pt idx="8">
                  <c:v>8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1-4094-9AB0-4D71364D0797}"/>
            </c:ext>
          </c:extLst>
        </c:ser>
        <c:ser>
          <c:idx val="4"/>
          <c:order val="4"/>
          <c:tx>
            <c:strRef>
              <c:f>'BARRAS HORIZONTALES'!$R$11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'BARRAS HORIZONTALES'!$R$12:$R$21</c:f>
              <c:numCache>
                <c:formatCode>General</c:formatCode>
                <c:ptCount val="10"/>
                <c:pt idx="0">
                  <c:v>32879</c:v>
                </c:pt>
                <c:pt idx="1">
                  <c:v>5424</c:v>
                </c:pt>
                <c:pt idx="2">
                  <c:v>3563</c:v>
                </c:pt>
                <c:pt idx="3">
                  <c:v>2342</c:v>
                </c:pt>
                <c:pt idx="4">
                  <c:v>342</c:v>
                </c:pt>
                <c:pt idx="5">
                  <c:v>2346</c:v>
                </c:pt>
                <c:pt idx="6">
                  <c:v>0</c:v>
                </c:pt>
                <c:pt idx="7">
                  <c:v>32</c:v>
                </c:pt>
                <c:pt idx="8">
                  <c:v>12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1-4094-9AB0-4D71364D0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5451744"/>
        <c:axId val="165452704"/>
      </c:barChart>
      <c:catAx>
        <c:axId val="165451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5452704"/>
        <c:crosses val="autoZero"/>
        <c:auto val="1"/>
        <c:lblAlgn val="ctr"/>
        <c:lblOffset val="100"/>
        <c:noMultiLvlLbl val="0"/>
      </c:catAx>
      <c:valAx>
        <c:axId val="165452704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16545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71577361453336"/>
          <c:y val="0.93024430399716962"/>
          <c:w val="0.45318443847147782"/>
          <c:h val="4.0229133112292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734786</xdr:colOff>
      <xdr:row>4</xdr:row>
      <xdr:rowOff>185058</xdr:rowOff>
    </xdr:from>
    <xdr:to>
      <xdr:col>6</xdr:col>
      <xdr:colOff>27214</xdr:colOff>
      <xdr:row>17</xdr:row>
      <xdr:rowOff>21771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6C7AA8-78F4-5BFA-99BB-D70922ECF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756557</xdr:colOff>
      <xdr:row>5</xdr:row>
      <xdr:rowOff>32657</xdr:rowOff>
    </xdr:from>
    <xdr:to>
      <xdr:col>5</xdr:col>
      <xdr:colOff>745671</xdr:colOff>
      <xdr:row>9</xdr:row>
      <xdr:rowOff>43542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2206AF-D255-4DD3-9242-3323ADC73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719137</xdr:colOff>
      <xdr:row>9</xdr:row>
      <xdr:rowOff>80960</xdr:rowOff>
    </xdr:from>
    <xdr:to>
      <xdr:col>8</xdr:col>
      <xdr:colOff>0</xdr:colOff>
      <xdr:row>25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EC0BFC-95DF-29F7-57C0-824F828D6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A60A-753E-48F1-9B33-A5254BBB9CF4}">
  <dimension ref="B3:J13"/>
  <sheetViews>
    <sheetView topLeftCell="A2" zoomScale="145" zoomScaleNormal="145" workbookViewId="0">
      <selection activeCell="H14" sqref="H14"/>
    </sheetView>
  </sheetViews>
  <sheetFormatPr baseColWidth="10" defaultColWidth="11.44140625" defaultRowHeight="14.4" x14ac:dyDescent="0.3"/>
  <cols>
    <col min="1" max="8" width="11.44140625" style="1"/>
    <col min="9" max="9" width="12.77734375" style="1" bestFit="1" customWidth="1"/>
    <col min="10" max="16384" width="11.44140625" style="1"/>
  </cols>
  <sheetData>
    <row r="3" spans="2:10" x14ac:dyDescent="0.3">
      <c r="B3" s="27" t="s">
        <v>2</v>
      </c>
      <c r="C3" s="27"/>
      <c r="D3" s="27"/>
      <c r="E3" s="27"/>
      <c r="F3" s="27"/>
    </row>
    <row r="4" spans="2:10" x14ac:dyDescent="0.3">
      <c r="B4" s="28" t="s">
        <v>3</v>
      </c>
      <c r="C4" s="28"/>
      <c r="D4" s="28"/>
      <c r="E4" s="28"/>
      <c r="F4" s="28"/>
    </row>
    <row r="6" spans="2:10" x14ac:dyDescent="0.3">
      <c r="H6" s="4" t="s">
        <v>4</v>
      </c>
      <c r="I6" s="4" t="s">
        <v>5</v>
      </c>
      <c r="J6" s="4" t="s">
        <v>6</v>
      </c>
    </row>
    <row r="7" spans="2:10" x14ac:dyDescent="0.3">
      <c r="H7" s="2">
        <v>2019</v>
      </c>
      <c r="I7" s="34">
        <v>1327</v>
      </c>
      <c r="J7" s="10"/>
    </row>
    <row r="8" spans="2:10" x14ac:dyDescent="0.3">
      <c r="H8" s="2">
        <v>2020</v>
      </c>
      <c r="I8" s="34">
        <v>1263</v>
      </c>
      <c r="J8" s="35">
        <f>+I8/I7-1</f>
        <v>-4.8229088168801781E-2</v>
      </c>
    </row>
    <row r="9" spans="2:10" x14ac:dyDescent="0.3">
      <c r="H9" s="2">
        <v>2021</v>
      </c>
      <c r="I9" s="34">
        <v>1445</v>
      </c>
      <c r="J9" s="35">
        <f>+I9/I8-1</f>
        <v>0.14410134600158364</v>
      </c>
    </row>
    <row r="10" spans="2:10" x14ac:dyDescent="0.3">
      <c r="H10" s="2">
        <v>2022</v>
      </c>
      <c r="I10" s="34">
        <v>1371</v>
      </c>
      <c r="J10" s="35">
        <f>+I10/I9-1</f>
        <v>-5.1211072664359869E-2</v>
      </c>
    </row>
    <row r="11" spans="2:10" x14ac:dyDescent="0.3">
      <c r="H11" s="2">
        <v>2023</v>
      </c>
      <c r="I11" s="34">
        <v>2381</v>
      </c>
      <c r="J11" s="35">
        <f>+I11/I10-1</f>
        <v>0.73668854850474097</v>
      </c>
    </row>
    <row r="12" spans="2:10" x14ac:dyDescent="0.3">
      <c r="H12" s="2">
        <v>2024</v>
      </c>
      <c r="I12" s="34">
        <v>2077</v>
      </c>
      <c r="J12" s="35">
        <f>+I12/I11-1</f>
        <v>-0.12767744645107093</v>
      </c>
    </row>
    <row r="13" spans="2:10" x14ac:dyDescent="0.3">
      <c r="I13" s="36"/>
      <c r="J13" s="36"/>
    </row>
  </sheetData>
  <mergeCells count="2">
    <mergeCell ref="B3:F3"/>
    <mergeCell ref="B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D3AA-C76A-4B9A-A1BB-4AB012B58972}">
  <dimension ref="B5:Z25"/>
  <sheetViews>
    <sheetView tabSelected="1" topLeftCell="H8" zoomScale="79" zoomScaleNormal="85" workbookViewId="0">
      <selection activeCell="Q13" sqref="Q13"/>
    </sheetView>
  </sheetViews>
  <sheetFormatPr baseColWidth="10" defaultColWidth="11.44140625" defaultRowHeight="14.4" x14ac:dyDescent="0.3"/>
  <cols>
    <col min="1" max="6" width="11.44140625" style="1"/>
    <col min="7" max="7" width="15.109375" style="1" customWidth="1"/>
    <col min="8" max="9" width="11.44140625" style="1"/>
    <col min="10" max="10" width="3.88671875" style="1" customWidth="1"/>
    <col min="11" max="11" width="11.44140625" style="1"/>
    <col min="12" max="12" width="3.33203125" style="1" customWidth="1"/>
    <col min="13" max="16" width="11.44140625" style="1"/>
    <col min="17" max="17" width="15.6640625" style="1" bestFit="1" customWidth="1"/>
    <col min="18" max="19" width="15.6640625" style="1" customWidth="1"/>
    <col min="20" max="22" width="14.44140625" style="1" bestFit="1" customWidth="1"/>
    <col min="23" max="16384" width="11.44140625" style="1"/>
  </cols>
  <sheetData>
    <row r="5" spans="2:26" x14ac:dyDescent="0.3">
      <c r="C5" s="27" t="s">
        <v>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2:26" x14ac:dyDescent="0.3">
      <c r="B6" s="28" t="s">
        <v>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9" spans="2:26" x14ac:dyDescent="0.3"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2:26" x14ac:dyDescent="0.3">
      <c r="B10" s="18"/>
      <c r="I10" s="13" t="s">
        <v>19</v>
      </c>
      <c r="K10" s="13" t="s">
        <v>20</v>
      </c>
      <c r="M10" s="13" t="s">
        <v>21</v>
      </c>
      <c r="N10" s="19"/>
      <c r="P10" s="26"/>
      <c r="Q10" s="26"/>
      <c r="R10" s="26"/>
      <c r="S10" s="26"/>
      <c r="T10" s="29" t="s">
        <v>17</v>
      </c>
      <c r="U10" s="29"/>
      <c r="V10" s="29"/>
      <c r="W10" s="30" t="s">
        <v>22</v>
      </c>
      <c r="X10" s="31"/>
      <c r="Y10" s="32"/>
    </row>
    <row r="11" spans="2:26" x14ac:dyDescent="0.3">
      <c r="B11" s="18"/>
      <c r="N11" s="19"/>
      <c r="P11" s="6" t="s">
        <v>8</v>
      </c>
      <c r="Q11" s="7" t="s">
        <v>18</v>
      </c>
      <c r="R11" s="33">
        <v>2020</v>
      </c>
      <c r="S11" s="33">
        <v>2021</v>
      </c>
      <c r="T11" s="33">
        <v>2022</v>
      </c>
      <c r="U11" s="33">
        <v>2023</v>
      </c>
      <c r="V11" s="33">
        <v>2024</v>
      </c>
      <c r="W11" s="8" t="s">
        <v>23</v>
      </c>
      <c r="X11" s="8" t="s">
        <v>24</v>
      </c>
      <c r="Y11" s="8" t="s">
        <v>25</v>
      </c>
    </row>
    <row r="12" spans="2:26" ht="39.75" customHeight="1" x14ac:dyDescent="0.3">
      <c r="B12" s="18"/>
      <c r="I12" s="24">
        <f t="shared" ref="I12:I21" si="0">+W12</f>
        <v>0.67334680882710762</v>
      </c>
      <c r="J12" s="24"/>
      <c r="K12" s="24">
        <f>+X12</f>
        <v>-0.16679650523685197</v>
      </c>
      <c r="L12" s="24"/>
      <c r="M12" s="24">
        <f>+Y12</f>
        <v>-1.2017573104220469E-2</v>
      </c>
      <c r="N12" s="19"/>
      <c r="P12" s="10">
        <v>1</v>
      </c>
      <c r="Q12" s="11" t="s">
        <v>26</v>
      </c>
      <c r="R12" s="11">
        <v>32879</v>
      </c>
      <c r="S12" s="11">
        <v>23454</v>
      </c>
      <c r="T12" s="25">
        <v>41218.47714699991</v>
      </c>
      <c r="U12" s="25">
        <v>37597.97</v>
      </c>
      <c r="V12" s="25">
        <v>31326.76</v>
      </c>
      <c r="W12" s="9">
        <f>+V12/$V$22</f>
        <v>0.67334680882710762</v>
      </c>
      <c r="X12" s="9">
        <f>IF(AND(U12=0,V12=0),0,IF(U12=0,1,(V12/U12-1)))</f>
        <v>-0.16679650523685197</v>
      </c>
      <c r="Y12" s="9">
        <f>IF(AND(R12=0,V12=0),0,IF(R12=0,1,((V12/R12)^(1/4)-1)))</f>
        <v>-1.2017573104220469E-2</v>
      </c>
      <c r="Z12" s="5"/>
    </row>
    <row r="13" spans="2:26" ht="39.75" customHeight="1" x14ac:dyDescent="0.3">
      <c r="B13" s="18"/>
      <c r="I13" s="24">
        <f t="shared" si="0"/>
        <v>0.14731742525786715</v>
      </c>
      <c r="J13" s="24"/>
      <c r="K13" s="24">
        <f t="shared" ref="K13:K21" si="1">+X13</f>
        <v>6.1926431374736524E-2</v>
      </c>
      <c r="L13" s="24"/>
      <c r="M13" s="24">
        <f t="shared" ref="M13:M21" si="2">+Y13</f>
        <v>6.0236565607476811E-2</v>
      </c>
      <c r="N13" s="19"/>
      <c r="P13" s="10">
        <v>2</v>
      </c>
      <c r="Q13" s="11" t="s">
        <v>1</v>
      </c>
      <c r="R13" s="11">
        <v>5424</v>
      </c>
      <c r="S13" s="11">
        <v>2456</v>
      </c>
      <c r="T13" s="25">
        <v>2590.5024399999993</v>
      </c>
      <c r="U13" s="25">
        <v>6454.11</v>
      </c>
      <c r="V13" s="25">
        <v>6853.79</v>
      </c>
      <c r="W13" s="9">
        <f t="shared" ref="W12:W21" si="3">+V13/$V$22</f>
        <v>0.14731742525786715</v>
      </c>
      <c r="X13" s="9">
        <f t="shared" ref="X13:X20" si="4">IF(AND(U13=0,V13=0),0,IF(U13=0,1,(V13/U13-1)))</f>
        <v>6.1926431374736524E-2</v>
      </c>
      <c r="Y13" s="9">
        <f t="shared" ref="Y13:Y21" si="5">IF(AND(R13=0,V13=0),0,IF(R13=0,1,((V13/R13)^(1/4)-1)))</f>
        <v>6.0236565607476811E-2</v>
      </c>
    </row>
    <row r="14" spans="2:26" ht="39.75" customHeight="1" x14ac:dyDescent="0.3">
      <c r="B14" s="18"/>
      <c r="I14" s="24">
        <f t="shared" si="0"/>
        <v>8.6045125995293625E-2</v>
      </c>
      <c r="J14" s="24"/>
      <c r="K14" s="24">
        <f t="shared" si="1"/>
        <v>0.67663195985960911</v>
      </c>
      <c r="L14" s="24"/>
      <c r="M14" s="24">
        <f t="shared" si="2"/>
        <v>2.9548432079516962E-2</v>
      </c>
      <c r="N14" s="19"/>
      <c r="P14" s="10">
        <v>3</v>
      </c>
      <c r="Q14" s="11" t="s">
        <v>10</v>
      </c>
      <c r="R14" s="11">
        <v>3563</v>
      </c>
      <c r="S14" s="11">
        <v>3567</v>
      </c>
      <c r="T14" s="25">
        <v>3751.0049399999994</v>
      </c>
      <c r="U14" s="25">
        <v>2387.62</v>
      </c>
      <c r="V14" s="25">
        <v>4003.16</v>
      </c>
      <c r="W14" s="9">
        <f t="shared" si="3"/>
        <v>8.6045125995293625E-2</v>
      </c>
      <c r="X14" s="9">
        <f t="shared" si="4"/>
        <v>0.67663195985960911</v>
      </c>
      <c r="Y14" s="9">
        <f t="shared" si="5"/>
        <v>2.9548432079516962E-2</v>
      </c>
    </row>
    <row r="15" spans="2:26" ht="39.75" customHeight="1" x14ac:dyDescent="0.3">
      <c r="B15" s="18"/>
      <c r="I15" s="24">
        <f t="shared" si="0"/>
        <v>5.9637012842414974E-2</v>
      </c>
      <c r="J15" s="24"/>
      <c r="K15" s="24">
        <f t="shared" si="1"/>
        <v>-0.348187667824849</v>
      </c>
      <c r="L15" s="24"/>
      <c r="M15" s="24">
        <f t="shared" si="2"/>
        <v>4.3281283559902128E-2</v>
      </c>
      <c r="N15" s="19"/>
      <c r="P15" s="10">
        <v>4</v>
      </c>
      <c r="Q15" s="11" t="s">
        <v>11</v>
      </c>
      <c r="R15" s="11">
        <v>2342</v>
      </c>
      <c r="S15" s="11">
        <v>3423</v>
      </c>
      <c r="T15" s="25">
        <v>1264.2742489999998</v>
      </c>
      <c r="U15" s="25">
        <v>4256.67</v>
      </c>
      <c r="V15" s="25">
        <v>2774.55</v>
      </c>
      <c r="W15" s="9">
        <f t="shared" si="3"/>
        <v>5.9637012842414974E-2</v>
      </c>
      <c r="X15" s="9">
        <f t="shared" si="4"/>
        <v>-0.348187667824849</v>
      </c>
      <c r="Y15" s="9">
        <f t="shared" si="5"/>
        <v>4.3281283559902128E-2</v>
      </c>
    </row>
    <row r="16" spans="2:26" ht="39.75" customHeight="1" x14ac:dyDescent="0.3">
      <c r="B16" s="18"/>
      <c r="I16" s="24">
        <f t="shared" si="0"/>
        <v>1.2930326653191175E-2</v>
      </c>
      <c r="J16" s="24"/>
      <c r="K16" s="24">
        <f t="shared" si="1"/>
        <v>0.69748017720590338</v>
      </c>
      <c r="L16" s="24"/>
      <c r="M16" s="24">
        <f t="shared" si="2"/>
        <v>0.15163542614608549</v>
      </c>
      <c r="N16" s="19"/>
      <c r="P16" s="10">
        <v>5</v>
      </c>
      <c r="Q16" s="11" t="s">
        <v>12</v>
      </c>
      <c r="R16" s="11">
        <v>342</v>
      </c>
      <c r="S16" s="11">
        <v>355</v>
      </c>
      <c r="T16" s="25">
        <v>3.1502000000000002E-2</v>
      </c>
      <c r="U16" s="25">
        <v>354.39</v>
      </c>
      <c r="V16" s="25">
        <v>601.57000000000005</v>
      </c>
      <c r="W16" s="9">
        <f t="shared" si="3"/>
        <v>1.2930326653191175E-2</v>
      </c>
      <c r="X16" s="9">
        <f t="shared" si="4"/>
        <v>0.69748017720590338</v>
      </c>
      <c r="Y16" s="9">
        <f t="shared" si="5"/>
        <v>0.15163542614608549</v>
      </c>
    </row>
    <row r="17" spans="2:25" ht="39.75" customHeight="1" x14ac:dyDescent="0.3">
      <c r="B17" s="18"/>
      <c r="I17" s="24">
        <f t="shared" si="0"/>
        <v>1.1828098897858224E-2</v>
      </c>
      <c r="J17" s="24"/>
      <c r="K17" s="24">
        <f t="shared" si="1"/>
        <v>-0.34646445452602082</v>
      </c>
      <c r="L17" s="24"/>
      <c r="M17" s="24">
        <f t="shared" si="2"/>
        <v>-0.30406944735232122</v>
      </c>
      <c r="N17" s="19"/>
      <c r="P17" s="10">
        <v>6</v>
      </c>
      <c r="Q17" s="11" t="s">
        <v>0</v>
      </c>
      <c r="R17" s="11">
        <v>2346</v>
      </c>
      <c r="S17" s="11"/>
      <c r="T17" s="25">
        <v>1908.6684220000004</v>
      </c>
      <c r="U17" s="25">
        <v>842.02</v>
      </c>
      <c r="V17" s="25">
        <v>550.29</v>
      </c>
      <c r="W17" s="9">
        <f t="shared" si="3"/>
        <v>1.1828098897858224E-2</v>
      </c>
      <c r="X17" s="9">
        <f t="shared" si="4"/>
        <v>-0.34646445452602082</v>
      </c>
      <c r="Y17" s="9">
        <f>IF(AND(R17=0,V17=0),0,IF(R17=0,1,((V17/R17)^(1/4)-1)))</f>
        <v>-0.30406944735232122</v>
      </c>
    </row>
    <row r="18" spans="2:25" ht="39.75" customHeight="1" x14ac:dyDescent="0.3">
      <c r="B18" s="18"/>
      <c r="I18" s="24">
        <f t="shared" si="0"/>
        <v>4.6427690162230391E-3</v>
      </c>
      <c r="J18" s="24"/>
      <c r="K18" s="24">
        <f t="shared" si="1"/>
        <v>2.8918918918918921</v>
      </c>
      <c r="L18" s="24"/>
      <c r="M18" s="24">
        <f t="shared" si="2"/>
        <v>1</v>
      </c>
      <c r="N18" s="19"/>
      <c r="P18" s="10">
        <v>7</v>
      </c>
      <c r="Q18" s="11" t="s">
        <v>13</v>
      </c>
      <c r="R18" s="11">
        <v>0</v>
      </c>
      <c r="S18" s="11">
        <v>9</v>
      </c>
      <c r="T18" s="25">
        <v>4</v>
      </c>
      <c r="U18" s="25">
        <v>55.5</v>
      </c>
      <c r="V18" s="25">
        <v>216</v>
      </c>
      <c r="W18" s="9">
        <f t="shared" si="3"/>
        <v>4.6427690162230391E-3</v>
      </c>
      <c r="X18" s="9">
        <f t="shared" si="4"/>
        <v>2.8918918918918921</v>
      </c>
      <c r="Y18" s="9">
        <f t="shared" si="5"/>
        <v>1</v>
      </c>
    </row>
    <row r="19" spans="2:25" ht="39.75" customHeight="1" x14ac:dyDescent="0.3">
      <c r="B19" s="18"/>
      <c r="I19" s="24">
        <f t="shared" si="0"/>
        <v>1.9989699930960309E-3</v>
      </c>
      <c r="J19" s="24"/>
      <c r="K19" s="24">
        <f t="shared" si="1"/>
        <v>-0.21079429735234223</v>
      </c>
      <c r="L19" s="24"/>
      <c r="M19" s="24">
        <f t="shared" si="2"/>
        <v>0.30566944979318245</v>
      </c>
      <c r="N19" s="19"/>
      <c r="P19" s="10">
        <v>8</v>
      </c>
      <c r="Q19" s="11" t="s">
        <v>14</v>
      </c>
      <c r="R19" s="11">
        <v>32</v>
      </c>
      <c r="S19" s="11">
        <v>123</v>
      </c>
      <c r="T19" s="25">
        <v>704.25742400000001</v>
      </c>
      <c r="U19" s="25">
        <v>117.84</v>
      </c>
      <c r="V19" s="25">
        <v>93</v>
      </c>
      <c r="W19" s="9">
        <f t="shared" si="3"/>
        <v>1.9989699930960309E-3</v>
      </c>
      <c r="X19" s="9">
        <f t="shared" si="4"/>
        <v>-0.21079429735234223</v>
      </c>
      <c r="Y19" s="9">
        <f t="shared" si="5"/>
        <v>0.30566944979318245</v>
      </c>
    </row>
    <row r="20" spans="2:25" ht="39.75" customHeight="1" x14ac:dyDescent="0.3">
      <c r="B20" s="18"/>
      <c r="I20" s="24">
        <f t="shared" si="0"/>
        <v>6.2655887418009999E-4</v>
      </c>
      <c r="J20" s="24"/>
      <c r="K20" s="24">
        <f t="shared" si="1"/>
        <v>9.5615942028985508</v>
      </c>
      <c r="L20" s="24"/>
      <c r="M20" s="24">
        <f t="shared" si="2"/>
        <v>0.2484303793567364</v>
      </c>
      <c r="N20" s="19"/>
      <c r="P20" s="10">
        <v>9</v>
      </c>
      <c r="Q20" s="11" t="s">
        <v>15</v>
      </c>
      <c r="R20" s="11">
        <v>12</v>
      </c>
      <c r="S20" s="11">
        <v>8</v>
      </c>
      <c r="T20" s="25">
        <v>9.6126410000000018</v>
      </c>
      <c r="U20" s="25">
        <v>2.76</v>
      </c>
      <c r="V20" s="25">
        <v>29.15</v>
      </c>
      <c r="W20" s="9">
        <f t="shared" si="3"/>
        <v>6.2655887418009999E-4</v>
      </c>
      <c r="X20" s="9">
        <f t="shared" si="4"/>
        <v>9.5615942028985508</v>
      </c>
      <c r="Y20" s="9">
        <f t="shared" si="5"/>
        <v>0.2484303793567364</v>
      </c>
    </row>
    <row r="21" spans="2:25" ht="39.75" customHeight="1" x14ac:dyDescent="0.3">
      <c r="B21" s="18"/>
      <c r="I21" s="24">
        <f t="shared" si="0"/>
        <v>5.4273110027607289E-4</v>
      </c>
      <c r="J21" s="24"/>
      <c r="K21" s="24">
        <f t="shared" si="1"/>
        <v>57.720930232558139</v>
      </c>
      <c r="L21" s="24"/>
      <c r="M21" s="24">
        <f t="shared" si="2"/>
        <v>4.7153917811305845E-2</v>
      </c>
      <c r="N21" s="19"/>
      <c r="P21" s="10">
        <v>10</v>
      </c>
      <c r="Q21" s="11" t="s">
        <v>16</v>
      </c>
      <c r="R21" s="11">
        <v>21</v>
      </c>
      <c r="S21" s="11">
        <v>32</v>
      </c>
      <c r="T21" s="25">
        <v>26.716000000000001</v>
      </c>
      <c r="U21" s="25">
        <v>0.43</v>
      </c>
      <c r="V21" s="25">
        <v>25.25</v>
      </c>
      <c r="W21" s="9">
        <f t="shared" si="3"/>
        <v>5.4273110027607289E-4</v>
      </c>
      <c r="X21" s="9">
        <f>IF(AND(U21=0,V21=0),0,IF(U21=0,1,(V21/U21-1)))</f>
        <v>57.720930232558139</v>
      </c>
      <c r="Y21" s="9">
        <f t="shared" si="5"/>
        <v>4.7153917811305845E-2</v>
      </c>
    </row>
    <row r="22" spans="2:25" x14ac:dyDescent="0.3">
      <c r="B22" s="18"/>
      <c r="I22" s="14"/>
      <c r="J22" s="14"/>
      <c r="N22" s="19"/>
      <c r="P22" s="12"/>
      <c r="Q22" s="12" t="s">
        <v>7</v>
      </c>
      <c r="R22" s="12"/>
      <c r="S22" s="12"/>
      <c r="T22" s="23">
        <v>51791.476527999905</v>
      </c>
      <c r="U22" s="23">
        <v>52180.780000000006</v>
      </c>
      <c r="V22" s="23">
        <v>46523.959999999992</v>
      </c>
      <c r="W22" s="9">
        <v>1</v>
      </c>
      <c r="X22" s="11"/>
      <c r="Y22" s="3"/>
    </row>
    <row r="23" spans="2:25" x14ac:dyDescent="0.3">
      <c r="B23" s="18"/>
      <c r="N23" s="19"/>
    </row>
    <row r="24" spans="2:25" x14ac:dyDescent="0.3">
      <c r="B24" s="18"/>
      <c r="N24" s="19"/>
    </row>
    <row r="25" spans="2:25" x14ac:dyDescent="0.3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</row>
  </sheetData>
  <mergeCells count="4">
    <mergeCell ref="T10:V10"/>
    <mergeCell ref="C5:N5"/>
    <mergeCell ref="B6:N6"/>
    <mergeCell ref="W10:Y10"/>
  </mergeCells>
  <conditionalFormatting sqref="J12:J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{6001DC31-4F60-4028-9A5D-B317D2132C9D}</x14:id>
        </ext>
      </extLst>
    </cfRule>
  </conditionalFormatting>
  <conditionalFormatting sqref="K12:K21">
    <cfRule type="cellIs" dxfId="1" priority="2" operator="lessThan">
      <formula>0</formula>
    </cfRule>
  </conditionalFormatting>
  <conditionalFormatting sqref="M12:M21">
    <cfRule type="cellIs" dxfId="0" priority="1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01DC31-4F60-4028-9A5D-B317D2132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J12:J21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D9A3E-BE1D-46B9-8434-29B78AD4B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BARRAS VERTICALES</vt:lpstr>
      <vt:lpstr>BARRAS HORIZONTALES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Rojas</dc:creator>
  <cp:lastModifiedBy>Sofia</cp:lastModifiedBy>
  <dcterms:created xsi:type="dcterms:W3CDTF">2023-07-10T16:24:38Z</dcterms:created>
  <dcterms:modified xsi:type="dcterms:W3CDTF">2025-06-27T16:38:30Z</dcterms:modified>
</cp:coreProperties>
</file>