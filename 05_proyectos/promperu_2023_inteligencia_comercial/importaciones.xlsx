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P\Downloads\"/>
    </mc:Choice>
  </mc:AlternateContent>
  <xr:revisionPtr revIDLastSave="0" documentId="13_ncr:1_{9D51BEFE-CA72-4D08-BFA1-51F5167ACC4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MPOR QUINUA" sheetId="2" r:id="rId1"/>
    <sheet name="IMPO TOTAL" sheetId="1" r:id="rId2"/>
    <sheet name="Hoja2" sheetId="3" r:id="rId3"/>
  </sheets>
  <definedNames>
    <definedName name="IMPORTACIONTOTAL">'IMPO TOTAL'!$A$1:$F$236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2" l="1"/>
  <c r="W4" i="2"/>
  <c r="X4" i="2"/>
  <c r="Y4" i="2"/>
  <c r="Z4" i="2"/>
  <c r="V5" i="2"/>
  <c r="W5" i="2"/>
  <c r="X5" i="2"/>
  <c r="Y5" i="2"/>
  <c r="Z5" i="2"/>
  <c r="V6" i="2"/>
  <c r="W6" i="2"/>
  <c r="X6" i="2"/>
  <c r="Y6" i="2"/>
  <c r="Z6" i="2"/>
  <c r="V7" i="2"/>
  <c r="W7" i="2"/>
  <c r="X7" i="2"/>
  <c r="Y7" i="2"/>
  <c r="Z7" i="2"/>
  <c r="V8" i="2"/>
  <c r="W8" i="2"/>
  <c r="X8" i="2"/>
  <c r="Y8" i="2"/>
  <c r="Z8" i="2"/>
  <c r="V9" i="2"/>
  <c r="W9" i="2"/>
  <c r="X9" i="2"/>
  <c r="Y9" i="2"/>
  <c r="Z9" i="2"/>
  <c r="V10" i="2"/>
  <c r="W10" i="2"/>
  <c r="X10" i="2"/>
  <c r="Y10" i="2"/>
  <c r="Z10" i="2"/>
  <c r="V11" i="2"/>
  <c r="W11" i="2"/>
  <c r="X11" i="2"/>
  <c r="Y11" i="2"/>
  <c r="Z11" i="2"/>
  <c r="V12" i="2"/>
  <c r="W12" i="2"/>
  <c r="X12" i="2"/>
  <c r="Y12" i="2"/>
  <c r="Z12" i="2"/>
  <c r="V13" i="2"/>
  <c r="W13" i="2"/>
  <c r="X13" i="2"/>
  <c r="Y13" i="2"/>
  <c r="Z13" i="2"/>
  <c r="V14" i="2"/>
  <c r="W14" i="2"/>
  <c r="X14" i="2"/>
  <c r="Y14" i="2"/>
  <c r="Z14" i="2"/>
  <c r="V15" i="2"/>
  <c r="W15" i="2"/>
  <c r="X15" i="2"/>
  <c r="Y15" i="2"/>
  <c r="Z15" i="2"/>
  <c r="V16" i="2"/>
  <c r="W16" i="2"/>
  <c r="X16" i="2"/>
  <c r="Y16" i="2"/>
  <c r="Z16" i="2"/>
  <c r="V17" i="2"/>
  <c r="W17" i="2"/>
  <c r="X17" i="2"/>
  <c r="Y17" i="2"/>
  <c r="Z17" i="2"/>
  <c r="V18" i="2"/>
  <c r="W18" i="2"/>
  <c r="X18" i="2"/>
  <c r="Y18" i="2"/>
  <c r="Z18" i="2"/>
  <c r="V19" i="2"/>
  <c r="W19" i="2"/>
  <c r="X19" i="2"/>
  <c r="Y19" i="2"/>
  <c r="Z19" i="2"/>
  <c r="V20" i="2"/>
  <c r="W20" i="2"/>
  <c r="X20" i="2"/>
  <c r="Y20" i="2"/>
  <c r="Z20" i="2"/>
  <c r="V21" i="2"/>
  <c r="W21" i="2"/>
  <c r="X21" i="2"/>
  <c r="Y21" i="2"/>
  <c r="Z21" i="2"/>
  <c r="V22" i="2"/>
  <c r="W22" i="2"/>
  <c r="X22" i="2"/>
  <c r="Y22" i="2"/>
  <c r="Z22" i="2"/>
  <c r="V23" i="2"/>
  <c r="W23" i="2"/>
  <c r="X23" i="2"/>
  <c r="Y23" i="2"/>
  <c r="Z23" i="2"/>
  <c r="V24" i="2"/>
  <c r="W24" i="2"/>
  <c r="X24" i="2"/>
  <c r="Y24" i="2"/>
  <c r="Z24" i="2"/>
  <c r="V25" i="2"/>
  <c r="W25" i="2"/>
  <c r="X25" i="2"/>
  <c r="Y25" i="2"/>
  <c r="Z25" i="2"/>
  <c r="V26" i="2"/>
  <c r="W26" i="2"/>
  <c r="X26" i="2"/>
  <c r="Y26" i="2"/>
  <c r="Z26" i="2"/>
  <c r="V27" i="2"/>
  <c r="W27" i="2"/>
  <c r="X27" i="2"/>
  <c r="Y27" i="2"/>
  <c r="Z27" i="2"/>
  <c r="V28" i="2"/>
  <c r="W28" i="2"/>
  <c r="X28" i="2"/>
  <c r="Y28" i="2"/>
  <c r="Z28" i="2"/>
  <c r="V29" i="2"/>
  <c r="W29" i="2"/>
  <c r="X29" i="2"/>
  <c r="Y29" i="2"/>
  <c r="Z29" i="2"/>
  <c r="V30" i="2"/>
  <c r="W30" i="2"/>
  <c r="X30" i="2"/>
  <c r="Y30" i="2"/>
  <c r="Z30" i="2"/>
  <c r="V31" i="2"/>
  <c r="W31" i="2"/>
  <c r="X31" i="2"/>
  <c r="Y31" i="2"/>
  <c r="Z31" i="2"/>
  <c r="V32" i="2"/>
  <c r="W32" i="2"/>
  <c r="X32" i="2"/>
  <c r="Y32" i="2"/>
  <c r="Z32" i="2"/>
  <c r="V33" i="2"/>
  <c r="W33" i="2"/>
  <c r="X33" i="2"/>
  <c r="Y33" i="2"/>
  <c r="Z33" i="2"/>
  <c r="V34" i="2"/>
  <c r="W34" i="2"/>
  <c r="X34" i="2"/>
  <c r="Y34" i="2"/>
  <c r="Z34" i="2"/>
  <c r="V35" i="2"/>
  <c r="W35" i="2"/>
  <c r="X35" i="2"/>
  <c r="Y35" i="2"/>
  <c r="Z35" i="2"/>
  <c r="V36" i="2"/>
  <c r="W36" i="2"/>
  <c r="X36" i="2"/>
  <c r="Y36" i="2"/>
  <c r="Z36" i="2"/>
  <c r="V37" i="2"/>
  <c r="W37" i="2"/>
  <c r="X37" i="2"/>
  <c r="Y37" i="2"/>
  <c r="Z37" i="2"/>
  <c r="V38" i="2"/>
  <c r="W38" i="2"/>
  <c r="X38" i="2"/>
  <c r="Y38" i="2"/>
  <c r="Z38" i="2"/>
  <c r="V39" i="2"/>
  <c r="W39" i="2"/>
  <c r="X39" i="2"/>
  <c r="Y39" i="2"/>
  <c r="Z39" i="2"/>
  <c r="V40" i="2"/>
  <c r="W40" i="2"/>
  <c r="X40" i="2"/>
  <c r="Y40" i="2"/>
  <c r="Z40" i="2"/>
  <c r="V41" i="2"/>
  <c r="W41" i="2"/>
  <c r="X41" i="2"/>
  <c r="Y41" i="2"/>
  <c r="Z41" i="2"/>
  <c r="V42" i="2"/>
  <c r="W42" i="2"/>
  <c r="X42" i="2"/>
  <c r="Y42" i="2"/>
  <c r="Z42" i="2"/>
  <c r="V43" i="2"/>
  <c r="W43" i="2"/>
  <c r="X43" i="2"/>
  <c r="Y43" i="2"/>
  <c r="Z43" i="2"/>
  <c r="V44" i="2"/>
  <c r="W44" i="2"/>
  <c r="X44" i="2"/>
  <c r="Y44" i="2"/>
  <c r="Z44" i="2"/>
  <c r="V45" i="2"/>
  <c r="W45" i="2"/>
  <c r="X45" i="2"/>
  <c r="Y45" i="2"/>
  <c r="Z45" i="2"/>
  <c r="V46" i="2"/>
  <c r="W46" i="2"/>
  <c r="X46" i="2"/>
  <c r="Y46" i="2"/>
  <c r="Z46" i="2"/>
  <c r="V47" i="2"/>
  <c r="W47" i="2"/>
  <c r="X47" i="2"/>
  <c r="Y47" i="2"/>
  <c r="Z47" i="2"/>
  <c r="V48" i="2"/>
  <c r="W48" i="2"/>
  <c r="X48" i="2"/>
  <c r="Y48" i="2"/>
  <c r="Z48" i="2"/>
  <c r="V49" i="2"/>
  <c r="W49" i="2"/>
  <c r="X49" i="2"/>
  <c r="Y49" i="2"/>
  <c r="Z49" i="2"/>
  <c r="V50" i="2"/>
  <c r="W50" i="2"/>
  <c r="X50" i="2"/>
  <c r="Y50" i="2"/>
  <c r="Z50" i="2"/>
  <c r="V51" i="2"/>
  <c r="W51" i="2"/>
  <c r="X51" i="2"/>
  <c r="Y51" i="2"/>
  <c r="Z51" i="2"/>
  <c r="V52" i="2"/>
  <c r="W52" i="2"/>
  <c r="X52" i="2"/>
  <c r="Y52" i="2"/>
  <c r="Z52" i="2"/>
  <c r="V53" i="2"/>
  <c r="W53" i="2"/>
  <c r="X53" i="2"/>
  <c r="Y53" i="2"/>
  <c r="Z53" i="2"/>
  <c r="V54" i="2"/>
  <c r="W54" i="2"/>
  <c r="X54" i="2"/>
  <c r="Y54" i="2"/>
  <c r="Z54" i="2"/>
  <c r="V55" i="2"/>
  <c r="W55" i="2"/>
  <c r="X55" i="2"/>
  <c r="Y55" i="2"/>
  <c r="Z55" i="2"/>
  <c r="V56" i="2"/>
  <c r="W56" i="2"/>
  <c r="X56" i="2"/>
  <c r="Y56" i="2"/>
  <c r="Z56" i="2"/>
  <c r="V57" i="2"/>
  <c r="W57" i="2"/>
  <c r="X57" i="2"/>
  <c r="Y57" i="2"/>
  <c r="Z57" i="2"/>
  <c r="V58" i="2"/>
  <c r="W58" i="2"/>
  <c r="X58" i="2"/>
  <c r="Y58" i="2"/>
  <c r="Z58" i="2"/>
  <c r="V59" i="2"/>
  <c r="W59" i="2"/>
  <c r="X59" i="2"/>
  <c r="Y59" i="2"/>
  <c r="Z59" i="2"/>
  <c r="V60" i="2"/>
  <c r="W60" i="2"/>
  <c r="X60" i="2"/>
  <c r="Y60" i="2"/>
  <c r="Z60" i="2"/>
  <c r="V61" i="2"/>
  <c r="W61" i="2"/>
  <c r="X61" i="2"/>
  <c r="Y61" i="2"/>
  <c r="Z61" i="2"/>
  <c r="V62" i="2"/>
  <c r="W62" i="2"/>
  <c r="X62" i="2"/>
  <c r="Y62" i="2"/>
  <c r="Z62" i="2"/>
  <c r="V63" i="2"/>
  <c r="W63" i="2"/>
  <c r="X63" i="2"/>
  <c r="Y63" i="2"/>
  <c r="Z63" i="2"/>
  <c r="V64" i="2"/>
  <c r="W64" i="2"/>
  <c r="X64" i="2"/>
  <c r="Y64" i="2"/>
  <c r="Z64" i="2"/>
  <c r="V65" i="2"/>
  <c r="W65" i="2"/>
  <c r="X65" i="2"/>
  <c r="Y65" i="2"/>
  <c r="Z65" i="2"/>
  <c r="V66" i="2"/>
  <c r="W66" i="2"/>
  <c r="X66" i="2"/>
  <c r="Y66" i="2"/>
  <c r="Z66" i="2"/>
  <c r="V67" i="2"/>
  <c r="W67" i="2"/>
  <c r="X67" i="2"/>
  <c r="Y67" i="2"/>
  <c r="Z67" i="2"/>
  <c r="V68" i="2"/>
  <c r="W68" i="2"/>
  <c r="X68" i="2"/>
  <c r="Y68" i="2"/>
  <c r="Z68" i="2"/>
  <c r="V69" i="2"/>
  <c r="W69" i="2"/>
  <c r="X69" i="2"/>
  <c r="Y69" i="2"/>
  <c r="Z69" i="2"/>
  <c r="V70" i="2"/>
  <c r="W70" i="2"/>
  <c r="X70" i="2"/>
  <c r="Y70" i="2"/>
  <c r="Z70" i="2"/>
  <c r="V71" i="2"/>
  <c r="W71" i="2"/>
  <c r="X71" i="2"/>
  <c r="Y71" i="2"/>
  <c r="Z71" i="2"/>
  <c r="V72" i="2"/>
  <c r="W72" i="2"/>
  <c r="X72" i="2"/>
  <c r="Y72" i="2"/>
  <c r="Z72" i="2"/>
  <c r="V73" i="2"/>
  <c r="W73" i="2"/>
  <c r="X73" i="2"/>
  <c r="Y73" i="2"/>
  <c r="Z73" i="2"/>
  <c r="V74" i="2"/>
  <c r="W74" i="2"/>
  <c r="X74" i="2"/>
  <c r="Y74" i="2"/>
  <c r="Z74" i="2"/>
  <c r="V75" i="2"/>
  <c r="W75" i="2"/>
  <c r="X75" i="2"/>
  <c r="Y75" i="2"/>
  <c r="Z75" i="2"/>
  <c r="V76" i="2"/>
  <c r="W76" i="2"/>
  <c r="X76" i="2"/>
  <c r="Y76" i="2"/>
  <c r="Z76" i="2"/>
  <c r="V77" i="2"/>
  <c r="W77" i="2"/>
  <c r="X77" i="2"/>
  <c r="Y77" i="2"/>
  <c r="Z77" i="2"/>
  <c r="V78" i="2"/>
  <c r="W78" i="2"/>
  <c r="X78" i="2"/>
  <c r="Y78" i="2"/>
  <c r="Z78" i="2"/>
  <c r="V79" i="2"/>
  <c r="W79" i="2"/>
  <c r="X79" i="2"/>
  <c r="Y79" i="2"/>
  <c r="Z79" i="2"/>
  <c r="V80" i="2"/>
  <c r="W80" i="2"/>
  <c r="X80" i="2"/>
  <c r="Y80" i="2"/>
  <c r="Z80" i="2"/>
  <c r="V81" i="2"/>
  <c r="W81" i="2"/>
  <c r="X81" i="2"/>
  <c r="Y81" i="2"/>
  <c r="Z81" i="2"/>
  <c r="V82" i="2"/>
  <c r="W82" i="2"/>
  <c r="X82" i="2"/>
  <c r="Y82" i="2"/>
  <c r="Z82" i="2"/>
  <c r="V83" i="2"/>
  <c r="W83" i="2"/>
  <c r="X83" i="2"/>
  <c r="Y83" i="2"/>
  <c r="Z83" i="2"/>
  <c r="V84" i="2"/>
  <c r="W84" i="2"/>
  <c r="X84" i="2"/>
  <c r="Y84" i="2"/>
  <c r="Z84" i="2"/>
  <c r="V85" i="2"/>
  <c r="W85" i="2"/>
  <c r="X85" i="2"/>
  <c r="Y85" i="2"/>
  <c r="Z85" i="2"/>
  <c r="V86" i="2"/>
  <c r="W86" i="2"/>
  <c r="X86" i="2"/>
  <c r="Y86" i="2"/>
  <c r="Z86" i="2"/>
  <c r="V87" i="2"/>
  <c r="W87" i="2"/>
  <c r="X87" i="2"/>
  <c r="Y87" i="2"/>
  <c r="Z87" i="2"/>
  <c r="V88" i="2"/>
  <c r="W88" i="2"/>
  <c r="X88" i="2"/>
  <c r="Y88" i="2"/>
  <c r="Z88" i="2"/>
  <c r="V89" i="2"/>
  <c r="W89" i="2"/>
  <c r="X89" i="2"/>
  <c r="Y89" i="2"/>
  <c r="Z89" i="2"/>
  <c r="V90" i="2"/>
  <c r="W90" i="2"/>
  <c r="X90" i="2"/>
  <c r="Y90" i="2"/>
  <c r="Z90" i="2"/>
  <c r="V91" i="2"/>
  <c r="W91" i="2"/>
  <c r="X91" i="2"/>
  <c r="Y91" i="2"/>
  <c r="Z91" i="2"/>
  <c r="V92" i="2"/>
  <c r="W92" i="2"/>
  <c r="X92" i="2"/>
  <c r="Y92" i="2"/>
  <c r="Z92" i="2"/>
  <c r="V93" i="2"/>
  <c r="W93" i="2"/>
  <c r="X93" i="2"/>
  <c r="Y93" i="2"/>
  <c r="Z93" i="2"/>
  <c r="V94" i="2"/>
  <c r="W94" i="2"/>
  <c r="X94" i="2"/>
  <c r="Y94" i="2"/>
  <c r="Z94" i="2"/>
  <c r="V95" i="2"/>
  <c r="W95" i="2"/>
  <c r="X95" i="2"/>
  <c r="Y95" i="2"/>
  <c r="Z95" i="2"/>
  <c r="V96" i="2"/>
  <c r="W96" i="2"/>
  <c r="X96" i="2"/>
  <c r="Y96" i="2"/>
  <c r="Z96" i="2"/>
  <c r="V97" i="2"/>
  <c r="W97" i="2"/>
  <c r="X97" i="2"/>
  <c r="Y97" i="2"/>
  <c r="Z97" i="2"/>
  <c r="V98" i="2"/>
  <c r="W98" i="2"/>
  <c r="X98" i="2"/>
  <c r="Y98" i="2"/>
  <c r="Z98" i="2"/>
  <c r="V99" i="2"/>
  <c r="W99" i="2"/>
  <c r="X99" i="2"/>
  <c r="Y99" i="2"/>
  <c r="Z99" i="2"/>
  <c r="V100" i="2"/>
  <c r="W100" i="2"/>
  <c r="X100" i="2"/>
  <c r="Y100" i="2"/>
  <c r="Z100" i="2"/>
  <c r="V101" i="2"/>
  <c r="W101" i="2"/>
  <c r="X101" i="2"/>
  <c r="Y101" i="2"/>
  <c r="Z101" i="2"/>
  <c r="V102" i="2"/>
  <c r="W102" i="2"/>
  <c r="X102" i="2"/>
  <c r="Y102" i="2"/>
  <c r="Z102" i="2"/>
  <c r="V103" i="2"/>
  <c r="W103" i="2"/>
  <c r="X103" i="2"/>
  <c r="Y103" i="2"/>
  <c r="Z103" i="2"/>
  <c r="V104" i="2"/>
  <c r="W104" i="2"/>
  <c r="X104" i="2"/>
  <c r="Y104" i="2"/>
  <c r="Z104" i="2"/>
  <c r="V105" i="2"/>
  <c r="W105" i="2"/>
  <c r="X105" i="2"/>
  <c r="Y105" i="2"/>
  <c r="Z105" i="2"/>
  <c r="V106" i="2"/>
  <c r="W106" i="2"/>
  <c r="X106" i="2"/>
  <c r="Y106" i="2"/>
  <c r="Z106" i="2"/>
  <c r="V107" i="2"/>
  <c r="W107" i="2"/>
  <c r="X107" i="2"/>
  <c r="Y107" i="2"/>
  <c r="Z107" i="2"/>
  <c r="V108" i="2"/>
  <c r="W108" i="2"/>
  <c r="X108" i="2"/>
  <c r="Y108" i="2"/>
  <c r="Z108" i="2"/>
  <c r="V109" i="2"/>
  <c r="W109" i="2"/>
  <c r="X109" i="2"/>
  <c r="Y109" i="2"/>
  <c r="Z109" i="2"/>
  <c r="V110" i="2"/>
  <c r="W110" i="2"/>
  <c r="X110" i="2"/>
  <c r="Y110" i="2"/>
  <c r="Z110" i="2"/>
  <c r="V111" i="2"/>
  <c r="W111" i="2"/>
  <c r="X111" i="2"/>
  <c r="Y111" i="2"/>
  <c r="Z111" i="2"/>
  <c r="V112" i="2"/>
  <c r="W112" i="2"/>
  <c r="X112" i="2"/>
  <c r="Y112" i="2"/>
  <c r="Z112" i="2"/>
  <c r="V113" i="2"/>
  <c r="W113" i="2"/>
  <c r="X113" i="2"/>
  <c r="Y113" i="2"/>
  <c r="Z113" i="2"/>
  <c r="V114" i="2"/>
  <c r="W114" i="2"/>
  <c r="X114" i="2"/>
  <c r="Y114" i="2"/>
  <c r="Z114" i="2"/>
  <c r="V115" i="2"/>
  <c r="W115" i="2"/>
  <c r="X115" i="2"/>
  <c r="Y115" i="2"/>
  <c r="Z115" i="2"/>
  <c r="V116" i="2"/>
  <c r="W116" i="2"/>
  <c r="X116" i="2"/>
  <c r="Y116" i="2"/>
  <c r="Z116" i="2"/>
  <c r="V117" i="2"/>
  <c r="W117" i="2"/>
  <c r="X117" i="2"/>
  <c r="Y117" i="2"/>
  <c r="Z117" i="2"/>
  <c r="V118" i="2"/>
  <c r="W118" i="2"/>
  <c r="X118" i="2"/>
  <c r="Y118" i="2"/>
  <c r="Z118" i="2"/>
  <c r="V119" i="2"/>
  <c r="W119" i="2"/>
  <c r="X119" i="2"/>
  <c r="Y119" i="2"/>
  <c r="Z119" i="2"/>
  <c r="V120" i="2"/>
  <c r="W120" i="2"/>
  <c r="X120" i="2"/>
  <c r="Y120" i="2"/>
  <c r="Z120" i="2"/>
  <c r="V121" i="2"/>
  <c r="W121" i="2"/>
  <c r="X121" i="2"/>
  <c r="Y121" i="2"/>
  <c r="Z121" i="2"/>
  <c r="V122" i="2"/>
  <c r="W122" i="2"/>
  <c r="X122" i="2"/>
  <c r="Y122" i="2"/>
  <c r="Z122" i="2"/>
  <c r="V123" i="2"/>
  <c r="W123" i="2"/>
  <c r="X123" i="2"/>
  <c r="Y123" i="2"/>
  <c r="Z123" i="2"/>
  <c r="V124" i="2"/>
  <c r="W124" i="2"/>
  <c r="X124" i="2"/>
  <c r="Y124" i="2"/>
  <c r="Z124" i="2"/>
  <c r="V125" i="2"/>
  <c r="W125" i="2"/>
  <c r="X125" i="2"/>
  <c r="Y125" i="2"/>
  <c r="Z125" i="2"/>
  <c r="V126" i="2"/>
  <c r="W126" i="2"/>
  <c r="X126" i="2"/>
  <c r="Y126" i="2"/>
  <c r="Z126" i="2"/>
  <c r="V127" i="2"/>
  <c r="W127" i="2"/>
  <c r="X127" i="2"/>
  <c r="Y127" i="2"/>
  <c r="Z127" i="2"/>
  <c r="V128" i="2"/>
  <c r="W128" i="2"/>
  <c r="X128" i="2"/>
  <c r="Y128" i="2"/>
  <c r="Z128" i="2"/>
  <c r="V129" i="2"/>
  <c r="W129" i="2"/>
  <c r="X129" i="2"/>
  <c r="Y129" i="2"/>
  <c r="Z129" i="2"/>
  <c r="V130" i="2"/>
  <c r="W130" i="2"/>
  <c r="X130" i="2"/>
  <c r="Y130" i="2"/>
  <c r="Z130" i="2"/>
  <c r="V131" i="2"/>
  <c r="W131" i="2"/>
  <c r="X131" i="2"/>
  <c r="Y131" i="2"/>
  <c r="Z131" i="2"/>
  <c r="V132" i="2"/>
  <c r="W132" i="2"/>
  <c r="X132" i="2"/>
  <c r="Y132" i="2"/>
  <c r="Z132" i="2"/>
  <c r="V133" i="2"/>
  <c r="W133" i="2"/>
  <c r="X133" i="2"/>
  <c r="Y133" i="2"/>
  <c r="Z133" i="2"/>
  <c r="V134" i="2"/>
  <c r="W134" i="2"/>
  <c r="X134" i="2"/>
  <c r="Y134" i="2"/>
  <c r="Z134" i="2"/>
  <c r="V135" i="2"/>
  <c r="W135" i="2"/>
  <c r="X135" i="2"/>
  <c r="Y135" i="2"/>
  <c r="Z135" i="2"/>
  <c r="V136" i="2"/>
  <c r="W136" i="2"/>
  <c r="X136" i="2"/>
  <c r="Y136" i="2"/>
  <c r="Z136" i="2"/>
  <c r="V137" i="2"/>
  <c r="W137" i="2"/>
  <c r="X137" i="2"/>
  <c r="Y137" i="2"/>
  <c r="Z137" i="2"/>
  <c r="V138" i="2"/>
  <c r="W138" i="2"/>
  <c r="X138" i="2"/>
  <c r="Y138" i="2"/>
  <c r="Z138" i="2"/>
  <c r="V139" i="2"/>
  <c r="W139" i="2"/>
  <c r="X139" i="2"/>
  <c r="Y139" i="2"/>
  <c r="Z139" i="2"/>
  <c r="V140" i="2"/>
  <c r="W140" i="2"/>
  <c r="X140" i="2"/>
  <c r="Y140" i="2"/>
  <c r="Z140" i="2"/>
  <c r="V141" i="2"/>
  <c r="W141" i="2"/>
  <c r="X141" i="2"/>
  <c r="Y141" i="2"/>
  <c r="Z141" i="2"/>
  <c r="V142" i="2"/>
  <c r="W142" i="2"/>
  <c r="X142" i="2"/>
  <c r="Y142" i="2"/>
  <c r="Z142" i="2"/>
  <c r="V143" i="2"/>
  <c r="W143" i="2"/>
  <c r="X143" i="2"/>
  <c r="Y143" i="2"/>
  <c r="Z143" i="2"/>
  <c r="V144" i="2"/>
  <c r="W144" i="2"/>
  <c r="X144" i="2"/>
  <c r="Y144" i="2"/>
  <c r="Z144" i="2"/>
  <c r="V145" i="2"/>
  <c r="W145" i="2"/>
  <c r="X145" i="2"/>
  <c r="Y145" i="2"/>
  <c r="Z145" i="2"/>
  <c r="V146" i="2"/>
  <c r="W146" i="2"/>
  <c r="X146" i="2"/>
  <c r="Y146" i="2"/>
  <c r="Z146" i="2"/>
  <c r="V147" i="2"/>
  <c r="W147" i="2"/>
  <c r="X147" i="2"/>
  <c r="Y147" i="2"/>
  <c r="Z147" i="2"/>
  <c r="V148" i="2"/>
  <c r="W148" i="2"/>
  <c r="X148" i="2"/>
  <c r="Y148" i="2"/>
  <c r="Z148" i="2"/>
  <c r="V149" i="2"/>
  <c r="W149" i="2"/>
  <c r="X149" i="2"/>
  <c r="Y149" i="2"/>
  <c r="Z149" i="2"/>
  <c r="V150" i="2"/>
  <c r="W150" i="2"/>
  <c r="X150" i="2"/>
  <c r="Y150" i="2"/>
  <c r="Z150" i="2"/>
  <c r="V151" i="2"/>
  <c r="W151" i="2"/>
  <c r="X151" i="2"/>
  <c r="Y151" i="2"/>
  <c r="Z151" i="2"/>
  <c r="V152" i="2"/>
  <c r="W152" i="2"/>
  <c r="X152" i="2"/>
  <c r="Y152" i="2"/>
  <c r="Z152" i="2"/>
  <c r="V153" i="2"/>
  <c r="W153" i="2"/>
  <c r="X153" i="2"/>
  <c r="Y153" i="2"/>
  <c r="Z153" i="2"/>
  <c r="V154" i="2"/>
  <c r="W154" i="2"/>
  <c r="X154" i="2"/>
  <c r="Y154" i="2"/>
  <c r="Z154" i="2"/>
  <c r="V155" i="2"/>
  <c r="W155" i="2"/>
  <c r="X155" i="2"/>
  <c r="Y155" i="2"/>
  <c r="Z155" i="2"/>
  <c r="V156" i="2"/>
  <c r="W156" i="2"/>
  <c r="X156" i="2"/>
  <c r="Y156" i="2"/>
  <c r="Z156" i="2"/>
  <c r="V157" i="2"/>
  <c r="W157" i="2"/>
  <c r="X157" i="2"/>
  <c r="Y157" i="2"/>
  <c r="Z157" i="2"/>
  <c r="V158" i="2"/>
  <c r="W158" i="2"/>
  <c r="X158" i="2"/>
  <c r="Y158" i="2"/>
  <c r="Z158" i="2"/>
  <c r="V159" i="2"/>
  <c r="W159" i="2"/>
  <c r="X159" i="2"/>
  <c r="Y159" i="2"/>
  <c r="Z159" i="2"/>
  <c r="V160" i="2"/>
  <c r="W160" i="2"/>
  <c r="X160" i="2"/>
  <c r="Y160" i="2"/>
  <c r="Z160" i="2"/>
  <c r="V161" i="2"/>
  <c r="W161" i="2"/>
  <c r="X161" i="2"/>
  <c r="Y161" i="2"/>
  <c r="Z161" i="2"/>
  <c r="V162" i="2"/>
  <c r="W162" i="2"/>
  <c r="X162" i="2"/>
  <c r="Y162" i="2"/>
  <c r="Z162" i="2"/>
  <c r="V163" i="2"/>
  <c r="W163" i="2"/>
  <c r="X163" i="2"/>
  <c r="Y163" i="2"/>
  <c r="Z163" i="2"/>
  <c r="V164" i="2"/>
  <c r="W164" i="2"/>
  <c r="X164" i="2"/>
  <c r="Y164" i="2"/>
  <c r="Z164" i="2"/>
  <c r="V165" i="2"/>
  <c r="W165" i="2"/>
  <c r="X165" i="2"/>
  <c r="Y165" i="2"/>
  <c r="Z165" i="2"/>
  <c r="V166" i="2"/>
  <c r="W166" i="2"/>
  <c r="X166" i="2"/>
  <c r="Y166" i="2"/>
  <c r="Z166" i="2"/>
  <c r="V167" i="2"/>
  <c r="W167" i="2"/>
  <c r="X167" i="2"/>
  <c r="Y167" i="2"/>
  <c r="Z167" i="2"/>
  <c r="V168" i="2"/>
  <c r="W168" i="2"/>
  <c r="X168" i="2"/>
  <c r="Y168" i="2"/>
  <c r="Z168" i="2"/>
  <c r="V169" i="2"/>
  <c r="W169" i="2"/>
  <c r="X169" i="2"/>
  <c r="Y169" i="2"/>
  <c r="Z169" i="2"/>
  <c r="V170" i="2"/>
  <c r="W170" i="2"/>
  <c r="X170" i="2"/>
  <c r="Y170" i="2"/>
  <c r="Z170" i="2"/>
  <c r="V171" i="2"/>
  <c r="W171" i="2"/>
  <c r="X171" i="2"/>
  <c r="Y171" i="2"/>
  <c r="Z171" i="2"/>
  <c r="V172" i="2"/>
  <c r="W172" i="2"/>
  <c r="X172" i="2"/>
  <c r="Y172" i="2"/>
  <c r="Z172" i="2"/>
  <c r="V173" i="2"/>
  <c r="W173" i="2"/>
  <c r="X173" i="2"/>
  <c r="Y173" i="2"/>
  <c r="Z173" i="2"/>
  <c r="V174" i="2"/>
  <c r="W174" i="2"/>
  <c r="X174" i="2"/>
  <c r="Y174" i="2"/>
  <c r="Z174" i="2"/>
  <c r="V175" i="2"/>
  <c r="W175" i="2"/>
  <c r="X175" i="2"/>
  <c r="Y175" i="2"/>
  <c r="Z175" i="2"/>
  <c r="V176" i="2"/>
  <c r="W176" i="2"/>
  <c r="X176" i="2"/>
  <c r="Y176" i="2"/>
  <c r="Z176" i="2"/>
  <c r="V177" i="2"/>
  <c r="W177" i="2"/>
  <c r="X177" i="2"/>
  <c r="Y177" i="2"/>
  <c r="Z177" i="2"/>
  <c r="V178" i="2"/>
  <c r="W178" i="2"/>
  <c r="X178" i="2"/>
  <c r="Y178" i="2"/>
  <c r="Z178" i="2"/>
  <c r="V179" i="2"/>
  <c r="W179" i="2"/>
  <c r="X179" i="2"/>
  <c r="Y179" i="2"/>
  <c r="Z179" i="2"/>
  <c r="V180" i="2"/>
  <c r="W180" i="2"/>
  <c r="X180" i="2"/>
  <c r="Y180" i="2"/>
  <c r="Z180" i="2"/>
  <c r="V181" i="2"/>
  <c r="W181" i="2"/>
  <c r="X181" i="2"/>
  <c r="Y181" i="2"/>
  <c r="Z181" i="2"/>
  <c r="V182" i="2"/>
  <c r="W182" i="2"/>
  <c r="X182" i="2"/>
  <c r="Y182" i="2"/>
  <c r="Z182" i="2"/>
  <c r="V183" i="2"/>
  <c r="W183" i="2"/>
  <c r="X183" i="2"/>
  <c r="Y183" i="2"/>
  <c r="Z183" i="2"/>
  <c r="G2" i="2"/>
  <c r="L2" i="2" s="1"/>
  <c r="H2" i="2"/>
  <c r="I2" i="2"/>
  <c r="J2" i="2"/>
  <c r="K2" i="2"/>
  <c r="M2" i="2"/>
  <c r="N2" i="2"/>
  <c r="O2" i="2"/>
  <c r="P2" i="2"/>
  <c r="G3" i="2"/>
  <c r="L3" i="2" s="1"/>
  <c r="Q3" i="2" s="1"/>
  <c r="V3" i="2" s="1"/>
  <c r="H3" i="2"/>
  <c r="M3" i="2" s="1"/>
  <c r="R3" i="2" s="1"/>
  <c r="W3" i="2" s="1"/>
  <c r="I3" i="2"/>
  <c r="N3" i="2" s="1"/>
  <c r="S3" i="2" s="1"/>
  <c r="X3" i="2" s="1"/>
  <c r="J3" i="2"/>
  <c r="K3" i="2"/>
  <c r="O3" i="2"/>
  <c r="P3" i="2"/>
  <c r="U3" i="2" s="1"/>
  <c r="Z3" i="2" s="1"/>
  <c r="T3" i="2"/>
  <c r="Y3" i="2" s="1"/>
  <c r="G4" i="2"/>
  <c r="H4" i="2"/>
  <c r="M4" i="2" s="1"/>
  <c r="R4" i="2" s="1"/>
  <c r="I4" i="2"/>
  <c r="N4" i="2" s="1"/>
  <c r="S4" i="2" s="1"/>
  <c r="J4" i="2"/>
  <c r="O4" i="2" s="1"/>
  <c r="K4" i="2"/>
  <c r="P4" i="2" s="1"/>
  <c r="U4" i="2" s="1"/>
  <c r="L4" i="2"/>
  <c r="Q4" i="2" s="1"/>
  <c r="T4" i="2"/>
  <c r="G5" i="2"/>
  <c r="H5" i="2"/>
  <c r="I5" i="2"/>
  <c r="J5" i="2"/>
  <c r="K5" i="2"/>
  <c r="L5" i="2"/>
  <c r="Q5" i="2" s="1"/>
  <c r="M5" i="2"/>
  <c r="R5" i="2" s="1"/>
  <c r="N5" i="2"/>
  <c r="S5" i="2" s="1"/>
  <c r="O5" i="2"/>
  <c r="T5" i="2" s="1"/>
  <c r="P5" i="2"/>
  <c r="U5" i="2" s="1"/>
  <c r="G6" i="2"/>
  <c r="L6" i="2" s="1"/>
  <c r="Q6" i="2" s="1"/>
  <c r="H6" i="2"/>
  <c r="M6" i="2" s="1"/>
  <c r="R6" i="2" s="1"/>
  <c r="I6" i="2"/>
  <c r="J6" i="2"/>
  <c r="K6" i="2"/>
  <c r="N6" i="2"/>
  <c r="O6" i="2"/>
  <c r="P6" i="2"/>
  <c r="U6" i="2" s="1"/>
  <c r="T6" i="2"/>
  <c r="G7" i="2"/>
  <c r="H7" i="2"/>
  <c r="M7" i="2" s="1"/>
  <c r="R7" i="2" s="1"/>
  <c r="I7" i="2"/>
  <c r="N7" i="2" s="1"/>
  <c r="S7" i="2" s="1"/>
  <c r="J7" i="2"/>
  <c r="O7" i="2" s="1"/>
  <c r="K7" i="2"/>
  <c r="P7" i="2" s="1"/>
  <c r="U7" i="2" s="1"/>
  <c r="L7" i="2"/>
  <c r="Q7" i="2" s="1"/>
  <c r="T7" i="2"/>
  <c r="G8" i="2"/>
  <c r="H8" i="2"/>
  <c r="I8" i="2"/>
  <c r="J8" i="2"/>
  <c r="K8" i="2"/>
  <c r="L8" i="2"/>
  <c r="Q8" i="2" s="1"/>
  <c r="M8" i="2"/>
  <c r="R8" i="2" s="1"/>
  <c r="N8" i="2"/>
  <c r="O8" i="2"/>
  <c r="T8" i="2" s="1"/>
  <c r="P8" i="2"/>
  <c r="U8" i="2" s="1"/>
  <c r="G9" i="2"/>
  <c r="L9" i="2" s="1"/>
  <c r="Q9" i="2" s="1"/>
  <c r="H9" i="2"/>
  <c r="M9" i="2" s="1"/>
  <c r="R9" i="2" s="1"/>
  <c r="I9" i="2"/>
  <c r="J9" i="2"/>
  <c r="K9" i="2"/>
  <c r="N9" i="2"/>
  <c r="O9" i="2"/>
  <c r="P9" i="2"/>
  <c r="U9" i="2" s="1"/>
  <c r="T9" i="2"/>
  <c r="G10" i="2"/>
  <c r="H10" i="2"/>
  <c r="M10" i="2" s="1"/>
  <c r="R10" i="2" s="1"/>
  <c r="I10" i="2"/>
  <c r="N10" i="2" s="1"/>
  <c r="J10" i="2"/>
  <c r="O10" i="2" s="1"/>
  <c r="K10" i="2"/>
  <c r="P10" i="2" s="1"/>
  <c r="U10" i="2" s="1"/>
  <c r="L10" i="2"/>
  <c r="Q10" i="2" s="1"/>
  <c r="T10" i="2"/>
  <c r="G11" i="2"/>
  <c r="H11" i="2"/>
  <c r="I11" i="2"/>
  <c r="J11" i="2"/>
  <c r="K11" i="2"/>
  <c r="L11" i="2"/>
  <c r="Q11" i="2" s="1"/>
  <c r="M11" i="2"/>
  <c r="R11" i="2" s="1"/>
  <c r="N11" i="2"/>
  <c r="S11" i="2" s="1"/>
  <c r="O11" i="2"/>
  <c r="T11" i="2" s="1"/>
  <c r="P11" i="2"/>
  <c r="U11" i="2" s="1"/>
  <c r="G12" i="2"/>
  <c r="L12" i="2" s="1"/>
  <c r="Q12" i="2" s="1"/>
  <c r="H12" i="2"/>
  <c r="M12" i="2" s="1"/>
  <c r="R12" i="2" s="1"/>
  <c r="I12" i="2"/>
  <c r="J12" i="2"/>
  <c r="K12" i="2"/>
  <c r="N12" i="2"/>
  <c r="O12" i="2"/>
  <c r="P12" i="2"/>
  <c r="U12" i="2" s="1"/>
  <c r="T12" i="2"/>
  <c r="G13" i="2"/>
  <c r="H13" i="2"/>
  <c r="M13" i="2" s="1"/>
  <c r="R13" i="2" s="1"/>
  <c r="I13" i="2"/>
  <c r="N13" i="2" s="1"/>
  <c r="S13" i="2" s="1"/>
  <c r="J13" i="2"/>
  <c r="O13" i="2" s="1"/>
  <c r="K13" i="2"/>
  <c r="P13" i="2" s="1"/>
  <c r="U13" i="2" s="1"/>
  <c r="L13" i="2"/>
  <c r="Q13" i="2" s="1"/>
  <c r="T13" i="2"/>
  <c r="G14" i="2"/>
  <c r="H14" i="2"/>
  <c r="I14" i="2"/>
  <c r="J14" i="2"/>
  <c r="K14" i="2"/>
  <c r="L14" i="2"/>
  <c r="Q14" i="2" s="1"/>
  <c r="M14" i="2"/>
  <c r="R14" i="2" s="1"/>
  <c r="N14" i="2"/>
  <c r="S14" i="2" s="1"/>
  <c r="O14" i="2"/>
  <c r="T14" i="2" s="1"/>
  <c r="P14" i="2"/>
  <c r="U14" i="2" s="1"/>
  <c r="G15" i="2"/>
  <c r="L15" i="2" s="1"/>
  <c r="Q15" i="2" s="1"/>
  <c r="H15" i="2"/>
  <c r="M15" i="2" s="1"/>
  <c r="R15" i="2" s="1"/>
  <c r="I15" i="2"/>
  <c r="N15" i="2" s="1"/>
  <c r="S15" i="2" s="1"/>
  <c r="J15" i="2"/>
  <c r="K15" i="2"/>
  <c r="O15" i="2"/>
  <c r="P15" i="2"/>
  <c r="U15" i="2" s="1"/>
  <c r="T15" i="2"/>
  <c r="G16" i="2"/>
  <c r="H16" i="2"/>
  <c r="M16" i="2" s="1"/>
  <c r="R16" i="2" s="1"/>
  <c r="I16" i="2"/>
  <c r="N16" i="2" s="1"/>
  <c r="S16" i="2" s="1"/>
  <c r="J16" i="2"/>
  <c r="O16" i="2" s="1"/>
  <c r="T16" i="2" s="1"/>
  <c r="K16" i="2"/>
  <c r="P16" i="2" s="1"/>
  <c r="U16" i="2" s="1"/>
  <c r="L16" i="2"/>
  <c r="Q16" i="2" s="1"/>
  <c r="G17" i="2"/>
  <c r="H17" i="2"/>
  <c r="M17" i="2" s="1"/>
  <c r="R17" i="2" s="1"/>
  <c r="I17" i="2"/>
  <c r="J17" i="2"/>
  <c r="K17" i="2"/>
  <c r="L17" i="2"/>
  <c r="Q17" i="2" s="1"/>
  <c r="N17" i="2"/>
  <c r="S17" i="2" s="1"/>
  <c r="O17" i="2"/>
  <c r="T17" i="2" s="1"/>
  <c r="P17" i="2"/>
  <c r="U17" i="2" s="1"/>
  <c r="G18" i="2"/>
  <c r="L18" i="2" s="1"/>
  <c r="Q18" i="2" s="1"/>
  <c r="H18" i="2"/>
  <c r="M18" i="2" s="1"/>
  <c r="R18" i="2" s="1"/>
  <c r="I18" i="2"/>
  <c r="N18" i="2" s="1"/>
  <c r="S18" i="2" s="1"/>
  <c r="J18" i="2"/>
  <c r="K18" i="2"/>
  <c r="O18" i="2"/>
  <c r="P18" i="2"/>
  <c r="U18" i="2" s="1"/>
  <c r="T18" i="2"/>
  <c r="G19" i="2"/>
  <c r="H19" i="2"/>
  <c r="M19" i="2" s="1"/>
  <c r="R19" i="2" s="1"/>
  <c r="I19" i="2"/>
  <c r="N19" i="2" s="1"/>
  <c r="J19" i="2"/>
  <c r="K19" i="2"/>
  <c r="P19" i="2" s="1"/>
  <c r="U19" i="2" s="1"/>
  <c r="L19" i="2"/>
  <c r="Q19" i="2" s="1"/>
  <c r="O19" i="2"/>
  <c r="T19" i="2"/>
  <c r="G20" i="2"/>
  <c r="H20" i="2"/>
  <c r="I20" i="2"/>
  <c r="J20" i="2"/>
  <c r="K20" i="2"/>
  <c r="L20" i="2"/>
  <c r="Q20" i="2" s="1"/>
  <c r="M20" i="2"/>
  <c r="R20" i="2" s="1"/>
  <c r="N20" i="2"/>
  <c r="O20" i="2"/>
  <c r="T20" i="2" s="1"/>
  <c r="P20" i="2"/>
  <c r="U20" i="2" s="1"/>
  <c r="G21" i="2"/>
  <c r="L21" i="2" s="1"/>
  <c r="Q21" i="2" s="1"/>
  <c r="H21" i="2"/>
  <c r="M21" i="2" s="1"/>
  <c r="R21" i="2" s="1"/>
  <c r="I21" i="2"/>
  <c r="N21" i="2" s="1"/>
  <c r="S21" i="2" s="1"/>
  <c r="J21" i="2"/>
  <c r="K21" i="2"/>
  <c r="O21" i="2"/>
  <c r="P21" i="2"/>
  <c r="U21" i="2" s="1"/>
  <c r="T21" i="2"/>
  <c r="G22" i="2"/>
  <c r="H22" i="2"/>
  <c r="M22" i="2" s="1"/>
  <c r="R22" i="2" s="1"/>
  <c r="I22" i="2"/>
  <c r="N22" i="2" s="1"/>
  <c r="S22" i="2" s="1"/>
  <c r="J22" i="2"/>
  <c r="K22" i="2"/>
  <c r="P22" i="2" s="1"/>
  <c r="U22" i="2" s="1"/>
  <c r="L22" i="2"/>
  <c r="Q22" i="2" s="1"/>
  <c r="O22" i="2"/>
  <c r="T22" i="2"/>
  <c r="G23" i="2"/>
  <c r="H23" i="2"/>
  <c r="M23" i="2" s="1"/>
  <c r="R23" i="2" s="1"/>
  <c r="I23" i="2"/>
  <c r="J23" i="2"/>
  <c r="K23" i="2"/>
  <c r="L23" i="2"/>
  <c r="Q23" i="2" s="1"/>
  <c r="N23" i="2"/>
  <c r="O23" i="2"/>
  <c r="T23" i="2" s="1"/>
  <c r="P23" i="2"/>
  <c r="U23" i="2" s="1"/>
  <c r="G24" i="2"/>
  <c r="L24" i="2" s="1"/>
  <c r="Q24" i="2" s="1"/>
  <c r="H24" i="2"/>
  <c r="M24" i="2" s="1"/>
  <c r="R24" i="2" s="1"/>
  <c r="I24" i="2"/>
  <c r="N24" i="2" s="1"/>
  <c r="S24" i="2" s="1"/>
  <c r="J24" i="2"/>
  <c r="K24" i="2"/>
  <c r="O24" i="2"/>
  <c r="P24" i="2"/>
  <c r="U24" i="2" s="1"/>
  <c r="T24" i="2"/>
  <c r="G25" i="2"/>
  <c r="H25" i="2"/>
  <c r="M25" i="2" s="1"/>
  <c r="R25" i="2" s="1"/>
  <c r="I25" i="2"/>
  <c r="N25" i="2" s="1"/>
  <c r="S25" i="2" s="1"/>
  <c r="J25" i="2"/>
  <c r="K25" i="2"/>
  <c r="P25" i="2" s="1"/>
  <c r="U25" i="2" s="1"/>
  <c r="L25" i="2"/>
  <c r="Q25" i="2" s="1"/>
  <c r="O25" i="2"/>
  <c r="T25" i="2"/>
  <c r="G26" i="2"/>
  <c r="H26" i="2"/>
  <c r="I26" i="2"/>
  <c r="J26" i="2"/>
  <c r="K26" i="2"/>
  <c r="L26" i="2"/>
  <c r="Q26" i="2" s="1"/>
  <c r="M26" i="2"/>
  <c r="R26" i="2" s="1"/>
  <c r="N26" i="2"/>
  <c r="O26" i="2"/>
  <c r="T26" i="2" s="1"/>
  <c r="P26" i="2"/>
  <c r="U26" i="2" s="1"/>
  <c r="G27" i="2"/>
  <c r="L27" i="2" s="1"/>
  <c r="Q27" i="2" s="1"/>
  <c r="H27" i="2"/>
  <c r="M27" i="2" s="1"/>
  <c r="R27" i="2" s="1"/>
  <c r="I27" i="2"/>
  <c r="N27" i="2" s="1"/>
  <c r="S27" i="2" s="1"/>
  <c r="J27" i="2"/>
  <c r="K27" i="2"/>
  <c r="O27" i="2"/>
  <c r="P27" i="2"/>
  <c r="U27" i="2" s="1"/>
  <c r="T27" i="2"/>
  <c r="G28" i="2"/>
  <c r="H28" i="2"/>
  <c r="M28" i="2" s="1"/>
  <c r="R28" i="2" s="1"/>
  <c r="I28" i="2"/>
  <c r="J28" i="2"/>
  <c r="K28" i="2"/>
  <c r="P28" i="2" s="1"/>
  <c r="U28" i="2" s="1"/>
  <c r="L28" i="2"/>
  <c r="Q28" i="2" s="1"/>
  <c r="N28" i="2"/>
  <c r="O28" i="2"/>
  <c r="T28" i="2"/>
  <c r="G29" i="2"/>
  <c r="H29" i="2"/>
  <c r="M29" i="2" s="1"/>
  <c r="R29" i="2" s="1"/>
  <c r="I29" i="2"/>
  <c r="J29" i="2"/>
  <c r="K29" i="2"/>
  <c r="L29" i="2"/>
  <c r="Q29" i="2" s="1"/>
  <c r="N29" i="2"/>
  <c r="O29" i="2"/>
  <c r="T29" i="2" s="1"/>
  <c r="P29" i="2"/>
  <c r="U29" i="2" s="1"/>
  <c r="G30" i="2"/>
  <c r="L30" i="2" s="1"/>
  <c r="Q30" i="2" s="1"/>
  <c r="H30" i="2"/>
  <c r="M30" i="2" s="1"/>
  <c r="R30" i="2" s="1"/>
  <c r="I30" i="2"/>
  <c r="N30" i="2" s="1"/>
  <c r="S30" i="2" s="1"/>
  <c r="J30" i="2"/>
  <c r="K30" i="2"/>
  <c r="O30" i="2"/>
  <c r="P30" i="2"/>
  <c r="U30" i="2" s="1"/>
  <c r="T30" i="2"/>
  <c r="G31" i="2"/>
  <c r="H31" i="2"/>
  <c r="M31" i="2" s="1"/>
  <c r="R31" i="2" s="1"/>
  <c r="I31" i="2"/>
  <c r="J31" i="2"/>
  <c r="K31" i="2"/>
  <c r="P31" i="2" s="1"/>
  <c r="U31" i="2" s="1"/>
  <c r="L31" i="2"/>
  <c r="Q31" i="2" s="1"/>
  <c r="N31" i="2"/>
  <c r="O31" i="2"/>
  <c r="S31" i="2"/>
  <c r="T31" i="2"/>
  <c r="G32" i="2"/>
  <c r="H32" i="2"/>
  <c r="M32" i="2" s="1"/>
  <c r="R32" i="2" s="1"/>
  <c r="I32" i="2"/>
  <c r="J32" i="2"/>
  <c r="K32" i="2"/>
  <c r="P32" i="2" s="1"/>
  <c r="U32" i="2" s="1"/>
  <c r="L32" i="2"/>
  <c r="Q32" i="2" s="1"/>
  <c r="N32" i="2"/>
  <c r="O32" i="2"/>
  <c r="T32" i="2" s="1"/>
  <c r="G33" i="2"/>
  <c r="L33" i="2" s="1"/>
  <c r="Q33" i="2" s="1"/>
  <c r="H33" i="2"/>
  <c r="M33" i="2" s="1"/>
  <c r="R33" i="2" s="1"/>
  <c r="I33" i="2"/>
  <c r="N33" i="2" s="1"/>
  <c r="J33" i="2"/>
  <c r="K33" i="2"/>
  <c r="O33" i="2"/>
  <c r="T33" i="2" s="1"/>
  <c r="P33" i="2"/>
  <c r="U33" i="2" s="1"/>
  <c r="S33" i="2"/>
  <c r="G34" i="2"/>
  <c r="L34" i="2" s="1"/>
  <c r="Q34" i="2" s="1"/>
  <c r="H34" i="2"/>
  <c r="M34" i="2" s="1"/>
  <c r="R34" i="2" s="1"/>
  <c r="I34" i="2"/>
  <c r="J34" i="2"/>
  <c r="K34" i="2"/>
  <c r="P34" i="2" s="1"/>
  <c r="U34" i="2" s="1"/>
  <c r="N34" i="2"/>
  <c r="O34" i="2"/>
  <c r="S34" i="2"/>
  <c r="T34" i="2"/>
  <c r="G35" i="2"/>
  <c r="H35" i="2"/>
  <c r="M35" i="2" s="1"/>
  <c r="R35" i="2" s="1"/>
  <c r="I35" i="2"/>
  <c r="N35" i="2" s="1"/>
  <c r="S35" i="2" s="1"/>
  <c r="J35" i="2"/>
  <c r="K35" i="2"/>
  <c r="L35" i="2"/>
  <c r="Q35" i="2" s="1"/>
  <c r="O35" i="2"/>
  <c r="T35" i="2" s="1"/>
  <c r="P35" i="2"/>
  <c r="U35" i="2" s="1"/>
  <c r="G36" i="2"/>
  <c r="L36" i="2" s="1"/>
  <c r="Q36" i="2" s="1"/>
  <c r="H36" i="2"/>
  <c r="M36" i="2" s="1"/>
  <c r="R36" i="2" s="1"/>
  <c r="I36" i="2"/>
  <c r="N36" i="2" s="1"/>
  <c r="S36" i="2" s="1"/>
  <c r="J36" i="2"/>
  <c r="K36" i="2"/>
  <c r="O36" i="2"/>
  <c r="P36" i="2"/>
  <c r="U36" i="2" s="1"/>
  <c r="T36" i="2"/>
  <c r="G37" i="2"/>
  <c r="H37" i="2"/>
  <c r="M37" i="2" s="1"/>
  <c r="R37" i="2" s="1"/>
  <c r="I37" i="2"/>
  <c r="J37" i="2"/>
  <c r="K37" i="2"/>
  <c r="P37" i="2" s="1"/>
  <c r="U37" i="2" s="1"/>
  <c r="L37" i="2"/>
  <c r="Q37" i="2" s="1"/>
  <c r="N37" i="2"/>
  <c r="O37" i="2"/>
  <c r="T37" i="2" s="1"/>
  <c r="S37" i="2"/>
  <c r="G38" i="2"/>
  <c r="H38" i="2"/>
  <c r="M38" i="2" s="1"/>
  <c r="R38" i="2" s="1"/>
  <c r="I38" i="2"/>
  <c r="J38" i="2"/>
  <c r="K38" i="2"/>
  <c r="P38" i="2" s="1"/>
  <c r="U38" i="2" s="1"/>
  <c r="L38" i="2"/>
  <c r="Q38" i="2" s="1"/>
  <c r="N38" i="2"/>
  <c r="O38" i="2"/>
  <c r="T38" i="2" s="1"/>
  <c r="S38" i="2"/>
  <c r="G39" i="2"/>
  <c r="L39" i="2" s="1"/>
  <c r="Q39" i="2" s="1"/>
  <c r="H39" i="2"/>
  <c r="M39" i="2" s="1"/>
  <c r="R39" i="2" s="1"/>
  <c r="I39" i="2"/>
  <c r="N39" i="2" s="1"/>
  <c r="S39" i="2" s="1"/>
  <c r="J39" i="2"/>
  <c r="K39" i="2"/>
  <c r="P39" i="2" s="1"/>
  <c r="U39" i="2" s="1"/>
  <c r="O39" i="2"/>
  <c r="T39" i="2" s="1"/>
  <c r="G40" i="2"/>
  <c r="L40" i="2" s="1"/>
  <c r="Q40" i="2" s="1"/>
  <c r="H40" i="2"/>
  <c r="M40" i="2" s="1"/>
  <c r="R40" i="2" s="1"/>
  <c r="I40" i="2"/>
  <c r="J40" i="2"/>
  <c r="K40" i="2"/>
  <c r="P40" i="2" s="1"/>
  <c r="U40" i="2" s="1"/>
  <c r="N40" i="2"/>
  <c r="O40" i="2"/>
  <c r="T40" i="2" s="1"/>
  <c r="S40" i="2"/>
  <c r="G41" i="2"/>
  <c r="L41" i="2" s="1"/>
  <c r="Q41" i="2" s="1"/>
  <c r="H41" i="2"/>
  <c r="M41" i="2" s="1"/>
  <c r="R41" i="2" s="1"/>
  <c r="I41" i="2"/>
  <c r="J41" i="2"/>
  <c r="K41" i="2"/>
  <c r="P41" i="2" s="1"/>
  <c r="U41" i="2" s="1"/>
  <c r="N41" i="2"/>
  <c r="O41" i="2"/>
  <c r="T41" i="2" s="1"/>
  <c r="S41" i="2"/>
  <c r="G42" i="2"/>
  <c r="L42" i="2" s="1"/>
  <c r="Q42" i="2" s="1"/>
  <c r="H42" i="2"/>
  <c r="M42" i="2" s="1"/>
  <c r="R42" i="2" s="1"/>
  <c r="I42" i="2"/>
  <c r="N42" i="2" s="1"/>
  <c r="J42" i="2"/>
  <c r="K42" i="2"/>
  <c r="O42" i="2"/>
  <c r="T42" i="2" s="1"/>
  <c r="P42" i="2"/>
  <c r="U42" i="2" s="1"/>
  <c r="S42" i="2"/>
  <c r="G43" i="2"/>
  <c r="H43" i="2"/>
  <c r="M43" i="2" s="1"/>
  <c r="R43" i="2" s="1"/>
  <c r="I43" i="2"/>
  <c r="J43" i="2"/>
  <c r="K43" i="2"/>
  <c r="P43" i="2" s="1"/>
  <c r="U43" i="2" s="1"/>
  <c r="L43" i="2"/>
  <c r="Q43" i="2" s="1"/>
  <c r="N43" i="2"/>
  <c r="O43" i="2"/>
  <c r="S43" i="2"/>
  <c r="T43" i="2"/>
  <c r="G44" i="2"/>
  <c r="H44" i="2"/>
  <c r="I44" i="2"/>
  <c r="J44" i="2"/>
  <c r="K44" i="2"/>
  <c r="L44" i="2"/>
  <c r="Q44" i="2" s="1"/>
  <c r="M44" i="2"/>
  <c r="N44" i="2"/>
  <c r="O44" i="2"/>
  <c r="T44" i="2" s="1"/>
  <c r="P44" i="2"/>
  <c r="U44" i="2" s="1"/>
  <c r="R44" i="2"/>
  <c r="S44" i="2"/>
  <c r="G45" i="2"/>
  <c r="L45" i="2" s="1"/>
  <c r="Q45" i="2" s="1"/>
  <c r="H45" i="2"/>
  <c r="M45" i="2" s="1"/>
  <c r="R45" i="2" s="1"/>
  <c r="I45" i="2"/>
  <c r="N45" i="2" s="1"/>
  <c r="J45" i="2"/>
  <c r="K45" i="2"/>
  <c r="O45" i="2"/>
  <c r="T45" i="2" s="1"/>
  <c r="P45" i="2"/>
  <c r="U45" i="2" s="1"/>
  <c r="S45" i="2"/>
  <c r="G46" i="2"/>
  <c r="H46" i="2"/>
  <c r="M46" i="2" s="1"/>
  <c r="R46" i="2" s="1"/>
  <c r="I46" i="2"/>
  <c r="J46" i="2"/>
  <c r="K46" i="2"/>
  <c r="P46" i="2" s="1"/>
  <c r="U46" i="2" s="1"/>
  <c r="L46" i="2"/>
  <c r="Q46" i="2" s="1"/>
  <c r="N46" i="2"/>
  <c r="O46" i="2"/>
  <c r="S46" i="2"/>
  <c r="T46" i="2"/>
  <c r="G47" i="2"/>
  <c r="H47" i="2"/>
  <c r="M47" i="2" s="1"/>
  <c r="R47" i="2" s="1"/>
  <c r="I47" i="2"/>
  <c r="N47" i="2" s="1"/>
  <c r="J47" i="2"/>
  <c r="K47" i="2"/>
  <c r="P47" i="2" s="1"/>
  <c r="U47" i="2" s="1"/>
  <c r="L47" i="2"/>
  <c r="Q47" i="2" s="1"/>
  <c r="O47" i="2"/>
  <c r="T47" i="2" s="1"/>
  <c r="S47" i="2"/>
  <c r="G48" i="2"/>
  <c r="L48" i="2" s="1"/>
  <c r="Q48" i="2" s="1"/>
  <c r="H48" i="2"/>
  <c r="M48" i="2" s="1"/>
  <c r="R48" i="2" s="1"/>
  <c r="I48" i="2"/>
  <c r="N48" i="2" s="1"/>
  <c r="J48" i="2"/>
  <c r="K48" i="2"/>
  <c r="O48" i="2"/>
  <c r="T48" i="2" s="1"/>
  <c r="P48" i="2"/>
  <c r="U48" i="2" s="1"/>
  <c r="S48" i="2"/>
  <c r="G49" i="2"/>
  <c r="L49" i="2" s="1"/>
  <c r="Q49" i="2" s="1"/>
  <c r="H49" i="2"/>
  <c r="M49" i="2" s="1"/>
  <c r="R49" i="2" s="1"/>
  <c r="I49" i="2"/>
  <c r="J49" i="2"/>
  <c r="K49" i="2"/>
  <c r="P49" i="2" s="1"/>
  <c r="U49" i="2" s="1"/>
  <c r="N49" i="2"/>
  <c r="O49" i="2"/>
  <c r="T49" i="2" s="1"/>
  <c r="S49" i="2"/>
  <c r="G50" i="2"/>
  <c r="L50" i="2" s="1"/>
  <c r="Q50" i="2" s="1"/>
  <c r="H50" i="2"/>
  <c r="M50" i="2" s="1"/>
  <c r="R50" i="2" s="1"/>
  <c r="I50" i="2"/>
  <c r="N50" i="2" s="1"/>
  <c r="J50" i="2"/>
  <c r="K50" i="2"/>
  <c r="O50" i="2"/>
  <c r="T50" i="2" s="1"/>
  <c r="P50" i="2"/>
  <c r="U50" i="2" s="1"/>
  <c r="S50" i="2"/>
  <c r="G51" i="2"/>
  <c r="L51" i="2" s="1"/>
  <c r="Q51" i="2" s="1"/>
  <c r="H51" i="2"/>
  <c r="I51" i="2"/>
  <c r="N51" i="2" s="1"/>
  <c r="J51" i="2"/>
  <c r="K51" i="2"/>
  <c r="M51" i="2"/>
  <c r="R51" i="2" s="1"/>
  <c r="O51" i="2"/>
  <c r="T51" i="2" s="1"/>
  <c r="P51" i="2"/>
  <c r="U51" i="2" s="1"/>
  <c r="S51" i="2"/>
  <c r="G52" i="2"/>
  <c r="H52" i="2"/>
  <c r="M52" i="2" s="1"/>
  <c r="R52" i="2" s="1"/>
  <c r="I52" i="2"/>
  <c r="J52" i="2"/>
  <c r="K52" i="2"/>
  <c r="P52" i="2" s="1"/>
  <c r="U52" i="2" s="1"/>
  <c r="L52" i="2"/>
  <c r="Q52" i="2" s="1"/>
  <c r="N52" i="2"/>
  <c r="S52" i="2" s="1"/>
  <c r="O52" i="2"/>
  <c r="T52" i="2" s="1"/>
  <c r="G53" i="2"/>
  <c r="L53" i="2" s="1"/>
  <c r="Q53" i="2" s="1"/>
  <c r="H53" i="2"/>
  <c r="M53" i="2" s="1"/>
  <c r="R53" i="2" s="1"/>
  <c r="I53" i="2"/>
  <c r="N53" i="2" s="1"/>
  <c r="S53" i="2" s="1"/>
  <c r="J53" i="2"/>
  <c r="K53" i="2"/>
  <c r="P53" i="2" s="1"/>
  <c r="U53" i="2" s="1"/>
  <c r="O53" i="2"/>
  <c r="T53" i="2" s="1"/>
  <c r="G54" i="2"/>
  <c r="L54" i="2" s="1"/>
  <c r="Q54" i="2" s="1"/>
  <c r="H54" i="2"/>
  <c r="M54" i="2" s="1"/>
  <c r="R54" i="2" s="1"/>
  <c r="I54" i="2"/>
  <c r="N54" i="2" s="1"/>
  <c r="J54" i="2"/>
  <c r="O54" i="2" s="1"/>
  <c r="T54" i="2" s="1"/>
  <c r="K54" i="2"/>
  <c r="P54" i="2" s="1"/>
  <c r="S54" i="2"/>
  <c r="U54" i="2"/>
  <c r="G55" i="2"/>
  <c r="H55" i="2"/>
  <c r="I55" i="2"/>
  <c r="J55" i="2"/>
  <c r="O55" i="2" s="1"/>
  <c r="T55" i="2" s="1"/>
  <c r="K55" i="2"/>
  <c r="P55" i="2" s="1"/>
  <c r="U55" i="2" s="1"/>
  <c r="L55" i="2"/>
  <c r="Q55" i="2" s="1"/>
  <c r="M55" i="2"/>
  <c r="R55" i="2" s="1"/>
  <c r="N55" i="2"/>
  <c r="S55" i="2" s="1"/>
  <c r="G56" i="2"/>
  <c r="L56" i="2" s="1"/>
  <c r="Q56" i="2" s="1"/>
  <c r="H56" i="2"/>
  <c r="M56" i="2" s="1"/>
  <c r="R56" i="2" s="1"/>
  <c r="I56" i="2"/>
  <c r="J56" i="2"/>
  <c r="K56" i="2"/>
  <c r="P56" i="2" s="1"/>
  <c r="U56" i="2" s="1"/>
  <c r="N56" i="2"/>
  <c r="O56" i="2"/>
  <c r="T56" i="2" s="1"/>
  <c r="S56" i="2"/>
  <c r="G57" i="2"/>
  <c r="H57" i="2"/>
  <c r="M57" i="2" s="1"/>
  <c r="R57" i="2" s="1"/>
  <c r="I57" i="2"/>
  <c r="N57" i="2" s="1"/>
  <c r="S57" i="2" s="1"/>
  <c r="J57" i="2"/>
  <c r="O57" i="2" s="1"/>
  <c r="T57" i="2" s="1"/>
  <c r="K57" i="2"/>
  <c r="P57" i="2" s="1"/>
  <c r="U57" i="2" s="1"/>
  <c r="L57" i="2"/>
  <c r="Q57" i="2" s="1"/>
  <c r="G58" i="2"/>
  <c r="L58" i="2" s="1"/>
  <c r="Q58" i="2" s="1"/>
  <c r="H58" i="2"/>
  <c r="I58" i="2"/>
  <c r="N58" i="2" s="1"/>
  <c r="J58" i="2"/>
  <c r="O58" i="2" s="1"/>
  <c r="T58" i="2" s="1"/>
  <c r="K58" i="2"/>
  <c r="M58" i="2"/>
  <c r="R58" i="2" s="1"/>
  <c r="P58" i="2"/>
  <c r="U58" i="2" s="1"/>
  <c r="S58" i="2"/>
  <c r="G59" i="2"/>
  <c r="L59" i="2" s="1"/>
  <c r="Q59" i="2" s="1"/>
  <c r="H59" i="2"/>
  <c r="M59" i="2" s="1"/>
  <c r="R59" i="2" s="1"/>
  <c r="I59" i="2"/>
  <c r="N59" i="2" s="1"/>
  <c r="S59" i="2" s="1"/>
  <c r="J59" i="2"/>
  <c r="K59" i="2"/>
  <c r="P59" i="2" s="1"/>
  <c r="U59" i="2" s="1"/>
  <c r="O59" i="2"/>
  <c r="T59" i="2" s="1"/>
  <c r="G60" i="2"/>
  <c r="H60" i="2"/>
  <c r="M60" i="2" s="1"/>
  <c r="R60" i="2" s="1"/>
  <c r="I60" i="2"/>
  <c r="N60" i="2" s="1"/>
  <c r="J60" i="2"/>
  <c r="K60" i="2"/>
  <c r="L60" i="2"/>
  <c r="O60" i="2"/>
  <c r="T60" i="2" s="1"/>
  <c r="P60" i="2"/>
  <c r="Q60" i="2"/>
  <c r="S60" i="2"/>
  <c r="U60" i="2"/>
  <c r="G61" i="2"/>
  <c r="L61" i="2" s="1"/>
  <c r="Q61" i="2" s="1"/>
  <c r="H61" i="2"/>
  <c r="M61" i="2" s="1"/>
  <c r="R61" i="2" s="1"/>
  <c r="I61" i="2"/>
  <c r="N61" i="2" s="1"/>
  <c r="S61" i="2" s="1"/>
  <c r="J61" i="2"/>
  <c r="O61" i="2" s="1"/>
  <c r="T61" i="2" s="1"/>
  <c r="K61" i="2"/>
  <c r="P61" i="2" s="1"/>
  <c r="U61" i="2" s="1"/>
  <c r="G62" i="2"/>
  <c r="L62" i="2" s="1"/>
  <c r="Q62" i="2" s="1"/>
  <c r="H62" i="2"/>
  <c r="I62" i="2"/>
  <c r="J62" i="2"/>
  <c r="K62" i="2"/>
  <c r="P62" i="2" s="1"/>
  <c r="U62" i="2" s="1"/>
  <c r="M62" i="2"/>
  <c r="R62" i="2" s="1"/>
  <c r="N62" i="2"/>
  <c r="O62" i="2"/>
  <c r="T62" i="2" s="1"/>
  <c r="S62" i="2"/>
  <c r="G63" i="2"/>
  <c r="L63" i="2" s="1"/>
  <c r="Q63" i="2" s="1"/>
  <c r="H63" i="2"/>
  <c r="M63" i="2" s="1"/>
  <c r="R63" i="2" s="1"/>
  <c r="I63" i="2"/>
  <c r="N63" i="2" s="1"/>
  <c r="J63" i="2"/>
  <c r="O63" i="2" s="1"/>
  <c r="T63" i="2" s="1"/>
  <c r="K63" i="2"/>
  <c r="P63" i="2" s="1"/>
  <c r="S63" i="2"/>
  <c r="U63" i="2"/>
  <c r="G64" i="2"/>
  <c r="H64" i="2"/>
  <c r="I64" i="2"/>
  <c r="J64" i="2"/>
  <c r="O64" i="2" s="1"/>
  <c r="T64" i="2" s="1"/>
  <c r="K64" i="2"/>
  <c r="P64" i="2" s="1"/>
  <c r="U64" i="2" s="1"/>
  <c r="L64" i="2"/>
  <c r="Q64" i="2" s="1"/>
  <c r="M64" i="2"/>
  <c r="R64" i="2" s="1"/>
  <c r="N64" i="2"/>
  <c r="S64" i="2" s="1"/>
  <c r="G65" i="2"/>
  <c r="L65" i="2" s="1"/>
  <c r="Q65" i="2" s="1"/>
  <c r="H65" i="2"/>
  <c r="M65" i="2" s="1"/>
  <c r="R65" i="2" s="1"/>
  <c r="I65" i="2"/>
  <c r="J65" i="2"/>
  <c r="K65" i="2"/>
  <c r="P65" i="2" s="1"/>
  <c r="U65" i="2" s="1"/>
  <c r="N65" i="2"/>
  <c r="O65" i="2"/>
  <c r="S65" i="2"/>
  <c r="T65" i="2"/>
  <c r="G66" i="2"/>
  <c r="H66" i="2"/>
  <c r="M66" i="2" s="1"/>
  <c r="R66" i="2" s="1"/>
  <c r="I66" i="2"/>
  <c r="N66" i="2" s="1"/>
  <c r="S66" i="2" s="1"/>
  <c r="J66" i="2"/>
  <c r="O66" i="2" s="1"/>
  <c r="T66" i="2" s="1"/>
  <c r="K66" i="2"/>
  <c r="P66" i="2" s="1"/>
  <c r="U66" i="2" s="1"/>
  <c r="L66" i="2"/>
  <c r="Q66" i="2" s="1"/>
  <c r="G67" i="2"/>
  <c r="L67" i="2" s="1"/>
  <c r="Q67" i="2" s="1"/>
  <c r="H67" i="2"/>
  <c r="I67" i="2"/>
  <c r="J67" i="2"/>
  <c r="O67" i="2" s="1"/>
  <c r="T67" i="2" s="1"/>
  <c r="K67" i="2"/>
  <c r="M67" i="2"/>
  <c r="R67" i="2" s="1"/>
  <c r="N67" i="2"/>
  <c r="P67" i="2"/>
  <c r="U67" i="2" s="1"/>
  <c r="S67" i="2"/>
  <c r="G68" i="2"/>
  <c r="L68" i="2" s="1"/>
  <c r="Q68" i="2" s="1"/>
  <c r="H68" i="2"/>
  <c r="M68" i="2" s="1"/>
  <c r="R68" i="2" s="1"/>
  <c r="I68" i="2"/>
  <c r="N68" i="2" s="1"/>
  <c r="S68" i="2" s="1"/>
  <c r="J68" i="2"/>
  <c r="O68" i="2" s="1"/>
  <c r="T68" i="2" s="1"/>
  <c r="K68" i="2"/>
  <c r="P68" i="2" s="1"/>
  <c r="U68" i="2" s="1"/>
  <c r="G69" i="2"/>
  <c r="L69" i="2" s="1"/>
  <c r="Q69" i="2" s="1"/>
  <c r="H69" i="2"/>
  <c r="I69" i="2"/>
  <c r="J69" i="2"/>
  <c r="K69" i="2"/>
  <c r="P69" i="2" s="1"/>
  <c r="U69" i="2" s="1"/>
  <c r="M69" i="2"/>
  <c r="R69" i="2" s="1"/>
  <c r="N69" i="2"/>
  <c r="O69" i="2"/>
  <c r="T69" i="2" s="1"/>
  <c r="S69" i="2"/>
  <c r="G70" i="2"/>
  <c r="L70" i="2" s="1"/>
  <c r="Q70" i="2" s="1"/>
  <c r="H70" i="2"/>
  <c r="M70" i="2" s="1"/>
  <c r="R70" i="2" s="1"/>
  <c r="I70" i="2"/>
  <c r="J70" i="2"/>
  <c r="K70" i="2"/>
  <c r="P70" i="2" s="1"/>
  <c r="U70" i="2" s="1"/>
  <c r="N70" i="2"/>
  <c r="O70" i="2"/>
  <c r="T70" i="2" s="1"/>
  <c r="S70" i="2"/>
  <c r="G71" i="2"/>
  <c r="L71" i="2" s="1"/>
  <c r="Q71" i="2" s="1"/>
  <c r="H71" i="2"/>
  <c r="M71" i="2" s="1"/>
  <c r="R71" i="2" s="1"/>
  <c r="I71" i="2"/>
  <c r="N71" i="2" s="1"/>
  <c r="S71" i="2" s="1"/>
  <c r="J71" i="2"/>
  <c r="K71" i="2"/>
  <c r="P71" i="2" s="1"/>
  <c r="U71" i="2" s="1"/>
  <c r="O71" i="2"/>
  <c r="T71" i="2" s="1"/>
  <c r="G72" i="2"/>
  <c r="L72" i="2" s="1"/>
  <c r="Q72" i="2" s="1"/>
  <c r="H72" i="2"/>
  <c r="I72" i="2"/>
  <c r="J72" i="2"/>
  <c r="K72" i="2"/>
  <c r="P72" i="2" s="1"/>
  <c r="U72" i="2" s="1"/>
  <c r="M72" i="2"/>
  <c r="R72" i="2" s="1"/>
  <c r="N72" i="2"/>
  <c r="O72" i="2"/>
  <c r="T72" i="2" s="1"/>
  <c r="S72" i="2"/>
  <c r="G73" i="2"/>
  <c r="L73" i="2" s="1"/>
  <c r="Q73" i="2" s="1"/>
  <c r="H73" i="2"/>
  <c r="M73" i="2" s="1"/>
  <c r="R73" i="2" s="1"/>
  <c r="I73" i="2"/>
  <c r="J73" i="2"/>
  <c r="K73" i="2"/>
  <c r="P73" i="2" s="1"/>
  <c r="U73" i="2" s="1"/>
  <c r="N73" i="2"/>
  <c r="O73" i="2"/>
  <c r="T73" i="2" s="1"/>
  <c r="S73" i="2"/>
  <c r="G74" i="2"/>
  <c r="L74" i="2" s="1"/>
  <c r="Q74" i="2" s="1"/>
  <c r="H74" i="2"/>
  <c r="M74" i="2" s="1"/>
  <c r="R74" i="2" s="1"/>
  <c r="I74" i="2"/>
  <c r="N74" i="2" s="1"/>
  <c r="S74" i="2" s="1"/>
  <c r="J74" i="2"/>
  <c r="K74" i="2"/>
  <c r="P74" i="2" s="1"/>
  <c r="U74" i="2" s="1"/>
  <c r="O74" i="2"/>
  <c r="T74" i="2" s="1"/>
  <c r="G75" i="2"/>
  <c r="L75" i="2" s="1"/>
  <c r="Q75" i="2" s="1"/>
  <c r="H75" i="2"/>
  <c r="I75" i="2"/>
  <c r="J75" i="2"/>
  <c r="K75" i="2"/>
  <c r="P75" i="2" s="1"/>
  <c r="U75" i="2" s="1"/>
  <c r="M75" i="2"/>
  <c r="R75" i="2" s="1"/>
  <c r="N75" i="2"/>
  <c r="O75" i="2"/>
  <c r="T75" i="2" s="1"/>
  <c r="S75" i="2"/>
  <c r="G76" i="2"/>
  <c r="L76" i="2" s="1"/>
  <c r="Q76" i="2" s="1"/>
  <c r="H76" i="2"/>
  <c r="M76" i="2" s="1"/>
  <c r="R76" i="2" s="1"/>
  <c r="I76" i="2"/>
  <c r="J76" i="2"/>
  <c r="K76" i="2"/>
  <c r="P76" i="2" s="1"/>
  <c r="U76" i="2" s="1"/>
  <c r="N76" i="2"/>
  <c r="O76" i="2"/>
  <c r="T76" i="2" s="1"/>
  <c r="S76" i="2"/>
  <c r="G77" i="2"/>
  <c r="L77" i="2" s="1"/>
  <c r="Q77" i="2" s="1"/>
  <c r="H77" i="2"/>
  <c r="M77" i="2" s="1"/>
  <c r="R77" i="2" s="1"/>
  <c r="I77" i="2"/>
  <c r="N77" i="2" s="1"/>
  <c r="S77" i="2" s="1"/>
  <c r="J77" i="2"/>
  <c r="K77" i="2"/>
  <c r="P77" i="2" s="1"/>
  <c r="U77" i="2" s="1"/>
  <c r="O77" i="2"/>
  <c r="T77" i="2" s="1"/>
  <c r="G78" i="2"/>
  <c r="L78" i="2" s="1"/>
  <c r="Q78" i="2" s="1"/>
  <c r="H78" i="2"/>
  <c r="I78" i="2"/>
  <c r="J78" i="2"/>
  <c r="K78" i="2"/>
  <c r="P78" i="2" s="1"/>
  <c r="U78" i="2" s="1"/>
  <c r="M78" i="2"/>
  <c r="R78" i="2" s="1"/>
  <c r="N78" i="2"/>
  <c r="O78" i="2"/>
  <c r="T78" i="2" s="1"/>
  <c r="S78" i="2"/>
  <c r="G79" i="2"/>
  <c r="L79" i="2" s="1"/>
  <c r="Q79" i="2" s="1"/>
  <c r="H79" i="2"/>
  <c r="M79" i="2" s="1"/>
  <c r="R79" i="2" s="1"/>
  <c r="I79" i="2"/>
  <c r="J79" i="2"/>
  <c r="K79" i="2"/>
  <c r="P79" i="2" s="1"/>
  <c r="U79" i="2" s="1"/>
  <c r="N79" i="2"/>
  <c r="O79" i="2"/>
  <c r="T79" i="2" s="1"/>
  <c r="S79" i="2"/>
  <c r="G80" i="2"/>
  <c r="L80" i="2" s="1"/>
  <c r="Q80" i="2" s="1"/>
  <c r="H80" i="2"/>
  <c r="M80" i="2" s="1"/>
  <c r="R80" i="2" s="1"/>
  <c r="I80" i="2"/>
  <c r="N80" i="2" s="1"/>
  <c r="S80" i="2" s="1"/>
  <c r="J80" i="2"/>
  <c r="K80" i="2"/>
  <c r="P80" i="2" s="1"/>
  <c r="U80" i="2" s="1"/>
  <c r="O80" i="2"/>
  <c r="T80" i="2" s="1"/>
  <c r="G81" i="2"/>
  <c r="L81" i="2" s="1"/>
  <c r="Q81" i="2" s="1"/>
  <c r="H81" i="2"/>
  <c r="I81" i="2"/>
  <c r="J81" i="2"/>
  <c r="K81" i="2"/>
  <c r="P81" i="2" s="1"/>
  <c r="U81" i="2" s="1"/>
  <c r="M81" i="2"/>
  <c r="R81" i="2" s="1"/>
  <c r="N81" i="2"/>
  <c r="O81" i="2"/>
  <c r="T81" i="2" s="1"/>
  <c r="S81" i="2"/>
  <c r="G82" i="2"/>
  <c r="L82" i="2" s="1"/>
  <c r="Q82" i="2" s="1"/>
  <c r="H82" i="2"/>
  <c r="M82" i="2" s="1"/>
  <c r="R82" i="2" s="1"/>
  <c r="I82" i="2"/>
  <c r="N82" i="2" s="1"/>
  <c r="J82" i="2"/>
  <c r="K82" i="2"/>
  <c r="P82" i="2" s="1"/>
  <c r="U82" i="2" s="1"/>
  <c r="O82" i="2"/>
  <c r="T82" i="2" s="1"/>
  <c r="S82" i="2"/>
  <c r="G83" i="2"/>
  <c r="L83" i="2" s="1"/>
  <c r="Q83" i="2" s="1"/>
  <c r="H83" i="2"/>
  <c r="I83" i="2"/>
  <c r="N83" i="2" s="1"/>
  <c r="S83" i="2" s="1"/>
  <c r="J83" i="2"/>
  <c r="K83" i="2"/>
  <c r="P83" i="2" s="1"/>
  <c r="U83" i="2" s="1"/>
  <c r="M83" i="2"/>
  <c r="R83" i="2" s="1"/>
  <c r="O83" i="2"/>
  <c r="T83" i="2" s="1"/>
  <c r="G84" i="2"/>
  <c r="L84" i="2" s="1"/>
  <c r="Q84" i="2" s="1"/>
  <c r="H84" i="2"/>
  <c r="I84" i="2"/>
  <c r="J84" i="2"/>
  <c r="K84" i="2"/>
  <c r="P84" i="2" s="1"/>
  <c r="U84" i="2" s="1"/>
  <c r="M84" i="2"/>
  <c r="R84" i="2" s="1"/>
  <c r="N84" i="2"/>
  <c r="O84" i="2"/>
  <c r="T84" i="2" s="1"/>
  <c r="S84" i="2"/>
  <c r="G85" i="2"/>
  <c r="L85" i="2" s="1"/>
  <c r="Q85" i="2" s="1"/>
  <c r="H85" i="2"/>
  <c r="M85" i="2" s="1"/>
  <c r="R85" i="2" s="1"/>
  <c r="I85" i="2"/>
  <c r="J85" i="2"/>
  <c r="K85" i="2"/>
  <c r="P85" i="2" s="1"/>
  <c r="U85" i="2" s="1"/>
  <c r="N85" i="2"/>
  <c r="O85" i="2"/>
  <c r="T85" i="2" s="1"/>
  <c r="S85" i="2"/>
  <c r="G86" i="2"/>
  <c r="L86" i="2" s="1"/>
  <c r="Q86" i="2" s="1"/>
  <c r="H86" i="2"/>
  <c r="M86" i="2" s="1"/>
  <c r="R86" i="2" s="1"/>
  <c r="I86" i="2"/>
  <c r="N86" i="2" s="1"/>
  <c r="S86" i="2" s="1"/>
  <c r="J86" i="2"/>
  <c r="K86" i="2"/>
  <c r="P86" i="2" s="1"/>
  <c r="U86" i="2" s="1"/>
  <c r="O86" i="2"/>
  <c r="T86" i="2" s="1"/>
  <c r="G87" i="2"/>
  <c r="L87" i="2" s="1"/>
  <c r="Q87" i="2" s="1"/>
  <c r="H87" i="2"/>
  <c r="I87" i="2"/>
  <c r="J87" i="2"/>
  <c r="K87" i="2"/>
  <c r="P87" i="2" s="1"/>
  <c r="U87" i="2" s="1"/>
  <c r="M87" i="2"/>
  <c r="R87" i="2" s="1"/>
  <c r="N87" i="2"/>
  <c r="O87" i="2"/>
  <c r="T87" i="2" s="1"/>
  <c r="S87" i="2"/>
  <c r="G88" i="2"/>
  <c r="L88" i="2" s="1"/>
  <c r="Q88" i="2" s="1"/>
  <c r="H88" i="2"/>
  <c r="M88" i="2" s="1"/>
  <c r="R88" i="2" s="1"/>
  <c r="I88" i="2"/>
  <c r="J88" i="2"/>
  <c r="K88" i="2"/>
  <c r="P88" i="2" s="1"/>
  <c r="U88" i="2" s="1"/>
  <c r="N88" i="2"/>
  <c r="O88" i="2"/>
  <c r="T88" i="2" s="1"/>
  <c r="S88" i="2"/>
  <c r="G89" i="2"/>
  <c r="L89" i="2" s="1"/>
  <c r="Q89" i="2" s="1"/>
  <c r="H89" i="2"/>
  <c r="M89" i="2" s="1"/>
  <c r="R89" i="2" s="1"/>
  <c r="I89" i="2"/>
  <c r="N89" i="2" s="1"/>
  <c r="J89" i="2"/>
  <c r="K89" i="2"/>
  <c r="P89" i="2" s="1"/>
  <c r="U89" i="2" s="1"/>
  <c r="O89" i="2"/>
  <c r="T89" i="2" s="1"/>
  <c r="S89" i="2"/>
  <c r="G90" i="2"/>
  <c r="L90" i="2" s="1"/>
  <c r="Q90" i="2" s="1"/>
  <c r="H90" i="2"/>
  <c r="I90" i="2"/>
  <c r="J90" i="2"/>
  <c r="K90" i="2"/>
  <c r="P90" i="2" s="1"/>
  <c r="U90" i="2" s="1"/>
  <c r="M90" i="2"/>
  <c r="R90" i="2" s="1"/>
  <c r="N90" i="2"/>
  <c r="O90" i="2"/>
  <c r="T90" i="2" s="1"/>
  <c r="S90" i="2"/>
  <c r="G91" i="2"/>
  <c r="L91" i="2" s="1"/>
  <c r="Q91" i="2" s="1"/>
  <c r="H91" i="2"/>
  <c r="M91" i="2" s="1"/>
  <c r="R91" i="2" s="1"/>
  <c r="I91" i="2"/>
  <c r="J91" i="2"/>
  <c r="K91" i="2"/>
  <c r="P91" i="2" s="1"/>
  <c r="U91" i="2" s="1"/>
  <c r="N91" i="2"/>
  <c r="O91" i="2"/>
  <c r="T91" i="2" s="1"/>
  <c r="S91" i="2"/>
  <c r="G92" i="2"/>
  <c r="L92" i="2" s="1"/>
  <c r="Q92" i="2" s="1"/>
  <c r="H92" i="2"/>
  <c r="M92" i="2" s="1"/>
  <c r="R92" i="2" s="1"/>
  <c r="I92" i="2"/>
  <c r="N92" i="2" s="1"/>
  <c r="J92" i="2"/>
  <c r="K92" i="2"/>
  <c r="P92" i="2" s="1"/>
  <c r="U92" i="2" s="1"/>
  <c r="O92" i="2"/>
  <c r="T92" i="2" s="1"/>
  <c r="S92" i="2"/>
  <c r="G93" i="2"/>
  <c r="L93" i="2" s="1"/>
  <c r="Q93" i="2" s="1"/>
  <c r="H93" i="2"/>
  <c r="I93" i="2"/>
  <c r="J93" i="2"/>
  <c r="K93" i="2"/>
  <c r="P93" i="2" s="1"/>
  <c r="U93" i="2" s="1"/>
  <c r="M93" i="2"/>
  <c r="R93" i="2" s="1"/>
  <c r="N93" i="2"/>
  <c r="O93" i="2"/>
  <c r="T93" i="2" s="1"/>
  <c r="S93" i="2"/>
  <c r="G94" i="2"/>
  <c r="L94" i="2" s="1"/>
  <c r="Q94" i="2" s="1"/>
  <c r="H94" i="2"/>
  <c r="M94" i="2" s="1"/>
  <c r="R94" i="2" s="1"/>
  <c r="I94" i="2"/>
  <c r="J94" i="2"/>
  <c r="K94" i="2"/>
  <c r="P94" i="2" s="1"/>
  <c r="U94" i="2" s="1"/>
  <c r="N94" i="2"/>
  <c r="O94" i="2"/>
  <c r="T94" i="2" s="1"/>
  <c r="S94" i="2"/>
  <c r="G95" i="2"/>
  <c r="L95" i="2" s="1"/>
  <c r="Q95" i="2" s="1"/>
  <c r="H95" i="2"/>
  <c r="M95" i="2" s="1"/>
  <c r="R95" i="2" s="1"/>
  <c r="I95" i="2"/>
  <c r="N95" i="2" s="1"/>
  <c r="J95" i="2"/>
  <c r="K95" i="2"/>
  <c r="P95" i="2" s="1"/>
  <c r="U95" i="2" s="1"/>
  <c r="O95" i="2"/>
  <c r="T95" i="2" s="1"/>
  <c r="S95" i="2"/>
  <c r="G96" i="2"/>
  <c r="L96" i="2" s="1"/>
  <c r="Q96" i="2" s="1"/>
  <c r="H96" i="2"/>
  <c r="I96" i="2"/>
  <c r="J96" i="2"/>
  <c r="K96" i="2"/>
  <c r="P96" i="2" s="1"/>
  <c r="U96" i="2" s="1"/>
  <c r="M96" i="2"/>
  <c r="R96" i="2" s="1"/>
  <c r="N96" i="2"/>
  <c r="S96" i="2" s="1"/>
  <c r="O96" i="2"/>
  <c r="T96" i="2" s="1"/>
  <c r="G97" i="2"/>
  <c r="L97" i="2" s="1"/>
  <c r="H97" i="2"/>
  <c r="M97" i="2" s="1"/>
  <c r="I97" i="2"/>
  <c r="J97" i="2"/>
  <c r="K97" i="2"/>
  <c r="P97" i="2" s="1"/>
  <c r="U97" i="2" s="1"/>
  <c r="N97" i="2"/>
  <c r="O97" i="2"/>
  <c r="T97" i="2" s="1"/>
  <c r="Q97" i="2"/>
  <c r="R97" i="2"/>
  <c r="S97" i="2"/>
  <c r="G98" i="2"/>
  <c r="L98" i="2" s="1"/>
  <c r="Q98" i="2" s="1"/>
  <c r="H98" i="2"/>
  <c r="M98" i="2" s="1"/>
  <c r="R98" i="2" s="1"/>
  <c r="I98" i="2"/>
  <c r="N98" i="2" s="1"/>
  <c r="J98" i="2"/>
  <c r="O98" i="2" s="1"/>
  <c r="T98" i="2" s="1"/>
  <c r="K98" i="2"/>
  <c r="P98" i="2" s="1"/>
  <c r="U98" i="2" s="1"/>
  <c r="S98" i="2"/>
  <c r="G99" i="2"/>
  <c r="L99" i="2" s="1"/>
  <c r="Q99" i="2" s="1"/>
  <c r="H99" i="2"/>
  <c r="I99" i="2"/>
  <c r="J99" i="2"/>
  <c r="K99" i="2"/>
  <c r="P99" i="2" s="1"/>
  <c r="U99" i="2" s="1"/>
  <c r="M99" i="2"/>
  <c r="R99" i="2" s="1"/>
  <c r="N99" i="2"/>
  <c r="O99" i="2"/>
  <c r="T99" i="2" s="1"/>
  <c r="S99" i="2"/>
  <c r="G100" i="2"/>
  <c r="L100" i="2" s="1"/>
  <c r="Q100" i="2" s="1"/>
  <c r="H100" i="2"/>
  <c r="M100" i="2" s="1"/>
  <c r="I100" i="2"/>
  <c r="J100" i="2"/>
  <c r="K100" i="2"/>
  <c r="P100" i="2" s="1"/>
  <c r="U100" i="2" s="1"/>
  <c r="N100" i="2"/>
  <c r="O100" i="2"/>
  <c r="T100" i="2" s="1"/>
  <c r="R100" i="2"/>
  <c r="S100" i="2"/>
  <c r="G101" i="2"/>
  <c r="L101" i="2" s="1"/>
  <c r="Q101" i="2" s="1"/>
  <c r="H101" i="2"/>
  <c r="M101" i="2" s="1"/>
  <c r="R101" i="2" s="1"/>
  <c r="I101" i="2"/>
  <c r="N101" i="2" s="1"/>
  <c r="J101" i="2"/>
  <c r="K101" i="2"/>
  <c r="P101" i="2" s="1"/>
  <c r="O101" i="2"/>
  <c r="T101" i="2" s="1"/>
  <c r="S101" i="2"/>
  <c r="U101" i="2"/>
  <c r="G102" i="2"/>
  <c r="L102" i="2" s="1"/>
  <c r="Q102" i="2" s="1"/>
  <c r="H102" i="2"/>
  <c r="I102" i="2"/>
  <c r="J102" i="2"/>
  <c r="K102" i="2"/>
  <c r="P102" i="2" s="1"/>
  <c r="U102" i="2" s="1"/>
  <c r="M102" i="2"/>
  <c r="R102" i="2" s="1"/>
  <c r="N102" i="2"/>
  <c r="O102" i="2"/>
  <c r="T102" i="2" s="1"/>
  <c r="S102" i="2"/>
  <c r="G103" i="2"/>
  <c r="L103" i="2" s="1"/>
  <c r="Q103" i="2" s="1"/>
  <c r="H103" i="2"/>
  <c r="M103" i="2" s="1"/>
  <c r="I103" i="2"/>
  <c r="J103" i="2"/>
  <c r="K103" i="2"/>
  <c r="P103" i="2" s="1"/>
  <c r="U103" i="2" s="1"/>
  <c r="N103" i="2"/>
  <c r="S103" i="2" s="1"/>
  <c r="O103" i="2"/>
  <c r="R103" i="2"/>
  <c r="T103" i="2"/>
  <c r="G104" i="2"/>
  <c r="L104" i="2" s="1"/>
  <c r="Q104" i="2" s="1"/>
  <c r="H104" i="2"/>
  <c r="M104" i="2" s="1"/>
  <c r="I104" i="2"/>
  <c r="N104" i="2" s="1"/>
  <c r="S104" i="2" s="1"/>
  <c r="J104" i="2"/>
  <c r="K104" i="2"/>
  <c r="P104" i="2" s="1"/>
  <c r="O104" i="2"/>
  <c r="R104" i="2"/>
  <c r="T104" i="2"/>
  <c r="U104" i="2"/>
  <c r="G105" i="2"/>
  <c r="H105" i="2"/>
  <c r="I105" i="2"/>
  <c r="J105" i="2"/>
  <c r="K105" i="2"/>
  <c r="P105" i="2" s="1"/>
  <c r="U105" i="2" s="1"/>
  <c r="L105" i="2"/>
  <c r="Q105" i="2" s="1"/>
  <c r="M105" i="2"/>
  <c r="R105" i="2" s="1"/>
  <c r="N105" i="2"/>
  <c r="S105" i="2" s="1"/>
  <c r="O105" i="2"/>
  <c r="T105" i="2" s="1"/>
  <c r="G106" i="2"/>
  <c r="L106" i="2" s="1"/>
  <c r="Q106" i="2" s="1"/>
  <c r="H106" i="2"/>
  <c r="M106" i="2" s="1"/>
  <c r="R106" i="2" s="1"/>
  <c r="I106" i="2"/>
  <c r="J106" i="2"/>
  <c r="K106" i="2"/>
  <c r="P106" i="2" s="1"/>
  <c r="U106" i="2" s="1"/>
  <c r="N106" i="2"/>
  <c r="S106" i="2" s="1"/>
  <c r="O106" i="2"/>
  <c r="T106" i="2" s="1"/>
  <c r="G107" i="2"/>
  <c r="L107" i="2" s="1"/>
  <c r="Q107" i="2" s="1"/>
  <c r="H107" i="2"/>
  <c r="M107" i="2" s="1"/>
  <c r="R107" i="2" s="1"/>
  <c r="I107" i="2"/>
  <c r="N107" i="2" s="1"/>
  <c r="S107" i="2" s="1"/>
  <c r="J107" i="2"/>
  <c r="O107" i="2" s="1"/>
  <c r="T107" i="2" s="1"/>
  <c r="K107" i="2"/>
  <c r="P107" i="2" s="1"/>
  <c r="U107" i="2" s="1"/>
  <c r="G108" i="2"/>
  <c r="H108" i="2"/>
  <c r="I108" i="2"/>
  <c r="J108" i="2"/>
  <c r="K108" i="2"/>
  <c r="L108" i="2"/>
  <c r="Q108" i="2" s="1"/>
  <c r="M108" i="2"/>
  <c r="N108" i="2"/>
  <c r="O108" i="2"/>
  <c r="T108" i="2" s="1"/>
  <c r="P108" i="2"/>
  <c r="U108" i="2" s="1"/>
  <c r="R108" i="2"/>
  <c r="S108" i="2"/>
  <c r="G109" i="2"/>
  <c r="L109" i="2" s="1"/>
  <c r="Q109" i="2" s="1"/>
  <c r="H109" i="2"/>
  <c r="I109" i="2"/>
  <c r="J109" i="2"/>
  <c r="O109" i="2" s="1"/>
  <c r="T109" i="2" s="1"/>
  <c r="K109" i="2"/>
  <c r="P109" i="2" s="1"/>
  <c r="U109" i="2" s="1"/>
  <c r="M109" i="2"/>
  <c r="N109" i="2"/>
  <c r="R109" i="2"/>
  <c r="S109" i="2"/>
  <c r="G110" i="2"/>
  <c r="L110" i="2" s="1"/>
  <c r="Q110" i="2" s="1"/>
  <c r="H110" i="2"/>
  <c r="I110" i="2"/>
  <c r="J110" i="2"/>
  <c r="K110" i="2"/>
  <c r="P110" i="2" s="1"/>
  <c r="U110" i="2" s="1"/>
  <c r="M110" i="2"/>
  <c r="R110" i="2" s="1"/>
  <c r="N110" i="2"/>
  <c r="S110" i="2" s="1"/>
  <c r="O110" i="2"/>
  <c r="T110" i="2" s="1"/>
  <c r="G111" i="2"/>
  <c r="L111" i="2" s="1"/>
  <c r="H111" i="2"/>
  <c r="M111" i="2" s="1"/>
  <c r="I111" i="2"/>
  <c r="J111" i="2"/>
  <c r="K111" i="2"/>
  <c r="P111" i="2" s="1"/>
  <c r="U111" i="2" s="1"/>
  <c r="N111" i="2"/>
  <c r="S111" i="2" s="1"/>
  <c r="O111" i="2"/>
  <c r="T111" i="2" s="1"/>
  <c r="Q111" i="2"/>
  <c r="R111" i="2"/>
  <c r="G112" i="2"/>
  <c r="L112" i="2" s="1"/>
  <c r="Q112" i="2" s="1"/>
  <c r="H112" i="2"/>
  <c r="I112" i="2"/>
  <c r="N112" i="2" s="1"/>
  <c r="J112" i="2"/>
  <c r="O112" i="2" s="1"/>
  <c r="T112" i="2" s="1"/>
  <c r="K112" i="2"/>
  <c r="P112" i="2" s="1"/>
  <c r="M112" i="2"/>
  <c r="R112" i="2"/>
  <c r="S112" i="2"/>
  <c r="U112" i="2"/>
  <c r="G113" i="2"/>
  <c r="L113" i="2" s="1"/>
  <c r="Q113" i="2" s="1"/>
  <c r="H113" i="2"/>
  <c r="I113" i="2"/>
  <c r="J113" i="2"/>
  <c r="O113" i="2" s="1"/>
  <c r="T113" i="2" s="1"/>
  <c r="K113" i="2"/>
  <c r="P113" i="2" s="1"/>
  <c r="U113" i="2" s="1"/>
  <c r="M113" i="2"/>
  <c r="R113" i="2" s="1"/>
  <c r="N113" i="2"/>
  <c r="S113" i="2" s="1"/>
  <c r="G114" i="2"/>
  <c r="L114" i="2" s="1"/>
  <c r="H114" i="2"/>
  <c r="M114" i="2" s="1"/>
  <c r="I114" i="2"/>
  <c r="J114" i="2"/>
  <c r="K114" i="2"/>
  <c r="P114" i="2" s="1"/>
  <c r="U114" i="2" s="1"/>
  <c r="N114" i="2"/>
  <c r="O114" i="2"/>
  <c r="T114" i="2" s="1"/>
  <c r="Q114" i="2"/>
  <c r="R114" i="2"/>
  <c r="S114" i="2"/>
  <c r="G115" i="2"/>
  <c r="L115" i="2" s="1"/>
  <c r="Q115" i="2" s="1"/>
  <c r="H115" i="2"/>
  <c r="I115" i="2"/>
  <c r="N115" i="2" s="1"/>
  <c r="J115" i="2"/>
  <c r="O115" i="2" s="1"/>
  <c r="T115" i="2" s="1"/>
  <c r="K115" i="2"/>
  <c r="P115" i="2" s="1"/>
  <c r="U115" i="2" s="1"/>
  <c r="M115" i="2"/>
  <c r="R115" i="2"/>
  <c r="S115" i="2"/>
  <c r="G116" i="2"/>
  <c r="L116" i="2" s="1"/>
  <c r="Q116" i="2" s="1"/>
  <c r="H116" i="2"/>
  <c r="I116" i="2"/>
  <c r="J116" i="2"/>
  <c r="K116" i="2"/>
  <c r="P116" i="2" s="1"/>
  <c r="U116" i="2" s="1"/>
  <c r="M116" i="2"/>
  <c r="R116" i="2" s="1"/>
  <c r="N116" i="2"/>
  <c r="S116" i="2" s="1"/>
  <c r="O116" i="2"/>
  <c r="T116" i="2" s="1"/>
  <c r="G117" i="2"/>
  <c r="L117" i="2" s="1"/>
  <c r="Q117" i="2" s="1"/>
  <c r="H117" i="2"/>
  <c r="M117" i="2" s="1"/>
  <c r="I117" i="2"/>
  <c r="J117" i="2"/>
  <c r="K117" i="2"/>
  <c r="P117" i="2" s="1"/>
  <c r="U117" i="2" s="1"/>
  <c r="N117" i="2"/>
  <c r="S117" i="2" s="1"/>
  <c r="O117" i="2"/>
  <c r="T117" i="2" s="1"/>
  <c r="R117" i="2"/>
  <c r="G118" i="2"/>
  <c r="L118" i="2" s="1"/>
  <c r="Q118" i="2" s="1"/>
  <c r="H118" i="2"/>
  <c r="I118" i="2"/>
  <c r="N118" i="2" s="1"/>
  <c r="J118" i="2"/>
  <c r="O118" i="2" s="1"/>
  <c r="T118" i="2" s="1"/>
  <c r="K118" i="2"/>
  <c r="P118" i="2" s="1"/>
  <c r="M118" i="2"/>
  <c r="R118" i="2"/>
  <c r="S118" i="2"/>
  <c r="U118" i="2"/>
  <c r="G119" i="2"/>
  <c r="L119" i="2" s="1"/>
  <c r="Q119" i="2" s="1"/>
  <c r="H119" i="2"/>
  <c r="I119" i="2"/>
  <c r="J119" i="2"/>
  <c r="K119" i="2"/>
  <c r="P119" i="2" s="1"/>
  <c r="U119" i="2" s="1"/>
  <c r="M119" i="2"/>
  <c r="R119" i="2" s="1"/>
  <c r="N119" i="2"/>
  <c r="S119" i="2" s="1"/>
  <c r="O119" i="2"/>
  <c r="T119" i="2" s="1"/>
  <c r="G120" i="2"/>
  <c r="L120" i="2" s="1"/>
  <c r="Q120" i="2" s="1"/>
  <c r="H120" i="2"/>
  <c r="M120" i="2" s="1"/>
  <c r="R120" i="2" s="1"/>
  <c r="I120" i="2"/>
  <c r="J120" i="2"/>
  <c r="K120" i="2"/>
  <c r="P120" i="2" s="1"/>
  <c r="N120" i="2"/>
  <c r="O120" i="2"/>
  <c r="T120" i="2" s="1"/>
  <c r="S120" i="2"/>
  <c r="U120" i="2"/>
  <c r="G121" i="2"/>
  <c r="L121" i="2" s="1"/>
  <c r="Q121" i="2" s="1"/>
  <c r="H121" i="2"/>
  <c r="I121" i="2"/>
  <c r="N121" i="2" s="1"/>
  <c r="S121" i="2" s="1"/>
  <c r="J121" i="2"/>
  <c r="O121" i="2" s="1"/>
  <c r="T121" i="2" s="1"/>
  <c r="K121" i="2"/>
  <c r="P121" i="2" s="1"/>
  <c r="M121" i="2"/>
  <c r="R121" i="2" s="1"/>
  <c r="U121" i="2"/>
  <c r="G122" i="2"/>
  <c r="L122" i="2" s="1"/>
  <c r="Q122" i="2" s="1"/>
  <c r="H122" i="2"/>
  <c r="I122" i="2"/>
  <c r="J122" i="2"/>
  <c r="O122" i="2" s="1"/>
  <c r="T122" i="2" s="1"/>
  <c r="K122" i="2"/>
  <c r="P122" i="2" s="1"/>
  <c r="U122" i="2" s="1"/>
  <c r="M122" i="2"/>
  <c r="R122" i="2" s="1"/>
  <c r="N122" i="2"/>
  <c r="S122" i="2" s="1"/>
  <c r="G123" i="2"/>
  <c r="L123" i="2" s="1"/>
  <c r="Q123" i="2" s="1"/>
  <c r="H123" i="2"/>
  <c r="M123" i="2" s="1"/>
  <c r="R123" i="2" s="1"/>
  <c r="I123" i="2"/>
  <c r="N123" i="2" s="1"/>
  <c r="S123" i="2" s="1"/>
  <c r="J123" i="2"/>
  <c r="K123" i="2"/>
  <c r="P123" i="2" s="1"/>
  <c r="U123" i="2" s="1"/>
  <c r="O123" i="2"/>
  <c r="T123" i="2" s="1"/>
  <c r="G124" i="2"/>
  <c r="L124" i="2" s="1"/>
  <c r="Q124" i="2" s="1"/>
  <c r="H124" i="2"/>
  <c r="I124" i="2"/>
  <c r="N124" i="2" s="1"/>
  <c r="S124" i="2" s="1"/>
  <c r="J124" i="2"/>
  <c r="O124" i="2" s="1"/>
  <c r="T124" i="2" s="1"/>
  <c r="K124" i="2"/>
  <c r="P124" i="2" s="1"/>
  <c r="M124" i="2"/>
  <c r="R124" i="2"/>
  <c r="U124" i="2"/>
  <c r="G125" i="2"/>
  <c r="L125" i="2" s="1"/>
  <c r="Q125" i="2" s="1"/>
  <c r="H125" i="2"/>
  <c r="I125" i="2"/>
  <c r="J125" i="2"/>
  <c r="O125" i="2" s="1"/>
  <c r="T125" i="2" s="1"/>
  <c r="K125" i="2"/>
  <c r="P125" i="2" s="1"/>
  <c r="U125" i="2" s="1"/>
  <c r="M125" i="2"/>
  <c r="R125" i="2" s="1"/>
  <c r="N125" i="2"/>
  <c r="S125" i="2" s="1"/>
  <c r="G126" i="2"/>
  <c r="L126" i="2" s="1"/>
  <c r="Q126" i="2" s="1"/>
  <c r="H126" i="2"/>
  <c r="M126" i="2" s="1"/>
  <c r="I126" i="2"/>
  <c r="J126" i="2"/>
  <c r="K126" i="2"/>
  <c r="P126" i="2" s="1"/>
  <c r="N126" i="2"/>
  <c r="O126" i="2"/>
  <c r="T126" i="2" s="1"/>
  <c r="R126" i="2"/>
  <c r="S126" i="2"/>
  <c r="U126" i="2"/>
  <c r="G127" i="2"/>
  <c r="L127" i="2" s="1"/>
  <c r="Q127" i="2" s="1"/>
  <c r="H127" i="2"/>
  <c r="I127" i="2"/>
  <c r="N127" i="2" s="1"/>
  <c r="J127" i="2"/>
  <c r="O127" i="2" s="1"/>
  <c r="T127" i="2" s="1"/>
  <c r="K127" i="2"/>
  <c r="P127" i="2" s="1"/>
  <c r="M127" i="2"/>
  <c r="R127" i="2" s="1"/>
  <c r="S127" i="2"/>
  <c r="U127" i="2"/>
  <c r="G128" i="2"/>
  <c r="L128" i="2" s="1"/>
  <c r="H128" i="2"/>
  <c r="M128" i="2" s="1"/>
  <c r="R128" i="2" s="1"/>
  <c r="I128" i="2"/>
  <c r="J128" i="2"/>
  <c r="K128" i="2"/>
  <c r="P128" i="2" s="1"/>
  <c r="U128" i="2" s="1"/>
  <c r="N128" i="2"/>
  <c r="S128" i="2" s="1"/>
  <c r="O128" i="2"/>
  <c r="T128" i="2" s="1"/>
  <c r="Q128" i="2"/>
  <c r="G129" i="2"/>
  <c r="H129" i="2"/>
  <c r="M129" i="2" s="1"/>
  <c r="R129" i="2" s="1"/>
  <c r="I129" i="2"/>
  <c r="J129" i="2"/>
  <c r="K129" i="2"/>
  <c r="P129" i="2" s="1"/>
  <c r="U129" i="2" s="1"/>
  <c r="L129" i="2"/>
  <c r="Q129" i="2" s="1"/>
  <c r="N129" i="2"/>
  <c r="S129" i="2" s="1"/>
  <c r="O129" i="2"/>
  <c r="T129" i="2" s="1"/>
  <c r="G130" i="2"/>
  <c r="L130" i="2" s="1"/>
  <c r="Q130" i="2" s="1"/>
  <c r="H130" i="2"/>
  <c r="I130" i="2"/>
  <c r="N130" i="2" s="1"/>
  <c r="S130" i="2" s="1"/>
  <c r="J130" i="2"/>
  <c r="O130" i="2" s="1"/>
  <c r="T130" i="2" s="1"/>
  <c r="K130" i="2"/>
  <c r="P130" i="2" s="1"/>
  <c r="U130" i="2" s="1"/>
  <c r="M130" i="2"/>
  <c r="R130" i="2" s="1"/>
  <c r="G131" i="2"/>
  <c r="L131" i="2" s="1"/>
  <c r="H131" i="2"/>
  <c r="M131" i="2" s="1"/>
  <c r="R131" i="2" s="1"/>
  <c r="I131" i="2"/>
  <c r="J131" i="2"/>
  <c r="O131" i="2" s="1"/>
  <c r="T131" i="2" s="1"/>
  <c r="K131" i="2"/>
  <c r="P131" i="2" s="1"/>
  <c r="U131" i="2" s="1"/>
  <c r="N131" i="2"/>
  <c r="S131" i="2" s="1"/>
  <c r="Q131" i="2"/>
  <c r="G132" i="2"/>
  <c r="L132" i="2" s="1"/>
  <c r="Q132" i="2" s="1"/>
  <c r="H132" i="2"/>
  <c r="M132" i="2" s="1"/>
  <c r="I132" i="2"/>
  <c r="N132" i="2" s="1"/>
  <c r="S132" i="2" s="1"/>
  <c r="J132" i="2"/>
  <c r="K132" i="2"/>
  <c r="P132" i="2" s="1"/>
  <c r="O132" i="2"/>
  <c r="T132" i="2" s="1"/>
  <c r="R132" i="2"/>
  <c r="U132" i="2"/>
  <c r="G133" i="2"/>
  <c r="L133" i="2" s="1"/>
  <c r="Q133" i="2" s="1"/>
  <c r="H133" i="2"/>
  <c r="I133" i="2"/>
  <c r="N133" i="2" s="1"/>
  <c r="S133" i="2" s="1"/>
  <c r="J133" i="2"/>
  <c r="O133" i="2" s="1"/>
  <c r="T133" i="2" s="1"/>
  <c r="K133" i="2"/>
  <c r="M133" i="2"/>
  <c r="P133" i="2"/>
  <c r="U133" i="2" s="1"/>
  <c r="R133" i="2"/>
  <c r="G134" i="2"/>
  <c r="L134" i="2" s="1"/>
  <c r="H134" i="2"/>
  <c r="I134" i="2"/>
  <c r="J134" i="2"/>
  <c r="O134" i="2" s="1"/>
  <c r="T134" i="2" s="1"/>
  <c r="K134" i="2"/>
  <c r="P134" i="2" s="1"/>
  <c r="U134" i="2" s="1"/>
  <c r="M134" i="2"/>
  <c r="R134" i="2" s="1"/>
  <c r="N134" i="2"/>
  <c r="S134" i="2" s="1"/>
  <c r="Q134" i="2"/>
  <c r="G135" i="2"/>
  <c r="L135" i="2" s="1"/>
  <c r="H135" i="2"/>
  <c r="M135" i="2" s="1"/>
  <c r="I135" i="2"/>
  <c r="J135" i="2"/>
  <c r="K135" i="2"/>
  <c r="P135" i="2" s="1"/>
  <c r="U135" i="2" s="1"/>
  <c r="N135" i="2"/>
  <c r="S135" i="2" s="1"/>
  <c r="O135" i="2"/>
  <c r="T135" i="2" s="1"/>
  <c r="Q135" i="2"/>
  <c r="R135" i="2"/>
  <c r="G136" i="2"/>
  <c r="H136" i="2"/>
  <c r="I136" i="2"/>
  <c r="N136" i="2" s="1"/>
  <c r="J136" i="2"/>
  <c r="O136" i="2" s="1"/>
  <c r="T136" i="2" s="1"/>
  <c r="K136" i="2"/>
  <c r="P136" i="2" s="1"/>
  <c r="U136" i="2" s="1"/>
  <c r="L136" i="2"/>
  <c r="Q136" i="2" s="1"/>
  <c r="M136" i="2"/>
  <c r="R136" i="2"/>
  <c r="S136" i="2"/>
  <c r="G137" i="2"/>
  <c r="L137" i="2" s="1"/>
  <c r="H137" i="2"/>
  <c r="I137" i="2"/>
  <c r="J137" i="2"/>
  <c r="K137" i="2"/>
  <c r="M137" i="2"/>
  <c r="R137" i="2" s="1"/>
  <c r="N137" i="2"/>
  <c r="O137" i="2"/>
  <c r="T137" i="2" s="1"/>
  <c r="P137" i="2"/>
  <c r="U137" i="2" s="1"/>
  <c r="Q137" i="2"/>
  <c r="S137" i="2"/>
  <c r="G138" i="2"/>
  <c r="L138" i="2" s="1"/>
  <c r="Q138" i="2" s="1"/>
  <c r="H138" i="2"/>
  <c r="M138" i="2" s="1"/>
  <c r="I138" i="2"/>
  <c r="N138" i="2" s="1"/>
  <c r="S138" i="2" s="1"/>
  <c r="J138" i="2"/>
  <c r="O138" i="2" s="1"/>
  <c r="T138" i="2" s="1"/>
  <c r="K138" i="2"/>
  <c r="P138" i="2" s="1"/>
  <c r="R138" i="2"/>
  <c r="U138" i="2"/>
  <c r="G139" i="2"/>
  <c r="L139" i="2" s="1"/>
  <c r="Q139" i="2" s="1"/>
  <c r="H139" i="2"/>
  <c r="I139" i="2"/>
  <c r="J139" i="2"/>
  <c r="O139" i="2" s="1"/>
  <c r="T139" i="2" s="1"/>
  <c r="K139" i="2"/>
  <c r="M139" i="2"/>
  <c r="N139" i="2"/>
  <c r="P139" i="2"/>
  <c r="U139" i="2" s="1"/>
  <c r="R139" i="2"/>
  <c r="S139" i="2"/>
  <c r="G140" i="2"/>
  <c r="L140" i="2" s="1"/>
  <c r="Q140" i="2" s="1"/>
  <c r="H140" i="2"/>
  <c r="M140" i="2" s="1"/>
  <c r="R140" i="2" s="1"/>
  <c r="I140" i="2"/>
  <c r="J140" i="2"/>
  <c r="O140" i="2" s="1"/>
  <c r="T140" i="2" s="1"/>
  <c r="K140" i="2"/>
  <c r="P140" i="2" s="1"/>
  <c r="U140" i="2" s="1"/>
  <c r="N140" i="2"/>
  <c r="S140" i="2" s="1"/>
  <c r="G141" i="2"/>
  <c r="L141" i="2" s="1"/>
  <c r="Q141" i="2" s="1"/>
  <c r="H141" i="2"/>
  <c r="M141" i="2" s="1"/>
  <c r="R141" i="2" s="1"/>
  <c r="I141" i="2"/>
  <c r="N141" i="2" s="1"/>
  <c r="S141" i="2" s="1"/>
  <c r="J141" i="2"/>
  <c r="K141" i="2"/>
  <c r="P141" i="2" s="1"/>
  <c r="O141" i="2"/>
  <c r="T141" i="2"/>
  <c r="U141" i="2"/>
  <c r="G142" i="2"/>
  <c r="H142" i="2"/>
  <c r="I142" i="2"/>
  <c r="J142" i="2"/>
  <c r="O142" i="2" s="1"/>
  <c r="T142" i="2" s="1"/>
  <c r="K142" i="2"/>
  <c r="L142" i="2"/>
  <c r="Q142" i="2" s="1"/>
  <c r="M142" i="2"/>
  <c r="R142" i="2" s="1"/>
  <c r="N142" i="2"/>
  <c r="S142" i="2" s="1"/>
  <c r="P142" i="2"/>
  <c r="U142" i="2"/>
  <c r="G143" i="2"/>
  <c r="L143" i="2" s="1"/>
  <c r="H143" i="2"/>
  <c r="M143" i="2" s="1"/>
  <c r="R143" i="2" s="1"/>
  <c r="I143" i="2"/>
  <c r="J143" i="2"/>
  <c r="O143" i="2" s="1"/>
  <c r="T143" i="2" s="1"/>
  <c r="K143" i="2"/>
  <c r="N143" i="2"/>
  <c r="P143" i="2"/>
  <c r="U143" i="2" s="1"/>
  <c r="Q143" i="2"/>
  <c r="S143" i="2"/>
  <c r="G144" i="2"/>
  <c r="L144" i="2" s="1"/>
  <c r="Q144" i="2" s="1"/>
  <c r="H144" i="2"/>
  <c r="M144" i="2" s="1"/>
  <c r="I144" i="2"/>
  <c r="J144" i="2"/>
  <c r="K144" i="2"/>
  <c r="P144" i="2" s="1"/>
  <c r="U144" i="2" s="1"/>
  <c r="N144" i="2"/>
  <c r="S144" i="2" s="1"/>
  <c r="O144" i="2"/>
  <c r="T144" i="2" s="1"/>
  <c r="R144" i="2"/>
  <c r="G145" i="2"/>
  <c r="H145" i="2"/>
  <c r="I145" i="2"/>
  <c r="N145" i="2" s="1"/>
  <c r="S145" i="2" s="1"/>
  <c r="J145" i="2"/>
  <c r="O145" i="2" s="1"/>
  <c r="T145" i="2" s="1"/>
  <c r="K145" i="2"/>
  <c r="P145" i="2" s="1"/>
  <c r="U145" i="2" s="1"/>
  <c r="L145" i="2"/>
  <c r="Q145" i="2" s="1"/>
  <c r="M145" i="2"/>
  <c r="R145" i="2"/>
  <c r="G146" i="2"/>
  <c r="L146" i="2" s="1"/>
  <c r="H146" i="2"/>
  <c r="I146" i="2"/>
  <c r="J146" i="2"/>
  <c r="K146" i="2"/>
  <c r="M146" i="2"/>
  <c r="R146" i="2" s="1"/>
  <c r="N146" i="2"/>
  <c r="O146" i="2"/>
  <c r="T146" i="2" s="1"/>
  <c r="P146" i="2"/>
  <c r="U146" i="2" s="1"/>
  <c r="Q146" i="2"/>
  <c r="S146" i="2"/>
  <c r="G147" i="2"/>
  <c r="H147" i="2"/>
  <c r="M147" i="2" s="1"/>
  <c r="R147" i="2" s="1"/>
  <c r="I147" i="2"/>
  <c r="N147" i="2" s="1"/>
  <c r="S147" i="2" s="1"/>
  <c r="J147" i="2"/>
  <c r="O147" i="2" s="1"/>
  <c r="T147" i="2" s="1"/>
  <c r="K147" i="2"/>
  <c r="P147" i="2" s="1"/>
  <c r="L147" i="2"/>
  <c r="Q147" i="2" s="1"/>
  <c r="U147" i="2"/>
  <c r="G148" i="2"/>
  <c r="L148" i="2" s="1"/>
  <c r="Q148" i="2" s="1"/>
  <c r="H148" i="2"/>
  <c r="I148" i="2"/>
  <c r="J148" i="2"/>
  <c r="K148" i="2"/>
  <c r="P148" i="2" s="1"/>
  <c r="U148" i="2" s="1"/>
  <c r="M148" i="2"/>
  <c r="R148" i="2" s="1"/>
  <c r="N148" i="2"/>
  <c r="S148" i="2" s="1"/>
  <c r="O148" i="2"/>
  <c r="T148" i="2" s="1"/>
  <c r="G149" i="2"/>
  <c r="L149" i="2" s="1"/>
  <c r="Q149" i="2" s="1"/>
  <c r="H149" i="2"/>
  <c r="M149" i="2" s="1"/>
  <c r="R149" i="2" s="1"/>
  <c r="I149" i="2"/>
  <c r="N149" i="2" s="1"/>
  <c r="S149" i="2" s="1"/>
  <c r="J149" i="2"/>
  <c r="O149" i="2" s="1"/>
  <c r="K149" i="2"/>
  <c r="P149" i="2"/>
  <c r="T149" i="2"/>
  <c r="U149" i="2"/>
  <c r="G150" i="2"/>
  <c r="H150" i="2"/>
  <c r="I150" i="2"/>
  <c r="J150" i="2"/>
  <c r="O150" i="2" s="1"/>
  <c r="T150" i="2" s="1"/>
  <c r="K150" i="2"/>
  <c r="P150" i="2" s="1"/>
  <c r="L150" i="2"/>
  <c r="Q150" i="2" s="1"/>
  <c r="M150" i="2"/>
  <c r="R150" i="2" s="1"/>
  <c r="N150" i="2"/>
  <c r="S150" i="2" s="1"/>
  <c r="U150" i="2"/>
  <c r="G151" i="2"/>
  <c r="L151" i="2" s="1"/>
  <c r="Q151" i="2" s="1"/>
  <c r="H151" i="2"/>
  <c r="I151" i="2"/>
  <c r="J151" i="2"/>
  <c r="K151" i="2"/>
  <c r="P151" i="2" s="1"/>
  <c r="U151" i="2" s="1"/>
  <c r="M151" i="2"/>
  <c r="N151" i="2"/>
  <c r="O151" i="2"/>
  <c r="T151" i="2" s="1"/>
  <c r="R151" i="2"/>
  <c r="S151" i="2"/>
  <c r="G152" i="2"/>
  <c r="L152" i="2" s="1"/>
  <c r="Q152" i="2" s="1"/>
  <c r="H152" i="2"/>
  <c r="M152" i="2" s="1"/>
  <c r="R152" i="2" s="1"/>
  <c r="I152" i="2"/>
  <c r="J152" i="2"/>
  <c r="O152" i="2" s="1"/>
  <c r="T152" i="2" s="1"/>
  <c r="K152" i="2"/>
  <c r="P152" i="2" s="1"/>
  <c r="N152" i="2"/>
  <c r="S152" i="2" s="1"/>
  <c r="U152" i="2"/>
  <c r="G153" i="2"/>
  <c r="L153" i="2" s="1"/>
  <c r="Q153" i="2" s="1"/>
  <c r="H153" i="2"/>
  <c r="I153" i="2"/>
  <c r="J153" i="2"/>
  <c r="O153" i="2" s="1"/>
  <c r="T153" i="2" s="1"/>
  <c r="K153" i="2"/>
  <c r="P153" i="2" s="1"/>
  <c r="M153" i="2"/>
  <c r="N153" i="2"/>
  <c r="R153" i="2"/>
  <c r="S153" i="2"/>
  <c r="U153" i="2"/>
  <c r="G154" i="2"/>
  <c r="L154" i="2" s="1"/>
  <c r="Q154" i="2" s="1"/>
  <c r="H154" i="2"/>
  <c r="I154" i="2"/>
  <c r="N154" i="2" s="1"/>
  <c r="J154" i="2"/>
  <c r="O154" i="2" s="1"/>
  <c r="T154" i="2" s="1"/>
  <c r="K154" i="2"/>
  <c r="P154" i="2" s="1"/>
  <c r="U154" i="2" s="1"/>
  <c r="M154" i="2"/>
  <c r="R154" i="2"/>
  <c r="S154" i="2"/>
  <c r="G155" i="2"/>
  <c r="L155" i="2" s="1"/>
  <c r="H155" i="2"/>
  <c r="I155" i="2"/>
  <c r="N155" i="2" s="1"/>
  <c r="S155" i="2" s="1"/>
  <c r="J155" i="2"/>
  <c r="K155" i="2"/>
  <c r="M155" i="2"/>
  <c r="R155" i="2" s="1"/>
  <c r="O155" i="2"/>
  <c r="T155" i="2" s="1"/>
  <c r="P155" i="2"/>
  <c r="U155" i="2" s="1"/>
  <c r="Q155" i="2"/>
  <c r="G156" i="2"/>
  <c r="H156" i="2"/>
  <c r="M156" i="2" s="1"/>
  <c r="R156" i="2" s="1"/>
  <c r="I156" i="2"/>
  <c r="N156" i="2" s="1"/>
  <c r="S156" i="2" s="1"/>
  <c r="J156" i="2"/>
  <c r="O156" i="2" s="1"/>
  <c r="T156" i="2" s="1"/>
  <c r="K156" i="2"/>
  <c r="P156" i="2" s="1"/>
  <c r="L156" i="2"/>
  <c r="Q156" i="2" s="1"/>
  <c r="U156" i="2"/>
  <c r="G157" i="2"/>
  <c r="L157" i="2" s="1"/>
  <c r="Q157" i="2" s="1"/>
  <c r="H157" i="2"/>
  <c r="I157" i="2"/>
  <c r="J157" i="2"/>
  <c r="K157" i="2"/>
  <c r="P157" i="2" s="1"/>
  <c r="U157" i="2" s="1"/>
  <c r="M157" i="2"/>
  <c r="R157" i="2" s="1"/>
  <c r="N157" i="2"/>
  <c r="S157" i="2" s="1"/>
  <c r="O157" i="2"/>
  <c r="T157" i="2" s="1"/>
  <c r="G158" i="2"/>
  <c r="L158" i="2" s="1"/>
  <c r="H158" i="2"/>
  <c r="M158" i="2" s="1"/>
  <c r="R158" i="2" s="1"/>
  <c r="I158" i="2"/>
  <c r="N158" i="2" s="1"/>
  <c r="S158" i="2" s="1"/>
  <c r="J158" i="2"/>
  <c r="O158" i="2" s="1"/>
  <c r="K158" i="2"/>
  <c r="P158" i="2"/>
  <c r="Q158" i="2"/>
  <c r="T158" i="2"/>
  <c r="U158" i="2"/>
  <c r="G159" i="2"/>
  <c r="H159" i="2"/>
  <c r="I159" i="2"/>
  <c r="J159" i="2"/>
  <c r="O159" i="2" s="1"/>
  <c r="T159" i="2" s="1"/>
  <c r="K159" i="2"/>
  <c r="P159" i="2" s="1"/>
  <c r="L159" i="2"/>
  <c r="Q159" i="2" s="1"/>
  <c r="M159" i="2"/>
  <c r="R159" i="2" s="1"/>
  <c r="N159" i="2"/>
  <c r="S159" i="2" s="1"/>
  <c r="U159" i="2"/>
  <c r="G160" i="2"/>
  <c r="L160" i="2" s="1"/>
  <c r="Q160" i="2" s="1"/>
  <c r="H160" i="2"/>
  <c r="I160" i="2"/>
  <c r="J160" i="2"/>
  <c r="K160" i="2"/>
  <c r="P160" i="2" s="1"/>
  <c r="U160" i="2" s="1"/>
  <c r="M160" i="2"/>
  <c r="N160" i="2"/>
  <c r="O160" i="2"/>
  <c r="T160" i="2" s="1"/>
  <c r="R160" i="2"/>
  <c r="S160" i="2"/>
  <c r="G161" i="2"/>
  <c r="L161" i="2" s="1"/>
  <c r="Q161" i="2" s="1"/>
  <c r="H161" i="2"/>
  <c r="M161" i="2" s="1"/>
  <c r="R161" i="2" s="1"/>
  <c r="I161" i="2"/>
  <c r="J161" i="2"/>
  <c r="O161" i="2" s="1"/>
  <c r="T161" i="2" s="1"/>
  <c r="K161" i="2"/>
  <c r="P161" i="2" s="1"/>
  <c r="N161" i="2"/>
  <c r="S161" i="2" s="1"/>
  <c r="U161" i="2"/>
  <c r="G162" i="2"/>
  <c r="L162" i="2" s="1"/>
  <c r="Q162" i="2" s="1"/>
  <c r="H162" i="2"/>
  <c r="I162" i="2"/>
  <c r="J162" i="2"/>
  <c r="O162" i="2" s="1"/>
  <c r="T162" i="2" s="1"/>
  <c r="K162" i="2"/>
  <c r="P162" i="2" s="1"/>
  <c r="U162" i="2" s="1"/>
  <c r="M162" i="2"/>
  <c r="N162" i="2"/>
  <c r="R162" i="2"/>
  <c r="S162" i="2"/>
  <c r="G163" i="2"/>
  <c r="L163" i="2" s="1"/>
  <c r="Q163" i="2" s="1"/>
  <c r="H163" i="2"/>
  <c r="I163" i="2"/>
  <c r="J163" i="2"/>
  <c r="O163" i="2" s="1"/>
  <c r="T163" i="2" s="1"/>
  <c r="K163" i="2"/>
  <c r="P163" i="2" s="1"/>
  <c r="U163" i="2" s="1"/>
  <c r="M163" i="2"/>
  <c r="N163" i="2"/>
  <c r="R163" i="2"/>
  <c r="S163" i="2"/>
  <c r="G164" i="2"/>
  <c r="L164" i="2" s="1"/>
  <c r="H164" i="2"/>
  <c r="I164" i="2"/>
  <c r="N164" i="2" s="1"/>
  <c r="S164" i="2" s="1"/>
  <c r="J164" i="2"/>
  <c r="K164" i="2"/>
  <c r="M164" i="2"/>
  <c r="R164" i="2" s="1"/>
  <c r="O164" i="2"/>
  <c r="P164" i="2"/>
  <c r="U164" i="2" s="1"/>
  <c r="Q164" i="2"/>
  <c r="T164" i="2"/>
  <c r="G165" i="2"/>
  <c r="H165" i="2"/>
  <c r="I165" i="2"/>
  <c r="N165" i="2" s="1"/>
  <c r="S165" i="2" s="1"/>
  <c r="J165" i="2"/>
  <c r="O165" i="2" s="1"/>
  <c r="T165" i="2" s="1"/>
  <c r="K165" i="2"/>
  <c r="P165" i="2" s="1"/>
  <c r="U165" i="2" s="1"/>
  <c r="L165" i="2"/>
  <c r="Q165" i="2" s="1"/>
  <c r="M165" i="2"/>
  <c r="R165" i="2" s="1"/>
  <c r="G166" i="2"/>
  <c r="L166" i="2" s="1"/>
  <c r="Q166" i="2" s="1"/>
  <c r="H166" i="2"/>
  <c r="I166" i="2"/>
  <c r="J166" i="2"/>
  <c r="K166" i="2"/>
  <c r="P166" i="2" s="1"/>
  <c r="U166" i="2" s="1"/>
  <c r="M166" i="2"/>
  <c r="N166" i="2"/>
  <c r="S166" i="2" s="1"/>
  <c r="O166" i="2"/>
  <c r="T166" i="2" s="1"/>
  <c r="R166" i="2"/>
  <c r="G167" i="2"/>
  <c r="L167" i="2" s="1"/>
  <c r="Q167" i="2" s="1"/>
  <c r="H167" i="2"/>
  <c r="M167" i="2" s="1"/>
  <c r="R167" i="2" s="1"/>
  <c r="I167" i="2"/>
  <c r="J167" i="2"/>
  <c r="K167" i="2"/>
  <c r="P167" i="2" s="1"/>
  <c r="U167" i="2" s="1"/>
  <c r="N167" i="2"/>
  <c r="O167" i="2"/>
  <c r="T167" i="2" s="1"/>
  <c r="S167" i="2"/>
  <c r="G168" i="2"/>
  <c r="L168" i="2" s="1"/>
  <c r="Q168" i="2" s="1"/>
  <c r="H168" i="2"/>
  <c r="I168" i="2"/>
  <c r="J168" i="2"/>
  <c r="O168" i="2" s="1"/>
  <c r="T168" i="2" s="1"/>
  <c r="K168" i="2"/>
  <c r="P168" i="2" s="1"/>
  <c r="U168" i="2" s="1"/>
  <c r="M168" i="2"/>
  <c r="N168" i="2"/>
  <c r="R168" i="2"/>
  <c r="S168" i="2"/>
  <c r="G169" i="2"/>
  <c r="L169" i="2" s="1"/>
  <c r="Q169" i="2" s="1"/>
  <c r="H169" i="2"/>
  <c r="I169" i="2"/>
  <c r="J169" i="2"/>
  <c r="K169" i="2"/>
  <c r="P169" i="2" s="1"/>
  <c r="U169" i="2" s="1"/>
  <c r="M169" i="2"/>
  <c r="N169" i="2"/>
  <c r="S169" i="2" s="1"/>
  <c r="O169" i="2"/>
  <c r="T169" i="2" s="1"/>
  <c r="R169" i="2"/>
  <c r="G170" i="2"/>
  <c r="L170" i="2" s="1"/>
  <c r="Q170" i="2" s="1"/>
  <c r="H170" i="2"/>
  <c r="M170" i="2" s="1"/>
  <c r="R170" i="2" s="1"/>
  <c r="I170" i="2"/>
  <c r="J170" i="2"/>
  <c r="K170" i="2"/>
  <c r="P170" i="2" s="1"/>
  <c r="U170" i="2" s="1"/>
  <c r="N170" i="2"/>
  <c r="O170" i="2"/>
  <c r="T170" i="2" s="1"/>
  <c r="S170" i="2"/>
  <c r="G171" i="2"/>
  <c r="L171" i="2" s="1"/>
  <c r="Q171" i="2" s="1"/>
  <c r="H171" i="2"/>
  <c r="I171" i="2"/>
  <c r="J171" i="2"/>
  <c r="O171" i="2" s="1"/>
  <c r="T171" i="2" s="1"/>
  <c r="K171" i="2"/>
  <c r="P171" i="2" s="1"/>
  <c r="U171" i="2" s="1"/>
  <c r="M171" i="2"/>
  <c r="N171" i="2"/>
  <c r="R171" i="2"/>
  <c r="S171" i="2"/>
  <c r="G172" i="2"/>
  <c r="L172" i="2" s="1"/>
  <c r="Q172" i="2" s="1"/>
  <c r="H172" i="2"/>
  <c r="I172" i="2"/>
  <c r="J172" i="2"/>
  <c r="K172" i="2"/>
  <c r="P172" i="2" s="1"/>
  <c r="U172" i="2" s="1"/>
  <c r="M172" i="2"/>
  <c r="N172" i="2"/>
  <c r="S172" i="2" s="1"/>
  <c r="O172" i="2"/>
  <c r="T172" i="2" s="1"/>
  <c r="R172" i="2"/>
  <c r="G173" i="2"/>
  <c r="L173" i="2" s="1"/>
  <c r="Q173" i="2" s="1"/>
  <c r="H173" i="2"/>
  <c r="M173" i="2" s="1"/>
  <c r="I173" i="2"/>
  <c r="J173" i="2"/>
  <c r="K173" i="2"/>
  <c r="P173" i="2" s="1"/>
  <c r="U173" i="2" s="1"/>
  <c r="N173" i="2"/>
  <c r="O173" i="2"/>
  <c r="T173" i="2" s="1"/>
  <c r="R173" i="2"/>
  <c r="S173" i="2"/>
  <c r="G174" i="2"/>
  <c r="L174" i="2" s="1"/>
  <c r="Q174" i="2" s="1"/>
  <c r="H174" i="2"/>
  <c r="I174" i="2"/>
  <c r="J174" i="2"/>
  <c r="O174" i="2" s="1"/>
  <c r="T174" i="2" s="1"/>
  <c r="K174" i="2"/>
  <c r="P174" i="2" s="1"/>
  <c r="U174" i="2" s="1"/>
  <c r="M174" i="2"/>
  <c r="N174" i="2"/>
  <c r="R174" i="2"/>
  <c r="S174" i="2"/>
  <c r="G175" i="2"/>
  <c r="L175" i="2" s="1"/>
  <c r="Q175" i="2" s="1"/>
  <c r="H175" i="2"/>
  <c r="I175" i="2"/>
  <c r="J175" i="2"/>
  <c r="K175" i="2"/>
  <c r="P175" i="2" s="1"/>
  <c r="U175" i="2" s="1"/>
  <c r="M175" i="2"/>
  <c r="N175" i="2"/>
  <c r="S175" i="2" s="1"/>
  <c r="O175" i="2"/>
  <c r="T175" i="2" s="1"/>
  <c r="R175" i="2"/>
  <c r="G176" i="2"/>
  <c r="L176" i="2" s="1"/>
  <c r="Q176" i="2" s="1"/>
  <c r="H176" i="2"/>
  <c r="M176" i="2" s="1"/>
  <c r="I176" i="2"/>
  <c r="J176" i="2"/>
  <c r="K176" i="2"/>
  <c r="P176" i="2" s="1"/>
  <c r="U176" i="2" s="1"/>
  <c r="N176" i="2"/>
  <c r="O176" i="2"/>
  <c r="R176" i="2"/>
  <c r="S176" i="2"/>
  <c r="T176" i="2"/>
  <c r="G177" i="2"/>
  <c r="L177" i="2" s="1"/>
  <c r="Q177" i="2" s="1"/>
  <c r="H177" i="2"/>
  <c r="I177" i="2"/>
  <c r="J177" i="2"/>
  <c r="O177" i="2" s="1"/>
  <c r="T177" i="2" s="1"/>
  <c r="K177" i="2"/>
  <c r="P177" i="2" s="1"/>
  <c r="U177" i="2" s="1"/>
  <c r="M177" i="2"/>
  <c r="N177" i="2"/>
  <c r="R177" i="2"/>
  <c r="S177" i="2"/>
  <c r="G178" i="2"/>
  <c r="L178" i="2" s="1"/>
  <c r="Q178" i="2" s="1"/>
  <c r="H178" i="2"/>
  <c r="I178" i="2"/>
  <c r="J178" i="2"/>
  <c r="K178" i="2"/>
  <c r="P178" i="2" s="1"/>
  <c r="U178" i="2" s="1"/>
  <c r="M178" i="2"/>
  <c r="N178" i="2"/>
  <c r="S178" i="2" s="1"/>
  <c r="O178" i="2"/>
  <c r="T178" i="2" s="1"/>
  <c r="R178" i="2"/>
  <c r="G179" i="2"/>
  <c r="L179" i="2" s="1"/>
  <c r="Q179" i="2" s="1"/>
  <c r="H179" i="2"/>
  <c r="M179" i="2" s="1"/>
  <c r="R179" i="2" s="1"/>
  <c r="I179" i="2"/>
  <c r="J179" i="2"/>
  <c r="K179" i="2"/>
  <c r="P179" i="2" s="1"/>
  <c r="U179" i="2" s="1"/>
  <c r="N179" i="2"/>
  <c r="O179" i="2"/>
  <c r="T179" i="2" s="1"/>
  <c r="S179" i="2"/>
  <c r="G180" i="2"/>
  <c r="H180" i="2"/>
  <c r="I180" i="2"/>
  <c r="J180" i="2"/>
  <c r="O180" i="2" s="1"/>
  <c r="T180" i="2" s="1"/>
  <c r="K180" i="2"/>
  <c r="P180" i="2" s="1"/>
  <c r="U180" i="2" s="1"/>
  <c r="L180" i="2"/>
  <c r="Q180" i="2" s="1"/>
  <c r="M180" i="2"/>
  <c r="N180" i="2"/>
  <c r="R180" i="2"/>
  <c r="S180" i="2"/>
  <c r="G181" i="2"/>
  <c r="L181" i="2" s="1"/>
  <c r="Q181" i="2" s="1"/>
  <c r="H181" i="2"/>
  <c r="I181" i="2"/>
  <c r="J181" i="2"/>
  <c r="K181" i="2"/>
  <c r="P181" i="2" s="1"/>
  <c r="U181" i="2" s="1"/>
  <c r="M181" i="2"/>
  <c r="N181" i="2"/>
  <c r="S181" i="2" s="1"/>
  <c r="O181" i="2"/>
  <c r="T181" i="2" s="1"/>
  <c r="R181" i="2"/>
  <c r="G182" i="2"/>
  <c r="L182" i="2" s="1"/>
  <c r="Q182" i="2" s="1"/>
  <c r="H182" i="2"/>
  <c r="M182" i="2" s="1"/>
  <c r="I182" i="2"/>
  <c r="J182" i="2"/>
  <c r="K182" i="2"/>
  <c r="P182" i="2" s="1"/>
  <c r="U182" i="2" s="1"/>
  <c r="N182" i="2"/>
  <c r="O182" i="2"/>
  <c r="T182" i="2" s="1"/>
  <c r="R182" i="2"/>
  <c r="S182" i="2"/>
  <c r="G183" i="2"/>
  <c r="L183" i="2" s="1"/>
  <c r="Q183" i="2" s="1"/>
  <c r="H183" i="2"/>
  <c r="I183" i="2"/>
  <c r="J183" i="2"/>
  <c r="O183" i="2" s="1"/>
  <c r="T183" i="2" s="1"/>
  <c r="K183" i="2"/>
  <c r="P183" i="2" s="1"/>
  <c r="U183" i="2" s="1"/>
  <c r="M183" i="2"/>
  <c r="N183" i="2"/>
  <c r="R183" i="2"/>
  <c r="S183" i="2"/>
  <c r="S20" i="2" l="1"/>
  <c r="S23" i="2"/>
  <c r="S26" i="2"/>
  <c r="S29" i="2"/>
  <c r="S32" i="2"/>
  <c r="S28" i="2"/>
  <c r="S6" i="2"/>
  <c r="S9" i="2"/>
  <c r="S12" i="2"/>
  <c r="S10" i="2"/>
  <c r="S19" i="2"/>
  <c r="S8" i="2"/>
</calcChain>
</file>

<file path=xl/sharedStrings.xml><?xml version="1.0" encoding="utf-8"?>
<sst xmlns="http://schemas.openxmlformats.org/spreadsheetml/2006/main" count="657" uniqueCount="261">
  <si>
    <t>Importadores</t>
  </si>
  <si>
    <t>Valor importado en 2020</t>
  </si>
  <si>
    <t>Valor importado en 2021</t>
  </si>
  <si>
    <t>Valor importado en 2022</t>
  </si>
  <si>
    <t>Valor importado en 2023</t>
  </si>
  <si>
    <t>Valor importado en 2024</t>
  </si>
  <si>
    <t>Mundo</t>
  </si>
  <si>
    <t>Estados Unidos de América</t>
  </si>
  <si>
    <t>Canadá</t>
  </si>
  <si>
    <t>Alemania</t>
  </si>
  <si>
    <t>Países Bajos</t>
  </si>
  <si>
    <t>Italia</t>
  </si>
  <si>
    <t>Francia</t>
  </si>
  <si>
    <t>China</t>
  </si>
  <si>
    <t>España</t>
  </si>
  <si>
    <t>Reino Unido</t>
  </si>
  <si>
    <t>Bélgica</t>
  </si>
  <si>
    <t>Australia</t>
  </si>
  <si>
    <t>Israel</t>
  </si>
  <si>
    <t>Austria</t>
  </si>
  <si>
    <t>México</t>
  </si>
  <si>
    <t>Suiza</t>
  </si>
  <si>
    <t>Chile</t>
  </si>
  <si>
    <t>Rusia, Federación de</t>
  </si>
  <si>
    <t>Emiratos Árabes Unidos</t>
  </si>
  <si>
    <t>Brasil</t>
  </si>
  <si>
    <t>Suecia</t>
  </si>
  <si>
    <t>Grecia</t>
  </si>
  <si>
    <t>Polonia</t>
  </si>
  <si>
    <t>Eslovenia</t>
  </si>
  <si>
    <t>Japón</t>
  </si>
  <si>
    <t>Serbia</t>
  </si>
  <si>
    <t>Dinamarca</t>
  </si>
  <si>
    <t>Argentina</t>
  </si>
  <si>
    <t>Portugal</t>
  </si>
  <si>
    <t>Tailandia</t>
  </si>
  <si>
    <t>Bulgaria</t>
  </si>
  <si>
    <t>República Checa</t>
  </si>
  <si>
    <t>Taipei Chino</t>
  </si>
  <si>
    <t>Hungría</t>
  </si>
  <si>
    <t>Hong Kong, China</t>
  </si>
  <si>
    <t>Colombia</t>
  </si>
  <si>
    <t>Nueva Zelandia</t>
  </si>
  <si>
    <t>Irlanda</t>
  </si>
  <si>
    <t>Marruecos</t>
  </si>
  <si>
    <t>Singapur</t>
  </si>
  <si>
    <t>Sudáfrica</t>
  </si>
  <si>
    <t>República Dominicana</t>
  </si>
  <si>
    <t>Arabia Saudita</t>
  </si>
  <si>
    <t>Türkiye</t>
  </si>
  <si>
    <t>Costa Rica</t>
  </si>
  <si>
    <t>Panamá</t>
  </si>
  <si>
    <t>Noruega</t>
  </si>
  <si>
    <t>Corea, República de</t>
  </si>
  <si>
    <t>Malasia</t>
  </si>
  <si>
    <t>Croacia</t>
  </si>
  <si>
    <t>Rumania</t>
  </si>
  <si>
    <t>Finlandia</t>
  </si>
  <si>
    <t>India</t>
  </si>
  <si>
    <t>Guatemala</t>
  </si>
  <si>
    <t>Ucrania</t>
  </si>
  <si>
    <t>Líbano</t>
  </si>
  <si>
    <t>Lituania</t>
  </si>
  <si>
    <t>Estonia</t>
  </si>
  <si>
    <t>Luxemburgo</t>
  </si>
  <si>
    <t>Kuwait</t>
  </si>
  <si>
    <t>Uruguay</t>
  </si>
  <si>
    <t>Jamaica</t>
  </si>
  <si>
    <t>Viet Nam</t>
  </si>
  <si>
    <t>Honduras</t>
  </si>
  <si>
    <t>Qatar</t>
  </si>
  <si>
    <t>Trinidad y Tobago</t>
  </si>
  <si>
    <t>Venezuela, República Bolivariana de</t>
  </si>
  <si>
    <t>Ecuador</t>
  </si>
  <si>
    <t>Chipre</t>
  </si>
  <si>
    <t>Eslovaquia</t>
  </si>
  <si>
    <t>El Salvador</t>
  </si>
  <si>
    <t>Bolivia, Estado Plurinacional de</t>
  </si>
  <si>
    <t>Filipinas</t>
  </si>
  <si>
    <t>Irán, República Islámica del</t>
  </si>
  <si>
    <t>Egipto</t>
  </si>
  <si>
    <t>Indonesia</t>
  </si>
  <si>
    <t>Armenia</t>
  </si>
  <si>
    <t>Argelia</t>
  </si>
  <si>
    <t>Letonia</t>
  </si>
  <si>
    <t>Kazajstán</t>
  </si>
  <si>
    <t>Guyana</t>
  </si>
  <si>
    <t>Georgia</t>
  </si>
  <si>
    <t>Barbados</t>
  </si>
  <si>
    <t>Bosnia y Herzegovina</t>
  </si>
  <si>
    <t>Malta</t>
  </si>
  <si>
    <t>Mauricio</t>
  </si>
  <si>
    <t>Perú</t>
  </si>
  <si>
    <t>Bahrein</t>
  </si>
  <si>
    <t>Nicaragua</t>
  </si>
  <si>
    <t>Macedonia del Norte</t>
  </si>
  <si>
    <t>Albania</t>
  </si>
  <si>
    <t>Macao, China</t>
  </si>
  <si>
    <t>Rancho de naves y aeronaves</t>
  </si>
  <si>
    <t>Nepal</t>
  </si>
  <si>
    <t>Jordania</t>
  </si>
  <si>
    <t>Uzbekistán</t>
  </si>
  <si>
    <t>Iraq</t>
  </si>
  <si>
    <t>Islandia</t>
  </si>
  <si>
    <t>Cabo Verde</t>
  </si>
  <si>
    <t>Omán</t>
  </si>
  <si>
    <t>Montenegro</t>
  </si>
  <si>
    <t>Azerbaiyán</t>
  </si>
  <si>
    <t>Polinesia Francesa</t>
  </si>
  <si>
    <t>Kenya</t>
  </si>
  <si>
    <t>Túnez</t>
  </si>
  <si>
    <t>Seychelles</t>
  </si>
  <si>
    <t>Angola</t>
  </si>
  <si>
    <t>Moldova, República de</t>
  </si>
  <si>
    <t>Aruba</t>
  </si>
  <si>
    <t>Senegal</t>
  </si>
  <si>
    <t>Nueva Caledonia</t>
  </si>
  <si>
    <t>Mongolia</t>
  </si>
  <si>
    <t>Libia Estado de</t>
  </si>
  <si>
    <t>Curaçao</t>
  </si>
  <si>
    <t>Côte d'Ivoire</t>
  </si>
  <si>
    <t>Mozambique</t>
  </si>
  <si>
    <t>Botsuana</t>
  </si>
  <si>
    <t>Fiji</t>
  </si>
  <si>
    <t>Islas Caimanes</t>
  </si>
  <si>
    <t>Sri Lanka</t>
  </si>
  <si>
    <t>Madagascar</t>
  </si>
  <si>
    <t>Congo, República Democrática del</t>
  </si>
  <si>
    <t>Bahamas</t>
  </si>
  <si>
    <t>Namibia</t>
  </si>
  <si>
    <t>Nigeria</t>
  </si>
  <si>
    <t>Papua Nueva Guinea</t>
  </si>
  <si>
    <t>Paraguay</t>
  </si>
  <si>
    <t>Turkmenistán</t>
  </si>
  <si>
    <t>Kirguistán</t>
  </si>
  <si>
    <t>Benin</t>
  </si>
  <si>
    <t>Islas Feroe</t>
  </si>
  <si>
    <t>Ghana</t>
  </si>
  <si>
    <t>Andorra</t>
  </si>
  <si>
    <t>Bhután</t>
  </si>
  <si>
    <t>Brunei Darussalam</t>
  </si>
  <si>
    <t>Eswatini</t>
  </si>
  <si>
    <t>Zambia</t>
  </si>
  <si>
    <t>Islas Wallis y Fortuna</t>
  </si>
  <si>
    <t>Tanzanía, República Unida de</t>
  </si>
  <si>
    <t>Belice</t>
  </si>
  <si>
    <t>Guinea Ecuatorial</t>
  </si>
  <si>
    <t>Islas Cook</t>
  </si>
  <si>
    <t>Lao, República Democrática Popular</t>
  </si>
  <si>
    <t>Lesoto</t>
  </si>
  <si>
    <t>Ruanda</t>
  </si>
  <si>
    <t>Vanuatu</t>
  </si>
  <si>
    <t>Bonaire, San Estaquio y Saba</t>
  </si>
  <si>
    <t>Guinea-Bissau</t>
  </si>
  <si>
    <t>Liberia</t>
  </si>
  <si>
    <t>Maldivas</t>
  </si>
  <si>
    <t>Gibraltar</t>
  </si>
  <si>
    <t>Groenlandia</t>
  </si>
  <si>
    <t>Guinea</t>
  </si>
  <si>
    <t>Islas Salomon</t>
  </si>
  <si>
    <t>Bangladesh</t>
  </si>
  <si>
    <t>Uganda</t>
  </si>
  <si>
    <t>Myanmar</t>
  </si>
  <si>
    <t>Burundi</t>
  </si>
  <si>
    <t>Camboya</t>
  </si>
  <si>
    <t>Pakistán</t>
  </si>
  <si>
    <t>Níger</t>
  </si>
  <si>
    <t>Santa Lucía</t>
  </si>
  <si>
    <t>San Vicente y las Granadinas</t>
  </si>
  <si>
    <t>Montserrat</t>
  </si>
  <si>
    <t>Malí</t>
  </si>
  <si>
    <t>Malawi</t>
  </si>
  <si>
    <t>Camerún</t>
  </si>
  <si>
    <t>Belarús</t>
  </si>
  <si>
    <t>Bermudas</t>
  </si>
  <si>
    <t>Afganistán</t>
  </si>
  <si>
    <t>Haití</t>
  </si>
  <si>
    <t>Granada</t>
  </si>
  <si>
    <t>Gabón</t>
  </si>
  <si>
    <t>Palestina, Estado de</t>
  </si>
  <si>
    <t>Congo</t>
  </si>
  <si>
    <t>Cuba</t>
  </si>
  <si>
    <t>Etiopía</t>
  </si>
  <si>
    <t>Dominica</t>
  </si>
  <si>
    <t>Tayikistán</t>
  </si>
  <si>
    <t>Zimbabwe</t>
  </si>
  <si>
    <t>Somalia</t>
  </si>
  <si>
    <t>Samoa</t>
  </si>
  <si>
    <t>Islas Marshall</t>
  </si>
  <si>
    <t>Yemen</t>
  </si>
  <si>
    <t>Djibouti</t>
  </si>
  <si>
    <t>Burkina Faso</t>
  </si>
  <si>
    <t>Mauritania</t>
  </si>
  <si>
    <t>República Árabe Siria</t>
  </si>
  <si>
    <t>Togo</t>
  </si>
  <si>
    <t>Sudán</t>
  </si>
  <si>
    <t>Zona franca</t>
  </si>
  <si>
    <t>Sierra Leona</t>
  </si>
  <si>
    <t>Corea, República Popular Democrática de</t>
  </si>
  <si>
    <t>Suriname</t>
  </si>
  <si>
    <t>Estados Unidos Minor periferico Islas</t>
  </si>
  <si>
    <t>Antigua y Barbuda</t>
  </si>
  <si>
    <t>Islas Vírgenes Británicas</t>
  </si>
  <si>
    <t>Chad</t>
  </si>
  <si>
    <t>Timor-Leste</t>
  </si>
  <si>
    <t>Gambia</t>
  </si>
  <si>
    <t>Islas Turks y Caicos</t>
  </si>
  <si>
    <t>Sudán del Sur</t>
  </si>
  <si>
    <t>Saint Kitts y Nevis</t>
  </si>
  <si>
    <t>Comoras</t>
  </si>
  <si>
    <t>Eritrea</t>
  </si>
  <si>
    <t>Islas (Malvinas) Falkland</t>
  </si>
  <si>
    <t>República Centroafricana</t>
  </si>
  <si>
    <t>Tonga</t>
  </si>
  <si>
    <t>San Martin (parte Holandesa)</t>
  </si>
  <si>
    <t>Palau</t>
  </si>
  <si>
    <t>Micronesia, Estados Federados de</t>
  </si>
  <si>
    <t>Kiribati</t>
  </si>
  <si>
    <t>Islas Marianas del Norte</t>
  </si>
  <si>
    <t>Anguila</t>
  </si>
  <si>
    <t>Sao Tomé y Príncipe</t>
  </si>
  <si>
    <t>Territorio Británico del Océano Índico</t>
  </si>
  <si>
    <t>Guam</t>
  </si>
  <si>
    <t>Samoa Americana</t>
  </si>
  <si>
    <t>Tuvalu</t>
  </si>
  <si>
    <t>San Pedro y Miquelón</t>
  </si>
  <si>
    <t>Tierras Australes y Antárticas Francesas</t>
  </si>
  <si>
    <t>Nauru</t>
  </si>
  <si>
    <t>Niué</t>
  </si>
  <si>
    <t>Santa Helena</t>
  </si>
  <si>
    <t>Isla de Navidad</t>
  </si>
  <si>
    <t>Isla Norfolk</t>
  </si>
  <si>
    <t>Tokelau</t>
  </si>
  <si>
    <t>Islas Cocos (Keeling)</t>
  </si>
  <si>
    <t>Bouvet Island</t>
  </si>
  <si>
    <t>Pitcairn</t>
  </si>
  <si>
    <t>Sahara occidental</t>
  </si>
  <si>
    <t>Zona Neutral</t>
  </si>
  <si>
    <t>Otros Asia del Oeste</t>
  </si>
  <si>
    <t>North America and Central America, nes</t>
  </si>
  <si>
    <t>Territorio Antártico Británico</t>
  </si>
  <si>
    <t>IM TOTAL 2020</t>
  </si>
  <si>
    <t>IM TOTAL 2021</t>
  </si>
  <si>
    <t>IM TOTAL 2022</t>
  </si>
  <si>
    <t>IM TOTAL 2023</t>
  </si>
  <si>
    <t>IM TOTAL 2024</t>
  </si>
  <si>
    <t>PARTICIPACION 2020</t>
  </si>
  <si>
    <t>PARTICIPACION 2021</t>
  </si>
  <si>
    <t>PARTICIPACION 2022</t>
  </si>
  <si>
    <t>PARTICIPACION 2023</t>
  </si>
  <si>
    <t>PARTICIPACION 2024</t>
  </si>
  <si>
    <t>CRC 2020</t>
  </si>
  <si>
    <t>CRC 2021</t>
  </si>
  <si>
    <t>CRC 2022</t>
  </si>
  <si>
    <t>CRC 2023</t>
  </si>
  <si>
    <t>CRC 2024</t>
  </si>
  <si>
    <t>CRC NORMALIZADFO 2020</t>
  </si>
  <si>
    <t>CRC NORMALIZADFO 2021</t>
  </si>
  <si>
    <t>CRC NORMALIZADFO 2022</t>
  </si>
  <si>
    <t>CRC NORMALIZADFO 2023</t>
  </si>
  <si>
    <t>CRC NORMALIZADFO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</si>
</sst>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rgb="FF002B54"/>
      <name val="Calibri"/>
      <family val="2"/>
      <scheme val="minor"/>
    </font>
    <font>
      <sz val="8"/>
      <color rgb="FF8A2BE2"/>
      <name val="Calibri"/>
      <family val="2"/>
      <scheme val="minor"/>
    </font>
    <font>
      <sz val="8"/>
      <color rgb="FFDAA520"/>
      <name val="Calibri"/>
      <family val="2"/>
      <scheme val="minor"/>
    </font>
    <font>
      <sz val="8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2B54"/>
      </right>
      <top style="thin">
        <color rgb="FF002B54"/>
      </top>
      <bottom style="thin">
        <color rgb="FF002B54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18" fillId="37" borderId="20" xfId="0" applyFont="1" applyFill="1" applyBorder="1" applyAlignment="1">
      <alignment horizontal="center" vertical="center" wrapText="1"/>
    </xf>
    <xf numFmtId="0" fontId="18" fillId="39" borderId="20" xfId="0" applyFont="1" applyFill="1" applyBorder="1" applyAlignment="1">
      <alignment horizontal="center" vertical="center" wrapText="1"/>
    </xf>
    <xf numFmtId="0" fontId="18" fillId="38" borderId="20" xfId="0" applyFont="1" applyFill="1" applyBorder="1" applyAlignment="1">
      <alignment horizontal="center" vertical="center" wrapText="1"/>
    </xf>
    <xf numFmtId="0" fontId="18" fillId="36" borderId="20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4" borderId="17" xfId="0" applyFont="1" applyFill="1" applyBorder="1" applyAlignment="1">
      <alignment horizontal="left" wrapText="1"/>
    </xf>
    <xf numFmtId="0" fontId="19" fillId="34" borderId="18" xfId="0" applyFont="1" applyFill="1" applyBorder="1" applyAlignment="1">
      <alignment horizontal="right" wrapText="1"/>
    </xf>
    <xf numFmtId="0" fontId="19" fillId="34" borderId="19" xfId="0" applyFont="1" applyFill="1" applyBorder="1" applyAlignment="1">
      <alignment horizontal="right" wrapText="1"/>
    </xf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5" borderId="17" xfId="0" applyFont="1" applyFill="1" applyBorder="1" applyAlignment="1">
      <alignment horizontal="left" wrapText="1"/>
    </xf>
    <xf numFmtId="0" fontId="19" fillId="35" borderId="18" xfId="0" applyFont="1" applyFill="1" applyBorder="1" applyAlignment="1">
      <alignment horizontal="right" wrapText="1"/>
    </xf>
    <xf numFmtId="0" fontId="19" fillId="35" borderId="19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CB418C-9435-4093-8A47-D398CD433510}" name="Tabla1" displayName="Tabla1" ref="A1:Z183" totalsRowShown="0">
  <autoFilter ref="A1:Z183" xr:uid="{07CB418C-9435-4093-8A47-D398CD433510}"/>
  <tableColumns count="26">
    <tableColumn id="1" xr3:uid="{DE085709-8028-4EA9-BC89-D8059BB29008}" name="Importadores"/>
    <tableColumn id="2" xr3:uid="{FC95FD1B-12E7-46B3-A587-C110469FDB17}" name="Valor importado en 2020"/>
    <tableColumn id="3" xr3:uid="{9AE271E9-AC2D-4C06-B752-ACF073BADC99}" name="Valor importado en 2021"/>
    <tableColumn id="4" xr3:uid="{074D1BC2-F89A-4318-8D3F-3C20DDCE1D19}" name="Valor importado en 2022"/>
    <tableColumn id="5" xr3:uid="{2A6A7C5A-D1E9-4AC5-994B-49195F1A28F9}" name="Valor importado en 2023"/>
    <tableColumn id="6" xr3:uid="{75ED1B19-B270-489E-9934-4556B8CE1DCF}" name="Valor importado en 2024"/>
    <tableColumn id="7" xr3:uid="{8BC95BAF-50FC-4E8A-81B9-01C1123C2F5E}" name="IM TOTAL 2020"/>
    <tableColumn id="8" xr3:uid="{82450BC0-DC05-4CC4-A6B5-48773DC7BB5D}" name="IM TOTAL 2021"/>
    <tableColumn id="9" xr3:uid="{CA38D423-C14C-4AF6-99BB-654547ECDC3E}" name="IM TOTAL 2022"/>
    <tableColumn id="10" xr3:uid="{A3149BE6-F325-49AB-84F5-A4A09FBADCD5}" name="IM TOTAL 2023"/>
    <tableColumn id="11" xr3:uid="{C9DFB2EC-6281-4CCB-A9E4-DBCD45256A92}" name="IM TOTAL 2024"/>
    <tableColumn id="12" xr3:uid="{3FF29AC9-4110-466A-AA83-DBB4D6C847C3}" name="PARTICIPACION 2020"/>
    <tableColumn id="13" xr3:uid="{948BEAAD-5330-492C-99E9-9D84148FECCB}" name="PARTICIPACION 2021"/>
    <tableColumn id="14" xr3:uid="{92701B59-F83A-44B2-AEE9-41329E2BC818}" name="PARTICIPACION 2022"/>
    <tableColumn id="15" xr3:uid="{CC0E51F7-D039-4220-BED7-DCEB8C5F7341}" name="PARTICIPACION 2023"/>
    <tableColumn id="16" xr3:uid="{446C14FF-CB56-4DC4-9BCB-352ACCF87F3B}" name="PARTICIPACION 2024"/>
    <tableColumn id="17" xr3:uid="{2E5AD103-35F8-4F0C-96EB-27866AB522DE}" name="CRC 2020"/>
    <tableColumn id="18" xr3:uid="{A926110A-08B8-4601-BED4-ED8E066A654C}" name="CRC 2021"/>
    <tableColumn id="19" xr3:uid="{2E4AD9B5-F2AC-45E9-8FB2-0138C502DB11}" name="CRC 2022"/>
    <tableColumn id="20" xr3:uid="{41015134-C0CC-4EEF-8353-4E32B2350335}" name="CRC 2023"/>
    <tableColumn id="21" xr3:uid="{CF00EE8F-2C2A-4A2B-9547-FF6175A9763D}" name="CRC 2024"/>
    <tableColumn id="22" xr3:uid="{217C200D-59F2-4017-BD2D-50BEB6C595FB}" name="CRC NORMALIZADFO 2020"/>
    <tableColumn id="23" xr3:uid="{A6327B4B-14BA-40D0-8AFB-46126FDD2486}" name="CRC NORMALIZADFO 2021"/>
    <tableColumn id="24" xr3:uid="{E6900797-791F-463D-BC51-E0A0547CE3ED}" name="CRC NORMALIZADFO 2022"/>
    <tableColumn id="25" xr3:uid="{EEBBA246-3F43-480C-9E47-AF9A87A65AC4}" name="CRC NORMALIZADFO 2023"/>
    <tableColumn id="26" xr3:uid="{8F883123-29E5-4953-A9A7-B5E1126D3642}" name="CRC NORMALIZADFO 2024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F75CB-2D49-4EC8-AB87-9FC45C04CD70}">
  <dimension ref="A1:Z183"/>
  <sheetViews>
    <sheetView topLeftCell="A149" workbookViewId="0">
      <selection activeCell="Z1" sqref="A1:Z183"/>
    </sheetView>
  </sheetViews>
  <sheetFormatPr baseColWidth="10" defaultRowHeight="15" x14ac:dyDescent="0.25"/>
  <cols>
    <col min="7" max="12" width="12" bestFit="1" customWidth="1"/>
  </cols>
  <sheetData>
    <row r="1" spans="1:26" ht="33.75" x14ac:dyDescent="0.25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 t="s">
        <v>5</v>
      </c>
      <c r="G1" s="4" t="s">
        <v>241</v>
      </c>
      <c r="H1" s="4" t="s">
        <v>242</v>
      </c>
      <c r="I1" s="4" t="s">
        <v>243</v>
      </c>
      <c r="J1" s="4" t="s">
        <v>244</v>
      </c>
      <c r="K1" s="4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3" t="s">
        <v>251</v>
      </c>
      <c r="R1" s="3" t="s">
        <v>252</v>
      </c>
      <c r="S1" s="3" t="s">
        <v>253</v>
      </c>
      <c r="T1" s="3" t="s">
        <v>254</v>
      </c>
      <c r="U1" s="3" t="s">
        <v>255</v>
      </c>
      <c r="V1" s="2" t="s">
        <v>256</v>
      </c>
      <c r="W1" s="2" t="s">
        <v>257</v>
      </c>
      <c r="X1" s="2" t="s">
        <v>258</v>
      </c>
      <c r="Y1" s="2" t="s">
        <v>259</v>
      </c>
      <c r="Z1" s="2" t="s">
        <v>260</v>
      </c>
    </row>
    <row r="2" spans="1:26" x14ac:dyDescent="0.25">
      <c r="A2" s="29" t="s">
        <v>6</v>
      </c>
      <c r="B2" s="21">
        <v>306484</v>
      </c>
      <c r="C2" s="21">
        <v>234978</v>
      </c>
      <c r="D2" s="21">
        <v>230584</v>
      </c>
      <c r="E2" s="21">
        <v>213424</v>
      </c>
      <c r="F2" s="21">
        <v>305720</v>
      </c>
      <c r="G2">
        <f>VLOOKUP(A2,IMPORTACIONTOTAL,2,FALSE)</f>
        <v>17740704282</v>
      </c>
      <c r="H2" s="20">
        <f>VLOOKUP(A2,IMPORTACIONTOTAL,3,FALSE)</f>
        <v>22469120497</v>
      </c>
      <c r="I2" s="20">
        <f>VLOOKUP(A2,IMPORTACIONTOTAL,4,FALSE)</f>
        <v>25340140901</v>
      </c>
      <c r="J2" s="20">
        <f>VLOOKUP(A2,IMPORTACIONTOTAL,5,FALSE)</f>
        <v>23977310520</v>
      </c>
      <c r="K2" s="20">
        <f>VLOOKUP(A2,IMPORTACIONTOTAL,6,FALSE)</f>
        <v>23987203776</v>
      </c>
      <c r="L2">
        <f>B2/G2</f>
        <v>1.7275751578304786E-5</v>
      </c>
      <c r="M2" s="20">
        <f t="shared" ref="M2:P2" si="0">C2/H2</f>
        <v>1.0457819211542947E-5</v>
      </c>
      <c r="N2" s="20">
        <f t="shared" si="0"/>
        <v>9.0995547696777185E-6</v>
      </c>
      <c r="O2" s="20">
        <f t="shared" si="0"/>
        <v>8.9010817048049802E-6</v>
      </c>
      <c r="P2" s="20">
        <f t="shared" si="0"/>
        <v>1.2745128730089126E-5</v>
      </c>
    </row>
    <row r="3" spans="1:26" ht="23.25" x14ac:dyDescent="0.25">
      <c r="A3" s="30" t="s">
        <v>7</v>
      </c>
      <c r="B3" s="22">
        <v>101167</v>
      </c>
      <c r="C3" s="22">
        <v>68774</v>
      </c>
      <c r="D3" s="22">
        <v>74887</v>
      </c>
      <c r="E3" s="22">
        <v>75117</v>
      </c>
      <c r="F3" s="31">
        <v>110760</v>
      </c>
      <c r="G3" s="20">
        <f>VLOOKUP(A3,IMPORTACIONTOTAL,2,FALSE)</f>
        <v>2406931650</v>
      </c>
      <c r="H3" s="20">
        <f>VLOOKUP(A3,IMPORTACIONTOTAL,3,FALSE)</f>
        <v>2935314152</v>
      </c>
      <c r="I3" s="20">
        <f>VLOOKUP(A3,IMPORTACIONTOTAL,4,FALSE)</f>
        <v>3375948186</v>
      </c>
      <c r="J3" s="20">
        <f>VLOOKUP(A3,IMPORTACIONTOTAL,5,FALSE)</f>
        <v>3172533052</v>
      </c>
      <c r="K3" s="20">
        <f>VLOOKUP(A3,IMPORTACIONTOTAL,6,FALSE)</f>
        <v>3359310385</v>
      </c>
      <c r="L3" s="20">
        <f t="shared" ref="L3:L66" si="1">B3/G3</f>
        <v>4.2031521750939624E-5</v>
      </c>
      <c r="M3" s="20">
        <f t="shared" ref="M3:M66" si="2">C3/H3</f>
        <v>2.342986012353747E-5</v>
      </c>
      <c r="N3" s="20">
        <f t="shared" ref="N3:N66" si="3">D3/I3</f>
        <v>2.2182508698017085E-5</v>
      </c>
      <c r="O3" s="20">
        <f t="shared" ref="O3:O66" si="4">E3/J3</f>
        <v>2.3677294694422619E-5</v>
      </c>
      <c r="P3" s="20">
        <f t="shared" ref="P3:P66" si="5">F3/K3</f>
        <v>3.297105277754797E-5</v>
      </c>
      <c r="Q3">
        <f>L3/$L$2</f>
        <v>2.4329778973971585</v>
      </c>
      <c r="R3" s="20">
        <f>M3/$M$2</f>
        <v>2.2404154871673887</v>
      </c>
      <c r="S3" s="20">
        <f>N3/$N$2</f>
        <v>2.4377575891883696</v>
      </c>
      <c r="T3" s="20">
        <f>O3/$O$2</f>
        <v>2.6600468886428876</v>
      </c>
      <c r="U3" s="20">
        <f>P3/$P$2</f>
        <v>2.586953296101969</v>
      </c>
      <c r="V3">
        <f>(Q3-1)/(Q3+1)</f>
        <v>0.4174154160688377</v>
      </c>
      <c r="W3" s="20">
        <f t="shared" ref="W3:Z3" si="6">(R3-1)/(R3+1)</f>
        <v>0.38279519773919446</v>
      </c>
      <c r="X3" s="20">
        <f t="shared" si="6"/>
        <v>0.41822541348176157</v>
      </c>
      <c r="Y3" s="20">
        <f t="shared" si="6"/>
        <v>0.45355891308223595</v>
      </c>
      <c r="Z3" s="20">
        <f t="shared" si="6"/>
        <v>0.44242374101345294</v>
      </c>
    </row>
    <row r="4" spans="1:26" x14ac:dyDescent="0.25">
      <c r="A4" s="29" t="s">
        <v>8</v>
      </c>
      <c r="B4" s="23">
        <v>28612</v>
      </c>
      <c r="C4" s="23">
        <v>21152</v>
      </c>
      <c r="D4" s="23">
        <v>23293</v>
      </c>
      <c r="E4" s="23">
        <v>19678</v>
      </c>
      <c r="F4" s="32">
        <v>21769</v>
      </c>
      <c r="G4" s="20">
        <f>VLOOKUP(A4,IMPORTACIONTOTAL,2,FALSE)</f>
        <v>405666523</v>
      </c>
      <c r="H4" s="20">
        <f>VLOOKUP(A4,IMPORTACIONTOTAL,3,FALSE)</f>
        <v>491713789</v>
      </c>
      <c r="I4" s="20">
        <f>VLOOKUP(A4,IMPORTACIONTOTAL,4,FALSE)</f>
        <v>570189759</v>
      </c>
      <c r="J4" s="20">
        <f>VLOOKUP(A4,IMPORTACIONTOTAL,5,FALSE)</f>
        <v>559231481</v>
      </c>
      <c r="K4" s="20">
        <f>VLOOKUP(A4,IMPORTACIONTOTAL,6,FALSE)</f>
        <v>554263254</v>
      </c>
      <c r="L4" s="20">
        <f t="shared" si="1"/>
        <v>7.0530838454224633E-5</v>
      </c>
      <c r="M4" s="20">
        <f t="shared" si="2"/>
        <v>4.3016894122527851E-5</v>
      </c>
      <c r="N4" s="20">
        <f t="shared" si="3"/>
        <v>4.0851312448773742E-5</v>
      </c>
      <c r="O4" s="20">
        <f t="shared" si="4"/>
        <v>3.5187575572126995E-5</v>
      </c>
      <c r="P4" s="20">
        <f t="shared" si="5"/>
        <v>3.9275560562418233E-5</v>
      </c>
      <c r="Q4" s="20">
        <f t="shared" ref="Q4:Q67" si="7">L4/$L$2</f>
        <v>4.082649494844472</v>
      </c>
      <c r="R4" s="20">
        <f t="shared" ref="R4:R67" si="8">M4/$M$2</f>
        <v>4.1133713685782043</v>
      </c>
      <c r="S4" s="20">
        <f t="shared" ref="S4:S67" si="9">N4/$N$2</f>
        <v>4.4893748631418573</v>
      </c>
      <c r="T4" s="20">
        <f t="shared" ref="T4:T67" si="10">O4/$O$2</f>
        <v>3.9531797077126081</v>
      </c>
      <c r="U4" s="20">
        <f t="shared" ref="U4:U67" si="11">P4/$P$2</f>
        <v>3.0816134849776113</v>
      </c>
      <c r="V4" s="20">
        <f t="shared" ref="V4:V67" si="12">(Q4-1)/(Q4+1)</f>
        <v>0.60650444182140095</v>
      </c>
      <c r="W4" s="20">
        <f t="shared" ref="W4:W67" si="13">(R4-1)/(R4+1)</f>
        <v>0.60886861996958597</v>
      </c>
      <c r="X4" s="20">
        <f t="shared" ref="X4:X67" si="14">(S4-1)/(S4+1)</f>
        <v>0.63565978825222824</v>
      </c>
      <c r="Y4" s="20">
        <f t="shared" ref="Y4:Y67" si="15">(T4-1)/(T4+1)</f>
        <v>0.59621897083891484</v>
      </c>
      <c r="Z4" s="20">
        <f t="shared" ref="Z4:Z67" si="16">(U4-1)/(U4+1)</f>
        <v>0.50999769886075574</v>
      </c>
    </row>
    <row r="5" spans="1:26" x14ac:dyDescent="0.25">
      <c r="A5" s="30" t="s">
        <v>9</v>
      </c>
      <c r="B5" s="22">
        <v>21949</v>
      </c>
      <c r="C5" s="22">
        <v>18466</v>
      </c>
      <c r="D5" s="22">
        <v>11206</v>
      </c>
      <c r="E5" s="22">
        <v>11458</v>
      </c>
      <c r="F5" s="31">
        <v>20097</v>
      </c>
      <c r="G5" s="20">
        <f>VLOOKUP(A5,IMPORTACIONTOTAL,2,FALSE)</f>
        <v>1172923865</v>
      </c>
      <c r="H5" s="20">
        <f>VLOOKUP(A5,IMPORTACIONTOTAL,3,FALSE)</f>
        <v>1422827856</v>
      </c>
      <c r="I5" s="20">
        <f>VLOOKUP(A5,IMPORTACIONTOTAL,4,FALSE)</f>
        <v>1505324953</v>
      </c>
      <c r="J5" s="20">
        <f>VLOOKUP(A5,IMPORTACIONTOTAL,5,FALSE)</f>
        <v>1433191152</v>
      </c>
      <c r="K5" s="20">
        <f>VLOOKUP(A5,IMPORTACIONTOTAL,6,FALSE)</f>
        <v>1425209578</v>
      </c>
      <c r="L5" s="20">
        <f t="shared" si="1"/>
        <v>1.8713064551721778E-5</v>
      </c>
      <c r="M5" s="20">
        <f t="shared" si="2"/>
        <v>1.2978379585506231E-5</v>
      </c>
      <c r="N5" s="20">
        <f t="shared" si="3"/>
        <v>7.4442398484574913E-6</v>
      </c>
      <c r="O5" s="20">
        <f t="shared" si="4"/>
        <v>7.9947465374807171E-6</v>
      </c>
      <c r="P5" s="20">
        <f t="shared" si="5"/>
        <v>1.410108401615022E-5</v>
      </c>
      <c r="Q5" s="20">
        <f t="shared" si="7"/>
        <v>1.0831982890528478</v>
      </c>
      <c r="R5" s="20">
        <f t="shared" si="8"/>
        <v>1.2410216052674907</v>
      </c>
      <c r="S5" s="20">
        <f t="shared" si="9"/>
        <v>0.81808836112111738</v>
      </c>
      <c r="T5" s="20">
        <f t="shared" si="10"/>
        <v>0.89817696349927834</v>
      </c>
      <c r="U5" s="20">
        <f t="shared" si="11"/>
        <v>1.106390081636438</v>
      </c>
      <c r="V5" s="20">
        <f t="shared" si="12"/>
        <v>3.9937767561567514E-2</v>
      </c>
      <c r="W5" s="20">
        <f t="shared" si="13"/>
        <v>0.1075498802425522</v>
      </c>
      <c r="X5" s="20">
        <f t="shared" si="14"/>
        <v>-0.10005654442818582</v>
      </c>
      <c r="Y5" s="20">
        <f t="shared" si="15"/>
        <v>-5.3642541479911057E-2</v>
      </c>
      <c r="Z5" s="20">
        <f t="shared" si="16"/>
        <v>5.05082522767029E-2</v>
      </c>
    </row>
    <row r="6" spans="1:26" x14ac:dyDescent="0.25">
      <c r="A6" s="29" t="s">
        <v>10</v>
      </c>
      <c r="B6" s="23">
        <v>15356</v>
      </c>
      <c r="C6" s="23">
        <v>10767</v>
      </c>
      <c r="D6" s="23">
        <v>10537</v>
      </c>
      <c r="E6" s="23">
        <v>9894</v>
      </c>
      <c r="F6" s="32">
        <v>17658</v>
      </c>
      <c r="G6" s="20">
        <f>VLOOKUP(A6,IMPORTACIONTOTAL,2,FALSE)</f>
        <v>484088531</v>
      </c>
      <c r="H6" s="20">
        <f>VLOOKUP(A6,IMPORTACIONTOTAL,3,FALSE)</f>
        <v>623369107</v>
      </c>
      <c r="I6" s="20">
        <f>VLOOKUP(A6,IMPORTACIONTOTAL,4,FALSE)</f>
        <v>710771872</v>
      </c>
      <c r="J6" s="20">
        <f>VLOOKUP(A6,IMPORTACIONTOTAL,5,FALSE)</f>
        <v>664131324</v>
      </c>
      <c r="K6" s="20">
        <f>VLOOKUP(A6,IMPORTACIONTOTAL,6,FALSE)</f>
        <v>636885898</v>
      </c>
      <c r="L6" s="20">
        <f t="shared" si="1"/>
        <v>3.1721470385341562E-5</v>
      </c>
      <c r="M6" s="20">
        <f t="shared" si="2"/>
        <v>1.7272270760764537E-5</v>
      </c>
      <c r="N6" s="20">
        <f t="shared" si="3"/>
        <v>1.4824728460835883E-5</v>
      </c>
      <c r="O6" s="20">
        <f t="shared" si="4"/>
        <v>1.4897655994313559E-5</v>
      </c>
      <c r="P6" s="20">
        <f t="shared" si="5"/>
        <v>2.7725531457755719E-5</v>
      </c>
      <c r="Q6" s="20">
        <f t="shared" si="7"/>
        <v>1.8361846801026001</v>
      </c>
      <c r="R6" s="20">
        <f t="shared" si="8"/>
        <v>1.6516130573093151</v>
      </c>
      <c r="S6" s="20">
        <f t="shared" si="9"/>
        <v>1.6291707491267657</v>
      </c>
      <c r="T6" s="20">
        <f t="shared" si="10"/>
        <v>1.6736905118252661</v>
      </c>
      <c r="U6" s="20">
        <f t="shared" si="11"/>
        <v>2.1753826144023445</v>
      </c>
      <c r="V6" s="20">
        <f t="shared" si="12"/>
        <v>0.29482730302046151</v>
      </c>
      <c r="W6" s="20">
        <f t="shared" si="13"/>
        <v>0.24574213628685695</v>
      </c>
      <c r="X6" s="20">
        <f t="shared" si="14"/>
        <v>0.23930387531343641</v>
      </c>
      <c r="Y6" s="20">
        <f t="shared" si="15"/>
        <v>0.25197026688229268</v>
      </c>
      <c r="Z6" s="20">
        <f t="shared" si="16"/>
        <v>0.37015464185992891</v>
      </c>
    </row>
    <row r="7" spans="1:26" x14ac:dyDescent="0.25">
      <c r="A7" s="30" t="s">
        <v>11</v>
      </c>
      <c r="B7" s="22">
        <v>10834</v>
      </c>
      <c r="C7" s="22">
        <v>8561</v>
      </c>
      <c r="D7" s="22">
        <v>9898</v>
      </c>
      <c r="E7" s="22">
        <v>7474</v>
      </c>
      <c r="F7" s="31">
        <v>14727</v>
      </c>
      <c r="G7" s="20">
        <f>VLOOKUP(A7,IMPORTACIONTOTAL,2,FALSE)</f>
        <v>426475840</v>
      </c>
      <c r="H7" s="20">
        <f>VLOOKUP(A7,IMPORTACIONTOTAL,3,FALSE)</f>
        <v>568202425</v>
      </c>
      <c r="I7" s="20">
        <f>VLOOKUP(A7,IMPORTACIONTOTAL,4,FALSE)</f>
        <v>695235843</v>
      </c>
      <c r="J7" s="20">
        <f>VLOOKUP(A7,IMPORTACIONTOTAL,5,FALSE)</f>
        <v>639928812</v>
      </c>
      <c r="K7" s="20">
        <f>VLOOKUP(A7,IMPORTACIONTOTAL,6,FALSE)</f>
        <v>615599099</v>
      </c>
      <c r="L7" s="20">
        <f t="shared" si="1"/>
        <v>2.5403549237396426E-5</v>
      </c>
      <c r="M7" s="20">
        <f t="shared" si="2"/>
        <v>1.5066813556805922E-5</v>
      </c>
      <c r="N7" s="20">
        <f t="shared" si="3"/>
        <v>1.4236895435783797E-5</v>
      </c>
      <c r="O7" s="20">
        <f t="shared" si="4"/>
        <v>1.1679424116943807E-5</v>
      </c>
      <c r="P7" s="20">
        <f t="shared" si="5"/>
        <v>2.3923036963379312E-5</v>
      </c>
      <c r="Q7" s="20">
        <f t="shared" si="7"/>
        <v>1.4704743305812917</v>
      </c>
      <c r="R7" s="20">
        <f t="shared" si="8"/>
        <v>1.4407223200201951</v>
      </c>
      <c r="S7" s="20">
        <f t="shared" si="9"/>
        <v>1.5645705527511242</v>
      </c>
      <c r="T7" s="20">
        <f t="shared" si="10"/>
        <v>1.3121353678440029</v>
      </c>
      <c r="U7" s="20">
        <f t="shared" si="11"/>
        <v>1.877033764821928</v>
      </c>
      <c r="V7" s="20">
        <f t="shared" si="12"/>
        <v>0.19043886623610101</v>
      </c>
      <c r="W7" s="20">
        <f t="shared" si="13"/>
        <v>0.18057044687350932</v>
      </c>
      <c r="X7" s="20">
        <f t="shared" si="14"/>
        <v>0.22014233616832468</v>
      </c>
      <c r="Y7" s="20">
        <f t="shared" si="15"/>
        <v>0.13499874280071231</v>
      </c>
      <c r="Z7" s="20">
        <f t="shared" si="16"/>
        <v>0.30483958010698264</v>
      </c>
    </row>
    <row r="8" spans="1:26" x14ac:dyDescent="0.25">
      <c r="A8" s="29" t="s">
        <v>12</v>
      </c>
      <c r="B8" s="23">
        <v>21137</v>
      </c>
      <c r="C8" s="23">
        <v>18870</v>
      </c>
      <c r="D8" s="23">
        <v>15991</v>
      </c>
      <c r="E8" s="23">
        <v>10157</v>
      </c>
      <c r="F8" s="32">
        <v>11634</v>
      </c>
      <c r="G8" s="20">
        <f>VLOOKUP(A8,IMPORTACIONTOTAL,2,FALSE)</f>
        <v>571097349</v>
      </c>
      <c r="H8" s="20">
        <f>VLOOKUP(A8,IMPORTACIONTOTAL,3,FALSE)</f>
        <v>707758694</v>
      </c>
      <c r="I8" s="20">
        <f>VLOOKUP(A8,IMPORTACIONTOTAL,4,FALSE)</f>
        <v>815172598</v>
      </c>
      <c r="J8" s="20">
        <f>VLOOKUP(A8,IMPORTACIONTOTAL,5,FALSE)</f>
        <v>777352604</v>
      </c>
      <c r="K8" s="20">
        <f>VLOOKUP(A8,IMPORTACIONTOTAL,6,FALSE)</f>
        <v>740387893</v>
      </c>
      <c r="L8" s="20">
        <f t="shared" si="1"/>
        <v>3.7011203146033166E-5</v>
      </c>
      <c r="M8" s="20">
        <f t="shared" si="2"/>
        <v>2.6661629394269227E-5</v>
      </c>
      <c r="N8" s="20">
        <f t="shared" si="3"/>
        <v>1.9616704535006954E-5</v>
      </c>
      <c r="O8" s="20">
        <f t="shared" si="4"/>
        <v>1.3066142633002616E-5</v>
      </c>
      <c r="P8" s="20">
        <f t="shared" si="5"/>
        <v>1.5713384983727711E-5</v>
      </c>
      <c r="Q8" s="20">
        <f t="shared" si="7"/>
        <v>2.1423787543062689</v>
      </c>
      <c r="R8" s="20">
        <f t="shared" si="8"/>
        <v>2.5494444735515343</v>
      </c>
      <c r="S8" s="20">
        <f t="shared" si="9"/>
        <v>2.1557872919645851</v>
      </c>
      <c r="T8" s="20">
        <f t="shared" si="10"/>
        <v>1.4679275021090137</v>
      </c>
      <c r="U8" s="20">
        <f t="shared" si="11"/>
        <v>1.2328933913889017</v>
      </c>
      <c r="V8" s="20">
        <f t="shared" si="12"/>
        <v>0.36353948509254974</v>
      </c>
      <c r="W8" s="20">
        <f t="shared" si="13"/>
        <v>0.43653154320264026</v>
      </c>
      <c r="X8" s="20">
        <f t="shared" si="14"/>
        <v>0.36624372463489707</v>
      </c>
      <c r="Y8" s="20">
        <f t="shared" si="15"/>
        <v>0.18960342299728719</v>
      </c>
      <c r="Z8" s="20">
        <f t="shared" si="16"/>
        <v>0.10430116918570738</v>
      </c>
    </row>
    <row r="9" spans="1:26" x14ac:dyDescent="0.25">
      <c r="A9" s="30" t="s">
        <v>13</v>
      </c>
      <c r="B9" s="22">
        <v>4585</v>
      </c>
      <c r="C9" s="22">
        <v>6888</v>
      </c>
      <c r="D9" s="22">
        <v>6982</v>
      </c>
      <c r="E9" s="22">
        <v>3656</v>
      </c>
      <c r="F9" s="31">
        <v>8471</v>
      </c>
      <c r="G9" s="20">
        <f>VLOOKUP(A9,IMPORTACIONTOTAL,2,FALSE)</f>
        <v>2057021048</v>
      </c>
      <c r="H9" s="20">
        <f>VLOOKUP(A9,IMPORTACIONTOTAL,3,FALSE)</f>
        <v>2675680064</v>
      </c>
      <c r="I9" s="20">
        <f>VLOOKUP(A9,IMPORTACIONTOTAL,4,FALSE)</f>
        <v>2715998754</v>
      </c>
      <c r="J9" s="20">
        <f>VLOOKUP(A9,IMPORTACIONTOTAL,5,FALSE)</f>
        <v>2559319988</v>
      </c>
      <c r="K9" s="20">
        <f>VLOOKUP(A9,IMPORTACIONTOTAL,6,FALSE)</f>
        <v>2587295232</v>
      </c>
      <c r="L9" s="20">
        <f t="shared" si="1"/>
        <v>2.2289514268499598E-6</v>
      </c>
      <c r="M9" s="20">
        <f t="shared" si="2"/>
        <v>2.5742988082449606E-6</v>
      </c>
      <c r="N9" s="20">
        <f t="shared" si="3"/>
        <v>2.5706933737422471E-6</v>
      </c>
      <c r="O9" s="20">
        <f t="shared" si="4"/>
        <v>1.4285044531914935E-6</v>
      </c>
      <c r="P9" s="20">
        <f t="shared" si="5"/>
        <v>3.2740755269169065E-6</v>
      </c>
      <c r="Q9" s="20">
        <f t="shared" si="7"/>
        <v>0.12902196565787152</v>
      </c>
      <c r="R9" s="20">
        <f t="shared" si="8"/>
        <v>0.24616019422132929</v>
      </c>
      <c r="S9" s="20">
        <f t="shared" si="9"/>
        <v>0.28250759941667941</v>
      </c>
      <c r="T9" s="20">
        <f t="shared" si="10"/>
        <v>0.16048661281475021</v>
      </c>
      <c r="U9" s="20">
        <f t="shared" si="11"/>
        <v>0.25688838428029048</v>
      </c>
      <c r="V9" s="20">
        <f t="shared" si="12"/>
        <v>-0.77144472015176158</v>
      </c>
      <c r="W9" s="20">
        <f t="shared" si="13"/>
        <v>-0.60493009588523405</v>
      </c>
      <c r="X9" s="20">
        <f t="shared" si="14"/>
        <v>-0.55944495058715926</v>
      </c>
      <c r="Y9" s="20">
        <f t="shared" si="15"/>
        <v>-0.72341496913007675</v>
      </c>
      <c r="Z9" s="20">
        <f t="shared" si="16"/>
        <v>-0.59123119046503425</v>
      </c>
    </row>
    <row r="10" spans="1:26" x14ac:dyDescent="0.25">
      <c r="A10" s="29" t="s">
        <v>14</v>
      </c>
      <c r="B10" s="23">
        <v>7821</v>
      </c>
      <c r="C10" s="23">
        <v>5868</v>
      </c>
      <c r="D10" s="23">
        <v>6212</v>
      </c>
      <c r="E10" s="23">
        <v>5681</v>
      </c>
      <c r="F10" s="32">
        <v>7294</v>
      </c>
      <c r="G10" s="20">
        <f>VLOOKUP(A10,IMPORTACIONTOTAL,2,FALSE)</f>
        <v>329738801</v>
      </c>
      <c r="H10" s="20">
        <f>VLOOKUP(A10,IMPORTACIONTOTAL,3,FALSE)</f>
        <v>426059817</v>
      </c>
      <c r="I10" s="20">
        <f>VLOOKUP(A10,IMPORTACIONTOTAL,4,FALSE)</f>
        <v>499055069</v>
      </c>
      <c r="J10" s="20">
        <f>VLOOKUP(A10,IMPORTACIONTOTAL,5,FALSE)</f>
        <v>469043091</v>
      </c>
      <c r="K10" s="20">
        <f>VLOOKUP(A10,IMPORTACIONTOTAL,6,FALSE)</f>
        <v>451303134</v>
      </c>
      <c r="L10" s="20">
        <f t="shared" si="1"/>
        <v>2.3718773696881368E-5</v>
      </c>
      <c r="M10" s="20">
        <f t="shared" si="2"/>
        <v>1.3772713984900389E-5</v>
      </c>
      <c r="N10" s="20">
        <f t="shared" si="3"/>
        <v>1.2447524102795959E-5</v>
      </c>
      <c r="O10" s="20">
        <f t="shared" si="4"/>
        <v>1.2111893574400822E-5</v>
      </c>
      <c r="P10" s="20">
        <f t="shared" si="5"/>
        <v>1.6162085858681407E-5</v>
      </c>
      <c r="Q10" s="20">
        <f t="shared" si="7"/>
        <v>1.372951769384543</v>
      </c>
      <c r="R10" s="20">
        <f t="shared" si="8"/>
        <v>1.3169776323632163</v>
      </c>
      <c r="S10" s="20">
        <f t="shared" si="9"/>
        <v>1.3679267192582452</v>
      </c>
      <c r="T10" s="20">
        <f t="shared" si="10"/>
        <v>1.3607215365591556</v>
      </c>
      <c r="U10" s="20">
        <f t="shared" si="11"/>
        <v>1.2680990675696679</v>
      </c>
      <c r="V10" s="20">
        <f t="shared" si="12"/>
        <v>0.15716786754636528</v>
      </c>
      <c r="W10" s="20">
        <f t="shared" si="13"/>
        <v>0.13680651376850492</v>
      </c>
      <c r="X10" s="20">
        <f t="shared" si="14"/>
        <v>0.15537926755330439</v>
      </c>
      <c r="Y10" s="20">
        <f t="shared" si="15"/>
        <v>0.15280139185112085</v>
      </c>
      <c r="Z10" s="20">
        <f t="shared" si="16"/>
        <v>0.11820430218550534</v>
      </c>
    </row>
    <row r="11" spans="1:26" x14ac:dyDescent="0.25">
      <c r="A11" s="30" t="s">
        <v>15</v>
      </c>
      <c r="B11" s="22">
        <v>11990</v>
      </c>
      <c r="C11" s="22">
        <v>5929</v>
      </c>
      <c r="D11" s="22">
        <v>5430</v>
      </c>
      <c r="E11" s="22">
        <v>5332</v>
      </c>
      <c r="F11" s="31">
        <v>7135</v>
      </c>
      <c r="G11" s="20">
        <f>VLOOKUP(A11,IMPORTACIONTOTAL,2,FALSE)</f>
        <v>630863707</v>
      </c>
      <c r="H11" s="20">
        <f>VLOOKUP(A11,IMPORTACIONTOTAL,3,FALSE)</f>
        <v>695578289</v>
      </c>
      <c r="I11" s="20">
        <f>VLOOKUP(A11,IMPORTACIONTOTAL,4,FALSE)</f>
        <v>816299884</v>
      </c>
      <c r="J11" s="20">
        <f>VLOOKUP(A11,IMPORTACIONTOTAL,5,FALSE)</f>
        <v>791855405</v>
      </c>
      <c r="K11" s="20">
        <f>VLOOKUP(A11,IMPORTACIONTOTAL,6,FALSE)</f>
        <v>815579239</v>
      </c>
      <c r="L11" s="20">
        <f t="shared" si="1"/>
        <v>1.9005689924717764E-5</v>
      </c>
      <c r="M11" s="20">
        <f t="shared" si="2"/>
        <v>8.5238428136160536E-6</v>
      </c>
      <c r="N11" s="20">
        <f t="shared" si="3"/>
        <v>6.6519671341763908E-6</v>
      </c>
      <c r="O11" s="20">
        <f t="shared" si="4"/>
        <v>6.7335525732756728E-6</v>
      </c>
      <c r="P11" s="20">
        <f t="shared" si="5"/>
        <v>8.7483835522203628E-6</v>
      </c>
      <c r="Q11" s="20">
        <f t="shared" si="7"/>
        <v>1.1001367922299523</v>
      </c>
      <c r="R11" s="20">
        <f t="shared" si="8"/>
        <v>0.81506886294302705</v>
      </c>
      <c r="S11" s="20">
        <f t="shared" si="9"/>
        <v>0.73102116560060948</v>
      </c>
      <c r="T11" s="20">
        <f t="shared" si="10"/>
        <v>0.75648699748939141</v>
      </c>
      <c r="U11" s="20">
        <f t="shared" si="11"/>
        <v>0.68640997964711692</v>
      </c>
      <c r="V11" s="20">
        <f t="shared" si="12"/>
        <v>4.7681080870749265E-2</v>
      </c>
      <c r="W11" s="20">
        <f t="shared" si="13"/>
        <v>-0.10188656796035718</v>
      </c>
      <c r="X11" s="20">
        <f t="shared" si="14"/>
        <v>-0.15538737465758451</v>
      </c>
      <c r="Y11" s="20">
        <f t="shared" si="15"/>
        <v>-0.13863638208462134</v>
      </c>
      <c r="Z11" s="20">
        <f t="shared" si="16"/>
        <v>-0.185951236139211</v>
      </c>
    </row>
    <row r="12" spans="1:26" x14ac:dyDescent="0.25">
      <c r="A12" s="29" t="s">
        <v>16</v>
      </c>
      <c r="B12" s="23">
        <v>7658</v>
      </c>
      <c r="C12" s="23">
        <v>4874</v>
      </c>
      <c r="D12" s="23">
        <v>4264</v>
      </c>
      <c r="E12" s="23">
        <v>4211</v>
      </c>
      <c r="F12" s="32">
        <v>6570</v>
      </c>
      <c r="G12" s="20">
        <f>VLOOKUP(A12,IMPORTACIONTOTAL,2,FALSE)</f>
        <v>395854450</v>
      </c>
      <c r="H12" s="20">
        <f>VLOOKUP(A12,IMPORTACIONTOTAL,3,FALSE)</f>
        <v>532547499</v>
      </c>
      <c r="I12" s="20">
        <f>VLOOKUP(A12,IMPORTACIONTOTAL,4,FALSE)</f>
        <v>624289390</v>
      </c>
      <c r="J12" s="20">
        <f>VLOOKUP(A12,IMPORTACIONTOTAL,5,FALSE)</f>
        <v>550854780</v>
      </c>
      <c r="K12" s="20">
        <f>VLOOKUP(A12,IMPORTACIONTOTAL,6,FALSE)</f>
        <v>519085769</v>
      </c>
      <c r="L12" s="20">
        <f t="shared" si="1"/>
        <v>1.9345494284578588E-5</v>
      </c>
      <c r="M12" s="20">
        <f t="shared" si="2"/>
        <v>9.1522352638069572E-6</v>
      </c>
      <c r="N12" s="20">
        <f t="shared" si="3"/>
        <v>6.8301657345161673E-6</v>
      </c>
      <c r="O12" s="20">
        <f t="shared" si="4"/>
        <v>7.6444829978601623E-6</v>
      </c>
      <c r="P12" s="20">
        <f t="shared" si="5"/>
        <v>1.2656867886509137E-5</v>
      </c>
      <c r="Q12" s="20">
        <f t="shared" si="7"/>
        <v>1.1198062322725817</v>
      </c>
      <c r="R12" s="20">
        <f t="shared" si="8"/>
        <v>0.87515715070930511</v>
      </c>
      <c r="S12" s="20">
        <f t="shared" si="9"/>
        <v>0.75060438751093683</v>
      </c>
      <c r="T12" s="20">
        <f t="shared" si="10"/>
        <v>0.85882629228462415</v>
      </c>
      <c r="U12" s="20">
        <f t="shared" si="11"/>
        <v>0.99307493510272515</v>
      </c>
      <c r="V12" s="20">
        <f t="shared" si="12"/>
        <v>5.6517539409317127E-2</v>
      </c>
      <c r="W12" s="20">
        <f t="shared" si="13"/>
        <v>-6.6577272866688145E-2</v>
      </c>
      <c r="X12" s="20">
        <f t="shared" si="14"/>
        <v>-0.14246257707811502</v>
      </c>
      <c r="Y12" s="20">
        <f t="shared" si="15"/>
        <v>-7.5947767847561354E-2</v>
      </c>
      <c r="Z12" s="20">
        <f t="shared" si="16"/>
        <v>-3.4745632365889554E-3</v>
      </c>
    </row>
    <row r="13" spans="1:26" x14ac:dyDescent="0.25">
      <c r="A13" s="30" t="s">
        <v>17</v>
      </c>
      <c r="B13" s="22">
        <v>6340</v>
      </c>
      <c r="C13" s="22">
        <v>6152</v>
      </c>
      <c r="D13" s="22">
        <v>4638</v>
      </c>
      <c r="E13" s="22">
        <v>4283</v>
      </c>
      <c r="F13" s="31">
        <v>5289</v>
      </c>
      <c r="G13" s="20">
        <f>VLOOKUP(A13,IMPORTACIONTOTAL,2,FALSE)</f>
        <v>202277035</v>
      </c>
      <c r="H13" s="20">
        <f>VLOOKUP(A13,IMPORTACIONTOTAL,3,FALSE)</f>
        <v>248893435</v>
      </c>
      <c r="I13" s="20">
        <f>VLOOKUP(A13,IMPORTACIONTOTAL,4,FALSE)</f>
        <v>290113770</v>
      </c>
      <c r="J13" s="20">
        <f>VLOOKUP(A13,IMPORTACIONTOTAL,5,FALSE)</f>
        <v>276027533</v>
      </c>
      <c r="K13" s="20">
        <f>VLOOKUP(A13,IMPORTACIONTOTAL,6,FALSE)</f>
        <v>284464732</v>
      </c>
      <c r="L13" s="20">
        <f t="shared" si="1"/>
        <v>3.1343152721217218E-5</v>
      </c>
      <c r="M13" s="20">
        <f t="shared" si="2"/>
        <v>2.4717405663994313E-5</v>
      </c>
      <c r="N13" s="20">
        <f t="shared" si="3"/>
        <v>1.5986831648839007E-5</v>
      </c>
      <c r="O13" s="20">
        <f t="shared" si="4"/>
        <v>1.5516568051926907E-5</v>
      </c>
      <c r="P13" s="20">
        <f t="shared" si="5"/>
        <v>1.8592814521555524E-5</v>
      </c>
      <c r="Q13" s="20">
        <f t="shared" si="7"/>
        <v>1.8142859127806943</v>
      </c>
      <c r="R13" s="20">
        <f t="shared" si="8"/>
        <v>2.3635334637179586</v>
      </c>
      <c r="S13" s="20">
        <f t="shared" si="9"/>
        <v>1.756880644546658</v>
      </c>
      <c r="T13" s="20">
        <f t="shared" si="10"/>
        <v>1.7432227415181185</v>
      </c>
      <c r="U13" s="20">
        <f t="shared" si="11"/>
        <v>1.4588173187816444</v>
      </c>
      <c r="V13" s="20">
        <f t="shared" si="12"/>
        <v>0.28934015164654248</v>
      </c>
      <c r="W13" s="20">
        <f t="shared" si="13"/>
        <v>0.40538721508979597</v>
      </c>
      <c r="X13" s="20">
        <f t="shared" si="14"/>
        <v>0.2745424057598691</v>
      </c>
      <c r="Y13" s="20">
        <f t="shared" si="15"/>
        <v>0.27093051186460126</v>
      </c>
      <c r="Z13" s="20">
        <f t="shared" si="16"/>
        <v>0.18660081628552649</v>
      </c>
    </row>
    <row r="14" spans="1:26" x14ac:dyDescent="0.25">
      <c r="A14" s="29" t="s">
        <v>18</v>
      </c>
      <c r="B14" s="23">
        <v>5833</v>
      </c>
      <c r="C14" s="23">
        <v>4196</v>
      </c>
      <c r="D14" s="23">
        <v>4300</v>
      </c>
      <c r="E14" s="23">
        <v>2898</v>
      </c>
      <c r="F14" s="32">
        <v>5037</v>
      </c>
      <c r="G14" s="20">
        <f>VLOOKUP(A14,IMPORTACIONTOTAL,2,FALSE)</f>
        <v>69260696</v>
      </c>
      <c r="H14" s="20">
        <f>VLOOKUP(A14,IMPORTACIONTOTAL,3,FALSE)</f>
        <v>92158602</v>
      </c>
      <c r="I14" s="20">
        <f>VLOOKUP(A14,IMPORTACIONTOTAL,4,FALSE)</f>
        <v>107757786</v>
      </c>
      <c r="J14" s="20">
        <f>VLOOKUP(A14,IMPORTACIONTOTAL,5,FALSE)</f>
        <v>83163005</v>
      </c>
      <c r="K14" s="20">
        <f>VLOOKUP(A14,IMPORTACIONTOTAL,6,FALSE)</f>
        <v>91537567</v>
      </c>
      <c r="L14" s="20">
        <f t="shared" si="1"/>
        <v>8.421803904482854E-5</v>
      </c>
      <c r="M14" s="20">
        <f t="shared" si="2"/>
        <v>4.553020454889279E-5</v>
      </c>
      <c r="N14" s="20">
        <f t="shared" si="3"/>
        <v>3.9904309095585908E-5</v>
      </c>
      <c r="O14" s="20">
        <f t="shared" si="4"/>
        <v>3.4847225638371296E-5</v>
      </c>
      <c r="P14" s="20">
        <f t="shared" si="5"/>
        <v>5.5026588154784585E-5</v>
      </c>
      <c r="Q14" s="20">
        <f t="shared" si="7"/>
        <v>4.8749276500705845</v>
      </c>
      <c r="R14" s="20">
        <f t="shared" si="8"/>
        <v>4.3536997176847603</v>
      </c>
      <c r="S14" s="20">
        <f t="shared" si="9"/>
        <v>4.3853034687541319</v>
      </c>
      <c r="T14" s="20">
        <f t="shared" si="10"/>
        <v>3.9149427894319939</v>
      </c>
      <c r="U14" s="20">
        <f t="shared" si="11"/>
        <v>4.3174603662398461</v>
      </c>
      <c r="V14" s="20">
        <f t="shared" si="12"/>
        <v>0.65957027573335802</v>
      </c>
      <c r="W14" s="20">
        <f t="shared" si="13"/>
        <v>0.62642656378477046</v>
      </c>
      <c r="X14" s="20">
        <f t="shared" si="14"/>
        <v>0.62861888626998919</v>
      </c>
      <c r="Y14" s="20">
        <f t="shared" si="15"/>
        <v>0.59307766424049579</v>
      </c>
      <c r="Z14" s="20">
        <f t="shared" si="16"/>
        <v>0.62388060046524296</v>
      </c>
    </row>
    <row r="15" spans="1:26" x14ac:dyDescent="0.25">
      <c r="A15" s="30" t="s">
        <v>19</v>
      </c>
      <c r="B15" s="22">
        <v>4291</v>
      </c>
      <c r="C15" s="22">
        <v>3459</v>
      </c>
      <c r="D15" s="22">
        <v>4605</v>
      </c>
      <c r="E15" s="22">
        <v>3652</v>
      </c>
      <c r="F15" s="31">
        <v>4866</v>
      </c>
      <c r="G15" s="20">
        <f>VLOOKUP(A15,IMPORTACIONTOTAL,2,FALSE)</f>
        <v>172259029</v>
      </c>
      <c r="H15" s="20">
        <f>VLOOKUP(A15,IMPORTACIONTOTAL,3,FALSE)</f>
        <v>219819100</v>
      </c>
      <c r="I15" s="20">
        <f>VLOOKUP(A15,IMPORTACIONTOTAL,4,FALSE)</f>
        <v>233952070</v>
      </c>
      <c r="J15" s="20">
        <f>VLOOKUP(A15,IMPORTACIONTOTAL,5,FALSE)</f>
        <v>226369849</v>
      </c>
      <c r="K15" s="20">
        <f>VLOOKUP(A15,IMPORTACIONTOTAL,6,FALSE)</f>
        <v>211991694</v>
      </c>
      <c r="L15" s="20">
        <f t="shared" si="1"/>
        <v>2.4910160151895435E-5</v>
      </c>
      <c r="M15" s="20">
        <f t="shared" si="2"/>
        <v>1.573566628195639E-5</v>
      </c>
      <c r="N15" s="20">
        <f t="shared" si="3"/>
        <v>1.9683518936165003E-5</v>
      </c>
      <c r="O15" s="20">
        <f t="shared" si="4"/>
        <v>1.6132890559996794E-5</v>
      </c>
      <c r="P15" s="20">
        <f t="shared" si="5"/>
        <v>2.2953729498477425E-5</v>
      </c>
      <c r="Q15" s="20">
        <f t="shared" si="7"/>
        <v>1.4419146998604728</v>
      </c>
      <c r="R15" s="20">
        <f t="shared" si="8"/>
        <v>1.5046795095279477</v>
      </c>
      <c r="S15" s="20">
        <f t="shared" si="9"/>
        <v>2.1631298930971914</v>
      </c>
      <c r="T15" s="20">
        <f t="shared" si="10"/>
        <v>1.812464045947128</v>
      </c>
      <c r="U15" s="20">
        <f t="shared" si="11"/>
        <v>1.8009805930235521</v>
      </c>
      <c r="V15" s="20">
        <f t="shared" si="12"/>
        <v>0.18097057193919311</v>
      </c>
      <c r="W15" s="20">
        <f t="shared" si="13"/>
        <v>0.20149464536605075</v>
      </c>
      <c r="X15" s="20">
        <f t="shared" si="14"/>
        <v>0.36771486862915642</v>
      </c>
      <c r="Y15" s="20">
        <f t="shared" si="15"/>
        <v>0.28887979816770309</v>
      </c>
      <c r="Z15" s="20">
        <f t="shared" si="16"/>
        <v>0.28596434942054488</v>
      </c>
    </row>
    <row r="16" spans="1:26" x14ac:dyDescent="0.25">
      <c r="A16" s="29" t="s">
        <v>20</v>
      </c>
      <c r="B16" s="23">
        <v>0</v>
      </c>
      <c r="C16" s="23">
        <v>202</v>
      </c>
      <c r="D16" s="23">
        <v>0</v>
      </c>
      <c r="E16" s="23">
        <v>477</v>
      </c>
      <c r="F16" s="24">
        <v>4285</v>
      </c>
      <c r="G16" s="20">
        <f>VLOOKUP(A16,IMPORTACIONTOTAL,2,FALSE)</f>
        <v>382979896</v>
      </c>
      <c r="H16" s="20">
        <f>VLOOKUP(A16,IMPORTACIONTOTAL,3,FALSE)</f>
        <v>505715616</v>
      </c>
      <c r="I16" s="20">
        <f>VLOOKUP(A16,IMPORTACIONTOTAL,4,FALSE)</f>
        <v>604614616</v>
      </c>
      <c r="J16" s="20">
        <f>VLOOKUP(A16,IMPORTACIONTOTAL,5,FALSE)</f>
        <v>598475395</v>
      </c>
      <c r="K16" s="20">
        <f>VLOOKUP(A16,IMPORTACIONTOTAL,6,FALSE)</f>
        <v>571784647</v>
      </c>
      <c r="L16" s="20">
        <f t="shared" si="1"/>
        <v>0</v>
      </c>
      <c r="M16" s="20">
        <f t="shared" si="2"/>
        <v>3.9943397753412463E-7</v>
      </c>
      <c r="N16" s="20">
        <f t="shared" si="3"/>
        <v>0</v>
      </c>
      <c r="O16" s="20">
        <f t="shared" si="4"/>
        <v>7.9702524779652803E-7</v>
      </c>
      <c r="P16" s="20">
        <f t="shared" si="5"/>
        <v>7.494080196945197E-6</v>
      </c>
      <c r="Q16" s="20">
        <f t="shared" si="7"/>
        <v>0</v>
      </c>
      <c r="R16" s="20">
        <f t="shared" si="8"/>
        <v>3.8194767900868322E-2</v>
      </c>
      <c r="S16" s="20">
        <f t="shared" si="9"/>
        <v>0</v>
      </c>
      <c r="T16" s="20">
        <f t="shared" si="10"/>
        <v>8.9542515643495108E-2</v>
      </c>
      <c r="U16" s="20">
        <f t="shared" si="11"/>
        <v>0.58799564568170437</v>
      </c>
      <c r="V16" s="20">
        <f t="shared" si="12"/>
        <v>-1</v>
      </c>
      <c r="W16" s="20">
        <f t="shared" si="13"/>
        <v>-0.92642080449298647</v>
      </c>
      <c r="X16" s="20">
        <f t="shared" si="14"/>
        <v>-1</v>
      </c>
      <c r="Y16" s="20">
        <f t="shared" si="15"/>
        <v>-0.83563281954057511</v>
      </c>
      <c r="Z16" s="20">
        <f t="shared" si="16"/>
        <v>-0.25944929725637117</v>
      </c>
    </row>
    <row r="17" spans="1:26" x14ac:dyDescent="0.25">
      <c r="A17" s="30" t="s">
        <v>21</v>
      </c>
      <c r="B17" s="22">
        <v>4893</v>
      </c>
      <c r="C17" s="22">
        <v>3822</v>
      </c>
      <c r="D17" s="22">
        <v>3533</v>
      </c>
      <c r="E17" s="22">
        <v>2099</v>
      </c>
      <c r="F17" s="31">
        <v>3651</v>
      </c>
      <c r="G17" s="20">
        <f>VLOOKUP(A17,IMPORTACIONTOTAL,2,FALSE)</f>
        <v>291035118</v>
      </c>
      <c r="H17" s="20">
        <f>VLOOKUP(A17,IMPORTACIONTOTAL,3,FALSE)</f>
        <v>324497583</v>
      </c>
      <c r="I17" s="20">
        <f>VLOOKUP(A17,IMPORTACIONTOTAL,4,FALSE)</f>
        <v>356763182</v>
      </c>
      <c r="J17" s="20">
        <f>VLOOKUP(A17,IMPORTACIONTOTAL,5,FALSE)</f>
        <v>366266257</v>
      </c>
      <c r="K17" s="20">
        <f>VLOOKUP(A17,IMPORTACIONTOTAL,6,FALSE)</f>
        <v>369659595</v>
      </c>
      <c r="L17" s="20">
        <f t="shared" si="1"/>
        <v>1.681240406183559E-5</v>
      </c>
      <c r="M17" s="20">
        <f t="shared" si="2"/>
        <v>1.1778207913493149E-5</v>
      </c>
      <c r="N17" s="20">
        <f t="shared" si="3"/>
        <v>9.9029277073776076E-6</v>
      </c>
      <c r="O17" s="20">
        <f t="shared" si="4"/>
        <v>5.7308036432086615E-6</v>
      </c>
      <c r="P17" s="20">
        <f t="shared" si="5"/>
        <v>9.8766542229209543E-6</v>
      </c>
      <c r="Q17" s="20">
        <f t="shared" si="7"/>
        <v>0.97317931353845832</v>
      </c>
      <c r="R17" s="20">
        <f t="shared" si="8"/>
        <v>1.1262585129118321</v>
      </c>
      <c r="S17" s="20">
        <f t="shared" si="9"/>
        <v>1.0882870599753907</v>
      </c>
      <c r="T17" s="20">
        <f t="shared" si="10"/>
        <v>0.64383227042114</v>
      </c>
      <c r="U17" s="20">
        <f t="shared" si="11"/>
        <v>0.77493561909687259</v>
      </c>
      <c r="V17" s="20">
        <f t="shared" si="12"/>
        <v>-1.3592624997393034E-2</v>
      </c>
      <c r="W17" s="20">
        <f t="shared" si="13"/>
        <v>5.9380603132271885E-2</v>
      </c>
      <c r="X17" s="20">
        <f t="shared" si="14"/>
        <v>4.2277262387686809E-2</v>
      </c>
      <c r="Y17" s="20">
        <f t="shared" si="15"/>
        <v>-0.21666914318917221</v>
      </c>
      <c r="Z17" s="20">
        <f t="shared" si="16"/>
        <v>-0.12680143351770992</v>
      </c>
    </row>
    <row r="18" spans="1:26" x14ac:dyDescent="0.25">
      <c r="A18" s="29" t="s">
        <v>22</v>
      </c>
      <c r="B18" s="23">
        <v>4158</v>
      </c>
      <c r="C18" s="23">
        <v>3093</v>
      </c>
      <c r="D18" s="23">
        <v>2709</v>
      </c>
      <c r="E18" s="23">
        <v>2182</v>
      </c>
      <c r="F18" s="32">
        <v>3484</v>
      </c>
      <c r="G18" s="20">
        <f>VLOOKUP(A18,IMPORTACIONTOTAL,2,FALSE)</f>
        <v>61395860</v>
      </c>
      <c r="H18" s="20">
        <f>VLOOKUP(A18,IMPORTACIONTOTAL,3,FALSE)</f>
        <v>95168654</v>
      </c>
      <c r="I18" s="20">
        <f>VLOOKUP(A18,IMPORTACIONTOTAL,4,FALSE)</f>
        <v>109265861</v>
      </c>
      <c r="J18" s="20">
        <f>VLOOKUP(A18,IMPORTACIONTOTAL,5,FALSE)</f>
        <v>80492407</v>
      </c>
      <c r="K18" s="20">
        <f>VLOOKUP(A18,IMPORTACIONTOTAL,6,FALSE)</f>
        <v>79688269</v>
      </c>
      <c r="L18" s="20">
        <f t="shared" si="1"/>
        <v>6.7724436142762724E-5</v>
      </c>
      <c r="M18" s="20">
        <f t="shared" si="2"/>
        <v>3.2500196966114497E-5</v>
      </c>
      <c r="N18" s="20">
        <f t="shared" si="3"/>
        <v>2.4792739243595949E-5</v>
      </c>
      <c r="O18" s="20">
        <f t="shared" si="4"/>
        <v>2.710814698335459E-5</v>
      </c>
      <c r="P18" s="20">
        <f t="shared" si="5"/>
        <v>4.3720362403655677E-5</v>
      </c>
      <c r="Q18" s="20">
        <f t="shared" si="7"/>
        <v>3.9202020147020606</v>
      </c>
      <c r="R18" s="20">
        <f t="shared" si="8"/>
        <v>3.107741328157787</v>
      </c>
      <c r="S18" s="20">
        <f t="shared" si="9"/>
        <v>2.7246101453460496</v>
      </c>
      <c r="T18" s="20">
        <f t="shared" si="10"/>
        <v>3.0454890632810478</v>
      </c>
      <c r="U18" s="20">
        <f t="shared" si="11"/>
        <v>3.4303586358009222</v>
      </c>
      <c r="V18" s="20">
        <f t="shared" si="12"/>
        <v>0.59351262528981574</v>
      </c>
      <c r="W18" s="20">
        <f t="shared" si="13"/>
        <v>0.51311442463760326</v>
      </c>
      <c r="X18" s="20">
        <f t="shared" si="14"/>
        <v>0.46303104970622849</v>
      </c>
      <c r="Y18" s="20">
        <f t="shared" si="15"/>
        <v>0.50562219580494361</v>
      </c>
      <c r="Z18" s="20">
        <f t="shared" si="16"/>
        <v>0.54856927747601203</v>
      </c>
    </row>
    <row r="19" spans="1:26" ht="23.25" x14ac:dyDescent="0.25">
      <c r="A19" s="30" t="s">
        <v>23</v>
      </c>
      <c r="B19" s="22">
        <v>2780</v>
      </c>
      <c r="C19" s="22">
        <v>3245</v>
      </c>
      <c r="D19" s="25">
        <v>2079</v>
      </c>
      <c r="E19" s="25">
        <v>3535</v>
      </c>
      <c r="F19" s="25">
        <v>3253</v>
      </c>
      <c r="G19" s="20">
        <f>VLOOKUP(A19,IMPORTACIONTOTAL,2,FALSE)</f>
        <v>231667985</v>
      </c>
      <c r="H19" s="20">
        <f>VLOOKUP(A19,IMPORTACIONTOTAL,3,FALSE)</f>
        <v>293501672</v>
      </c>
      <c r="I19" s="20">
        <f>VLOOKUP(A19,IMPORTACIONTOTAL,4,FALSE)</f>
        <v>199386103</v>
      </c>
      <c r="J19" s="20">
        <f>VLOOKUP(A19,IMPORTACIONTOTAL,5,FALSE)</f>
        <v>218843240</v>
      </c>
      <c r="K19" s="20">
        <f>VLOOKUP(A19,IMPORTACIONTOTAL,6,FALSE)</f>
        <v>204294595</v>
      </c>
      <c r="L19" s="20">
        <f t="shared" si="1"/>
        <v>1.1999931712618815E-5</v>
      </c>
      <c r="M19" s="20">
        <f t="shared" si="2"/>
        <v>1.1056155073624249E-5</v>
      </c>
      <c r="N19" s="20">
        <f t="shared" si="3"/>
        <v>1.0427005537091017E-5</v>
      </c>
      <c r="O19" s="20">
        <f t="shared" si="4"/>
        <v>1.61531148963066E-5</v>
      </c>
      <c r="P19" s="20">
        <f t="shared" si="5"/>
        <v>1.5923084015022522E-5</v>
      </c>
      <c r="Q19" s="20">
        <f t="shared" si="7"/>
        <v>0.69461126818288788</v>
      </c>
      <c r="R19" s="20">
        <f t="shared" si="8"/>
        <v>1.0572142097676427</v>
      </c>
      <c r="S19" s="20">
        <f t="shared" si="9"/>
        <v>1.1458808481308052</v>
      </c>
      <c r="T19" s="20">
        <f t="shared" si="10"/>
        <v>1.8147361671320048</v>
      </c>
      <c r="U19" s="20">
        <f t="shared" si="11"/>
        <v>1.2493466603778409</v>
      </c>
      <c r="V19" s="20">
        <f t="shared" si="12"/>
        <v>-0.18021167305501096</v>
      </c>
      <c r="W19" s="20">
        <f t="shared" si="13"/>
        <v>2.7811498431223113E-2</v>
      </c>
      <c r="X19" s="20">
        <f t="shared" si="14"/>
        <v>6.7981802558085364E-2</v>
      </c>
      <c r="Y19" s="20">
        <f t="shared" si="15"/>
        <v>0.28945383110707562</v>
      </c>
      <c r="Z19" s="20">
        <f t="shared" si="16"/>
        <v>0.11085292666091591</v>
      </c>
    </row>
    <row r="20" spans="1:26" ht="23.25" x14ac:dyDescent="0.25">
      <c r="A20" s="29" t="s">
        <v>24</v>
      </c>
      <c r="B20" s="23">
        <v>1910</v>
      </c>
      <c r="C20" s="23">
        <v>1557</v>
      </c>
      <c r="D20" s="23">
        <v>2496</v>
      </c>
      <c r="E20" s="23">
        <v>2218</v>
      </c>
      <c r="F20" s="24">
        <v>3007</v>
      </c>
      <c r="G20" s="20">
        <f>VLOOKUP(A20,IMPORTACIONTOTAL,2,FALSE)</f>
        <v>246961071</v>
      </c>
      <c r="H20" s="20">
        <f>VLOOKUP(A20,IMPORTACIONTOTAL,3,FALSE)</f>
        <v>347528998</v>
      </c>
      <c r="I20" s="20">
        <f>VLOOKUP(A20,IMPORTACIONTOTAL,4,FALSE)</f>
        <v>420493198</v>
      </c>
      <c r="J20" s="20">
        <f>VLOOKUP(A20,IMPORTACIONTOTAL,5,FALSE)</f>
        <v>470536020</v>
      </c>
      <c r="K20" s="20">
        <f>VLOOKUP(A20,IMPORTACIONTOTAL,6,FALSE)</f>
        <v>313364827</v>
      </c>
      <c r="L20" s="20">
        <f t="shared" si="1"/>
        <v>7.7340124589919688E-6</v>
      </c>
      <c r="M20" s="20">
        <f t="shared" si="2"/>
        <v>4.4802016780193982E-6</v>
      </c>
      <c r="N20" s="20">
        <f t="shared" si="3"/>
        <v>5.9358867441180344E-6</v>
      </c>
      <c r="O20" s="20">
        <f t="shared" si="4"/>
        <v>4.7137730284708068E-6</v>
      </c>
      <c r="P20" s="20">
        <f t="shared" si="5"/>
        <v>9.5958440160228962E-6</v>
      </c>
      <c r="Q20" s="20">
        <f t="shared" si="7"/>
        <v>0.44768023109943805</v>
      </c>
      <c r="R20" s="20">
        <f t="shared" si="8"/>
        <v>0.42840687789614113</v>
      </c>
      <c r="S20" s="20">
        <f t="shared" si="9"/>
        <v>0.65232716263196555</v>
      </c>
      <c r="T20" s="20">
        <f t="shared" si="10"/>
        <v>0.52957305469134375</v>
      </c>
      <c r="U20" s="20">
        <f t="shared" si="11"/>
        <v>0.75290287130397571</v>
      </c>
      <c r="V20" s="20">
        <f t="shared" si="12"/>
        <v>-0.38152055753438291</v>
      </c>
      <c r="W20" s="20">
        <f t="shared" si="13"/>
        <v>-0.4001612782386918</v>
      </c>
      <c r="X20" s="20">
        <f t="shared" si="14"/>
        <v>-0.21041404222528906</v>
      </c>
      <c r="Y20" s="20">
        <f t="shared" si="15"/>
        <v>-0.30755441452489818</v>
      </c>
      <c r="Z20" s="20">
        <f t="shared" si="16"/>
        <v>-0.14096452960466085</v>
      </c>
    </row>
    <row r="21" spans="1:26" x14ac:dyDescent="0.25">
      <c r="A21" s="30" t="s">
        <v>25</v>
      </c>
      <c r="B21" s="22">
        <v>2921</v>
      </c>
      <c r="C21" s="22">
        <v>1945</v>
      </c>
      <c r="D21" s="22">
        <v>1845</v>
      </c>
      <c r="E21" s="22">
        <v>1814</v>
      </c>
      <c r="F21" s="31">
        <v>2619</v>
      </c>
      <c r="G21" s="20">
        <f>VLOOKUP(A21,IMPORTACIONTOTAL,2,FALSE)</f>
        <v>158786825</v>
      </c>
      <c r="H21" s="20">
        <f>VLOOKUP(A21,IMPORTACIONTOTAL,3,FALSE)</f>
        <v>219408049</v>
      </c>
      <c r="I21" s="20">
        <f>VLOOKUP(A21,IMPORTACIONTOTAL,4,FALSE)</f>
        <v>272701734</v>
      </c>
      <c r="J21" s="20">
        <f>VLOOKUP(A21,IMPORTACIONTOTAL,5,FALSE)</f>
        <v>240792839</v>
      </c>
      <c r="K21" s="20">
        <f>VLOOKUP(A21,IMPORTACIONTOTAL,6,FALSE)</f>
        <v>262869606</v>
      </c>
      <c r="L21" s="20">
        <f t="shared" si="1"/>
        <v>1.839573276939066E-5</v>
      </c>
      <c r="M21" s="20">
        <f t="shared" si="2"/>
        <v>8.8647613834805129E-6</v>
      </c>
      <c r="N21" s="20">
        <f t="shared" si="3"/>
        <v>6.7656335474566506E-6</v>
      </c>
      <c r="O21" s="20">
        <f t="shared" si="4"/>
        <v>7.5334466238009679E-6</v>
      </c>
      <c r="P21" s="20">
        <f t="shared" si="5"/>
        <v>9.9631145641082604E-6</v>
      </c>
      <c r="Q21" s="20">
        <f t="shared" si="7"/>
        <v>1.0648296652107667</v>
      </c>
      <c r="R21" s="20">
        <f t="shared" si="8"/>
        <v>0.8476682570392805</v>
      </c>
      <c r="S21" s="20">
        <f t="shared" si="9"/>
        <v>0.74351259140740034</v>
      </c>
      <c r="T21" s="20">
        <f t="shared" si="10"/>
        <v>0.84635181134605963</v>
      </c>
      <c r="U21" s="20">
        <f t="shared" si="11"/>
        <v>0.78171941414659907</v>
      </c>
      <c r="V21" s="20">
        <f t="shared" si="12"/>
        <v>3.1397100837443292E-2</v>
      </c>
      <c r="W21" s="20">
        <f t="shared" si="13"/>
        <v>-8.2445396991783132E-2</v>
      </c>
      <c r="X21" s="20">
        <f t="shared" si="14"/>
        <v>-0.14710958203379396</v>
      </c>
      <c r="Y21" s="20">
        <f t="shared" si="15"/>
        <v>-8.3217178714128745E-2</v>
      </c>
      <c r="Z21" s="20">
        <f t="shared" si="16"/>
        <v>-0.12251120132624929</v>
      </c>
    </row>
    <row r="22" spans="1:26" x14ac:dyDescent="0.25">
      <c r="A22" s="29" t="s">
        <v>26</v>
      </c>
      <c r="B22" s="23">
        <v>1980</v>
      </c>
      <c r="C22" s="23">
        <v>1668</v>
      </c>
      <c r="D22" s="23">
        <v>1646</v>
      </c>
      <c r="E22" s="23">
        <v>1605</v>
      </c>
      <c r="F22" s="32">
        <v>2014</v>
      </c>
      <c r="G22" s="20">
        <f>VLOOKUP(A22,IMPORTACIONTOTAL,2,FALSE)</f>
        <v>149436257</v>
      </c>
      <c r="H22" s="20">
        <f>VLOOKUP(A22,IMPORTACIONTOTAL,3,FALSE)</f>
        <v>187319607</v>
      </c>
      <c r="I22" s="20">
        <f>VLOOKUP(A22,IMPORTACIONTOTAL,4,FALSE)</f>
        <v>202997376</v>
      </c>
      <c r="J22" s="20">
        <f>VLOOKUP(A22,IMPORTACIONTOTAL,5,FALSE)</f>
        <v>193241453</v>
      </c>
      <c r="K22" s="20">
        <f>VLOOKUP(A22,IMPORTACIONTOTAL,6,FALSE)</f>
        <v>188975538</v>
      </c>
      <c r="L22" s="20">
        <f t="shared" si="1"/>
        <v>1.3249796533648457E-5</v>
      </c>
      <c r="M22" s="20">
        <f t="shared" si="2"/>
        <v>8.9045670483389395E-6</v>
      </c>
      <c r="N22" s="20">
        <f t="shared" si="3"/>
        <v>8.1084791953172828E-6</v>
      </c>
      <c r="O22" s="20">
        <f t="shared" si="4"/>
        <v>8.3056713509600869E-6</v>
      </c>
      <c r="P22" s="20">
        <f t="shared" si="5"/>
        <v>1.0657464036429943E-5</v>
      </c>
      <c r="Q22" s="20">
        <f t="shared" si="7"/>
        <v>0.7669591955864774</v>
      </c>
      <c r="R22" s="20">
        <f t="shared" si="8"/>
        <v>0.85147456350272477</v>
      </c>
      <c r="S22" s="20">
        <f t="shared" si="9"/>
        <v>0.89108526741737093</v>
      </c>
      <c r="T22" s="20">
        <f t="shared" si="10"/>
        <v>0.93310809027587294</v>
      </c>
      <c r="U22" s="20">
        <f t="shared" si="11"/>
        <v>0.83619901078515158</v>
      </c>
      <c r="V22" s="20">
        <f t="shared" si="12"/>
        <v>-0.13188805094968434</v>
      </c>
      <c r="W22" s="20">
        <f t="shared" si="13"/>
        <v>-8.0220079403244063E-2</v>
      </c>
      <c r="X22" s="20">
        <f t="shared" si="14"/>
        <v>-5.7593771396343446E-2</v>
      </c>
      <c r="Y22" s="20">
        <f t="shared" si="15"/>
        <v>-3.460329510833559E-2</v>
      </c>
      <c r="Z22" s="20">
        <f t="shared" si="16"/>
        <v>-8.9206555636258483E-2</v>
      </c>
    </row>
    <row r="23" spans="1:26" x14ac:dyDescent="0.25">
      <c r="A23" s="30" t="s">
        <v>27</v>
      </c>
      <c r="B23" s="22">
        <v>1393</v>
      </c>
      <c r="C23" s="22">
        <v>1309</v>
      </c>
      <c r="D23" s="22">
        <v>1380</v>
      </c>
      <c r="E23" s="22">
        <v>1153</v>
      </c>
      <c r="F23" s="31">
        <v>1871</v>
      </c>
      <c r="G23" s="20">
        <f>VLOOKUP(A23,IMPORTACIONTOTAL,2,FALSE)</f>
        <v>55533638</v>
      </c>
      <c r="H23" s="20">
        <f>VLOOKUP(A23,IMPORTACIONTOTAL,3,FALSE)</f>
        <v>77285028</v>
      </c>
      <c r="I23" s="20">
        <f>VLOOKUP(A23,IMPORTACIONTOTAL,4,FALSE)</f>
        <v>97970296</v>
      </c>
      <c r="J23" s="20">
        <f>VLOOKUP(A23,IMPORTACIONTOTAL,5,FALSE)</f>
        <v>88606156</v>
      </c>
      <c r="K23" s="20">
        <f>VLOOKUP(A23,IMPORTACIONTOTAL,6,FALSE)</f>
        <v>89273160</v>
      </c>
      <c r="L23" s="20">
        <f t="shared" si="1"/>
        <v>2.508389599831367E-5</v>
      </c>
      <c r="M23" s="20">
        <f t="shared" si="2"/>
        <v>1.6937303820346679E-5</v>
      </c>
      <c r="N23" s="20">
        <f t="shared" si="3"/>
        <v>1.4085902118740154E-5</v>
      </c>
      <c r="O23" s="20">
        <f t="shared" si="4"/>
        <v>1.3012639889264578E-5</v>
      </c>
      <c r="P23" s="20">
        <f t="shared" si="5"/>
        <v>2.0958146883116941E-5</v>
      </c>
      <c r="Q23" s="20">
        <f t="shared" si="7"/>
        <v>1.4519713301396682</v>
      </c>
      <c r="R23" s="20">
        <f t="shared" si="8"/>
        <v>1.6195827712963256</v>
      </c>
      <c r="S23" s="20">
        <f t="shared" si="9"/>
        <v>1.5479770686889374</v>
      </c>
      <c r="T23" s="20">
        <f t="shared" si="10"/>
        <v>1.4619166884222732</v>
      </c>
      <c r="U23" s="20">
        <f t="shared" si="11"/>
        <v>1.6444044879388504</v>
      </c>
      <c r="V23" s="20">
        <f t="shared" si="12"/>
        <v>0.18432977767073777</v>
      </c>
      <c r="W23" s="20">
        <f t="shared" si="13"/>
        <v>0.23651963896132935</v>
      </c>
      <c r="X23" s="20">
        <f t="shared" si="14"/>
        <v>0.21506357942652096</v>
      </c>
      <c r="Y23" s="20">
        <f t="shared" si="15"/>
        <v>0.18762482524065177</v>
      </c>
      <c r="Z23" s="20">
        <f t="shared" si="16"/>
        <v>0.24368605138812324</v>
      </c>
    </row>
    <row r="24" spans="1:26" x14ac:dyDescent="0.25">
      <c r="A24" s="29" t="s">
        <v>28</v>
      </c>
      <c r="B24" s="23">
        <v>1439</v>
      </c>
      <c r="C24" s="23">
        <v>1899</v>
      </c>
      <c r="D24" s="23">
        <v>1301</v>
      </c>
      <c r="E24" s="23">
        <v>1328</v>
      </c>
      <c r="F24" s="32">
        <v>1851</v>
      </c>
      <c r="G24" s="20">
        <f>VLOOKUP(A24,IMPORTACIONTOTAL,2,FALSE)</f>
        <v>254660433</v>
      </c>
      <c r="H24" s="20">
        <f>VLOOKUP(A24,IMPORTACIONTOTAL,3,FALSE)</f>
        <v>335451322</v>
      </c>
      <c r="I24" s="20">
        <f>VLOOKUP(A24,IMPORTACIONTOTAL,4,FALSE)</f>
        <v>386969092</v>
      </c>
      <c r="J24" s="20">
        <f>VLOOKUP(A24,IMPORTACIONTOTAL,5,FALSE)</f>
        <v>371400902</v>
      </c>
      <c r="K24" s="20">
        <f>VLOOKUP(A24,IMPORTACIONTOTAL,6,FALSE)</f>
        <v>379496070</v>
      </c>
      <c r="L24" s="20">
        <f t="shared" si="1"/>
        <v>5.6506618756907552E-6</v>
      </c>
      <c r="M24" s="20">
        <f t="shared" si="2"/>
        <v>5.6610300078054248E-6</v>
      </c>
      <c r="N24" s="20">
        <f t="shared" si="3"/>
        <v>3.3620256162474081E-6</v>
      </c>
      <c r="O24" s="20">
        <f t="shared" si="4"/>
        <v>3.5756509821292786E-6</v>
      </c>
      <c r="P24" s="20">
        <f t="shared" si="5"/>
        <v>4.8775208660263592E-6</v>
      </c>
      <c r="Q24" s="20">
        <f t="shared" si="7"/>
        <v>0.32708631228449492</v>
      </c>
      <c r="R24" s="20">
        <f t="shared" si="8"/>
        <v>0.54132031672119496</v>
      </c>
      <c r="S24" s="20">
        <f t="shared" si="9"/>
        <v>0.36947144133366011</v>
      </c>
      <c r="T24" s="20">
        <f t="shared" si="10"/>
        <v>0.40170971357324708</v>
      </c>
      <c r="U24" s="20">
        <f t="shared" si="11"/>
        <v>0.38269686947228276</v>
      </c>
      <c r="V24" s="20">
        <f t="shared" si="12"/>
        <v>-0.50706098125383181</v>
      </c>
      <c r="W24" s="20">
        <f t="shared" si="13"/>
        <v>-0.29758881285269811</v>
      </c>
      <c r="X24" s="20">
        <f t="shared" si="14"/>
        <v>-0.46041745715580562</v>
      </c>
      <c r="Y24" s="20">
        <f t="shared" si="15"/>
        <v>-0.42682895084003353</v>
      </c>
      <c r="Z24" s="20">
        <f t="shared" si="16"/>
        <v>-0.44644863538551</v>
      </c>
    </row>
    <row r="25" spans="1:26" x14ac:dyDescent="0.25">
      <c r="A25" s="30" t="s">
        <v>29</v>
      </c>
      <c r="B25" s="22">
        <v>1522</v>
      </c>
      <c r="C25" s="22">
        <v>1832</v>
      </c>
      <c r="D25" s="22">
        <v>407</v>
      </c>
      <c r="E25" s="22">
        <v>371</v>
      </c>
      <c r="F25" s="31">
        <v>1796</v>
      </c>
      <c r="G25" s="20">
        <f>VLOOKUP(A25,IMPORTACIONTOTAL,2,FALSE)</f>
        <v>42128767</v>
      </c>
      <c r="H25" s="20">
        <f>VLOOKUP(A25,IMPORTACIONTOTAL,3,FALSE)</f>
        <v>57733941</v>
      </c>
      <c r="I25" s="20">
        <f>VLOOKUP(A25,IMPORTACIONTOTAL,4,FALSE)</f>
        <v>69930680</v>
      </c>
      <c r="J25" s="20">
        <f>VLOOKUP(A25,IMPORTACIONTOTAL,5,FALSE)</f>
        <v>71694473</v>
      </c>
      <c r="K25" s="20">
        <f>VLOOKUP(A25,IMPORTACIONTOTAL,6,FALSE)</f>
        <v>84328690</v>
      </c>
      <c r="L25" s="20">
        <f t="shared" si="1"/>
        <v>3.6127333135574561E-5</v>
      </c>
      <c r="M25" s="20">
        <f t="shared" si="2"/>
        <v>3.1731767626949288E-5</v>
      </c>
      <c r="N25" s="20">
        <f t="shared" si="3"/>
        <v>5.820049225890553E-6</v>
      </c>
      <c r="O25" s="20">
        <f t="shared" si="4"/>
        <v>5.1747364123870468E-6</v>
      </c>
      <c r="P25" s="20">
        <f t="shared" si="5"/>
        <v>2.1297615319294062E-5</v>
      </c>
      <c r="Q25" s="20">
        <f t="shared" si="7"/>
        <v>2.0912162907542586</v>
      </c>
      <c r="R25" s="20">
        <f t="shared" si="8"/>
        <v>3.0342624007044372</v>
      </c>
      <c r="S25" s="20">
        <f t="shared" si="9"/>
        <v>0.63959714219036268</v>
      </c>
      <c r="T25" s="20">
        <f t="shared" si="10"/>
        <v>0.58136039910673121</v>
      </c>
      <c r="U25" s="20">
        <f t="shared" si="11"/>
        <v>1.6710396395615792</v>
      </c>
      <c r="V25" s="20">
        <f t="shared" si="12"/>
        <v>0.35300548008175808</v>
      </c>
      <c r="W25" s="20">
        <f t="shared" si="13"/>
        <v>0.50424642689311128</v>
      </c>
      <c r="X25" s="20">
        <f t="shared" si="14"/>
        <v>-0.21981183580752628</v>
      </c>
      <c r="Y25" s="20">
        <f t="shared" si="15"/>
        <v>-0.26473383368506459</v>
      </c>
      <c r="Z25" s="20">
        <f t="shared" si="16"/>
        <v>0.25122788506116023</v>
      </c>
    </row>
    <row r="26" spans="1:26" x14ac:dyDescent="0.25">
      <c r="A26" s="29" t="s">
        <v>30</v>
      </c>
      <c r="B26" s="23">
        <v>1578</v>
      </c>
      <c r="C26" s="23">
        <v>1529</v>
      </c>
      <c r="D26" s="23">
        <v>1383</v>
      </c>
      <c r="E26" s="23">
        <v>1152</v>
      </c>
      <c r="F26" s="32">
        <v>1776</v>
      </c>
      <c r="G26" s="20">
        <f>VLOOKUP(A26,IMPORTACIONTOTAL,2,FALSE)</f>
        <v>634678167</v>
      </c>
      <c r="H26" s="20">
        <f>VLOOKUP(A26,IMPORTACIONTOTAL,3,FALSE)</f>
        <v>773720906</v>
      </c>
      <c r="I26" s="20">
        <f>VLOOKUP(A26,IMPORTACIONTOTAL,4,FALSE)</f>
        <v>905098532</v>
      </c>
      <c r="J26" s="20">
        <f>VLOOKUP(A26,IMPORTACIONTOTAL,5,FALSE)</f>
        <v>786365263</v>
      </c>
      <c r="K26" s="20">
        <f>VLOOKUP(A26,IMPORTACIONTOTAL,6,FALSE)</f>
        <v>743267456</v>
      </c>
      <c r="L26" s="20">
        <f t="shared" si="1"/>
        <v>2.4862994853894195E-6</v>
      </c>
      <c r="M26" s="20">
        <f t="shared" si="2"/>
        <v>1.9761647748471203E-6</v>
      </c>
      <c r="N26" s="20">
        <f t="shared" si="3"/>
        <v>1.528010433233141E-6</v>
      </c>
      <c r="O26" s="20">
        <f t="shared" si="4"/>
        <v>1.4649680678990012E-6</v>
      </c>
      <c r="P26" s="20">
        <f t="shared" si="5"/>
        <v>2.3894494312421504E-6</v>
      </c>
      <c r="Q26" s="20">
        <f t="shared" si="7"/>
        <v>0.14391845553693658</v>
      </c>
      <c r="R26" s="20">
        <f t="shared" si="8"/>
        <v>0.18896528376259403</v>
      </c>
      <c r="S26" s="20">
        <f t="shared" si="9"/>
        <v>0.16792145021478441</v>
      </c>
      <c r="T26" s="20">
        <f t="shared" si="10"/>
        <v>0.16458315028253054</v>
      </c>
      <c r="U26" s="20">
        <f t="shared" si="11"/>
        <v>0.18747942699088305</v>
      </c>
      <c r="V26" s="20">
        <f t="shared" si="12"/>
        <v>-0.74837637273824098</v>
      </c>
      <c r="W26" s="20">
        <f t="shared" si="13"/>
        <v>-0.68213490108879327</v>
      </c>
      <c r="X26" s="20">
        <f t="shared" si="14"/>
        <v>-0.71244393159505182</v>
      </c>
      <c r="Y26" s="20">
        <f t="shared" si="15"/>
        <v>-0.7173526849626799</v>
      </c>
      <c r="Z26" s="20">
        <f t="shared" si="16"/>
        <v>-0.68423970516110266</v>
      </c>
    </row>
    <row r="27" spans="1:26" x14ac:dyDescent="0.25">
      <c r="A27" s="30" t="s">
        <v>31</v>
      </c>
      <c r="B27" s="22">
        <v>638</v>
      </c>
      <c r="C27" s="22">
        <v>910</v>
      </c>
      <c r="D27" s="22">
        <v>1251</v>
      </c>
      <c r="E27" s="22">
        <v>1539</v>
      </c>
      <c r="F27" s="31">
        <v>1689</v>
      </c>
      <c r="G27" s="20">
        <f>VLOOKUP(A27,IMPORTACIONTOTAL,2,FALSE)</f>
        <v>26154982</v>
      </c>
      <c r="H27" s="20">
        <f>VLOOKUP(A27,IMPORTACIONTOTAL,3,FALSE)</f>
        <v>33793017</v>
      </c>
      <c r="I27" s="20">
        <f>VLOOKUP(A27,IMPORTACIONTOTAL,4,FALSE)</f>
        <v>39756632</v>
      </c>
      <c r="J27" s="20">
        <f>VLOOKUP(A27,IMPORTACIONTOTAL,5,FALSE)</f>
        <v>39644484</v>
      </c>
      <c r="K27" s="20">
        <f>VLOOKUP(A27,IMPORTACIONTOTAL,6,FALSE)</f>
        <v>42112733</v>
      </c>
      <c r="L27" s="20">
        <f t="shared" si="1"/>
        <v>2.4393058270886978E-5</v>
      </c>
      <c r="M27" s="20">
        <f t="shared" si="2"/>
        <v>2.692864031642987E-5</v>
      </c>
      <c r="N27" s="20">
        <f t="shared" si="3"/>
        <v>3.1466448163918912E-5</v>
      </c>
      <c r="O27" s="20">
        <f t="shared" si="4"/>
        <v>3.8820028531585885E-5</v>
      </c>
      <c r="P27" s="20">
        <f t="shared" si="5"/>
        <v>4.0106634732065477E-5</v>
      </c>
      <c r="Q27" s="20">
        <f t="shared" si="7"/>
        <v>1.4119824634153828</v>
      </c>
      <c r="R27" s="20">
        <f t="shared" si="8"/>
        <v>2.5749766535174992</v>
      </c>
      <c r="S27" s="20">
        <f t="shared" si="9"/>
        <v>3.458020635116565</v>
      </c>
      <c r="T27" s="20">
        <f t="shared" si="10"/>
        <v>4.3612708903267414</v>
      </c>
      <c r="U27" s="20">
        <f t="shared" si="11"/>
        <v>3.1468206858813743</v>
      </c>
      <c r="V27" s="20">
        <f t="shared" si="12"/>
        <v>0.17080657494997414</v>
      </c>
      <c r="W27" s="20">
        <f t="shared" si="13"/>
        <v>0.44055578711761506</v>
      </c>
      <c r="X27" s="20">
        <f t="shared" si="14"/>
        <v>0.55137040321310549</v>
      </c>
      <c r="Y27" s="20">
        <f t="shared" si="15"/>
        <v>0.62695412320825472</v>
      </c>
      <c r="Z27" s="20">
        <f t="shared" si="16"/>
        <v>0.51770280137518998</v>
      </c>
    </row>
    <row r="28" spans="1:26" x14ac:dyDescent="0.25">
      <c r="A28" s="29" t="s">
        <v>32</v>
      </c>
      <c r="B28" s="23">
        <v>2374</v>
      </c>
      <c r="C28" s="23">
        <v>1689</v>
      </c>
      <c r="D28" s="23">
        <v>1730</v>
      </c>
      <c r="E28" s="23">
        <v>1332</v>
      </c>
      <c r="F28" s="32">
        <v>1536</v>
      </c>
      <c r="G28" s="20">
        <f>VLOOKUP(A28,IMPORTACIONTOTAL,2,FALSE)</f>
        <v>95778398</v>
      </c>
      <c r="H28" s="20">
        <f>VLOOKUP(A28,IMPORTACIONTOTAL,3,FALSE)</f>
        <v>120259539</v>
      </c>
      <c r="I28" s="20">
        <f>VLOOKUP(A28,IMPORTACIONTOTAL,4,FALSE)</f>
        <v>127078114</v>
      </c>
      <c r="J28" s="20">
        <f>VLOOKUP(A28,IMPORTACIONTOTAL,5,FALSE)</f>
        <v>126396956</v>
      </c>
      <c r="K28" s="20">
        <f>VLOOKUP(A28,IMPORTACIONTOTAL,6,FALSE)</f>
        <v>121792392</v>
      </c>
      <c r="L28" s="20">
        <f t="shared" si="1"/>
        <v>2.4786382415792754E-5</v>
      </c>
      <c r="M28" s="20">
        <f t="shared" si="2"/>
        <v>1.4044623936235112E-5</v>
      </c>
      <c r="N28" s="20">
        <f t="shared" si="3"/>
        <v>1.3613673869915948E-5</v>
      </c>
      <c r="O28" s="20">
        <f t="shared" si="4"/>
        <v>1.053822846809697E-5</v>
      </c>
      <c r="P28" s="20">
        <f t="shared" si="5"/>
        <v>1.2611625199051843E-5</v>
      </c>
      <c r="Q28" s="20">
        <f t="shared" si="7"/>
        <v>1.4347498749009542</v>
      </c>
      <c r="R28" s="20">
        <f t="shared" si="8"/>
        <v>1.342978268426479</v>
      </c>
      <c r="S28" s="20">
        <f t="shared" si="9"/>
        <v>1.4960813154595813</v>
      </c>
      <c r="T28" s="20">
        <f t="shared" si="10"/>
        <v>1.1839267200983252</v>
      </c>
      <c r="U28" s="20">
        <f t="shared" si="11"/>
        <v>0.98952513278880394</v>
      </c>
      <c r="V28" s="20">
        <f t="shared" si="12"/>
        <v>0.17856038494247373</v>
      </c>
      <c r="W28" s="20">
        <f t="shared" si="13"/>
        <v>0.14638559522654893</v>
      </c>
      <c r="X28" s="20">
        <f t="shared" si="14"/>
        <v>0.19874405228190345</v>
      </c>
      <c r="Y28" s="20">
        <f t="shared" si="15"/>
        <v>8.421835696485476E-2</v>
      </c>
      <c r="Z28" s="20">
        <f t="shared" si="16"/>
        <v>-5.2650087393030223E-3</v>
      </c>
    </row>
    <row r="29" spans="1:26" x14ac:dyDescent="0.25">
      <c r="A29" s="30" t="s">
        <v>33</v>
      </c>
      <c r="B29" s="22">
        <v>1872</v>
      </c>
      <c r="C29" s="22">
        <v>1280</v>
      </c>
      <c r="D29" s="22">
        <v>1426</v>
      </c>
      <c r="E29" s="22">
        <v>1373</v>
      </c>
      <c r="F29" s="31">
        <v>1459</v>
      </c>
      <c r="G29" s="20">
        <f>VLOOKUP(A29,IMPORTACIONTOTAL,2,FALSE)</f>
        <v>42355637</v>
      </c>
      <c r="H29" s="20">
        <f>VLOOKUP(A29,IMPORTACIONTOTAL,3,FALSE)</f>
        <v>63183753</v>
      </c>
      <c r="I29" s="20">
        <f>VLOOKUP(A29,IMPORTACIONTOTAL,4,FALSE)</f>
        <v>76162545</v>
      </c>
      <c r="J29" s="20">
        <f>VLOOKUP(A29,IMPORTACIONTOTAL,5,FALSE)</f>
        <v>73713616</v>
      </c>
      <c r="K29" s="20">
        <f>VLOOKUP(A29,IMPORTACIONTOTAL,6,FALSE)</f>
        <v>60821974</v>
      </c>
      <c r="L29" s="20">
        <f t="shared" si="1"/>
        <v>4.4197186787675981E-5</v>
      </c>
      <c r="M29" s="20">
        <f t="shared" si="2"/>
        <v>2.0258372433179143E-5</v>
      </c>
      <c r="N29" s="20">
        <f t="shared" si="3"/>
        <v>1.8723113835022189E-5</v>
      </c>
      <c r="O29" s="20">
        <f t="shared" si="4"/>
        <v>1.8626138215767357E-5</v>
      </c>
      <c r="P29" s="20">
        <f t="shared" si="5"/>
        <v>2.398804090113879E-5</v>
      </c>
      <c r="Q29" s="20">
        <f t="shared" si="7"/>
        <v>2.5583365555672635</v>
      </c>
      <c r="R29" s="20">
        <f t="shared" si="8"/>
        <v>1.9371507599613804</v>
      </c>
      <c r="S29" s="20">
        <f t="shared" si="9"/>
        <v>2.0575857070955692</v>
      </c>
      <c r="T29" s="20">
        <f t="shared" si="10"/>
        <v>2.0925701879258787</v>
      </c>
      <c r="U29" s="20">
        <f t="shared" si="11"/>
        <v>1.8821340615028093</v>
      </c>
      <c r="V29" s="20">
        <f t="shared" si="12"/>
        <v>0.43793961904169471</v>
      </c>
      <c r="W29" s="20">
        <f t="shared" si="13"/>
        <v>0.31906798000852454</v>
      </c>
      <c r="X29" s="20">
        <f t="shared" si="14"/>
        <v>0.34588914536108956</v>
      </c>
      <c r="Y29" s="20">
        <f t="shared" si="15"/>
        <v>0.35328872799444605</v>
      </c>
      <c r="Z29" s="20">
        <f t="shared" si="16"/>
        <v>0.30606975341141657</v>
      </c>
    </row>
    <row r="30" spans="1:26" x14ac:dyDescent="0.25">
      <c r="A30" s="29" t="s">
        <v>34</v>
      </c>
      <c r="B30" s="23">
        <v>1217</v>
      </c>
      <c r="C30" s="23">
        <v>1133</v>
      </c>
      <c r="D30" s="23">
        <v>1326</v>
      </c>
      <c r="E30" s="23">
        <v>1157</v>
      </c>
      <c r="F30" s="32">
        <v>1325</v>
      </c>
      <c r="G30" s="20">
        <f>VLOOKUP(A30,IMPORTACIONTOTAL,2,FALSE)</f>
        <v>77834420</v>
      </c>
      <c r="H30" s="20">
        <f>VLOOKUP(A30,IMPORTACIONTOTAL,3,FALSE)</f>
        <v>98337110</v>
      </c>
      <c r="I30" s="20">
        <f>VLOOKUP(A30,IMPORTACIONTOTAL,4,FALSE)</f>
        <v>115291040</v>
      </c>
      <c r="J30" s="20">
        <f>VLOOKUP(A30,IMPORTACIONTOTAL,5,FALSE)</f>
        <v>113486253</v>
      </c>
      <c r="K30" s="20">
        <f>VLOOKUP(A30,IMPORTACIONTOTAL,6,FALSE)</f>
        <v>115997232</v>
      </c>
      <c r="L30" s="20">
        <f t="shared" si="1"/>
        <v>1.5635756006147409E-5</v>
      </c>
      <c r="M30" s="20">
        <f t="shared" si="2"/>
        <v>1.1521591391083183E-5</v>
      </c>
      <c r="N30" s="20">
        <f t="shared" si="3"/>
        <v>1.1501327423189173E-5</v>
      </c>
      <c r="O30" s="20">
        <f t="shared" si="4"/>
        <v>1.0195067414905309E-5</v>
      </c>
      <c r="P30" s="20">
        <f t="shared" si="5"/>
        <v>1.1422686362033191E-5</v>
      </c>
      <c r="Q30" s="20">
        <f t="shared" si="7"/>
        <v>0.90506950943790399</v>
      </c>
      <c r="R30" s="20">
        <f t="shared" si="8"/>
        <v>1.1017202686355569</v>
      </c>
      <c r="S30" s="20">
        <f t="shared" si="9"/>
        <v>1.2639439746563028</v>
      </c>
      <c r="T30" s="20">
        <f t="shared" si="10"/>
        <v>1.1453739840857555</v>
      </c>
      <c r="U30" s="20">
        <f t="shared" si="11"/>
        <v>0.89623938713668161</v>
      </c>
      <c r="V30" s="20">
        <f t="shared" si="12"/>
        <v>-4.9830460301737503E-2</v>
      </c>
      <c r="W30" s="20">
        <f t="shared" si="13"/>
        <v>4.8398576229934757E-2</v>
      </c>
      <c r="X30" s="20">
        <f t="shared" si="14"/>
        <v>0.11658591273062448</v>
      </c>
      <c r="Y30" s="20">
        <f t="shared" si="15"/>
        <v>6.7761604813021084E-2</v>
      </c>
      <c r="Z30" s="20">
        <f t="shared" si="16"/>
        <v>-5.4719152849154108E-2</v>
      </c>
    </row>
    <row r="31" spans="1:26" x14ac:dyDescent="0.25">
      <c r="A31" s="30" t="s">
        <v>35</v>
      </c>
      <c r="B31" s="22">
        <v>1772</v>
      </c>
      <c r="C31" s="22">
        <v>681</v>
      </c>
      <c r="D31" s="22">
        <v>1010</v>
      </c>
      <c r="E31" s="22">
        <v>865</v>
      </c>
      <c r="F31" s="31">
        <v>1298</v>
      </c>
      <c r="G31" s="20">
        <f>VLOOKUP(A31,IMPORTACIONTOTAL,2,FALSE)</f>
        <v>208615061</v>
      </c>
      <c r="H31" s="20">
        <f>VLOOKUP(A31,IMPORTACIONTOTAL,3,FALSE)</f>
        <v>269102030</v>
      </c>
      <c r="I31" s="20">
        <f>VLOOKUP(A31,IMPORTACIONTOTAL,4,FALSE)</f>
        <v>306260910</v>
      </c>
      <c r="J31" s="20">
        <f>VLOOKUP(A31,IMPORTACIONTOTAL,5,FALSE)</f>
        <v>292053342</v>
      </c>
      <c r="K31" s="20">
        <f>VLOOKUP(A31,IMPORTACIONTOTAL,6,FALSE)</f>
        <v>310155165</v>
      </c>
      <c r="L31" s="20">
        <f t="shared" si="1"/>
        <v>8.4941134715100934E-6</v>
      </c>
      <c r="M31" s="20">
        <f t="shared" si="2"/>
        <v>2.5306386577611475E-6</v>
      </c>
      <c r="N31" s="20">
        <f t="shared" si="3"/>
        <v>3.2978416997454883E-6</v>
      </c>
      <c r="O31" s="20">
        <f t="shared" si="4"/>
        <v>2.9617877134239404E-6</v>
      </c>
      <c r="P31" s="20">
        <f t="shared" si="5"/>
        <v>4.1850020456696247E-6</v>
      </c>
      <c r="Q31" s="20">
        <f t="shared" si="7"/>
        <v>0.49167837549696886</v>
      </c>
      <c r="R31" s="20">
        <f t="shared" si="8"/>
        <v>0.24198531324465083</v>
      </c>
      <c r="S31" s="20">
        <f t="shared" si="9"/>
        <v>0.36241791859254768</v>
      </c>
      <c r="T31" s="20">
        <f t="shared" si="10"/>
        <v>0.33274469459426587</v>
      </c>
      <c r="U31" s="20">
        <f t="shared" si="11"/>
        <v>0.32836090825740599</v>
      </c>
      <c r="V31" s="20">
        <f t="shared" si="12"/>
        <v>-0.34077159852483496</v>
      </c>
      <c r="W31" s="20">
        <f t="shared" si="13"/>
        <v>-0.61032500036176573</v>
      </c>
      <c r="X31" s="20">
        <f t="shared" si="14"/>
        <v>-0.46797834402098115</v>
      </c>
      <c r="Y31" s="20">
        <f t="shared" si="15"/>
        <v>-0.50066251106620996</v>
      </c>
      <c r="Z31" s="20">
        <f t="shared" si="16"/>
        <v>-0.50561491802982639</v>
      </c>
    </row>
    <row r="32" spans="1:26" x14ac:dyDescent="0.25">
      <c r="A32" s="29" t="s">
        <v>36</v>
      </c>
      <c r="B32" s="23">
        <v>884</v>
      </c>
      <c r="C32" s="23">
        <v>847</v>
      </c>
      <c r="D32" s="23">
        <v>619</v>
      </c>
      <c r="E32" s="23">
        <v>815</v>
      </c>
      <c r="F32" s="32">
        <v>1296</v>
      </c>
      <c r="G32" s="20">
        <f>VLOOKUP(A32,IMPORTACIONTOTAL,2,FALSE)</f>
        <v>34978940</v>
      </c>
      <c r="H32" s="20">
        <f>VLOOKUP(A32,IMPORTACIONTOTAL,3,FALSE)</f>
        <v>46309122</v>
      </c>
      <c r="I32" s="20">
        <f>VLOOKUP(A32,IMPORTACIONTOTAL,4,FALSE)</f>
        <v>58148475</v>
      </c>
      <c r="J32" s="20">
        <f>VLOOKUP(A32,IMPORTACIONTOTAL,5,FALSE)</f>
        <v>53657409</v>
      </c>
      <c r="K32" s="20">
        <f>VLOOKUP(A32,IMPORTACIONTOTAL,6,FALSE)</f>
        <v>53813484</v>
      </c>
      <c r="L32" s="20">
        <f t="shared" si="1"/>
        <v>2.5272349590925281E-5</v>
      </c>
      <c r="M32" s="20">
        <f t="shared" si="2"/>
        <v>1.8290132989349269E-5</v>
      </c>
      <c r="N32" s="20">
        <f t="shared" si="3"/>
        <v>1.0645163093271148E-5</v>
      </c>
      <c r="O32" s="20">
        <f t="shared" si="4"/>
        <v>1.5188955545729016E-5</v>
      </c>
      <c r="P32" s="20">
        <f t="shared" si="5"/>
        <v>2.4083183315170599E-5</v>
      </c>
      <c r="Q32" s="20">
        <f t="shared" si="7"/>
        <v>1.4628798912958885</v>
      </c>
      <c r="R32" s="20">
        <f t="shared" si="8"/>
        <v>1.7489433140287325</v>
      </c>
      <c r="S32" s="20">
        <f t="shared" si="9"/>
        <v>1.1698553789404984</v>
      </c>
      <c r="T32" s="20">
        <f t="shared" si="10"/>
        <v>1.7064168209499433</v>
      </c>
      <c r="U32" s="20">
        <f t="shared" si="11"/>
        <v>1.8895990637045676</v>
      </c>
      <c r="V32" s="20">
        <f t="shared" si="12"/>
        <v>0.18794253545686951</v>
      </c>
      <c r="W32" s="20">
        <f t="shared" si="13"/>
        <v>0.27244771116473609</v>
      </c>
      <c r="X32" s="20">
        <f t="shared" si="14"/>
        <v>7.8279585169144184E-2</v>
      </c>
      <c r="Y32" s="20">
        <f t="shared" si="15"/>
        <v>0.26101553001063349</v>
      </c>
      <c r="Z32" s="20">
        <f t="shared" si="16"/>
        <v>0.30786245568756188</v>
      </c>
    </row>
    <row r="33" spans="1:26" ht="23.25" x14ac:dyDescent="0.25">
      <c r="A33" s="30" t="s">
        <v>37</v>
      </c>
      <c r="B33" s="22">
        <v>847</v>
      </c>
      <c r="C33" s="22">
        <v>719</v>
      </c>
      <c r="D33" s="22">
        <v>577</v>
      </c>
      <c r="E33" s="22">
        <v>762</v>
      </c>
      <c r="F33" s="31">
        <v>1129</v>
      </c>
      <c r="G33" s="20">
        <f>VLOOKUP(A33,IMPORTACIONTOTAL,2,FALSE)</f>
        <v>171440208</v>
      </c>
      <c r="H33" s="20">
        <f>VLOOKUP(A33,IMPORTACIONTOTAL,3,FALSE)</f>
        <v>212480637</v>
      </c>
      <c r="I33" s="20">
        <f>VLOOKUP(A33,IMPORTACIONTOTAL,4,FALSE)</f>
        <v>236320011</v>
      </c>
      <c r="J33" s="20">
        <f>VLOOKUP(A33,IMPORTACIONTOTAL,5,FALSE)</f>
        <v>228913299</v>
      </c>
      <c r="K33" s="20">
        <f>VLOOKUP(A33,IMPORTACIONTOTAL,6,FALSE)</f>
        <v>229396962</v>
      </c>
      <c r="L33" s="20">
        <f t="shared" si="1"/>
        <v>4.9404979723309716E-6</v>
      </c>
      <c r="M33" s="20">
        <f t="shared" si="2"/>
        <v>3.383837747060218E-6</v>
      </c>
      <c r="N33" s="20">
        <f t="shared" si="3"/>
        <v>2.4416044902773809E-6</v>
      </c>
      <c r="O33" s="20">
        <f t="shared" si="4"/>
        <v>3.328771213069626E-6</v>
      </c>
      <c r="P33" s="20">
        <f t="shared" si="5"/>
        <v>4.9215996156043254E-6</v>
      </c>
      <c r="Q33" s="20">
        <f t="shared" si="7"/>
        <v>0.28597875756301927</v>
      </c>
      <c r="R33" s="20">
        <f t="shared" si="8"/>
        <v>0.32357011329142749</v>
      </c>
      <c r="S33" s="20">
        <f t="shared" si="9"/>
        <v>0.26832131374311802</v>
      </c>
      <c r="T33" s="20">
        <f t="shared" si="10"/>
        <v>0.37397378469997522</v>
      </c>
      <c r="U33" s="20">
        <f t="shared" si="11"/>
        <v>0.3861553476494316</v>
      </c>
      <c r="V33" s="20">
        <f t="shared" si="12"/>
        <v>-0.55523564307553519</v>
      </c>
      <c r="W33" s="20">
        <f t="shared" si="13"/>
        <v>-0.5110646424513472</v>
      </c>
      <c r="X33" s="20">
        <f t="shared" si="14"/>
        <v>-0.5768874797960496</v>
      </c>
      <c r="Y33" s="20">
        <f t="shared" si="15"/>
        <v>-0.45563184849027211</v>
      </c>
      <c r="Z33" s="20">
        <f t="shared" si="16"/>
        <v>-0.4428397245600888</v>
      </c>
    </row>
    <row r="34" spans="1:26" x14ac:dyDescent="0.25">
      <c r="A34" s="29" t="s">
        <v>38</v>
      </c>
      <c r="B34" s="23">
        <v>2409</v>
      </c>
      <c r="C34" s="23">
        <v>1721</v>
      </c>
      <c r="D34" s="23">
        <v>1470</v>
      </c>
      <c r="E34" s="23">
        <v>3789</v>
      </c>
      <c r="F34" s="32">
        <v>1111</v>
      </c>
      <c r="G34" s="20">
        <f>VLOOKUP(A34,IMPORTACIONTOTAL,2,FALSE)</f>
        <v>287160021</v>
      </c>
      <c r="H34" s="20">
        <f>VLOOKUP(A34,IMPORTACIONTOTAL,3,FALSE)</f>
        <v>382921158</v>
      </c>
      <c r="I34" s="20">
        <f>VLOOKUP(A34,IMPORTACIONTOTAL,4,FALSE)</f>
        <v>427241617</v>
      </c>
      <c r="J34" s="20">
        <f>VLOOKUP(A34,IMPORTACIONTOTAL,5,FALSE)</f>
        <v>351666960</v>
      </c>
      <c r="K34" s="20">
        <f>VLOOKUP(A34,IMPORTACIONTOTAL,6,FALSE)</f>
        <v>394062784</v>
      </c>
      <c r="L34" s="20">
        <f t="shared" si="1"/>
        <v>8.3890507864254552E-6</v>
      </c>
      <c r="M34" s="20">
        <f t="shared" si="2"/>
        <v>4.4943977736534478E-6</v>
      </c>
      <c r="N34" s="20">
        <f t="shared" si="3"/>
        <v>3.4406760519305872E-6</v>
      </c>
      <c r="O34" s="20">
        <f t="shared" si="4"/>
        <v>1.0774398595762308E-5</v>
      </c>
      <c r="P34" s="20">
        <f t="shared" si="5"/>
        <v>2.8193476905446619E-6</v>
      </c>
      <c r="Q34" s="20">
        <f t="shared" si="7"/>
        <v>0.48559686381231498</v>
      </c>
      <c r="R34" s="20">
        <f t="shared" si="8"/>
        <v>0.42976434022618221</v>
      </c>
      <c r="S34" s="20">
        <f t="shared" si="9"/>
        <v>0.37811476924078635</v>
      </c>
      <c r="T34" s="20">
        <f t="shared" si="10"/>
        <v>1.2104594647127074</v>
      </c>
      <c r="U34" s="20">
        <f t="shared" si="11"/>
        <v>0.22120982457310545</v>
      </c>
      <c r="V34" s="20">
        <f t="shared" si="12"/>
        <v>-0.34626024644911541</v>
      </c>
      <c r="W34" s="20">
        <f t="shared" si="13"/>
        <v>-0.39883192196807005</v>
      </c>
      <c r="X34" s="20">
        <f t="shared" si="14"/>
        <v>-0.45125793920764296</v>
      </c>
      <c r="Y34" s="20">
        <f t="shared" si="15"/>
        <v>9.5210732461932165E-2</v>
      </c>
      <c r="Z34" s="20">
        <f t="shared" si="16"/>
        <v>-0.63772020152158038</v>
      </c>
    </row>
    <row r="35" spans="1:26" x14ac:dyDescent="0.25">
      <c r="A35" s="30" t="s">
        <v>39</v>
      </c>
      <c r="B35" s="22">
        <v>677</v>
      </c>
      <c r="C35" s="22">
        <v>657</v>
      </c>
      <c r="D35" s="22">
        <v>509</v>
      </c>
      <c r="E35" s="22">
        <v>669</v>
      </c>
      <c r="F35" s="31">
        <v>1056</v>
      </c>
      <c r="G35" s="20">
        <f>VLOOKUP(A35,IMPORTACIONTOTAL,2,FALSE)</f>
        <v>113422659</v>
      </c>
      <c r="H35" s="20">
        <f>VLOOKUP(A35,IMPORTACIONTOTAL,3,FALSE)</f>
        <v>139132012</v>
      </c>
      <c r="I35" s="20">
        <f>VLOOKUP(A35,IMPORTACIONTOTAL,4,FALSE)</f>
        <v>159334562</v>
      </c>
      <c r="J35" s="20">
        <f>VLOOKUP(A35,IMPORTACIONTOTAL,5,FALSE)</f>
        <v>148897654</v>
      </c>
      <c r="K35" s="20">
        <f>VLOOKUP(A35,IMPORTACIONTOTAL,6,FALSE)</f>
        <v>151630797</v>
      </c>
      <c r="L35" s="20">
        <f t="shared" si="1"/>
        <v>5.9688249770268567E-6</v>
      </c>
      <c r="M35" s="20">
        <f t="shared" si="2"/>
        <v>4.7221339687087976E-6</v>
      </c>
      <c r="N35" s="20">
        <f t="shared" si="3"/>
        <v>3.1945360354396931E-6</v>
      </c>
      <c r="O35" s="20">
        <f t="shared" si="4"/>
        <v>4.4930190773858664E-6</v>
      </c>
      <c r="P35" s="20">
        <f t="shared" si="5"/>
        <v>6.9642844388663343E-6</v>
      </c>
      <c r="Q35" s="20">
        <f t="shared" si="7"/>
        <v>0.34550305669610459</v>
      </c>
      <c r="R35" s="20">
        <f t="shared" si="8"/>
        <v>0.45154098318095653</v>
      </c>
      <c r="S35" s="20">
        <f t="shared" si="9"/>
        <v>0.35106509233669186</v>
      </c>
      <c r="T35" s="20">
        <f t="shared" si="10"/>
        <v>0.50477225424865446</v>
      </c>
      <c r="U35" s="20">
        <f t="shared" si="11"/>
        <v>0.54642715553157328</v>
      </c>
      <c r="V35" s="20">
        <f t="shared" si="12"/>
        <v>-0.48643289217864638</v>
      </c>
      <c r="W35" s="20">
        <f t="shared" si="13"/>
        <v>-0.37784604304945746</v>
      </c>
      <c r="X35" s="20">
        <f t="shared" si="14"/>
        <v>-0.48031357729845819</v>
      </c>
      <c r="Y35" s="20">
        <f t="shared" si="15"/>
        <v>-0.32910478270256049</v>
      </c>
      <c r="Z35" s="20">
        <f t="shared" si="16"/>
        <v>-0.29330372455372089</v>
      </c>
    </row>
    <row r="36" spans="1:26" ht="23.25" x14ac:dyDescent="0.25">
      <c r="A36" s="29" t="s">
        <v>40</v>
      </c>
      <c r="B36" s="23">
        <v>1794</v>
      </c>
      <c r="C36" s="23">
        <v>1681</v>
      </c>
      <c r="D36" s="23">
        <v>1511</v>
      </c>
      <c r="E36" s="23">
        <v>799</v>
      </c>
      <c r="F36" s="32">
        <v>1025</v>
      </c>
      <c r="G36" s="20">
        <f>VLOOKUP(A36,IMPORTACIONTOTAL,2,FALSE)</f>
        <v>573061310</v>
      </c>
      <c r="H36" s="20">
        <f>VLOOKUP(A36,IMPORTACIONTOTAL,3,FALSE)</f>
        <v>713969246</v>
      </c>
      <c r="I36" s="20">
        <f>VLOOKUP(A36,IMPORTACIONTOTAL,4,FALSE)</f>
        <v>669093235</v>
      </c>
      <c r="J36" s="20">
        <f>VLOOKUP(A36,IMPORTACIONTOTAL,5,FALSE)</f>
        <v>655539567</v>
      </c>
      <c r="K36" s="20">
        <f>VLOOKUP(A36,IMPORTACIONTOTAL,6,FALSE)</f>
        <v>698906913</v>
      </c>
      <c r="L36" s="20">
        <f t="shared" si="1"/>
        <v>3.1305550884250063E-6</v>
      </c>
      <c r="M36" s="20">
        <f t="shared" si="2"/>
        <v>2.3544431492221445E-6</v>
      </c>
      <c r="N36" s="20">
        <f t="shared" si="3"/>
        <v>2.2582801931931054E-6</v>
      </c>
      <c r="O36" s="20">
        <f t="shared" si="4"/>
        <v>1.2188432860834471E-6</v>
      </c>
      <c r="P36" s="20">
        <f t="shared" si="5"/>
        <v>1.46657584999449E-6</v>
      </c>
      <c r="Q36" s="20">
        <f t="shared" si="7"/>
        <v>0.18121093454228737</v>
      </c>
      <c r="R36" s="20">
        <f t="shared" si="8"/>
        <v>0.22513710570014434</v>
      </c>
      <c r="S36" s="20">
        <f t="shared" si="9"/>
        <v>0.24817480089447141</v>
      </c>
      <c r="T36" s="20">
        <f t="shared" si="10"/>
        <v>0.13693204112770826</v>
      </c>
      <c r="U36" s="20">
        <f t="shared" si="11"/>
        <v>0.11506952036758551</v>
      </c>
      <c r="V36" s="20">
        <f t="shared" si="12"/>
        <v>-0.69317768868689711</v>
      </c>
      <c r="W36" s="20">
        <f t="shared" si="13"/>
        <v>-0.63247035021197495</v>
      </c>
      <c r="X36" s="20">
        <f t="shared" si="14"/>
        <v>-0.60233967114762532</v>
      </c>
      <c r="Y36" s="20">
        <f t="shared" si="15"/>
        <v>-0.7591200948266229</v>
      </c>
      <c r="Z36" s="20">
        <f t="shared" si="16"/>
        <v>-0.79361014131270924</v>
      </c>
    </row>
    <row r="37" spans="1:26" x14ac:dyDescent="0.25">
      <c r="A37" s="30" t="s">
        <v>41</v>
      </c>
      <c r="B37" s="22">
        <v>155</v>
      </c>
      <c r="C37" s="22">
        <v>98</v>
      </c>
      <c r="D37" s="22">
        <v>183</v>
      </c>
      <c r="E37" s="22">
        <v>713</v>
      </c>
      <c r="F37" s="31">
        <v>921</v>
      </c>
      <c r="G37" s="20">
        <f>VLOOKUP(A37,IMPORTACIONTOTAL,2,FALSE)</f>
        <v>43488662</v>
      </c>
      <c r="H37" s="20">
        <f>VLOOKUP(A37,IMPORTACIONTOTAL,3,FALSE)</f>
        <v>61101362</v>
      </c>
      <c r="I37" s="20">
        <f>VLOOKUP(A37,IMPORTACIONTOTAL,4,FALSE)</f>
        <v>77413351</v>
      </c>
      <c r="J37" s="20">
        <f>VLOOKUP(A37,IMPORTACIONTOTAL,5,FALSE)</f>
        <v>62796636</v>
      </c>
      <c r="K37" s="20">
        <f>VLOOKUP(A37,IMPORTACIONTOTAL,6,FALSE)</f>
        <v>64104684</v>
      </c>
      <c r="L37" s="20">
        <f t="shared" si="1"/>
        <v>3.5641473632828712E-6</v>
      </c>
      <c r="M37" s="20">
        <f t="shared" si="2"/>
        <v>1.603892234022541E-6</v>
      </c>
      <c r="N37" s="20">
        <f t="shared" si="3"/>
        <v>2.3639333220441523E-6</v>
      </c>
      <c r="O37" s="20">
        <f t="shared" si="4"/>
        <v>1.1354111389024088E-5</v>
      </c>
      <c r="P37" s="20">
        <f t="shared" si="5"/>
        <v>1.4367124873433586E-5</v>
      </c>
      <c r="Q37" s="20">
        <f t="shared" si="7"/>
        <v>0.20630925069325462</v>
      </c>
      <c r="R37" s="20">
        <f t="shared" si="8"/>
        <v>0.15336775302562367</v>
      </c>
      <c r="S37" s="20">
        <f t="shared" si="9"/>
        <v>0.25978560290899555</v>
      </c>
      <c r="T37" s="20">
        <f t="shared" si="10"/>
        <v>1.2755878179272204</v>
      </c>
      <c r="U37" s="20">
        <f t="shared" si="11"/>
        <v>1.1272640063269974</v>
      </c>
      <c r="V37" s="20">
        <f t="shared" si="12"/>
        <v>-0.65794965001770367</v>
      </c>
      <c r="W37" s="20">
        <f t="shared" si="13"/>
        <v>-0.73405229576898634</v>
      </c>
      <c r="X37" s="20">
        <f t="shared" si="14"/>
        <v>-0.58757172282470993</v>
      </c>
      <c r="Y37" s="20">
        <f t="shared" si="15"/>
        <v>0.12110621078040702</v>
      </c>
      <c r="Z37" s="20">
        <f t="shared" si="16"/>
        <v>5.9825205497993431E-2</v>
      </c>
    </row>
    <row r="38" spans="1:26" x14ac:dyDescent="0.25">
      <c r="A38" s="29" t="s">
        <v>42</v>
      </c>
      <c r="B38" s="23">
        <v>1396</v>
      </c>
      <c r="C38" s="23">
        <v>867</v>
      </c>
      <c r="D38" s="23">
        <v>872</v>
      </c>
      <c r="E38" s="23">
        <v>641</v>
      </c>
      <c r="F38" s="32">
        <v>850</v>
      </c>
      <c r="G38" s="20">
        <f>VLOOKUP(A38,IMPORTACIONTOTAL,2,FALSE)</f>
        <v>37055600</v>
      </c>
      <c r="H38" s="20">
        <f>VLOOKUP(A38,IMPORTACIONTOTAL,3,FALSE)</f>
        <v>49589283</v>
      </c>
      <c r="I38" s="20">
        <f>VLOOKUP(A38,IMPORTACIONTOTAL,4,FALSE)</f>
        <v>54676139</v>
      </c>
      <c r="J38" s="20">
        <f>VLOOKUP(A38,IMPORTACIONTOTAL,5,FALSE)</f>
        <v>49958477</v>
      </c>
      <c r="K38" s="20">
        <f>VLOOKUP(A38,IMPORTACIONTOTAL,6,FALSE)</f>
        <v>46889500</v>
      </c>
      <c r="L38" s="20">
        <f t="shared" si="1"/>
        <v>3.7673118233141549E-5</v>
      </c>
      <c r="M38" s="20">
        <f t="shared" si="2"/>
        <v>1.7483616369286887E-5</v>
      </c>
      <c r="N38" s="20">
        <f t="shared" si="3"/>
        <v>1.5948456053197174E-5</v>
      </c>
      <c r="O38" s="20">
        <f t="shared" si="4"/>
        <v>1.2830655346038671E-5</v>
      </c>
      <c r="P38" s="20">
        <f t="shared" si="5"/>
        <v>1.8127725823478605E-5</v>
      </c>
      <c r="Q38" s="20">
        <f t="shared" si="7"/>
        <v>2.1806934455142408</v>
      </c>
      <c r="R38" s="20">
        <f t="shared" si="8"/>
        <v>1.6718223958193053</v>
      </c>
      <c r="S38" s="20">
        <f t="shared" si="9"/>
        <v>1.7526633397869009</v>
      </c>
      <c r="T38" s="20">
        <f t="shared" si="10"/>
        <v>1.4414714718450936</v>
      </c>
      <c r="U38" s="20">
        <f t="shared" si="11"/>
        <v>1.4223258318828953</v>
      </c>
      <c r="V38" s="20">
        <f t="shared" si="12"/>
        <v>0.37120630005365118</v>
      </c>
      <c r="W38" s="20">
        <f t="shared" si="13"/>
        <v>0.25144725071192214</v>
      </c>
      <c r="X38" s="20">
        <f t="shared" si="14"/>
        <v>0.27343094555295994</v>
      </c>
      <c r="Y38" s="20">
        <f t="shared" si="15"/>
        <v>0.18082188423502663</v>
      </c>
      <c r="Z38" s="20">
        <f t="shared" si="16"/>
        <v>0.17434724359712486</v>
      </c>
    </row>
    <row r="39" spans="1:26" x14ac:dyDescent="0.25">
      <c r="A39" s="30" t="s">
        <v>43</v>
      </c>
      <c r="B39" s="22">
        <v>2376</v>
      </c>
      <c r="C39" s="22">
        <v>785</v>
      </c>
      <c r="D39" s="22">
        <v>592</v>
      </c>
      <c r="E39" s="22">
        <v>931</v>
      </c>
      <c r="F39" s="31">
        <v>806</v>
      </c>
      <c r="G39" s="20">
        <f>VLOOKUP(A39,IMPORTACIONTOTAL,2,FALSE)</f>
        <v>99441600</v>
      </c>
      <c r="H39" s="20">
        <f>VLOOKUP(A39,IMPORTACIONTOTAL,3,FALSE)</f>
        <v>122740451</v>
      </c>
      <c r="I39" s="20">
        <f>VLOOKUP(A39,IMPORTACIONTOTAL,4,FALSE)</f>
        <v>148503449</v>
      </c>
      <c r="J39" s="20">
        <f>VLOOKUP(A39,IMPORTACIONTOTAL,5,FALSE)</f>
        <v>150611380</v>
      </c>
      <c r="K39" s="20">
        <f>VLOOKUP(A39,IMPORTACIONTOTAL,6,FALSE)</f>
        <v>144552207</v>
      </c>
      <c r="L39" s="20">
        <f t="shared" si="1"/>
        <v>2.3893420862093934E-5</v>
      </c>
      <c r="M39" s="20">
        <f t="shared" si="2"/>
        <v>6.3956095452183079E-6</v>
      </c>
      <c r="N39" s="20">
        <f t="shared" si="3"/>
        <v>3.9864393991280298E-6</v>
      </c>
      <c r="O39" s="20">
        <f t="shared" si="4"/>
        <v>6.1814718117581821E-6</v>
      </c>
      <c r="P39" s="20">
        <f t="shared" si="5"/>
        <v>5.5758401530320461E-6</v>
      </c>
      <c r="Q39" s="20">
        <f t="shared" si="7"/>
        <v>1.3830611509892132</v>
      </c>
      <c r="R39" s="20">
        <f t="shared" si="8"/>
        <v>0.61156245062632897</v>
      </c>
      <c r="S39" s="20">
        <f t="shared" si="9"/>
        <v>0.43809169789405189</v>
      </c>
      <c r="T39" s="20">
        <f t="shared" si="10"/>
        <v>0.6944629896410569</v>
      </c>
      <c r="U39" s="20">
        <f t="shared" si="11"/>
        <v>0.43748794312829625</v>
      </c>
      <c r="V39" s="20">
        <f t="shared" si="12"/>
        <v>0.16074331572658293</v>
      </c>
      <c r="W39" s="20">
        <f t="shared" si="13"/>
        <v>-0.24103164554541834</v>
      </c>
      <c r="X39" s="20">
        <f t="shared" si="14"/>
        <v>-0.39073190042666212</v>
      </c>
      <c r="Y39" s="20">
        <f t="shared" si="15"/>
        <v>-0.18031495065210359</v>
      </c>
      <c r="Z39" s="20">
        <f t="shared" si="16"/>
        <v>-0.39131601733476196</v>
      </c>
    </row>
    <row r="40" spans="1:26" x14ac:dyDescent="0.25">
      <c r="A40" s="29" t="s">
        <v>44</v>
      </c>
      <c r="B40" s="23">
        <v>508</v>
      </c>
      <c r="C40" s="23">
        <v>389</v>
      </c>
      <c r="D40" s="23">
        <v>419</v>
      </c>
      <c r="E40" s="23">
        <v>236</v>
      </c>
      <c r="F40" s="24">
        <v>774</v>
      </c>
      <c r="G40" s="20">
        <f>VLOOKUP(A40,IMPORTACIONTOTAL,2,FALSE)</f>
        <v>44518195</v>
      </c>
      <c r="H40" s="20">
        <f>VLOOKUP(A40,IMPORTACIONTOTAL,3,FALSE)</f>
        <v>58667257</v>
      </c>
      <c r="I40" s="20">
        <f>VLOOKUP(A40,IMPORTACIONTOTAL,4,FALSE)</f>
        <v>72832659</v>
      </c>
      <c r="J40" s="20">
        <f>VLOOKUP(A40,IMPORTACIONTOTAL,5,FALSE)</f>
        <v>70671817</v>
      </c>
      <c r="K40" s="20">
        <f>VLOOKUP(A40,IMPORTACIONTOTAL,6,FALSE)</f>
        <v>62338226</v>
      </c>
      <c r="L40" s="20">
        <f t="shared" si="1"/>
        <v>1.1411064622004553E-5</v>
      </c>
      <c r="M40" s="20">
        <f t="shared" si="2"/>
        <v>6.6306150976173986E-6</v>
      </c>
      <c r="N40" s="20">
        <f t="shared" si="3"/>
        <v>5.7529136757179224E-6</v>
      </c>
      <c r="O40" s="20">
        <f t="shared" si="4"/>
        <v>3.3393792606181328E-6</v>
      </c>
      <c r="P40" s="20">
        <f t="shared" si="5"/>
        <v>1.2416137732247947E-5</v>
      </c>
      <c r="Q40" s="20">
        <f t="shared" si="7"/>
        <v>0.66052493116043542</v>
      </c>
      <c r="R40" s="20">
        <f t="shared" si="8"/>
        <v>0.63403420574518787</v>
      </c>
      <c r="S40" s="20">
        <f t="shared" si="9"/>
        <v>0.63221924823050157</v>
      </c>
      <c r="T40" s="20">
        <f t="shared" si="10"/>
        <v>0.37516555530722401</v>
      </c>
      <c r="U40" s="20">
        <f t="shared" si="11"/>
        <v>0.97418692232864734</v>
      </c>
      <c r="V40" s="20">
        <f t="shared" si="12"/>
        <v>-0.20443840527123372</v>
      </c>
      <c r="W40" s="20">
        <f t="shared" si="13"/>
        <v>-0.22396458591141699</v>
      </c>
      <c r="X40" s="20">
        <f t="shared" si="14"/>
        <v>-0.22532558182254725</v>
      </c>
      <c r="Y40" s="20">
        <f t="shared" si="15"/>
        <v>-0.45437034274261079</v>
      </c>
      <c r="Z40" s="20">
        <f t="shared" si="16"/>
        <v>-1.3075295646728784E-2</v>
      </c>
    </row>
    <row r="41" spans="1:26" x14ac:dyDescent="0.25">
      <c r="A41" s="30" t="s">
        <v>45</v>
      </c>
      <c r="B41" s="22">
        <v>887</v>
      </c>
      <c r="C41" s="22">
        <v>840</v>
      </c>
      <c r="D41" s="22">
        <v>543</v>
      </c>
      <c r="E41" s="22">
        <v>581</v>
      </c>
      <c r="F41" s="31">
        <v>749</v>
      </c>
      <c r="G41" s="20">
        <f>VLOOKUP(A41,IMPORTACIONTOTAL,2,FALSE)</f>
        <v>328822696</v>
      </c>
      <c r="H41" s="20">
        <f>VLOOKUP(A41,IMPORTACIONTOTAL,3,FALSE)</f>
        <v>406912769</v>
      </c>
      <c r="I41" s="20">
        <f>VLOOKUP(A41,IMPORTACIONTOTAL,4,FALSE)</f>
        <v>475516057</v>
      </c>
      <c r="J41" s="20">
        <f>VLOOKUP(A41,IMPORTACIONTOTAL,5,FALSE)</f>
        <v>422530066</v>
      </c>
      <c r="K41" s="20">
        <f>VLOOKUP(A41,IMPORTACIONTOTAL,6,FALSE)</f>
        <v>457612578</v>
      </c>
      <c r="L41" s="20">
        <f t="shared" si="1"/>
        <v>2.6975023646178001E-6</v>
      </c>
      <c r="M41" s="20">
        <f t="shared" si="2"/>
        <v>2.0643245039086007E-6</v>
      </c>
      <c r="N41" s="20">
        <f t="shared" si="3"/>
        <v>1.1419172749407281E-6</v>
      </c>
      <c r="O41" s="20">
        <f t="shared" si="4"/>
        <v>1.375050077501467E-6</v>
      </c>
      <c r="P41" s="20">
        <f t="shared" si="5"/>
        <v>1.6367557099796327E-6</v>
      </c>
      <c r="Q41" s="20">
        <f t="shared" si="7"/>
        <v>0.15614385008900997</v>
      </c>
      <c r="R41" s="20">
        <f t="shared" si="8"/>
        <v>0.19739531370269597</v>
      </c>
      <c r="S41" s="20">
        <f t="shared" si="9"/>
        <v>0.12549155467978701</v>
      </c>
      <c r="T41" s="20">
        <f t="shared" si="10"/>
        <v>0.15448123307970399</v>
      </c>
      <c r="U41" s="20">
        <f t="shared" si="11"/>
        <v>0.1284220618435595</v>
      </c>
      <c r="V41" s="20">
        <f t="shared" si="12"/>
        <v>-0.72988854271553028</v>
      </c>
      <c r="W41" s="20">
        <f t="shared" si="13"/>
        <v>-0.67029215590915903</v>
      </c>
      <c r="X41" s="20">
        <f t="shared" si="14"/>
        <v>-0.77700133926728476</v>
      </c>
      <c r="Y41" s="20">
        <f t="shared" si="15"/>
        <v>-0.73237982800706336</v>
      </c>
      <c r="Z41" s="20">
        <f t="shared" si="16"/>
        <v>-0.77238647455412213</v>
      </c>
    </row>
    <row r="42" spans="1:26" x14ac:dyDescent="0.25">
      <c r="A42" s="29" t="s">
        <v>46</v>
      </c>
      <c r="B42" s="23">
        <v>858</v>
      </c>
      <c r="C42" s="23">
        <v>400</v>
      </c>
      <c r="D42" s="23">
        <v>627</v>
      </c>
      <c r="E42" s="23">
        <v>547</v>
      </c>
      <c r="F42" s="32">
        <v>741</v>
      </c>
      <c r="G42" s="20">
        <f>VLOOKUP(A42,IMPORTACIONTOTAL,2,FALSE)</f>
        <v>68704670</v>
      </c>
      <c r="H42" s="20">
        <f>VLOOKUP(A42,IMPORTACIONTOTAL,3,FALSE)</f>
        <v>93614253</v>
      </c>
      <c r="I42" s="20">
        <f>VLOOKUP(A42,IMPORTACIONTOTAL,4,FALSE)</f>
        <v>111878211</v>
      </c>
      <c r="J42" s="20">
        <f>VLOOKUP(A42,IMPORTACIONTOTAL,5,FALSE)</f>
        <v>107264215</v>
      </c>
      <c r="K42" s="20">
        <f>VLOOKUP(A42,IMPORTACIONTOTAL,6,FALSE)</f>
        <v>101243957</v>
      </c>
      <c r="L42" s="20">
        <f t="shared" si="1"/>
        <v>1.2488234060363E-5</v>
      </c>
      <c r="M42" s="20">
        <f t="shared" si="2"/>
        <v>4.2728536219799777E-6</v>
      </c>
      <c r="N42" s="20">
        <f t="shared" si="3"/>
        <v>5.6043084206986467E-6</v>
      </c>
      <c r="O42" s="20">
        <f t="shared" si="4"/>
        <v>5.0995572008800884E-6</v>
      </c>
      <c r="P42" s="20">
        <f t="shared" si="5"/>
        <v>7.3189553426877617E-6</v>
      </c>
      <c r="Q42" s="20">
        <f t="shared" si="7"/>
        <v>0.72287645511445986</v>
      </c>
      <c r="R42" s="20">
        <f t="shared" si="8"/>
        <v>0.40857979427142543</v>
      </c>
      <c r="S42" s="20">
        <f t="shared" si="9"/>
        <v>0.61588820140670864</v>
      </c>
      <c r="T42" s="20">
        <f t="shared" si="10"/>
        <v>0.57291432322514757</v>
      </c>
      <c r="U42" s="20">
        <f t="shared" si="11"/>
        <v>0.57425511328174561</v>
      </c>
      <c r="V42" s="20">
        <f t="shared" si="12"/>
        <v>-0.16084934242550164</v>
      </c>
      <c r="W42" s="20">
        <f t="shared" si="13"/>
        <v>-0.41986986334308524</v>
      </c>
      <c r="X42" s="20">
        <f t="shared" si="14"/>
        <v>-0.23770938995587906</v>
      </c>
      <c r="Y42" s="20">
        <f t="shared" si="15"/>
        <v>-0.27152507321514119</v>
      </c>
      <c r="Z42" s="20">
        <f t="shared" si="16"/>
        <v>-0.27044211775226962</v>
      </c>
    </row>
    <row r="43" spans="1:26" ht="23.25" x14ac:dyDescent="0.25">
      <c r="A43" s="30" t="s">
        <v>47</v>
      </c>
      <c r="B43" s="22">
        <v>345</v>
      </c>
      <c r="C43" s="22">
        <v>347</v>
      </c>
      <c r="D43" s="22">
        <v>499</v>
      </c>
      <c r="E43" s="22">
        <v>491</v>
      </c>
      <c r="F43" s="31">
        <v>726</v>
      </c>
      <c r="G43" s="20">
        <f>VLOOKUP(A43,IMPORTACIONTOTAL,2,FALSE)</f>
        <v>18537603</v>
      </c>
      <c r="H43" s="20">
        <f>VLOOKUP(A43,IMPORTACIONTOTAL,3,FALSE)</f>
        <v>26942694</v>
      </c>
      <c r="I43" s="20">
        <f>VLOOKUP(A43,IMPORTACIONTOTAL,4,FALSE)</f>
        <v>29990014</v>
      </c>
      <c r="J43" s="20">
        <f>VLOOKUP(A43,IMPORTACIONTOTAL,5,FALSE)</f>
        <v>31356398</v>
      </c>
      <c r="K43" s="20">
        <f>VLOOKUP(A43,IMPORTACIONTOTAL,6,FALSE)</f>
        <v>32702358</v>
      </c>
      <c r="L43" s="20">
        <f t="shared" si="1"/>
        <v>1.8610820395711356E-5</v>
      </c>
      <c r="M43" s="20">
        <f t="shared" si="2"/>
        <v>1.2879187211197218E-5</v>
      </c>
      <c r="N43" s="20">
        <f t="shared" si="3"/>
        <v>1.6638871859146181E-5</v>
      </c>
      <c r="O43" s="20">
        <f t="shared" si="4"/>
        <v>1.5658686307017789E-5</v>
      </c>
      <c r="P43" s="20">
        <f t="shared" si="5"/>
        <v>2.2200234001474757E-5</v>
      </c>
      <c r="Q43" s="20">
        <f t="shared" si="7"/>
        <v>1.0772799268011688</v>
      </c>
      <c r="R43" s="20">
        <f t="shared" si="8"/>
        <v>1.2315366091796325</v>
      </c>
      <c r="S43" s="20">
        <f t="shared" si="9"/>
        <v>1.8285369207943658</v>
      </c>
      <c r="T43" s="20">
        <f t="shared" si="10"/>
        <v>1.7591891442323151</v>
      </c>
      <c r="U43" s="20">
        <f t="shared" si="11"/>
        <v>1.7418603194696418</v>
      </c>
      <c r="V43" s="20">
        <f t="shared" si="12"/>
        <v>3.7202461644239342E-2</v>
      </c>
      <c r="W43" s="20">
        <f t="shared" si="13"/>
        <v>0.10375658110522822</v>
      </c>
      <c r="X43" s="20">
        <f t="shared" si="14"/>
        <v>0.292920666760001</v>
      </c>
      <c r="Y43" s="20">
        <f t="shared" si="15"/>
        <v>0.27514936618944369</v>
      </c>
      <c r="Z43" s="20">
        <f t="shared" si="16"/>
        <v>0.27056823945471442</v>
      </c>
    </row>
    <row r="44" spans="1:26" x14ac:dyDescent="0.25">
      <c r="A44" s="29" t="s">
        <v>48</v>
      </c>
      <c r="B44" s="23">
        <v>969</v>
      </c>
      <c r="C44" s="23">
        <v>624</v>
      </c>
      <c r="D44" s="23">
        <v>512</v>
      </c>
      <c r="E44" s="23">
        <v>474</v>
      </c>
      <c r="F44" s="32">
        <v>690</v>
      </c>
      <c r="G44" s="20">
        <f>VLOOKUP(A44,IMPORTACIONTOTAL,2,FALSE)</f>
        <v>131328602</v>
      </c>
      <c r="H44" s="20">
        <f>VLOOKUP(A44,IMPORTACIONTOTAL,3,FALSE)</f>
        <v>152849564</v>
      </c>
      <c r="I44" s="20">
        <f>VLOOKUP(A44,IMPORTACIONTOTAL,4,FALSE)</f>
        <v>189877037</v>
      </c>
      <c r="J44" s="20">
        <f>VLOOKUP(A44,IMPORTACIONTOTAL,5,FALSE)</f>
        <v>211114487</v>
      </c>
      <c r="K44" s="20">
        <f>VLOOKUP(A44,IMPORTACIONTOTAL,6,FALSE)</f>
        <v>232028140</v>
      </c>
      <c r="L44" s="20">
        <f t="shared" si="1"/>
        <v>7.3784383998848932E-6</v>
      </c>
      <c r="M44" s="20">
        <f t="shared" si="2"/>
        <v>4.0824454036388354E-6</v>
      </c>
      <c r="N44" s="20">
        <f t="shared" si="3"/>
        <v>2.6964819342530607E-6</v>
      </c>
      <c r="O44" s="20">
        <f t="shared" si="4"/>
        <v>2.2452272543475428E-6</v>
      </c>
      <c r="P44" s="20">
        <f t="shared" si="5"/>
        <v>2.9737772323650054E-6</v>
      </c>
      <c r="Q44" s="20">
        <f t="shared" si="7"/>
        <v>0.42709796829626068</v>
      </c>
      <c r="R44" s="20">
        <f t="shared" si="8"/>
        <v>0.39037253571306585</v>
      </c>
      <c r="S44" s="20">
        <f t="shared" si="9"/>
        <v>0.29633119449299855</v>
      </c>
      <c r="T44" s="20">
        <f t="shared" si="10"/>
        <v>0.25224206774054492</v>
      </c>
      <c r="U44" s="20">
        <f t="shared" si="11"/>
        <v>0.23332657483046151</v>
      </c>
      <c r="V44" s="20">
        <f t="shared" si="12"/>
        <v>-0.40144548197184932</v>
      </c>
      <c r="W44" s="20">
        <f t="shared" si="13"/>
        <v>-0.4384633964121572</v>
      </c>
      <c r="X44" s="20">
        <f t="shared" si="14"/>
        <v>-0.54281560799916551</v>
      </c>
      <c r="Y44" s="20">
        <f t="shared" si="15"/>
        <v>-0.5971352915883551</v>
      </c>
      <c r="Z44" s="20">
        <f t="shared" si="16"/>
        <v>-0.62163050794144181</v>
      </c>
    </row>
    <row r="45" spans="1:26" x14ac:dyDescent="0.25">
      <c r="A45" s="30" t="s">
        <v>49</v>
      </c>
      <c r="B45" s="22">
        <v>47</v>
      </c>
      <c r="C45" s="22">
        <v>322</v>
      </c>
      <c r="D45" s="22">
        <v>574</v>
      </c>
      <c r="E45" s="22">
        <v>298</v>
      </c>
      <c r="F45" s="31">
        <v>685</v>
      </c>
      <c r="G45" s="20">
        <f>VLOOKUP(A45,IMPORTACIONTOTAL,2,FALSE)</f>
        <v>219514373</v>
      </c>
      <c r="H45" s="20">
        <f>VLOOKUP(A45,IMPORTACIONTOTAL,3,FALSE)</f>
        <v>271422758</v>
      </c>
      <c r="I45" s="20">
        <f>VLOOKUP(A45,IMPORTACIONTOTAL,4,FALSE)</f>
        <v>363710987</v>
      </c>
      <c r="J45" s="20">
        <f>VLOOKUP(A45,IMPORTACIONTOTAL,5,FALSE)</f>
        <v>361966913</v>
      </c>
      <c r="K45" s="20">
        <f>VLOOKUP(A45,IMPORTACIONTOTAL,6,FALSE)</f>
        <v>344017272</v>
      </c>
      <c r="L45" s="20">
        <f t="shared" si="1"/>
        <v>2.1410898684069312E-7</v>
      </c>
      <c r="M45" s="20">
        <f t="shared" si="2"/>
        <v>1.1863411984045937E-6</v>
      </c>
      <c r="N45" s="20">
        <f t="shared" si="3"/>
        <v>1.5781761357679306E-6</v>
      </c>
      <c r="O45" s="20">
        <f t="shared" si="4"/>
        <v>8.2327966810601831E-7</v>
      </c>
      <c r="P45" s="20">
        <f t="shared" si="5"/>
        <v>1.9911790940543243E-6</v>
      </c>
      <c r="Q45" s="20">
        <f t="shared" si="7"/>
        <v>1.239361343384766E-2</v>
      </c>
      <c r="R45" s="20">
        <f t="shared" si="8"/>
        <v>0.11344059161925031</v>
      </c>
      <c r="S45" s="20">
        <f t="shared" si="9"/>
        <v>0.17343443450957163</v>
      </c>
      <c r="T45" s="20">
        <f t="shared" si="10"/>
        <v>9.2492092018613387E-2</v>
      </c>
      <c r="U45" s="20">
        <f t="shared" si="11"/>
        <v>0.15623059886036947</v>
      </c>
      <c r="V45" s="20">
        <f t="shared" si="12"/>
        <v>-0.97551621569043512</v>
      </c>
      <c r="W45" s="20">
        <f t="shared" si="13"/>
        <v>-0.79623413683117783</v>
      </c>
      <c r="X45" s="20">
        <f t="shared" si="14"/>
        <v>-0.70439859371937164</v>
      </c>
      <c r="Y45" s="20">
        <f t="shared" si="15"/>
        <v>-0.83067686678131569</v>
      </c>
      <c r="Z45" s="20">
        <f t="shared" si="16"/>
        <v>-0.72975875398150325</v>
      </c>
    </row>
    <row r="46" spans="1:26" x14ac:dyDescent="0.25">
      <c r="A46" s="29" t="s">
        <v>50</v>
      </c>
      <c r="B46" s="23">
        <v>449</v>
      </c>
      <c r="C46" s="23">
        <v>508</v>
      </c>
      <c r="D46" s="23">
        <v>362</v>
      </c>
      <c r="E46" s="23">
        <v>444</v>
      </c>
      <c r="F46" s="32">
        <v>630</v>
      </c>
      <c r="G46" s="20">
        <f>VLOOKUP(A46,IMPORTACIONTOTAL,2,FALSE)</f>
        <v>14456986</v>
      </c>
      <c r="H46" s="20">
        <f>VLOOKUP(A46,IMPORTACIONTOTAL,3,FALSE)</f>
        <v>18430776</v>
      </c>
      <c r="I46" s="20">
        <f>VLOOKUP(A46,IMPORTACIONTOTAL,4,FALSE)</f>
        <v>21143801</v>
      </c>
      <c r="J46" s="20">
        <f>VLOOKUP(A46,IMPORTACIONTOTAL,5,FALSE)</f>
        <v>22515896</v>
      </c>
      <c r="K46" s="20">
        <f>VLOOKUP(A46,IMPORTACIONTOTAL,6,FALSE)</f>
        <v>23683764</v>
      </c>
      <c r="L46" s="20">
        <f t="shared" si="1"/>
        <v>3.1057649222320615E-5</v>
      </c>
      <c r="M46" s="20">
        <f t="shared" si="2"/>
        <v>2.7562594217411138E-5</v>
      </c>
      <c r="N46" s="20">
        <f t="shared" si="3"/>
        <v>1.7120857314160305E-5</v>
      </c>
      <c r="O46" s="20">
        <f t="shared" si="4"/>
        <v>1.9719401795069582E-5</v>
      </c>
      <c r="P46" s="20">
        <f t="shared" si="5"/>
        <v>2.6600501508121767E-5</v>
      </c>
      <c r="Q46" s="20">
        <f t="shared" si="7"/>
        <v>1.7977596564495286</v>
      </c>
      <c r="R46" s="20">
        <f t="shared" si="8"/>
        <v>2.6355967396136073</v>
      </c>
      <c r="S46" s="20">
        <f t="shared" si="9"/>
        <v>1.8815049469466163</v>
      </c>
      <c r="T46" s="20">
        <f t="shared" si="10"/>
        <v>2.2153938643687159</v>
      </c>
      <c r="U46" s="20">
        <f t="shared" si="11"/>
        <v>2.0871112463009034</v>
      </c>
      <c r="V46" s="20">
        <f t="shared" si="12"/>
        <v>0.28514231185316263</v>
      </c>
      <c r="W46" s="20">
        <f t="shared" si="13"/>
        <v>0.44988398239883975</v>
      </c>
      <c r="X46" s="20">
        <f t="shared" si="14"/>
        <v>0.30591824868484163</v>
      </c>
      <c r="Y46" s="20">
        <f t="shared" si="15"/>
        <v>0.37799221981389713</v>
      </c>
      <c r="Z46" s="20">
        <f t="shared" si="16"/>
        <v>0.35214514786388806</v>
      </c>
    </row>
    <row r="47" spans="1:26" x14ac:dyDescent="0.25">
      <c r="A47" s="30" t="s">
        <v>51</v>
      </c>
      <c r="B47" s="22">
        <v>380</v>
      </c>
      <c r="C47" s="22">
        <v>429</v>
      </c>
      <c r="D47" s="22">
        <v>420</v>
      </c>
      <c r="E47" s="22">
        <v>460</v>
      </c>
      <c r="F47" s="31">
        <v>609</v>
      </c>
      <c r="G47" s="20">
        <f>VLOOKUP(A47,IMPORTACIONTOTAL,2,FALSE)</f>
        <v>14739520</v>
      </c>
      <c r="H47" s="20">
        <f>VLOOKUP(A47,IMPORTACIONTOTAL,3,FALSE)</f>
        <v>20595840</v>
      </c>
      <c r="I47" s="20">
        <f>VLOOKUP(A47,IMPORTACIONTOTAL,4,FALSE)</f>
        <v>29249346</v>
      </c>
      <c r="J47" s="20">
        <f>VLOOKUP(A47,IMPORTACIONTOTAL,5,FALSE)</f>
        <v>34284541</v>
      </c>
      <c r="K47" s="20">
        <f>VLOOKUP(A47,IMPORTACIONTOTAL,6,FALSE)</f>
        <v>26686634</v>
      </c>
      <c r="L47" s="20">
        <f t="shared" si="1"/>
        <v>2.5781029504352923E-5</v>
      </c>
      <c r="M47" s="20">
        <f t="shared" si="2"/>
        <v>2.0829449053789504E-5</v>
      </c>
      <c r="N47" s="20">
        <f t="shared" si="3"/>
        <v>1.4359295418092425E-5</v>
      </c>
      <c r="O47" s="20">
        <f t="shared" si="4"/>
        <v>1.3417125811892888E-5</v>
      </c>
      <c r="P47" s="20">
        <f t="shared" si="5"/>
        <v>2.2820412645521351E-5</v>
      </c>
      <c r="Q47" s="20">
        <f t="shared" si="7"/>
        <v>1.4923246255016323</v>
      </c>
      <c r="R47" s="20">
        <f t="shared" si="8"/>
        <v>1.9917583802556793</v>
      </c>
      <c r="S47" s="20">
        <f t="shared" si="9"/>
        <v>1.5780217583767555</v>
      </c>
      <c r="T47" s="20">
        <f t="shared" si="10"/>
        <v>1.5073590218422619</v>
      </c>
      <c r="U47" s="20">
        <f t="shared" si="11"/>
        <v>1.790520372826534</v>
      </c>
      <c r="V47" s="20">
        <f t="shared" si="12"/>
        <v>0.19753631628245125</v>
      </c>
      <c r="W47" s="20">
        <f t="shared" si="13"/>
        <v>0.33149681698925249</v>
      </c>
      <c r="X47" s="20">
        <f t="shared" si="14"/>
        <v>0.22421135760339947</v>
      </c>
      <c r="Y47" s="20">
        <f t="shared" si="15"/>
        <v>0.20234797546842093</v>
      </c>
      <c r="Z47" s="20">
        <f t="shared" si="16"/>
        <v>0.28328779840650703</v>
      </c>
    </row>
    <row r="48" spans="1:26" x14ac:dyDescent="0.25">
      <c r="A48" s="29" t="s">
        <v>52</v>
      </c>
      <c r="B48" s="23">
        <v>542</v>
      </c>
      <c r="C48" s="23">
        <v>552</v>
      </c>
      <c r="D48" s="23">
        <v>529</v>
      </c>
      <c r="E48" s="23">
        <v>669</v>
      </c>
      <c r="F48" s="32">
        <v>598</v>
      </c>
      <c r="G48" s="20">
        <f>VLOOKUP(A48,IMPORTACIONTOTAL,2,FALSE)</f>
        <v>81320407</v>
      </c>
      <c r="H48" s="20">
        <f>VLOOKUP(A48,IMPORTACIONTOTAL,3,FALSE)</f>
        <v>98636184</v>
      </c>
      <c r="I48" s="20">
        <f>VLOOKUP(A48,IMPORTACIONTOTAL,4,FALSE)</f>
        <v>107268574</v>
      </c>
      <c r="J48" s="20">
        <f>VLOOKUP(A48,IMPORTACIONTOTAL,5,FALSE)</f>
        <v>96972068</v>
      </c>
      <c r="K48" s="20">
        <f>VLOOKUP(A48,IMPORTACIONTOTAL,6,FALSE)</f>
        <v>98730037</v>
      </c>
      <c r="L48" s="20">
        <f t="shared" si="1"/>
        <v>6.6649936958628354E-6</v>
      </c>
      <c r="M48" s="20">
        <f t="shared" si="2"/>
        <v>5.5963235560694444E-6</v>
      </c>
      <c r="N48" s="20">
        <f t="shared" si="3"/>
        <v>4.9315468666526691E-6</v>
      </c>
      <c r="O48" s="20">
        <f t="shared" si="4"/>
        <v>6.8988938134226445E-6</v>
      </c>
      <c r="P48" s="20">
        <f t="shared" si="5"/>
        <v>6.0569206512097229E-6</v>
      </c>
      <c r="Q48" s="20">
        <f t="shared" si="7"/>
        <v>0.38580050573503616</v>
      </c>
      <c r="R48" s="20">
        <f t="shared" si="8"/>
        <v>0.53513294147334589</v>
      </c>
      <c r="S48" s="20">
        <f t="shared" si="9"/>
        <v>0.54195474300412738</v>
      </c>
      <c r="T48" s="20">
        <f t="shared" si="10"/>
        <v>0.77506240726882503</v>
      </c>
      <c r="U48" s="20">
        <f t="shared" si="11"/>
        <v>0.47523416824424392</v>
      </c>
      <c r="V48" s="20">
        <f t="shared" si="12"/>
        <v>-0.44320917168318463</v>
      </c>
      <c r="W48" s="20">
        <f t="shared" si="13"/>
        <v>-0.30281876309715389</v>
      </c>
      <c r="X48" s="20">
        <f t="shared" si="14"/>
        <v>-0.29705492918909004</v>
      </c>
      <c r="Y48" s="20">
        <f t="shared" si="15"/>
        <v>-0.12672094897061792</v>
      </c>
      <c r="Z48" s="20">
        <f t="shared" si="16"/>
        <v>-0.3557169722962073</v>
      </c>
    </row>
    <row r="49" spans="1:26" ht="23.25" x14ac:dyDescent="0.25">
      <c r="A49" s="30" t="s">
        <v>53</v>
      </c>
      <c r="B49" s="22">
        <v>593</v>
      </c>
      <c r="C49" s="22">
        <v>983</v>
      </c>
      <c r="D49" s="22">
        <v>1307</v>
      </c>
      <c r="E49" s="22">
        <v>259</v>
      </c>
      <c r="F49" s="31">
        <v>573</v>
      </c>
      <c r="G49" s="20">
        <f>VLOOKUP(A49,IMPORTACIONTOTAL,2,FALSE)</f>
        <v>467540264</v>
      </c>
      <c r="H49" s="20">
        <f>VLOOKUP(A49,IMPORTACIONTOTAL,3,FALSE)</f>
        <v>615034495</v>
      </c>
      <c r="I49" s="20">
        <f>VLOOKUP(A49,IMPORTACIONTOTAL,4,FALSE)</f>
        <v>731366344</v>
      </c>
      <c r="J49" s="20">
        <f>VLOOKUP(A49,IMPORTACIONTOTAL,5,FALSE)</f>
        <v>642571069</v>
      </c>
      <c r="K49" s="20">
        <f>VLOOKUP(A49,IMPORTACIONTOTAL,6,FALSE)</f>
        <v>632098015</v>
      </c>
      <c r="L49" s="20">
        <f t="shared" si="1"/>
        <v>1.2683399605557823E-6</v>
      </c>
      <c r="M49" s="20">
        <f t="shared" si="2"/>
        <v>1.5982843368809746E-6</v>
      </c>
      <c r="N49" s="20">
        <f t="shared" si="3"/>
        <v>1.7870660999407433E-6</v>
      </c>
      <c r="O49" s="20">
        <f t="shared" si="4"/>
        <v>4.0306825578541569E-7</v>
      </c>
      <c r="P49" s="20">
        <f t="shared" si="5"/>
        <v>9.0650498245908899E-7</v>
      </c>
      <c r="Q49" s="20">
        <f t="shared" si="7"/>
        <v>7.341735349729081E-2</v>
      </c>
      <c r="R49" s="20">
        <f t="shared" si="8"/>
        <v>0.15283151339208928</v>
      </c>
      <c r="S49" s="20">
        <f t="shared" si="9"/>
        <v>0.19639049878525391</v>
      </c>
      <c r="T49" s="20">
        <f t="shared" si="10"/>
        <v>4.5283064368213971E-2</v>
      </c>
      <c r="U49" s="20">
        <f t="shared" si="11"/>
        <v>7.1125604272554863E-2</v>
      </c>
      <c r="V49" s="20">
        <f t="shared" si="12"/>
        <v>-0.86320818597148541</v>
      </c>
      <c r="W49" s="20">
        <f t="shared" si="13"/>
        <v>-0.73485889027721307</v>
      </c>
      <c r="X49" s="20">
        <f t="shared" si="14"/>
        <v>-0.6716949875736099</v>
      </c>
      <c r="Y49" s="20">
        <f t="shared" si="15"/>
        <v>-0.91335731743518911</v>
      </c>
      <c r="Z49" s="20">
        <f t="shared" si="16"/>
        <v>-0.86719465207657109</v>
      </c>
    </row>
    <row r="50" spans="1:26" x14ac:dyDescent="0.25">
      <c r="A50" s="29" t="s">
        <v>54</v>
      </c>
      <c r="B50" s="23">
        <v>589</v>
      </c>
      <c r="C50" s="23">
        <v>965</v>
      </c>
      <c r="D50" s="23">
        <v>419</v>
      </c>
      <c r="E50" s="23">
        <v>340</v>
      </c>
      <c r="F50" s="32">
        <v>562</v>
      </c>
      <c r="G50" s="20">
        <f>VLOOKUP(A50,IMPORTACIONTOTAL,2,FALSE)</f>
        <v>189559672</v>
      </c>
      <c r="H50" s="20">
        <f>VLOOKUP(A50,IMPORTACIONTOTAL,3,FALSE)</f>
        <v>238321107</v>
      </c>
      <c r="I50" s="20">
        <f>VLOOKUP(A50,IMPORTACIONTOTAL,4,FALSE)</f>
        <v>295092902</v>
      </c>
      <c r="J50" s="20">
        <f>VLOOKUP(A50,IMPORTACIONTOTAL,5,FALSE)</f>
        <v>265972626</v>
      </c>
      <c r="K50" s="20">
        <f>VLOOKUP(A50,IMPORTACIONTOTAL,6,FALSE)</f>
        <v>300081375</v>
      </c>
      <c r="L50" s="20">
        <f t="shared" si="1"/>
        <v>3.1072009873492503E-6</v>
      </c>
      <c r="M50" s="20">
        <f t="shared" si="2"/>
        <v>4.0491587679642659E-6</v>
      </c>
      <c r="N50" s="20">
        <f t="shared" si="3"/>
        <v>1.4198918278285122E-6</v>
      </c>
      <c r="O50" s="20">
        <f t="shared" si="4"/>
        <v>1.2783270410692564E-6</v>
      </c>
      <c r="P50" s="20">
        <f t="shared" si="5"/>
        <v>1.8728253294627165E-6</v>
      </c>
      <c r="Q50" s="20">
        <f t="shared" si="7"/>
        <v>0.1798590917023449</v>
      </c>
      <c r="R50" s="20">
        <f t="shared" si="8"/>
        <v>0.38718959336139191</v>
      </c>
      <c r="S50" s="20">
        <f t="shared" si="9"/>
        <v>0.15603970345450219</v>
      </c>
      <c r="T50" s="20">
        <f t="shared" si="10"/>
        <v>0.14361479688240478</v>
      </c>
      <c r="U50" s="20">
        <f t="shared" si="11"/>
        <v>0.14694440276945087</v>
      </c>
      <c r="V50" s="20">
        <f t="shared" si="12"/>
        <v>-0.69511767469988739</v>
      </c>
      <c r="W50" s="20">
        <f t="shared" si="13"/>
        <v>-0.44176398782928167</v>
      </c>
      <c r="X50" s="20">
        <f t="shared" si="14"/>
        <v>-0.73004438690432327</v>
      </c>
      <c r="Y50" s="20">
        <f t="shared" si="15"/>
        <v>-0.74884061088766696</v>
      </c>
      <c r="Z50" s="20">
        <f t="shared" si="16"/>
        <v>-0.74376368651412583</v>
      </c>
    </row>
    <row r="51" spans="1:26" x14ac:dyDescent="0.25">
      <c r="A51" s="30" t="s">
        <v>55</v>
      </c>
      <c r="B51" s="22">
        <v>270</v>
      </c>
      <c r="C51" s="22">
        <v>327</v>
      </c>
      <c r="D51" s="22">
        <v>294</v>
      </c>
      <c r="E51" s="22">
        <v>1403</v>
      </c>
      <c r="F51" s="31">
        <v>545</v>
      </c>
      <c r="G51" s="20">
        <f>VLOOKUP(A51,IMPORTACIONTOTAL,2,FALSE)</f>
        <v>26794587</v>
      </c>
      <c r="H51" s="20">
        <f>VLOOKUP(A51,IMPORTACIONTOTAL,3,FALSE)</f>
        <v>34594841</v>
      </c>
      <c r="I51" s="20">
        <f>VLOOKUP(A51,IMPORTACIONTOTAL,4,FALSE)</f>
        <v>44790266</v>
      </c>
      <c r="J51" s="20">
        <f>VLOOKUP(A51,IMPORTACIONTOTAL,5,FALSE)</f>
        <v>43463068</v>
      </c>
      <c r="K51" s="20">
        <f>VLOOKUP(A51,IMPORTACIONTOTAL,6,FALSE)</f>
        <v>45864363</v>
      </c>
      <c r="L51" s="20">
        <f t="shared" si="1"/>
        <v>1.0076662125824145E-5</v>
      </c>
      <c r="M51" s="20">
        <f t="shared" si="2"/>
        <v>9.4522764246842478E-6</v>
      </c>
      <c r="N51" s="20">
        <f t="shared" si="3"/>
        <v>6.5639261887839651E-6</v>
      </c>
      <c r="O51" s="20">
        <f t="shared" si="4"/>
        <v>3.2280279891884303E-5</v>
      </c>
      <c r="P51" s="20">
        <f t="shared" si="5"/>
        <v>1.1882864262172353E-5</v>
      </c>
      <c r="Q51" s="20">
        <f t="shared" si="7"/>
        <v>0.58328357409807896</v>
      </c>
      <c r="R51" s="20">
        <f t="shared" si="8"/>
        <v>0.9038477557779141</v>
      </c>
      <c r="S51" s="20">
        <f t="shared" si="9"/>
        <v>0.72134586305879689</v>
      </c>
      <c r="T51" s="20">
        <f t="shared" si="10"/>
        <v>3.6265569694140396</v>
      </c>
      <c r="U51" s="20">
        <f t="shared" si="11"/>
        <v>0.93234556620200226</v>
      </c>
      <c r="V51" s="20">
        <f t="shared" si="12"/>
        <v>-0.26319759310286817</v>
      </c>
      <c r="W51" s="20">
        <f t="shared" si="13"/>
        <v>-5.0504166591197837E-2</v>
      </c>
      <c r="X51" s="20">
        <f t="shared" si="14"/>
        <v>-0.16188155031554224</v>
      </c>
      <c r="Y51" s="20">
        <f t="shared" si="15"/>
        <v>0.56771309351167398</v>
      </c>
      <c r="Z51" s="20">
        <f t="shared" si="16"/>
        <v>-3.5011560551755534E-2</v>
      </c>
    </row>
    <row r="52" spans="1:26" x14ac:dyDescent="0.25">
      <c r="A52" s="29" t="s">
        <v>56</v>
      </c>
      <c r="B52" s="23">
        <v>396</v>
      </c>
      <c r="C52" s="23">
        <v>580</v>
      </c>
      <c r="D52" s="23">
        <v>501</v>
      </c>
      <c r="E52" s="23">
        <v>417</v>
      </c>
      <c r="F52" s="32">
        <v>534</v>
      </c>
      <c r="G52" s="20">
        <f>VLOOKUP(A52,IMPORTACIONTOTAL,2,FALSE)</f>
        <v>91852185</v>
      </c>
      <c r="H52" s="20">
        <f>VLOOKUP(A52,IMPORTACIONTOTAL,3,FALSE)</f>
        <v>116381979</v>
      </c>
      <c r="I52" s="20">
        <f>VLOOKUP(A52,IMPORTACIONTOTAL,4,FALSE)</f>
        <v>132869619</v>
      </c>
      <c r="J52" s="20">
        <f>VLOOKUP(A52,IMPORTACIONTOTAL,5,FALSE)</f>
        <v>131998810</v>
      </c>
      <c r="K52" s="20">
        <f>VLOOKUP(A52,IMPORTACIONTOTAL,6,FALSE)</f>
        <v>136432938</v>
      </c>
      <c r="L52" s="20">
        <f t="shared" si="1"/>
        <v>4.3112746855178244E-6</v>
      </c>
      <c r="M52" s="20">
        <f t="shared" si="2"/>
        <v>4.9835894266757574E-6</v>
      </c>
      <c r="N52" s="20">
        <f t="shared" si="3"/>
        <v>3.7706136569865532E-6</v>
      </c>
      <c r="O52" s="20">
        <f t="shared" si="4"/>
        <v>3.1591193890308556E-6</v>
      </c>
      <c r="P52" s="20">
        <f t="shared" si="5"/>
        <v>3.9140108527165188E-6</v>
      </c>
      <c r="Q52" s="20">
        <f t="shared" si="7"/>
        <v>0.2495564181955478</v>
      </c>
      <c r="R52" s="20">
        <f t="shared" si="8"/>
        <v>0.47654193726881977</v>
      </c>
      <c r="S52" s="20">
        <f t="shared" si="9"/>
        <v>0.41437342292298746</v>
      </c>
      <c r="T52" s="20">
        <f t="shared" si="10"/>
        <v>0.35491409851069006</v>
      </c>
      <c r="U52" s="20">
        <f t="shared" si="11"/>
        <v>0.30709857354960968</v>
      </c>
      <c r="V52" s="20">
        <f t="shared" si="12"/>
        <v>-0.6005679862683978</v>
      </c>
      <c r="W52" s="20">
        <f t="shared" si="13"/>
        <v>-0.35451621760193813</v>
      </c>
      <c r="X52" s="20">
        <f t="shared" si="14"/>
        <v>-0.41405371989155365</v>
      </c>
      <c r="Y52" s="20">
        <f t="shared" si="15"/>
        <v>-0.47610833941309116</v>
      </c>
      <c r="Z52" s="20">
        <f t="shared" si="16"/>
        <v>-0.53010648199907318</v>
      </c>
    </row>
    <row r="53" spans="1:26" x14ac:dyDescent="0.25">
      <c r="A53" s="30" t="s">
        <v>57</v>
      </c>
      <c r="B53" s="22">
        <v>518</v>
      </c>
      <c r="C53" s="22">
        <v>481</v>
      </c>
      <c r="D53" s="22">
        <v>400</v>
      </c>
      <c r="E53" s="22">
        <v>431</v>
      </c>
      <c r="F53" s="31">
        <v>517</v>
      </c>
      <c r="G53" s="20">
        <f>VLOOKUP(A53,IMPORTACIONTOTAL,2,FALSE)</f>
        <v>68266522</v>
      </c>
      <c r="H53" s="20">
        <f>VLOOKUP(A53,IMPORTACIONTOTAL,3,FALSE)</f>
        <v>86263574</v>
      </c>
      <c r="I53" s="20">
        <f>VLOOKUP(A53,IMPORTACIONTOTAL,4,FALSE)</f>
        <v>97374453</v>
      </c>
      <c r="J53" s="20">
        <f>VLOOKUP(A53,IMPORTACIONTOTAL,5,FALSE)</f>
        <v>83093615</v>
      </c>
      <c r="K53" s="20">
        <f>VLOOKUP(A53,IMPORTACIONTOTAL,6,FALSE)</f>
        <v>80413668</v>
      </c>
      <c r="L53" s="20">
        <f t="shared" si="1"/>
        <v>7.5879067048413565E-6</v>
      </c>
      <c r="M53" s="20">
        <f t="shared" si="2"/>
        <v>5.5759340553174856E-6</v>
      </c>
      <c r="N53" s="20">
        <f t="shared" si="3"/>
        <v>4.107853627686104E-6</v>
      </c>
      <c r="O53" s="20">
        <f t="shared" si="4"/>
        <v>5.1869208001120179E-6</v>
      </c>
      <c r="P53" s="20">
        <f t="shared" si="5"/>
        <v>6.429255285307965E-6</v>
      </c>
      <c r="Q53" s="20">
        <f t="shared" si="7"/>
        <v>0.43922295770740261</v>
      </c>
      <c r="R53" s="20">
        <f t="shared" si="8"/>
        <v>0.53318325193105076</v>
      </c>
      <c r="S53" s="20">
        <f t="shared" si="9"/>
        <v>0.45143457363151768</v>
      </c>
      <c r="T53" s="20">
        <f t="shared" si="10"/>
        <v>0.58272926506359501</v>
      </c>
      <c r="U53" s="20">
        <f t="shared" si="11"/>
        <v>0.50444804610953542</v>
      </c>
      <c r="V53" s="20">
        <f t="shared" si="12"/>
        <v>-0.38963875561426714</v>
      </c>
      <c r="W53" s="20">
        <f t="shared" si="13"/>
        <v>-0.30447550707392057</v>
      </c>
      <c r="X53" s="20">
        <f t="shared" si="14"/>
        <v>-0.37794705757625768</v>
      </c>
      <c r="Y53" s="20">
        <f t="shared" si="15"/>
        <v>-0.26363999462639542</v>
      </c>
      <c r="Z53" s="20">
        <f t="shared" si="16"/>
        <v>-0.32939120441676228</v>
      </c>
    </row>
    <row r="54" spans="1:26" x14ac:dyDescent="0.25">
      <c r="A54" s="29" t="s">
        <v>58</v>
      </c>
      <c r="B54" s="23">
        <v>231</v>
      </c>
      <c r="C54" s="23">
        <v>31</v>
      </c>
      <c r="D54" s="23">
        <v>98</v>
      </c>
      <c r="E54" s="23">
        <v>233</v>
      </c>
      <c r="F54" s="32">
        <v>499</v>
      </c>
      <c r="G54" s="20">
        <f>VLOOKUP(A54,IMPORTACIONTOTAL,2,FALSE)</f>
        <v>367980363</v>
      </c>
      <c r="H54" s="20">
        <f>VLOOKUP(A54,IMPORTACIONTOTAL,3,FALSE)</f>
        <v>570402004</v>
      </c>
      <c r="I54" s="20">
        <f>VLOOKUP(A54,IMPORTACIONTOTAL,4,FALSE)</f>
        <v>732565993</v>
      </c>
      <c r="J54" s="20">
        <f>VLOOKUP(A54,IMPORTACIONTOTAL,5,FALSE)</f>
        <v>673791035</v>
      </c>
      <c r="K54" s="20">
        <f>VLOOKUP(A54,IMPORTACIONTOTAL,6,FALSE)</f>
        <v>702773476</v>
      </c>
      <c r="L54" s="20">
        <f t="shared" si="1"/>
        <v>6.27750888978823E-7</v>
      </c>
      <c r="M54" s="20">
        <f t="shared" si="2"/>
        <v>5.4347635146106537E-8</v>
      </c>
      <c r="N54" s="20">
        <f t="shared" si="3"/>
        <v>1.3377634361468373E-7</v>
      </c>
      <c r="O54" s="20">
        <f t="shared" si="4"/>
        <v>3.4580454161133205E-7</v>
      </c>
      <c r="P54" s="20">
        <f t="shared" si="5"/>
        <v>7.1004387194601519E-7</v>
      </c>
      <c r="Q54" s="20">
        <f t="shared" si="7"/>
        <v>3.6337110205217606E-2</v>
      </c>
      <c r="R54" s="20">
        <f t="shared" si="8"/>
        <v>5.1968420993661535E-3</v>
      </c>
      <c r="S54" s="20">
        <f t="shared" si="9"/>
        <v>1.4701416388026392E-2</v>
      </c>
      <c r="T54" s="20">
        <f t="shared" si="10"/>
        <v>3.8849721087793172E-2</v>
      </c>
      <c r="U54" s="20">
        <f t="shared" si="11"/>
        <v>5.5711000413022099E-2</v>
      </c>
      <c r="V54" s="20">
        <f t="shared" si="12"/>
        <v>-0.92987395733030909</v>
      </c>
      <c r="W54" s="20">
        <f t="shared" si="13"/>
        <v>-0.98966005088413833</v>
      </c>
      <c r="X54" s="20">
        <f t="shared" si="14"/>
        <v>-0.97102316770117825</v>
      </c>
      <c r="Y54" s="20">
        <f t="shared" si="15"/>
        <v>-0.92520627324785121</v>
      </c>
      <c r="Z54" s="20">
        <f t="shared" si="16"/>
        <v>-0.89445785751739537</v>
      </c>
    </row>
    <row r="55" spans="1:26" x14ac:dyDescent="0.25">
      <c r="A55" s="30" t="s">
        <v>59</v>
      </c>
      <c r="B55" s="22">
        <v>283</v>
      </c>
      <c r="C55" s="22">
        <v>290</v>
      </c>
      <c r="D55" s="22">
        <v>268</v>
      </c>
      <c r="E55" s="22">
        <v>301</v>
      </c>
      <c r="F55" s="31">
        <v>461</v>
      </c>
      <c r="G55" s="20">
        <f>VLOOKUP(A55,IMPORTACIONTOTAL,2,FALSE)</f>
        <v>18206520</v>
      </c>
      <c r="H55" s="20">
        <f>VLOOKUP(A55,IMPORTACIONTOTAL,3,FALSE)</f>
        <v>26605961</v>
      </c>
      <c r="I55" s="20">
        <f>VLOOKUP(A55,IMPORTACIONTOTAL,4,FALSE)</f>
        <v>32123685</v>
      </c>
      <c r="J55" s="20">
        <f>VLOOKUP(A55,IMPORTACIONTOTAL,5,FALSE)</f>
        <v>30318004</v>
      </c>
      <c r="K55" s="20">
        <f>VLOOKUP(A55,IMPORTACIONTOTAL,6,FALSE)</f>
        <v>32488859</v>
      </c>
      <c r="L55" s="20">
        <f t="shared" si="1"/>
        <v>1.5543882081803663E-5</v>
      </c>
      <c r="M55" s="20">
        <f t="shared" si="2"/>
        <v>1.0899813015586996E-5</v>
      </c>
      <c r="N55" s="20">
        <f t="shared" si="3"/>
        <v>8.3427539524185967E-6</v>
      </c>
      <c r="O55" s="20">
        <f t="shared" si="4"/>
        <v>9.9280942109513542E-6</v>
      </c>
      <c r="P55" s="20">
        <f t="shared" si="5"/>
        <v>1.418947953820108E-5</v>
      </c>
      <c r="Q55" s="20">
        <f t="shared" si="7"/>
        <v>0.8997514239162806</v>
      </c>
      <c r="R55" s="20">
        <f t="shared" si="8"/>
        <v>1.0422644334448039</v>
      </c>
      <c r="S55" s="20">
        <f t="shared" si="9"/>
        <v>0.91683100586624355</v>
      </c>
      <c r="T55" s="20">
        <f t="shared" si="10"/>
        <v>1.1153806402644268</v>
      </c>
      <c r="U55" s="20">
        <f t="shared" si="11"/>
        <v>1.113325713588289</v>
      </c>
      <c r="V55" s="20">
        <f t="shared" si="12"/>
        <v>-5.2769312248788829E-2</v>
      </c>
      <c r="W55" s="20">
        <f t="shared" si="13"/>
        <v>2.0694887866951721E-2</v>
      </c>
      <c r="X55" s="20">
        <f t="shared" si="14"/>
        <v>-4.3388798427835933E-2</v>
      </c>
      <c r="Y55" s="20">
        <f t="shared" si="15"/>
        <v>5.454367789335731E-2</v>
      </c>
      <c r="Z55" s="20">
        <f t="shared" si="16"/>
        <v>5.3624348040449174E-2</v>
      </c>
    </row>
    <row r="56" spans="1:26" x14ac:dyDescent="0.25">
      <c r="A56" s="29" t="s">
        <v>60</v>
      </c>
      <c r="B56" s="23">
        <v>420</v>
      </c>
      <c r="C56" s="23">
        <v>571</v>
      </c>
      <c r="D56" s="23">
        <v>263</v>
      </c>
      <c r="E56" s="23">
        <v>193</v>
      </c>
      <c r="F56" s="32">
        <v>434</v>
      </c>
      <c r="G56" s="20">
        <f>VLOOKUP(A56,IMPORTACIONTOTAL,2,FALSE)</f>
        <v>54335684</v>
      </c>
      <c r="H56" s="20">
        <f>VLOOKUP(A56,IMPORTACIONTOTAL,3,FALSE)</f>
        <v>72842535</v>
      </c>
      <c r="I56" s="20">
        <f>VLOOKUP(A56,IMPORTACIONTOTAL,4,FALSE)</f>
        <v>55224068</v>
      </c>
      <c r="J56" s="20">
        <f>VLOOKUP(A56,IMPORTACIONTOTAL,5,FALSE)</f>
        <v>63561928</v>
      </c>
      <c r="K56" s="20">
        <f>VLOOKUP(A56,IMPORTACIONTOTAL,6,FALSE)</f>
        <v>70495616</v>
      </c>
      <c r="L56" s="20">
        <f t="shared" si="1"/>
        <v>7.7297269323047444E-6</v>
      </c>
      <c r="M56" s="20">
        <f t="shared" si="2"/>
        <v>7.838826586691416E-6</v>
      </c>
      <c r="N56" s="20">
        <f t="shared" si="3"/>
        <v>4.7624162711084598E-6</v>
      </c>
      <c r="O56" s="20">
        <f t="shared" si="4"/>
        <v>3.0364088389515182E-6</v>
      </c>
      <c r="P56" s="20">
        <f t="shared" si="5"/>
        <v>6.156411201513581E-6</v>
      </c>
      <c r="Q56" s="20">
        <f t="shared" si="7"/>
        <v>0.44743216509386952</v>
      </c>
      <c r="R56" s="20">
        <f t="shared" si="8"/>
        <v>0.74956608334166019</v>
      </c>
      <c r="S56" s="20">
        <f t="shared" si="9"/>
        <v>0.52336805389404029</v>
      </c>
      <c r="T56" s="20">
        <f t="shared" si="10"/>
        <v>0.3411280718064193</v>
      </c>
      <c r="U56" s="20">
        <f t="shared" si="11"/>
        <v>0.48304033108581473</v>
      </c>
      <c r="V56" s="20">
        <f t="shared" si="12"/>
        <v>-0.38175732737726958</v>
      </c>
      <c r="W56" s="20">
        <f t="shared" si="13"/>
        <v>-0.14314058728208345</v>
      </c>
      <c r="X56" s="20">
        <f t="shared" si="14"/>
        <v>-0.31288036065059321</v>
      </c>
      <c r="Y56" s="20">
        <f t="shared" si="15"/>
        <v>-0.49128188578300319</v>
      </c>
      <c r="Z56" s="20">
        <f t="shared" si="16"/>
        <v>-0.34858099141220994</v>
      </c>
    </row>
    <row r="57" spans="1:26" x14ac:dyDescent="0.25">
      <c r="A57" s="30" t="s">
        <v>61</v>
      </c>
      <c r="B57" s="22">
        <v>284</v>
      </c>
      <c r="C57" s="22">
        <v>277</v>
      </c>
      <c r="D57" s="22">
        <v>279</v>
      </c>
      <c r="E57" s="22">
        <v>461</v>
      </c>
      <c r="F57" s="25">
        <v>422</v>
      </c>
      <c r="G57" s="20">
        <f>VLOOKUP(A57,IMPORTACIONTOTAL,2,FALSE)</f>
        <v>11354653</v>
      </c>
      <c r="H57" s="20">
        <f>VLOOKUP(A57,IMPORTACIONTOTAL,3,FALSE)</f>
        <v>13856704</v>
      </c>
      <c r="I57" s="20">
        <f>VLOOKUP(A57,IMPORTACIONTOTAL,4,FALSE)</f>
        <v>19053292</v>
      </c>
      <c r="J57" s="20">
        <f>VLOOKUP(A57,IMPORTACIONTOTAL,5,FALSE)</f>
        <v>18122412</v>
      </c>
      <c r="K57" s="20">
        <f>VLOOKUP(A57,IMPORTACIONTOTAL,6,FALSE)</f>
        <v>12852475</v>
      </c>
      <c r="L57" s="20">
        <f t="shared" si="1"/>
        <v>2.5011772706748503E-5</v>
      </c>
      <c r="M57" s="20">
        <f t="shared" si="2"/>
        <v>1.9990323817265635E-5</v>
      </c>
      <c r="N57" s="20">
        <f t="shared" si="3"/>
        <v>1.4643138833961082E-5</v>
      </c>
      <c r="O57" s="20">
        <f t="shared" si="4"/>
        <v>2.5438114970567937E-5</v>
      </c>
      <c r="P57" s="20">
        <f t="shared" si="5"/>
        <v>3.2834142840192261E-5</v>
      </c>
      <c r="Q57" s="20">
        <f t="shared" si="7"/>
        <v>1.4477965021306949</v>
      </c>
      <c r="R57" s="20">
        <f t="shared" si="8"/>
        <v>1.9115193534041082</v>
      </c>
      <c r="S57" s="20">
        <f t="shared" si="9"/>
        <v>1.6092148687050214</v>
      </c>
      <c r="T57" s="20">
        <f t="shared" si="10"/>
        <v>2.8578678203611969</v>
      </c>
      <c r="U57" s="20">
        <f t="shared" si="11"/>
        <v>2.5762111576540079</v>
      </c>
      <c r="V57" s="20">
        <f t="shared" si="12"/>
        <v>0.18293861509357848</v>
      </c>
      <c r="W57" s="20">
        <f t="shared" si="13"/>
        <v>0.31307343100377211</v>
      </c>
      <c r="X57" s="20">
        <f t="shared" si="14"/>
        <v>0.2334858949379591</v>
      </c>
      <c r="Y57" s="20">
        <f t="shared" si="15"/>
        <v>0.48157892049999063</v>
      </c>
      <c r="Z57" s="20">
        <f t="shared" si="16"/>
        <v>0.44074890664118427</v>
      </c>
    </row>
    <row r="58" spans="1:26" x14ac:dyDescent="0.25">
      <c r="A58" s="29" t="s">
        <v>62</v>
      </c>
      <c r="B58" s="23">
        <v>412</v>
      </c>
      <c r="C58" s="23">
        <v>355</v>
      </c>
      <c r="D58" s="23">
        <v>322</v>
      </c>
      <c r="E58" s="23">
        <v>382</v>
      </c>
      <c r="F58" s="32">
        <v>418</v>
      </c>
      <c r="G58" s="20">
        <f>VLOOKUP(A58,IMPORTACIONTOTAL,2,FALSE)</f>
        <v>33313761</v>
      </c>
      <c r="H58" s="20">
        <f>VLOOKUP(A58,IMPORTACIONTOTAL,3,FALSE)</f>
        <v>44476453</v>
      </c>
      <c r="I58" s="20">
        <f>VLOOKUP(A58,IMPORTACIONTOTAL,4,FALSE)</f>
        <v>55110148</v>
      </c>
      <c r="J58" s="20">
        <f>VLOOKUP(A58,IMPORTACIONTOTAL,5,FALSE)</f>
        <v>48418283</v>
      </c>
      <c r="K58" s="20">
        <f>VLOOKUP(A58,IMPORTACIONTOTAL,6,FALSE)</f>
        <v>44757934</v>
      </c>
      <c r="L58" s="20">
        <f t="shared" si="1"/>
        <v>1.2367261685043608E-5</v>
      </c>
      <c r="M58" s="20">
        <f t="shared" si="2"/>
        <v>7.9817516023591182E-6</v>
      </c>
      <c r="N58" s="20">
        <f t="shared" si="3"/>
        <v>5.8428440438955086E-6</v>
      </c>
      <c r="O58" s="20">
        <f t="shared" si="4"/>
        <v>7.8895817102808039E-6</v>
      </c>
      <c r="P58" s="20">
        <f t="shared" si="5"/>
        <v>9.3391263323280299E-6</v>
      </c>
      <c r="Q58" s="20">
        <f t="shared" si="7"/>
        <v>0.71587401734664025</v>
      </c>
      <c r="R58" s="20">
        <f t="shared" si="8"/>
        <v>0.76323289214534917</v>
      </c>
      <c r="S58" s="20">
        <f t="shared" si="9"/>
        <v>0.64210218980883682</v>
      </c>
      <c r="T58" s="20">
        <f t="shared" si="10"/>
        <v>0.88636212675385861</v>
      </c>
      <c r="U58" s="20">
        <f t="shared" si="11"/>
        <v>0.7327604553950019</v>
      </c>
      <c r="V58" s="20">
        <f t="shared" si="12"/>
        <v>-0.16558673875878191</v>
      </c>
      <c r="W58" s="20">
        <f t="shared" si="13"/>
        <v>-0.13428011064753512</v>
      </c>
      <c r="X58" s="20">
        <f t="shared" si="14"/>
        <v>-0.21795099745456609</v>
      </c>
      <c r="Y58" s="20">
        <f t="shared" si="15"/>
        <v>-6.0241812340504748E-2</v>
      </c>
      <c r="Z58" s="20">
        <f t="shared" si="16"/>
        <v>-0.1542276335848615</v>
      </c>
    </row>
    <row r="59" spans="1:26" x14ac:dyDescent="0.25">
      <c r="A59" s="30" t="s">
        <v>63</v>
      </c>
      <c r="B59" s="22">
        <v>277</v>
      </c>
      <c r="C59" s="22">
        <v>314</v>
      </c>
      <c r="D59" s="22">
        <v>264</v>
      </c>
      <c r="E59" s="22">
        <v>324</v>
      </c>
      <c r="F59" s="31">
        <v>393</v>
      </c>
      <c r="G59" s="20">
        <f>VLOOKUP(A59,IMPORTACIONTOTAL,2,FALSE)</f>
        <v>17764140</v>
      </c>
      <c r="H59" s="20">
        <f>VLOOKUP(A59,IMPORTACIONTOTAL,3,FALSE)</f>
        <v>24203349</v>
      </c>
      <c r="I59" s="20">
        <f>VLOOKUP(A59,IMPORTACIONTOTAL,4,FALSE)</f>
        <v>27535703</v>
      </c>
      <c r="J59" s="20">
        <f>VLOOKUP(A59,IMPORTACIONTOTAL,5,FALSE)</f>
        <v>23437466</v>
      </c>
      <c r="K59" s="20">
        <f>VLOOKUP(A59,IMPORTACIONTOTAL,6,FALSE)</f>
        <v>22671636</v>
      </c>
      <c r="L59" s="20">
        <f t="shared" si="1"/>
        <v>1.5593211942711551E-5</v>
      </c>
      <c r="M59" s="20">
        <f t="shared" si="2"/>
        <v>1.297341124156E-5</v>
      </c>
      <c r="N59" s="20">
        <f t="shared" si="3"/>
        <v>9.5875525676609744E-6</v>
      </c>
      <c r="O59" s="20">
        <f t="shared" si="4"/>
        <v>1.3824020054045091E-5</v>
      </c>
      <c r="P59" s="20">
        <f t="shared" si="5"/>
        <v>1.7334434974167721E-5</v>
      </c>
      <c r="Q59" s="20">
        <f t="shared" si="7"/>
        <v>0.90260686326919637</v>
      </c>
      <c r="R59" s="20">
        <f t="shared" si="8"/>
        <v>1.2405465211370683</v>
      </c>
      <c r="S59" s="20">
        <f t="shared" si="9"/>
        <v>1.0536287555089401</v>
      </c>
      <c r="T59" s="20">
        <f t="shared" si="10"/>
        <v>1.5530719200771532</v>
      </c>
      <c r="U59" s="20">
        <f t="shared" si="11"/>
        <v>1.3600831612821616</v>
      </c>
      <c r="V59" s="20">
        <f t="shared" si="12"/>
        <v>-5.1189312206861126E-2</v>
      </c>
      <c r="W59" s="20">
        <f t="shared" si="13"/>
        <v>0.10736064565844941</v>
      </c>
      <c r="X59" s="20">
        <f t="shared" si="14"/>
        <v>2.6114143252561513E-2</v>
      </c>
      <c r="Y59" s="20">
        <f t="shared" si="15"/>
        <v>0.21662998042782888</v>
      </c>
      <c r="Z59" s="20">
        <f t="shared" si="16"/>
        <v>0.15257223439810458</v>
      </c>
    </row>
    <row r="60" spans="1:26" x14ac:dyDescent="0.25">
      <c r="A60" s="29" t="s">
        <v>64</v>
      </c>
      <c r="B60" s="23">
        <v>296</v>
      </c>
      <c r="C60" s="23">
        <v>340</v>
      </c>
      <c r="D60" s="23">
        <v>335</v>
      </c>
      <c r="E60" s="23">
        <v>361</v>
      </c>
      <c r="F60" s="32">
        <v>390</v>
      </c>
      <c r="G60" s="20">
        <f>VLOOKUP(A60,IMPORTACIONTOTAL,2,FALSE)</f>
        <v>21118675</v>
      </c>
      <c r="H60" s="20">
        <f>VLOOKUP(A60,IMPORTACIONTOTAL,3,FALSE)</f>
        <v>26211169</v>
      </c>
      <c r="I60" s="20">
        <f>VLOOKUP(A60,IMPORTACIONTOTAL,4,FALSE)</f>
        <v>27042857</v>
      </c>
      <c r="J60" s="20">
        <f>VLOOKUP(A60,IMPORTACIONTOTAL,5,FALSE)</f>
        <v>26308584</v>
      </c>
      <c r="K60" s="20">
        <f>VLOOKUP(A60,IMPORTACIONTOTAL,6,FALSE)</f>
        <v>25101182</v>
      </c>
      <c r="L60" s="20">
        <f t="shared" si="1"/>
        <v>1.4016030835267837E-5</v>
      </c>
      <c r="M60" s="20">
        <f t="shared" si="2"/>
        <v>1.2971569486275106E-5</v>
      </c>
      <c r="N60" s="20">
        <f t="shared" si="3"/>
        <v>1.2387744386623056E-5</v>
      </c>
      <c r="O60" s="20">
        <f t="shared" si="4"/>
        <v>1.3721757126875395E-5</v>
      </c>
      <c r="P60" s="20">
        <f t="shared" si="5"/>
        <v>1.5537116937361755E-5</v>
      </c>
      <c r="Q60" s="20">
        <f t="shared" si="7"/>
        <v>0.81131236298103704</v>
      </c>
      <c r="R60" s="20">
        <f t="shared" si="8"/>
        <v>1.2403704083885458</v>
      </c>
      <c r="S60" s="20">
        <f t="shared" si="9"/>
        <v>1.3613571982557335</v>
      </c>
      <c r="T60" s="20">
        <f t="shared" si="10"/>
        <v>1.5415830998908953</v>
      </c>
      <c r="U60" s="20">
        <f t="shared" si="11"/>
        <v>1.219063162593345</v>
      </c>
      <c r="V60" s="20">
        <f t="shared" si="12"/>
        <v>-0.10417178222558092</v>
      </c>
      <c r="W60" s="20">
        <f t="shared" si="13"/>
        <v>0.10729047638217984</v>
      </c>
      <c r="X60" s="20">
        <f t="shared" si="14"/>
        <v>0.1530294520975724</v>
      </c>
      <c r="Y60" s="20">
        <f t="shared" si="15"/>
        <v>0.2130888814590183</v>
      </c>
      <c r="Z60" s="20">
        <f t="shared" si="16"/>
        <v>9.8718759468447576E-2</v>
      </c>
    </row>
    <row r="61" spans="1:26" x14ac:dyDescent="0.25">
      <c r="A61" s="30" t="s">
        <v>65</v>
      </c>
      <c r="B61" s="22">
        <v>358</v>
      </c>
      <c r="C61" s="22">
        <v>290</v>
      </c>
      <c r="D61" s="22">
        <v>511</v>
      </c>
      <c r="E61" s="22">
        <v>318</v>
      </c>
      <c r="F61" s="25">
        <v>365</v>
      </c>
      <c r="G61" s="20">
        <f>VLOOKUP(A61,IMPORTACIONTOTAL,2,FALSE)</f>
        <v>27735027</v>
      </c>
      <c r="H61" s="20">
        <f>VLOOKUP(A61,IMPORTACIONTOTAL,3,FALSE)</f>
        <v>31888107</v>
      </c>
      <c r="I61" s="20">
        <f>VLOOKUP(A61,IMPORTACIONTOTAL,4,FALSE)</f>
        <v>35033785</v>
      </c>
      <c r="J61" s="20">
        <f>VLOOKUP(A61,IMPORTACIONTOTAL,5,FALSE)</f>
        <v>37493120</v>
      </c>
      <c r="K61" s="20">
        <f>VLOOKUP(A61,IMPORTACIONTOTAL,6,FALSE)</f>
        <v>24490601</v>
      </c>
      <c r="L61" s="20">
        <f t="shared" si="1"/>
        <v>1.2907865566527121E-5</v>
      </c>
      <c r="M61" s="20">
        <f t="shared" si="2"/>
        <v>9.0942996396744411E-6</v>
      </c>
      <c r="N61" s="20">
        <f t="shared" si="3"/>
        <v>1.4585920419389455E-5</v>
      </c>
      <c r="O61" s="20">
        <f t="shared" si="4"/>
        <v>8.4815560828226612E-6</v>
      </c>
      <c r="P61" s="20">
        <f t="shared" si="5"/>
        <v>1.4903676720714204E-5</v>
      </c>
      <c r="Q61" s="20">
        <f t="shared" si="7"/>
        <v>0.74716665772949997</v>
      </c>
      <c r="R61" s="20">
        <f t="shared" si="8"/>
        <v>0.86961721709976547</v>
      </c>
      <c r="S61" s="20">
        <f t="shared" si="9"/>
        <v>1.6029268231885205</v>
      </c>
      <c r="T61" s="20">
        <f t="shared" si="10"/>
        <v>0.95286801807966204</v>
      </c>
      <c r="U61" s="20">
        <f t="shared" si="11"/>
        <v>1.1693625883533922</v>
      </c>
      <c r="V61" s="20">
        <f t="shared" si="12"/>
        <v>-0.14471048949564158</v>
      </c>
      <c r="W61" s="20">
        <f t="shared" si="13"/>
        <v>-6.9737688392969649E-2</v>
      </c>
      <c r="X61" s="20">
        <f t="shared" si="14"/>
        <v>0.23163418111383946</v>
      </c>
      <c r="Y61" s="20">
        <f t="shared" si="15"/>
        <v>-2.4134750266781899E-2</v>
      </c>
      <c r="Z61" s="20">
        <f t="shared" si="16"/>
        <v>7.8070207932341665E-2</v>
      </c>
    </row>
    <row r="62" spans="1:26" x14ac:dyDescent="0.25">
      <c r="A62" s="29" t="s">
        <v>66</v>
      </c>
      <c r="B62" s="23">
        <v>429</v>
      </c>
      <c r="C62" s="23">
        <v>239</v>
      </c>
      <c r="D62" s="23">
        <v>291</v>
      </c>
      <c r="E62" s="23">
        <v>274</v>
      </c>
      <c r="F62" s="32">
        <v>357</v>
      </c>
      <c r="G62" s="20">
        <f>VLOOKUP(A62,IMPORTACIONTOTAL,2,FALSE)</f>
        <v>7667928</v>
      </c>
      <c r="H62" s="20">
        <f>VLOOKUP(A62,IMPORTACIONTOTAL,3,FALSE)</f>
        <v>10320440</v>
      </c>
      <c r="I62" s="20">
        <f>VLOOKUP(A62,IMPORTACIONTOTAL,4,FALSE)</f>
        <v>12973465</v>
      </c>
      <c r="J62" s="20">
        <f>VLOOKUP(A62,IMPORTACIONTOTAL,5,FALSE)</f>
        <v>12486206</v>
      </c>
      <c r="K62" s="20">
        <f>VLOOKUP(A62,IMPORTACIONTOTAL,6,FALSE)</f>
        <v>12522742</v>
      </c>
      <c r="L62" s="20">
        <f t="shared" si="1"/>
        <v>5.5947317189206783E-5</v>
      </c>
      <c r="M62" s="20">
        <f t="shared" si="2"/>
        <v>2.315792737518943E-5</v>
      </c>
      <c r="N62" s="20">
        <f t="shared" si="3"/>
        <v>2.2430399280377293E-5</v>
      </c>
      <c r="O62" s="20">
        <f t="shared" si="4"/>
        <v>2.194421588110912E-5</v>
      </c>
      <c r="P62" s="20">
        <f t="shared" si="5"/>
        <v>2.8508133442340344E-5</v>
      </c>
      <c r="Q62" s="20">
        <f t="shared" si="7"/>
        <v>3.2384881743418026</v>
      </c>
      <c r="R62" s="20">
        <f t="shared" si="8"/>
        <v>2.2144126712028624</v>
      </c>
      <c r="S62" s="20">
        <f t="shared" si="9"/>
        <v>2.4649996453806406</v>
      </c>
      <c r="T62" s="20">
        <f t="shared" si="10"/>
        <v>2.4653425964243421</v>
      </c>
      <c r="U62" s="20">
        <f t="shared" si="11"/>
        <v>2.2367866222517931</v>
      </c>
      <c r="V62" s="20">
        <f t="shared" si="12"/>
        <v>0.52813363686909864</v>
      </c>
      <c r="W62" s="20">
        <f t="shared" si="13"/>
        <v>0.37780235315847549</v>
      </c>
      <c r="X62" s="20">
        <f t="shared" si="14"/>
        <v>0.42279936372683408</v>
      </c>
      <c r="Y62" s="20">
        <f t="shared" si="15"/>
        <v>0.42285648695639277</v>
      </c>
      <c r="Z62" s="20">
        <f t="shared" si="16"/>
        <v>0.38210322971224336</v>
      </c>
    </row>
    <row r="63" spans="1:26" x14ac:dyDescent="0.25">
      <c r="A63" s="30" t="s">
        <v>67</v>
      </c>
      <c r="B63" s="22">
        <v>162</v>
      </c>
      <c r="C63" s="22">
        <v>134</v>
      </c>
      <c r="D63" s="22">
        <v>182</v>
      </c>
      <c r="E63" s="22">
        <v>210</v>
      </c>
      <c r="F63" s="25">
        <v>334</v>
      </c>
      <c r="G63" s="20">
        <f>VLOOKUP(A63,IMPORTACIONTOTAL,2,FALSE)</f>
        <v>4765479</v>
      </c>
      <c r="H63" s="20">
        <f>VLOOKUP(A63,IMPORTACIONTOTAL,3,FALSE)</f>
        <v>5970850</v>
      </c>
      <c r="I63" s="20">
        <f>VLOOKUP(A63,IMPORTACIONTOTAL,4,FALSE)</f>
        <v>7731214</v>
      </c>
      <c r="J63" s="20">
        <f>VLOOKUP(A63,IMPORTACIONTOTAL,5,FALSE)</f>
        <v>7592061</v>
      </c>
      <c r="K63" s="20">
        <f>VLOOKUP(A63,IMPORTACIONTOTAL,6,FALSE)</f>
        <v>6596382</v>
      </c>
      <c r="L63" s="20">
        <f t="shared" si="1"/>
        <v>3.3994484080194244E-5</v>
      </c>
      <c r="M63" s="20">
        <f t="shared" si="2"/>
        <v>2.244236582731102E-5</v>
      </c>
      <c r="N63" s="20">
        <f t="shared" si="3"/>
        <v>2.3540934192223885E-5</v>
      </c>
      <c r="O63" s="20">
        <f t="shared" si="4"/>
        <v>2.7660473223278895E-5</v>
      </c>
      <c r="P63" s="20">
        <f t="shared" si="5"/>
        <v>5.0633817144004095E-5</v>
      </c>
      <c r="Q63" s="20">
        <f t="shared" si="7"/>
        <v>1.9677571725959035</v>
      </c>
      <c r="R63" s="20">
        <f t="shared" si="8"/>
        <v>2.1459890798781434</v>
      </c>
      <c r="S63" s="20">
        <f t="shared" si="9"/>
        <v>2.5870424199949773</v>
      </c>
      <c r="T63" s="20">
        <f t="shared" si="10"/>
        <v>3.1075406496209581</v>
      </c>
      <c r="U63" s="20">
        <f t="shared" si="11"/>
        <v>3.9727976245909611</v>
      </c>
      <c r="V63" s="20">
        <f t="shared" si="12"/>
        <v>0.32609041653815779</v>
      </c>
      <c r="W63" s="20">
        <f t="shared" si="13"/>
        <v>0.36426988485367917</v>
      </c>
      <c r="X63" s="20">
        <f t="shared" si="14"/>
        <v>0.44243759459002985</v>
      </c>
      <c r="Y63" s="20">
        <f t="shared" si="15"/>
        <v>0.51309063729300908</v>
      </c>
      <c r="Z63" s="20">
        <f t="shared" si="16"/>
        <v>0.59781190569473242</v>
      </c>
    </row>
    <row r="64" spans="1:26" x14ac:dyDescent="0.25">
      <c r="A64" s="29" t="s">
        <v>68</v>
      </c>
      <c r="B64" s="23">
        <v>161</v>
      </c>
      <c r="C64" s="23">
        <v>226</v>
      </c>
      <c r="D64" s="23">
        <v>151</v>
      </c>
      <c r="E64" s="23">
        <v>119</v>
      </c>
      <c r="F64" s="24">
        <v>326</v>
      </c>
      <c r="G64" s="20">
        <f>VLOOKUP(A64,IMPORTACIONTOTAL,2,FALSE)</f>
        <v>261309452</v>
      </c>
      <c r="H64" s="20">
        <f>VLOOKUP(A64,IMPORTACIONTOTAL,3,FALSE)</f>
        <v>330752261</v>
      </c>
      <c r="I64" s="20">
        <f>VLOOKUP(A64,IMPORTACIONTOTAL,4,FALSE)</f>
        <v>358788815</v>
      </c>
      <c r="J64" s="20">
        <f>VLOOKUP(A64,IMPORTACIONTOTAL,5,FALSE)</f>
        <v>325443689</v>
      </c>
      <c r="K64" s="20">
        <f>VLOOKUP(A64,IMPORTACIONTOTAL,6,FALSE)</f>
        <v>381228376</v>
      </c>
      <c r="L64" s="20">
        <f t="shared" si="1"/>
        <v>6.1612773195819948E-7</v>
      </c>
      <c r="M64" s="20">
        <f t="shared" si="2"/>
        <v>6.8329086947647499E-7</v>
      </c>
      <c r="N64" s="20">
        <f t="shared" si="3"/>
        <v>4.2086038830391077E-7</v>
      </c>
      <c r="O64" s="20">
        <f t="shared" si="4"/>
        <v>3.6565465554318983E-7</v>
      </c>
      <c r="P64" s="20">
        <f t="shared" si="5"/>
        <v>8.5513046909183909E-7</v>
      </c>
      <c r="Q64" s="20">
        <f t="shared" si="7"/>
        <v>3.5664308390029424E-2</v>
      </c>
      <c r="R64" s="20">
        <f t="shared" si="8"/>
        <v>6.5337797073627385E-2</v>
      </c>
      <c r="S64" s="20">
        <f t="shared" si="9"/>
        <v>4.6250657197683585E-2</v>
      </c>
      <c r="T64" s="20">
        <f t="shared" si="10"/>
        <v>4.1079799924294842E-2</v>
      </c>
      <c r="U64" s="20">
        <f t="shared" si="11"/>
        <v>6.7094690622701875E-2</v>
      </c>
      <c r="V64" s="20">
        <f t="shared" si="12"/>
        <v>-0.93112766733176189</v>
      </c>
      <c r="W64" s="20">
        <f t="shared" si="13"/>
        <v>-0.87733881731577812</v>
      </c>
      <c r="X64" s="20">
        <f t="shared" si="14"/>
        <v>-0.9115878076070929</v>
      </c>
      <c r="Y64" s="20">
        <f t="shared" si="15"/>
        <v>-0.92108232255148526</v>
      </c>
      <c r="Z64" s="20">
        <f t="shared" si="16"/>
        <v>-0.87424791593040563</v>
      </c>
    </row>
    <row r="65" spans="1:26" x14ac:dyDescent="0.25">
      <c r="A65" s="30" t="s">
        <v>69</v>
      </c>
      <c r="B65" s="22">
        <v>95</v>
      </c>
      <c r="C65" s="22">
        <v>191</v>
      </c>
      <c r="D65" s="22">
        <v>322</v>
      </c>
      <c r="E65" s="22">
        <v>313</v>
      </c>
      <c r="F65" s="31">
        <v>315</v>
      </c>
      <c r="G65" s="20">
        <f>VLOOKUP(A65,IMPORTACIONTOTAL,2,FALSE)</f>
        <v>7971839</v>
      </c>
      <c r="H65" s="20">
        <f>VLOOKUP(A65,IMPORTACIONTOTAL,3,FALSE)</f>
        <v>11631003</v>
      </c>
      <c r="I65" s="20">
        <f>VLOOKUP(A65,IMPORTACIONTOTAL,4,FALSE)</f>
        <v>13826669</v>
      </c>
      <c r="J65" s="20">
        <f>VLOOKUP(A65,IMPORTACIONTOTAL,5,FALSE)</f>
        <v>14380540</v>
      </c>
      <c r="K65" s="20">
        <f>VLOOKUP(A65,IMPORTACIONTOTAL,6,FALSE)</f>
        <v>14508560</v>
      </c>
      <c r="L65" s="20">
        <f t="shared" si="1"/>
        <v>1.1916949150628857E-5</v>
      </c>
      <c r="M65" s="20">
        <f t="shared" si="2"/>
        <v>1.6421627610275742E-5</v>
      </c>
      <c r="N65" s="20">
        <f t="shared" si="3"/>
        <v>2.3288327796087401E-5</v>
      </c>
      <c r="O65" s="20">
        <f t="shared" si="4"/>
        <v>2.1765524799485972E-5</v>
      </c>
      <c r="P65" s="20">
        <f t="shared" si="5"/>
        <v>2.1711320765120729E-5</v>
      </c>
      <c r="Q65" s="20">
        <f t="shared" si="7"/>
        <v>0.68980785563010671</v>
      </c>
      <c r="R65" s="20">
        <f t="shared" si="8"/>
        <v>1.5702726618328005</v>
      </c>
      <c r="S65" s="20">
        <f t="shared" si="9"/>
        <v>2.5592821171526627</v>
      </c>
      <c r="T65" s="20">
        <f t="shared" si="10"/>
        <v>2.4452673867420529</v>
      </c>
      <c r="U65" s="20">
        <f t="shared" si="11"/>
        <v>1.7034995271459217</v>
      </c>
      <c r="V65" s="20">
        <f t="shared" si="12"/>
        <v>-0.18356651813186581</v>
      </c>
      <c r="W65" s="20">
        <f t="shared" si="13"/>
        <v>0.22187243801058545</v>
      </c>
      <c r="X65" s="20">
        <f t="shared" si="14"/>
        <v>0.43808893642857671</v>
      </c>
      <c r="Y65" s="20">
        <f t="shared" si="15"/>
        <v>0.41949353257853833</v>
      </c>
      <c r="Z65" s="20">
        <f t="shared" si="16"/>
        <v>0.26021810622937469</v>
      </c>
    </row>
    <row r="66" spans="1:26" x14ac:dyDescent="0.25">
      <c r="A66" s="29" t="s">
        <v>70</v>
      </c>
      <c r="B66" s="23">
        <v>292</v>
      </c>
      <c r="C66" s="23">
        <v>241</v>
      </c>
      <c r="D66" s="23">
        <v>809</v>
      </c>
      <c r="E66" s="23">
        <v>654</v>
      </c>
      <c r="F66" s="24">
        <v>311</v>
      </c>
      <c r="G66" s="20">
        <f>VLOOKUP(A66,IMPORTACIONTOTAL,2,FALSE)</f>
        <v>25834886</v>
      </c>
      <c r="H66" s="20">
        <f>VLOOKUP(A66,IMPORTACIONTOTAL,3,FALSE)</f>
        <v>27985403</v>
      </c>
      <c r="I66" s="20">
        <f>VLOOKUP(A66,IMPORTACIONTOTAL,4,FALSE)</f>
        <v>33479012</v>
      </c>
      <c r="J66" s="20">
        <f>VLOOKUP(A66,IMPORTACIONTOTAL,5,FALSE)</f>
        <v>31431141</v>
      </c>
      <c r="K66" s="20">
        <f>VLOOKUP(A66,IMPORTACIONTOTAL,6,FALSE)</f>
        <v>31124259</v>
      </c>
      <c r="L66" s="20">
        <f t="shared" si="1"/>
        <v>1.130254648694792E-5</v>
      </c>
      <c r="M66" s="20">
        <f t="shared" si="2"/>
        <v>8.6116322855883118E-6</v>
      </c>
      <c r="N66" s="20">
        <f t="shared" si="3"/>
        <v>2.4164392903828824E-5</v>
      </c>
      <c r="O66" s="20">
        <f t="shared" si="4"/>
        <v>2.0807389715823552E-5</v>
      </c>
      <c r="P66" s="20">
        <f t="shared" si="5"/>
        <v>9.9922057582158026E-6</v>
      </c>
      <c r="Q66" s="20">
        <f t="shared" si="7"/>
        <v>0.65424340213029397</v>
      </c>
      <c r="R66" s="20">
        <f t="shared" si="8"/>
        <v>0.82346348807436986</v>
      </c>
      <c r="S66" s="20">
        <f t="shared" si="9"/>
        <v>2.6555577185327124</v>
      </c>
      <c r="T66" s="20">
        <f t="shared" si="10"/>
        <v>2.3376248422246602</v>
      </c>
      <c r="U66" s="20">
        <f t="shared" si="11"/>
        <v>0.78400194849549609</v>
      </c>
      <c r="V66" s="20">
        <f t="shared" si="12"/>
        <v>-0.20901192498301591</v>
      </c>
      <c r="W66" s="20">
        <f t="shared" si="13"/>
        <v>-9.6813845234739404E-2</v>
      </c>
      <c r="X66" s="20">
        <f t="shared" si="14"/>
        <v>0.45288786171791839</v>
      </c>
      <c r="Y66" s="20">
        <f t="shared" si="15"/>
        <v>0.40077147835856824</v>
      </c>
      <c r="Z66" s="20">
        <f t="shared" si="16"/>
        <v>-0.12107500873901048</v>
      </c>
    </row>
    <row r="67" spans="1:26" ht="23.25" x14ac:dyDescent="0.25">
      <c r="A67" s="30" t="s">
        <v>71</v>
      </c>
      <c r="B67" s="22">
        <v>167</v>
      </c>
      <c r="C67" s="22">
        <v>189</v>
      </c>
      <c r="D67" s="22">
        <v>211</v>
      </c>
      <c r="E67" s="22">
        <v>261</v>
      </c>
      <c r="F67" s="31">
        <v>308</v>
      </c>
      <c r="G67" s="20">
        <f>VLOOKUP(A67,IMPORTACIONTOTAL,2,FALSE)</f>
        <v>4864446</v>
      </c>
      <c r="H67" s="20">
        <f>VLOOKUP(A67,IMPORTACIONTOTAL,3,FALSE)</f>
        <v>5734482</v>
      </c>
      <c r="I67" s="20">
        <f>VLOOKUP(A67,IMPORTACIONTOTAL,4,FALSE)</f>
        <v>6202467</v>
      </c>
      <c r="J67" s="20">
        <f>VLOOKUP(A67,IMPORTACIONTOTAL,5,FALSE)</f>
        <v>9112531</v>
      </c>
      <c r="K67" s="20">
        <f>VLOOKUP(A67,IMPORTACIONTOTAL,6,FALSE)</f>
        <v>7669566</v>
      </c>
      <c r="L67" s="20">
        <f t="shared" ref="L67:L130" si="17">B67/G67</f>
        <v>3.433073365394538E-5</v>
      </c>
      <c r="M67" s="20">
        <f t="shared" ref="M67:M130" si="18">C67/H67</f>
        <v>3.2958513079298183E-5</v>
      </c>
      <c r="N67" s="20">
        <f t="shared" ref="N67:N130" si="19">D67/I67</f>
        <v>3.4018721905332183E-5</v>
      </c>
      <c r="O67" s="20">
        <f t="shared" ref="O67:O130" si="20">E67/J67</f>
        <v>2.8641877871252236E-5</v>
      </c>
      <c r="P67" s="20">
        <f t="shared" ref="P67:P130" si="21">F67/K67</f>
        <v>4.0158726060900968E-5</v>
      </c>
      <c r="Q67" s="20">
        <f t="shared" si="7"/>
        <v>1.9872208452602758</v>
      </c>
      <c r="R67" s="20">
        <f t="shared" si="8"/>
        <v>3.1515665372107233</v>
      </c>
      <c r="S67" s="20">
        <f t="shared" si="9"/>
        <v>3.7385040000739544</v>
      </c>
      <c r="T67" s="20">
        <f t="shared" si="10"/>
        <v>3.2177974341917097</v>
      </c>
      <c r="U67" s="20">
        <f t="shared" si="11"/>
        <v>3.1509078418402243</v>
      </c>
      <c r="V67" s="20">
        <f t="shared" si="12"/>
        <v>0.33048137261986049</v>
      </c>
      <c r="W67" s="20">
        <f t="shared" si="13"/>
        <v>0.51825413802864828</v>
      </c>
      <c r="X67" s="20">
        <f t="shared" si="14"/>
        <v>0.57792586015147707</v>
      </c>
      <c r="Y67" s="20">
        <f t="shared" si="15"/>
        <v>0.52581885896488634</v>
      </c>
      <c r="Z67" s="20">
        <f t="shared" si="16"/>
        <v>0.51817769119312973</v>
      </c>
    </row>
    <row r="68" spans="1:26" ht="34.5" x14ac:dyDescent="0.25">
      <c r="A68" s="29" t="s">
        <v>72</v>
      </c>
      <c r="B68" s="24">
        <v>76</v>
      </c>
      <c r="C68" s="24">
        <v>139</v>
      </c>
      <c r="D68" s="24">
        <v>71</v>
      </c>
      <c r="E68" s="24">
        <v>345</v>
      </c>
      <c r="F68" s="24">
        <v>307</v>
      </c>
      <c r="G68" s="20">
        <f>VLOOKUP(A68,IMPORTACIONTOTAL,2,FALSE)</f>
        <v>6990079</v>
      </c>
      <c r="H68" s="20">
        <f>VLOOKUP(A68,IMPORTACIONTOTAL,3,FALSE)</f>
        <v>8405066</v>
      </c>
      <c r="I68" s="20">
        <f>VLOOKUP(A68,IMPORTACIONTOTAL,4,FALSE)</f>
        <v>11203420</v>
      </c>
      <c r="J68" s="20">
        <f>VLOOKUP(A68,IMPORTACIONTOTAL,5,FALSE)</f>
        <v>11598278</v>
      </c>
      <c r="K68" s="20">
        <f>VLOOKUP(A68,IMPORTACIONTOTAL,6,FALSE)</f>
        <v>15068273</v>
      </c>
      <c r="L68" s="20">
        <f t="shared" si="17"/>
        <v>1.08725523702951E-5</v>
      </c>
      <c r="M68" s="20">
        <f t="shared" si="18"/>
        <v>1.653764527250589E-5</v>
      </c>
      <c r="N68" s="20">
        <f t="shared" si="19"/>
        <v>6.3373505590257257E-6</v>
      </c>
      <c r="O68" s="20">
        <f t="shared" si="20"/>
        <v>2.974579502233004E-5</v>
      </c>
      <c r="P68" s="20">
        <f t="shared" si="21"/>
        <v>2.0373934026812494E-5</v>
      </c>
      <c r="Q68" s="20">
        <f t="shared" ref="Q68:Q131" si="22">L68/$L$2</f>
        <v>0.6293533639340505</v>
      </c>
      <c r="R68" s="20">
        <f t="shared" ref="R68:R131" si="23">M68/$M$2</f>
        <v>1.581366529481812</v>
      </c>
      <c r="S68" s="20">
        <f t="shared" ref="S68:S131" si="24">N68/$N$2</f>
        <v>0.69644622395631528</v>
      </c>
      <c r="T68" s="20">
        <f t="shared" ref="T68:T131" si="25">O68/$O$2</f>
        <v>3.3418179957018785</v>
      </c>
      <c r="U68" s="20">
        <f t="shared" ref="U68:U131" si="26">P68/$P$2</f>
        <v>1.5985663588248449</v>
      </c>
      <c r="V68" s="20">
        <f t="shared" ref="V68:V131" si="27">(Q68-1)/(Q68+1)</f>
        <v>-0.22748081801668146</v>
      </c>
      <c r="W68" s="20">
        <f t="shared" ref="W68:W131" si="28">(R68-1)/(R68+1)</f>
        <v>0.22521657534566256</v>
      </c>
      <c r="X68" s="20">
        <f t="shared" ref="X68:X131" si="29">(S68-1)/(S68+1)</f>
        <v>-0.17893510077540864</v>
      </c>
      <c r="Y68" s="20">
        <f t="shared" ref="Y68:Y131" si="30">(T68-1)/(T68+1)</f>
        <v>0.53936346434146432</v>
      </c>
      <c r="Z68" s="20">
        <f t="shared" ref="Z68:Z131" si="31">(U68-1)/(U68+1)</f>
        <v>0.23034484256755167</v>
      </c>
    </row>
    <row r="69" spans="1:26" x14ac:dyDescent="0.25">
      <c r="A69" s="30" t="s">
        <v>73</v>
      </c>
      <c r="B69" s="22">
        <v>49</v>
      </c>
      <c r="C69" s="22">
        <v>72</v>
      </c>
      <c r="D69" s="22">
        <v>0</v>
      </c>
      <c r="E69" s="22">
        <v>38</v>
      </c>
      <c r="F69" s="31">
        <v>302</v>
      </c>
      <c r="G69" s="20">
        <f>VLOOKUP(A69,IMPORTACIONTOTAL,2,FALSE)</f>
        <v>17803362</v>
      </c>
      <c r="H69" s="20">
        <f>VLOOKUP(A69,IMPORTACIONTOTAL,3,FALSE)</f>
        <v>25719892</v>
      </c>
      <c r="I69" s="20">
        <f>VLOOKUP(A69,IMPORTACIONTOTAL,4,FALSE)</f>
        <v>33048924</v>
      </c>
      <c r="J69" s="20">
        <f>VLOOKUP(A69,IMPORTACIONTOTAL,5,FALSE)</f>
        <v>30895681</v>
      </c>
      <c r="K69" s="20">
        <f>VLOOKUP(A69,IMPORTACIONTOTAL,6,FALSE)</f>
        <v>29489612</v>
      </c>
      <c r="L69" s="20">
        <f t="shared" si="17"/>
        <v>2.7522891462859656E-6</v>
      </c>
      <c r="M69" s="20">
        <f t="shared" si="18"/>
        <v>2.799389670843097E-6</v>
      </c>
      <c r="N69" s="20">
        <f t="shared" si="19"/>
        <v>0</v>
      </c>
      <c r="O69" s="20">
        <f t="shared" si="20"/>
        <v>1.22994537650748E-6</v>
      </c>
      <c r="P69" s="20">
        <f t="shared" si="21"/>
        <v>1.0240894318989344E-5</v>
      </c>
      <c r="Q69" s="20">
        <f t="shared" si="22"/>
        <v>0.15931516112690242</v>
      </c>
      <c r="R69" s="20">
        <f t="shared" si="23"/>
        <v>0.26768388458592174</v>
      </c>
      <c r="S69" s="20">
        <f t="shared" si="24"/>
        <v>0</v>
      </c>
      <c r="T69" s="20">
        <f t="shared" si="25"/>
        <v>0.13817931542449849</v>
      </c>
      <c r="U69" s="20">
        <f t="shared" si="26"/>
        <v>0.80351438858458124</v>
      </c>
      <c r="V69" s="20">
        <f t="shared" si="27"/>
        <v>-0.72515642601957964</v>
      </c>
      <c r="W69" s="20">
        <f t="shared" si="28"/>
        <v>-0.57768038571641478</v>
      </c>
      <c r="X69" s="20">
        <f t="shared" si="29"/>
        <v>-1</v>
      </c>
      <c r="Y69" s="20">
        <f t="shared" si="30"/>
        <v>-0.75719236230722964</v>
      </c>
      <c r="Z69" s="20">
        <f t="shared" si="31"/>
        <v>-0.10894596275975536</v>
      </c>
    </row>
    <row r="70" spans="1:26" x14ac:dyDescent="0.25">
      <c r="A70" s="29" t="s">
        <v>74</v>
      </c>
      <c r="B70" s="23">
        <v>163</v>
      </c>
      <c r="C70" s="23">
        <v>114</v>
      </c>
      <c r="D70" s="23">
        <v>192</v>
      </c>
      <c r="E70" s="23">
        <v>197</v>
      </c>
      <c r="F70" s="32">
        <v>287</v>
      </c>
      <c r="G70" s="20">
        <f>VLOOKUP(A70,IMPORTACIONTOTAL,2,FALSE)</f>
        <v>8739614</v>
      </c>
      <c r="H70" s="20">
        <f>VLOOKUP(A70,IMPORTACIONTOTAL,3,FALSE)</f>
        <v>10412605</v>
      </c>
      <c r="I70" s="20">
        <f>VLOOKUP(A70,IMPORTACIONTOTAL,4,FALSE)</f>
        <v>12244599</v>
      </c>
      <c r="J70" s="20">
        <f>VLOOKUP(A70,IMPORTACIONTOTAL,5,FALSE)</f>
        <v>14136161</v>
      </c>
      <c r="K70" s="20">
        <f>VLOOKUP(A70,IMPORTACIONTOTAL,6,FALSE)</f>
        <v>13324465</v>
      </c>
      <c r="L70" s="20">
        <f t="shared" si="17"/>
        <v>1.8650709287618425E-5</v>
      </c>
      <c r="M70" s="20">
        <f t="shared" si="18"/>
        <v>1.0948268949028605E-5</v>
      </c>
      <c r="N70" s="20">
        <f t="shared" si="19"/>
        <v>1.5680382836546954E-5</v>
      </c>
      <c r="O70" s="20">
        <f t="shared" si="20"/>
        <v>1.3935891081036782E-5</v>
      </c>
      <c r="P70" s="20">
        <f t="shared" si="21"/>
        <v>2.1539326344434842E-5</v>
      </c>
      <c r="Q70" s="20">
        <f t="shared" si="22"/>
        <v>1.079588879423361</v>
      </c>
      <c r="R70" s="20">
        <f t="shared" si="23"/>
        <v>1.0468978978852799</v>
      </c>
      <c r="S70" s="20">
        <f t="shared" si="24"/>
        <v>1.7232033031768115</v>
      </c>
      <c r="T70" s="20">
        <f t="shared" si="25"/>
        <v>1.5656401708473153</v>
      </c>
      <c r="U70" s="20">
        <f t="shared" si="26"/>
        <v>1.6900046127885771</v>
      </c>
      <c r="V70" s="20">
        <f t="shared" si="27"/>
        <v>3.8271448847826989E-2</v>
      </c>
      <c r="W70" s="20">
        <f t="shared" si="28"/>
        <v>2.2911693804430446E-2</v>
      </c>
      <c r="X70" s="20">
        <f t="shared" si="29"/>
        <v>0.26557080858896692</v>
      </c>
      <c r="Y70" s="20">
        <f t="shared" si="30"/>
        <v>0.22046745965179906</v>
      </c>
      <c r="Z70" s="20">
        <f t="shared" si="31"/>
        <v>0.25650685114375615</v>
      </c>
    </row>
    <row r="71" spans="1:26" x14ac:dyDescent="0.25">
      <c r="A71" s="30" t="s">
        <v>75</v>
      </c>
      <c r="B71" s="22">
        <v>263</v>
      </c>
      <c r="C71" s="22">
        <v>252</v>
      </c>
      <c r="D71" s="22">
        <v>243</v>
      </c>
      <c r="E71" s="22">
        <v>213</v>
      </c>
      <c r="F71" s="31">
        <v>267</v>
      </c>
      <c r="G71" s="20">
        <f>VLOOKUP(A71,IMPORTACIONTOTAL,2,FALSE)</f>
        <v>84112732</v>
      </c>
      <c r="H71" s="20">
        <f>VLOOKUP(A71,IMPORTACIONTOTAL,3,FALSE)</f>
        <v>104037546</v>
      </c>
      <c r="I71" s="20">
        <f>VLOOKUP(A71,IMPORTACIONTOTAL,4,FALSE)</f>
        <v>112651398</v>
      </c>
      <c r="J71" s="20">
        <f>VLOOKUP(A71,IMPORTACIONTOTAL,5,FALSE)</f>
        <v>113612391</v>
      </c>
      <c r="K71" s="20">
        <f>VLOOKUP(A71,IMPORTACIONTOTAL,6,FALSE)</f>
        <v>112964408</v>
      </c>
      <c r="L71" s="20">
        <f t="shared" si="17"/>
        <v>3.1267561253390273E-6</v>
      </c>
      <c r="M71" s="20">
        <f t="shared" si="18"/>
        <v>2.4222024614075383E-6</v>
      </c>
      <c r="N71" s="20">
        <f t="shared" si="19"/>
        <v>2.1570970650537331E-6</v>
      </c>
      <c r="O71" s="20">
        <f t="shared" si="20"/>
        <v>1.8747955053599743E-6</v>
      </c>
      <c r="P71" s="20">
        <f t="shared" si="21"/>
        <v>2.3635763221987584E-6</v>
      </c>
      <c r="Q71" s="20">
        <f t="shared" si="22"/>
        <v>0.18099103307700179</v>
      </c>
      <c r="R71" s="20">
        <f t="shared" si="23"/>
        <v>0.23161640227381272</v>
      </c>
      <c r="S71" s="20">
        <f t="shared" si="24"/>
        <v>0.23705523178362403</v>
      </c>
      <c r="T71" s="20">
        <f t="shared" si="25"/>
        <v>0.21062558097269488</v>
      </c>
      <c r="U71" s="20">
        <f t="shared" si="26"/>
        <v>0.18544938793899729</v>
      </c>
      <c r="V71" s="20">
        <f t="shared" si="27"/>
        <v>-0.69349295971292779</v>
      </c>
      <c r="W71" s="20">
        <f t="shared" si="28"/>
        <v>-0.62388223825827249</v>
      </c>
      <c r="X71" s="20">
        <f t="shared" si="29"/>
        <v>-0.61674268748400085</v>
      </c>
      <c r="Y71" s="20">
        <f t="shared" si="30"/>
        <v>-0.65203844312712322</v>
      </c>
      <c r="Z71" s="20">
        <f t="shared" si="31"/>
        <v>-0.68712390452802619</v>
      </c>
    </row>
    <row r="72" spans="1:26" x14ac:dyDescent="0.25">
      <c r="A72" s="29" t="s">
        <v>76</v>
      </c>
      <c r="B72" s="23">
        <v>157</v>
      </c>
      <c r="C72" s="23">
        <v>173</v>
      </c>
      <c r="D72" s="23">
        <v>189</v>
      </c>
      <c r="E72" s="23">
        <v>150</v>
      </c>
      <c r="F72" s="32">
        <v>258</v>
      </c>
      <c r="G72" s="20">
        <f>VLOOKUP(A72,IMPORTACIONTOTAL,2,FALSE)</f>
        <v>9887885</v>
      </c>
      <c r="H72" s="20">
        <f>VLOOKUP(A72,IMPORTACIONTOTAL,3,FALSE)</f>
        <v>14617423</v>
      </c>
      <c r="I72" s="20">
        <f>VLOOKUP(A72,IMPORTACIONTOTAL,4,FALSE)</f>
        <v>17108010</v>
      </c>
      <c r="J72" s="20">
        <f>VLOOKUP(A72,IMPORTACIONTOTAL,5,FALSE)</f>
        <v>15648327</v>
      </c>
      <c r="K72" s="20">
        <f>VLOOKUP(A72,IMPORTACIONTOTAL,6,FALSE)</f>
        <v>15972638</v>
      </c>
      <c r="L72" s="20">
        <f t="shared" si="17"/>
        <v>1.5878016380651677E-5</v>
      </c>
      <c r="M72" s="20">
        <f t="shared" si="18"/>
        <v>1.1835191469796009E-5</v>
      </c>
      <c r="N72" s="20">
        <f t="shared" si="19"/>
        <v>1.1047456717642788E-5</v>
      </c>
      <c r="O72" s="20">
        <f t="shared" si="20"/>
        <v>9.5856892561102544E-6</v>
      </c>
      <c r="P72" s="20">
        <f t="shared" si="21"/>
        <v>1.6152623004415425E-5</v>
      </c>
      <c r="Q72" s="20">
        <f t="shared" si="22"/>
        <v>0.91909265473529889</v>
      </c>
      <c r="R72" s="20">
        <f t="shared" si="23"/>
        <v>1.1317074076718376</v>
      </c>
      <c r="S72" s="20">
        <f t="shared" si="24"/>
        <v>1.2140656325797421</v>
      </c>
      <c r="T72" s="20">
        <f t="shared" si="25"/>
        <v>1.0769128487985578</v>
      </c>
      <c r="U72" s="20">
        <f t="shared" si="26"/>
        <v>1.2673565992536249</v>
      </c>
      <c r="V72" s="20">
        <f t="shared" si="27"/>
        <v>-4.2159165720875885E-2</v>
      </c>
      <c r="W72" s="20">
        <f t="shared" si="28"/>
        <v>6.1784936899798554E-2</v>
      </c>
      <c r="X72" s="20">
        <f t="shared" si="29"/>
        <v>9.6684411441914322E-2</v>
      </c>
      <c r="Y72" s="20">
        <f t="shared" si="30"/>
        <v>3.7032294755675432E-2</v>
      </c>
      <c r="Z72" s="20">
        <f t="shared" si="31"/>
        <v>0.11791554947361792</v>
      </c>
    </row>
    <row r="73" spans="1:26" ht="34.5" x14ac:dyDescent="0.25">
      <c r="A73" s="30" t="s">
        <v>77</v>
      </c>
      <c r="B73" s="22">
        <v>0</v>
      </c>
      <c r="C73" s="22">
        <v>2</v>
      </c>
      <c r="D73" s="22">
        <v>2</v>
      </c>
      <c r="E73" s="22">
        <v>148</v>
      </c>
      <c r="F73" s="31">
        <v>252</v>
      </c>
      <c r="G73" s="20">
        <f>VLOOKUP(A73,IMPORTACIONTOTAL,2,FALSE)</f>
        <v>7079997</v>
      </c>
      <c r="H73" s="20">
        <f>VLOOKUP(A73,IMPORTACIONTOTAL,3,FALSE)</f>
        <v>9559086</v>
      </c>
      <c r="I73" s="20">
        <f>VLOOKUP(A73,IMPORTACIONTOTAL,4,FALSE)</f>
        <v>13049406</v>
      </c>
      <c r="J73" s="20">
        <f>VLOOKUP(A73,IMPORTACIONTOTAL,5,FALSE)</f>
        <v>11495579</v>
      </c>
      <c r="K73" s="20">
        <f>VLOOKUP(A73,IMPORTACIONTOTAL,6,FALSE)</f>
        <v>9904187</v>
      </c>
      <c r="L73" s="20">
        <f t="shared" si="17"/>
        <v>0</v>
      </c>
      <c r="M73" s="20">
        <f t="shared" si="18"/>
        <v>2.0922502423348842E-7</v>
      </c>
      <c r="N73" s="20">
        <f t="shared" si="19"/>
        <v>1.5326368112081117E-7</v>
      </c>
      <c r="O73" s="20">
        <f t="shared" si="20"/>
        <v>1.2874514628623752E-5</v>
      </c>
      <c r="P73" s="20">
        <f t="shared" si="21"/>
        <v>2.5443784532743576E-5</v>
      </c>
      <c r="Q73" s="20">
        <f t="shared" si="22"/>
        <v>0</v>
      </c>
      <c r="R73" s="20">
        <f t="shared" si="23"/>
        <v>2.0006563510158382E-2</v>
      </c>
      <c r="S73" s="20">
        <f t="shared" si="24"/>
        <v>1.6842986827391705E-2</v>
      </c>
      <c r="T73" s="20">
        <f t="shared" si="25"/>
        <v>1.4463988822475176</v>
      </c>
      <c r="U73" s="20">
        <f t="shared" si="26"/>
        <v>1.996353671397217</v>
      </c>
      <c r="V73" s="20">
        <f t="shared" si="27"/>
        <v>-1</v>
      </c>
      <c r="W73" s="20">
        <f t="shared" si="28"/>
        <v>-0.96077169652456051</v>
      </c>
      <c r="X73" s="20">
        <f t="shared" si="29"/>
        <v>-0.96687200079937075</v>
      </c>
      <c r="Y73" s="20">
        <f t="shared" si="30"/>
        <v>0.18247183052888288</v>
      </c>
      <c r="Z73" s="20">
        <f t="shared" si="31"/>
        <v>0.33252205202218721</v>
      </c>
    </row>
    <row r="74" spans="1:26" x14ac:dyDescent="0.25">
      <c r="A74" s="29" t="s">
        <v>78</v>
      </c>
      <c r="B74" s="23">
        <v>209</v>
      </c>
      <c r="C74" s="23">
        <v>191</v>
      </c>
      <c r="D74" s="23">
        <v>360</v>
      </c>
      <c r="E74" s="23">
        <v>208</v>
      </c>
      <c r="F74" s="32">
        <v>250</v>
      </c>
      <c r="G74" s="20">
        <f>VLOOKUP(A74,IMPORTACIONTOTAL,2,FALSE)</f>
        <v>90758564</v>
      </c>
      <c r="H74" s="20">
        <f>VLOOKUP(A74,IMPORTACIONTOTAL,3,FALSE)</f>
        <v>124386497</v>
      </c>
      <c r="I74" s="20">
        <f>VLOOKUP(A74,IMPORTACIONTOTAL,4,FALSE)</f>
        <v>145889817</v>
      </c>
      <c r="J74" s="20">
        <f>VLOOKUP(A74,IMPORTACIONTOTAL,5,FALSE)</f>
        <v>133758994</v>
      </c>
      <c r="K74" s="20">
        <f>VLOOKUP(A74,IMPORTACIONTOTAL,6,FALSE)</f>
        <v>134882435</v>
      </c>
      <c r="L74" s="20">
        <f t="shared" si="17"/>
        <v>2.3028129885351646E-6</v>
      </c>
      <c r="M74" s="20">
        <f t="shared" si="18"/>
        <v>1.5355364497482392E-6</v>
      </c>
      <c r="N74" s="20">
        <f t="shared" si="19"/>
        <v>2.4676156801265984E-6</v>
      </c>
      <c r="O74" s="20">
        <f t="shared" si="20"/>
        <v>1.5550356187636997E-6</v>
      </c>
      <c r="P74" s="20">
        <f t="shared" si="21"/>
        <v>1.8534659461033603E-6</v>
      </c>
      <c r="Q74" s="20">
        <f t="shared" si="22"/>
        <v>0.13329741274047263</v>
      </c>
      <c r="R74" s="20">
        <f t="shared" si="23"/>
        <v>0.14683142046033573</v>
      </c>
      <c r="S74" s="20">
        <f t="shared" si="24"/>
        <v>0.27117982611076635</v>
      </c>
      <c r="T74" s="20">
        <f t="shared" si="25"/>
        <v>0.17470186999005533</v>
      </c>
      <c r="U74" s="20">
        <f t="shared" si="26"/>
        <v>0.14542543942515354</v>
      </c>
      <c r="V74" s="20">
        <f t="shared" si="27"/>
        <v>-0.76476181584472025</v>
      </c>
      <c r="W74" s="20">
        <f t="shared" si="28"/>
        <v>-0.74393547675664851</v>
      </c>
      <c r="X74" s="20">
        <f t="shared" si="29"/>
        <v>-0.57334152015226114</v>
      </c>
      <c r="Y74" s="20">
        <f t="shared" si="30"/>
        <v>-0.70255964606315935</v>
      </c>
      <c r="Z74" s="20">
        <f t="shared" si="31"/>
        <v>-0.74607611387060313</v>
      </c>
    </row>
    <row r="75" spans="1:26" ht="23.25" x14ac:dyDescent="0.25">
      <c r="A75" s="30" t="s">
        <v>79</v>
      </c>
      <c r="B75" s="22">
        <v>626</v>
      </c>
      <c r="C75" s="22">
        <v>171</v>
      </c>
      <c r="D75" s="22">
        <v>676</v>
      </c>
      <c r="E75" s="22">
        <v>803</v>
      </c>
      <c r="F75" s="25">
        <v>217</v>
      </c>
      <c r="G75" s="20">
        <f>VLOOKUP(A75,IMPORTACIONTOTAL,2,FALSE)</f>
        <v>38911684</v>
      </c>
      <c r="H75" s="20">
        <f>VLOOKUP(A75,IMPORTACIONTOTAL,3,FALSE)</f>
        <v>48986643</v>
      </c>
      <c r="I75" s="20">
        <f>VLOOKUP(A75,IMPORTACIONTOTAL,4,FALSE)</f>
        <v>58922123</v>
      </c>
      <c r="J75" s="20">
        <f>VLOOKUP(A75,IMPORTACIONTOTAL,5,FALSE)</f>
        <v>65555454</v>
      </c>
      <c r="K75" s="20">
        <f>VLOOKUP(A75,IMPORTACIONTOTAL,6,FALSE)</f>
        <v>23150950</v>
      </c>
      <c r="L75" s="20">
        <f t="shared" si="17"/>
        <v>1.6087712883359146E-5</v>
      </c>
      <c r="M75" s="20">
        <f t="shared" si="18"/>
        <v>3.4907474676311253E-6</v>
      </c>
      <c r="N75" s="20">
        <f t="shared" si="19"/>
        <v>1.1472770592464906E-5</v>
      </c>
      <c r="O75" s="20">
        <f t="shared" si="20"/>
        <v>1.2249171518208081E-5</v>
      </c>
      <c r="P75" s="20">
        <f t="shared" si="21"/>
        <v>9.3732654599487276E-6</v>
      </c>
      <c r="Q75" s="20">
        <f t="shared" si="22"/>
        <v>0.93123085328237754</v>
      </c>
      <c r="R75" s="20">
        <f t="shared" si="23"/>
        <v>0.33379305924299874</v>
      </c>
      <c r="S75" s="20">
        <f t="shared" si="24"/>
        <v>1.2608057078457742</v>
      </c>
      <c r="T75" s="20">
        <f t="shared" si="25"/>
        <v>1.3761441501650002</v>
      </c>
      <c r="U75" s="20">
        <f t="shared" si="26"/>
        <v>0.73543905741964055</v>
      </c>
      <c r="V75" s="20">
        <f t="shared" si="27"/>
        <v>-3.5608972692591556E-2</v>
      </c>
      <c r="W75" s="20">
        <f t="shared" si="28"/>
        <v>-0.49948298661496299</v>
      </c>
      <c r="X75" s="20">
        <f t="shared" si="29"/>
        <v>0.11535962906528789</v>
      </c>
      <c r="Y75" s="20">
        <f t="shared" si="30"/>
        <v>0.15830022355288531</v>
      </c>
      <c r="Z75" s="20">
        <f t="shared" si="31"/>
        <v>-0.15244611526360669</v>
      </c>
    </row>
    <row r="76" spans="1:26" x14ac:dyDescent="0.25">
      <c r="A76" s="29" t="s">
        <v>80</v>
      </c>
      <c r="B76" s="23">
        <v>190</v>
      </c>
      <c r="C76" s="23">
        <v>149</v>
      </c>
      <c r="D76" s="23">
        <v>101</v>
      </c>
      <c r="E76" s="23">
        <v>88</v>
      </c>
      <c r="F76" s="24">
        <v>214</v>
      </c>
      <c r="G76" s="20">
        <f>VLOOKUP(A76,IMPORTACIONTOTAL,2,FALSE)</f>
        <v>70436789</v>
      </c>
      <c r="H76" s="20">
        <f>VLOOKUP(A76,IMPORTACIONTOTAL,3,FALSE)</f>
        <v>89206205</v>
      </c>
      <c r="I76" s="20">
        <f>VLOOKUP(A76,IMPORTACIONTOTAL,4,FALSE)</f>
        <v>96188946</v>
      </c>
      <c r="J76" s="20">
        <f>VLOOKUP(A76,IMPORTACIONTOTAL,5,FALSE)</f>
        <v>83158878</v>
      </c>
      <c r="K76" s="20">
        <f>VLOOKUP(A76,IMPORTACIONTOTAL,6,FALSE)</f>
        <v>77643169</v>
      </c>
      <c r="L76" s="20">
        <f t="shared" si="17"/>
        <v>2.6974540250550038E-6</v>
      </c>
      <c r="M76" s="20">
        <f t="shared" si="18"/>
        <v>1.6702873976087201E-6</v>
      </c>
      <c r="N76" s="20">
        <f t="shared" si="19"/>
        <v>1.050016703582551E-6</v>
      </c>
      <c r="O76" s="20">
        <f t="shared" si="20"/>
        <v>1.0582153357095558E-6</v>
      </c>
      <c r="P76" s="20">
        <f t="shared" si="21"/>
        <v>2.7561986811743865E-6</v>
      </c>
      <c r="Q76" s="20">
        <f t="shared" si="22"/>
        <v>0.15614105197266887</v>
      </c>
      <c r="R76" s="20">
        <f t="shared" si="23"/>
        <v>0.15971660666739387</v>
      </c>
      <c r="S76" s="20">
        <f t="shared" si="24"/>
        <v>0.11539209666405906</v>
      </c>
      <c r="T76" s="20">
        <f t="shared" si="25"/>
        <v>0.11888615011120617</v>
      </c>
      <c r="U76" s="20">
        <f t="shared" si="26"/>
        <v>0.2162550680769085</v>
      </c>
      <c r="V76" s="20">
        <f t="shared" si="27"/>
        <v>-0.72989272942734307</v>
      </c>
      <c r="W76" s="20">
        <f t="shared" si="28"/>
        <v>-0.72455924878688838</v>
      </c>
      <c r="X76" s="20">
        <f t="shared" si="29"/>
        <v>-0.79309142137697319</v>
      </c>
      <c r="Y76" s="20">
        <f t="shared" si="30"/>
        <v>-0.78749196225301377</v>
      </c>
      <c r="Z76" s="20">
        <f t="shared" si="31"/>
        <v>-0.6443919145696273</v>
      </c>
    </row>
    <row r="77" spans="1:26" x14ac:dyDescent="0.25">
      <c r="A77" s="30" t="s">
        <v>81</v>
      </c>
      <c r="B77" s="22">
        <v>142</v>
      </c>
      <c r="C77" s="22">
        <v>147</v>
      </c>
      <c r="D77" s="22">
        <v>302</v>
      </c>
      <c r="E77" s="22">
        <v>188</v>
      </c>
      <c r="F77" s="31">
        <v>189</v>
      </c>
      <c r="G77" s="20">
        <f>VLOOKUP(A77,IMPORTACIONTOTAL,2,FALSE)</f>
        <v>141622127</v>
      </c>
      <c r="H77" s="20">
        <f>VLOOKUP(A77,IMPORTACIONTOTAL,3,FALSE)</f>
        <v>195694490</v>
      </c>
      <c r="I77" s="20">
        <f>VLOOKUP(A77,IMPORTACIONTOTAL,4,FALSE)</f>
        <v>237447057</v>
      </c>
      <c r="J77" s="20">
        <f>VLOOKUP(A77,IMPORTACIONTOTAL,5,FALSE)</f>
        <v>221739634</v>
      </c>
      <c r="K77" s="20">
        <f>VLOOKUP(A77,IMPORTACIONTOTAL,6,FALSE)</f>
        <v>233658658</v>
      </c>
      <c r="L77" s="20">
        <f t="shared" si="17"/>
        <v>1.0026681776923177E-6</v>
      </c>
      <c r="M77" s="20">
        <f t="shared" si="18"/>
        <v>7.5117086842864102E-7</v>
      </c>
      <c r="N77" s="20">
        <f t="shared" si="19"/>
        <v>1.271862468272243E-6</v>
      </c>
      <c r="O77" s="20">
        <f t="shared" si="20"/>
        <v>8.478412118241342E-7</v>
      </c>
      <c r="P77" s="20">
        <f t="shared" si="21"/>
        <v>8.0887223104739388E-7</v>
      </c>
      <c r="Q77" s="20">
        <f t="shared" si="22"/>
        <v>5.8039048150674226E-2</v>
      </c>
      <c r="R77" s="20">
        <f t="shared" si="23"/>
        <v>7.182863398513592E-2</v>
      </c>
      <c r="S77" s="20">
        <f t="shared" si="24"/>
        <v>0.13977194494289405</v>
      </c>
      <c r="T77" s="20">
        <f t="shared" si="25"/>
        <v>9.5251480656160334E-2</v>
      </c>
      <c r="U77" s="20">
        <f t="shared" si="26"/>
        <v>6.346520683920448E-2</v>
      </c>
      <c r="V77" s="20">
        <f t="shared" si="27"/>
        <v>-0.89028940235784393</v>
      </c>
      <c r="W77" s="20">
        <f t="shared" si="28"/>
        <v>-0.86596992894643632</v>
      </c>
      <c r="X77" s="20">
        <f t="shared" si="29"/>
        <v>-0.75473699705795616</v>
      </c>
      <c r="Y77" s="20">
        <f t="shared" si="30"/>
        <v>-0.82606463932996355</v>
      </c>
      <c r="Z77" s="20">
        <f t="shared" si="31"/>
        <v>-0.8806445073500172</v>
      </c>
    </row>
    <row r="78" spans="1:26" x14ac:dyDescent="0.25">
      <c r="A78" s="29" t="s">
        <v>82</v>
      </c>
      <c r="B78" s="23">
        <v>51</v>
      </c>
      <c r="C78" s="23">
        <v>47</v>
      </c>
      <c r="D78" s="23">
        <v>64</v>
      </c>
      <c r="E78" s="23">
        <v>102</v>
      </c>
      <c r="F78" s="32">
        <v>183</v>
      </c>
      <c r="G78" s="20">
        <f>VLOOKUP(A78,IMPORTACIONTOTAL,2,FALSE)</f>
        <v>4547329</v>
      </c>
      <c r="H78" s="20">
        <f>VLOOKUP(A78,IMPORTACIONTOTAL,3,FALSE)</f>
        <v>5324762</v>
      </c>
      <c r="I78" s="20">
        <f>VLOOKUP(A78,IMPORTACIONTOTAL,4,FALSE)</f>
        <v>8635543</v>
      </c>
      <c r="J78" s="20">
        <f>VLOOKUP(A78,IMPORTACIONTOTAL,5,FALSE)</f>
        <v>12021705</v>
      </c>
      <c r="K78" s="20">
        <f>VLOOKUP(A78,IMPORTACIONTOTAL,6,FALSE)</f>
        <v>16807771</v>
      </c>
      <c r="L78" s="20">
        <f t="shared" si="17"/>
        <v>1.1215375003655992E-5</v>
      </c>
      <c r="M78" s="20">
        <f t="shared" si="18"/>
        <v>8.8266855870741264E-6</v>
      </c>
      <c r="N78" s="20">
        <f t="shared" si="19"/>
        <v>7.4112305387165576E-6</v>
      </c>
      <c r="O78" s="20">
        <f t="shared" si="20"/>
        <v>8.48465338319315E-6</v>
      </c>
      <c r="P78" s="20">
        <f t="shared" si="21"/>
        <v>1.0887820877616668E-5</v>
      </c>
      <c r="Q78" s="20">
        <f t="shared" si="22"/>
        <v>0.64919751553619642</v>
      </c>
      <c r="R78" s="20">
        <f t="shared" si="23"/>
        <v>0.84402736445582871</v>
      </c>
      <c r="S78" s="20">
        <f t="shared" si="24"/>
        <v>0.81446078696211233</v>
      </c>
      <c r="T78" s="20">
        <f t="shared" si="25"/>
        <v>0.95321598706514132</v>
      </c>
      <c r="U78" s="20">
        <f t="shared" si="26"/>
        <v>0.85427311941638817</v>
      </c>
      <c r="V78" s="20">
        <f t="shared" si="27"/>
        <v>-0.21271101924365238</v>
      </c>
      <c r="W78" s="20">
        <f t="shared" si="28"/>
        <v>-8.4582603572262452E-2</v>
      </c>
      <c r="X78" s="20">
        <f t="shared" si="29"/>
        <v>-0.102255840617272</v>
      </c>
      <c r="Y78" s="20">
        <f t="shared" si="30"/>
        <v>-2.3952298795769784E-2</v>
      </c>
      <c r="Z78" s="20">
        <f t="shared" si="31"/>
        <v>-7.858976062246846E-2</v>
      </c>
    </row>
    <row r="79" spans="1:26" x14ac:dyDescent="0.25">
      <c r="A79" s="30" t="s">
        <v>83</v>
      </c>
      <c r="B79" s="25">
        <v>91</v>
      </c>
      <c r="C79" s="25">
        <v>7</v>
      </c>
      <c r="D79" s="25">
        <v>36</v>
      </c>
      <c r="E79" s="25">
        <v>35</v>
      </c>
      <c r="F79" s="25">
        <v>167</v>
      </c>
      <c r="G79" s="20">
        <f>VLOOKUP(A79,IMPORTACIONTOTAL,2,FALSE)</f>
        <v>34900772</v>
      </c>
      <c r="H79" s="20">
        <f>VLOOKUP(A79,IMPORTACIONTOTAL,3,FALSE)</f>
        <v>37496398</v>
      </c>
      <c r="I79" s="20">
        <f>VLOOKUP(A79,IMPORTACIONTOTAL,4,FALSE)</f>
        <v>36055268</v>
      </c>
      <c r="J79" s="20">
        <f>VLOOKUP(A79,IMPORTACIONTOTAL,5,FALSE)</f>
        <v>41626798</v>
      </c>
      <c r="K79" s="20">
        <f>VLOOKUP(A79,IMPORTACIONTOTAL,6,FALSE)</f>
        <v>42622122</v>
      </c>
      <c r="L79" s="20">
        <f t="shared" si="17"/>
        <v>2.607392180321971E-6</v>
      </c>
      <c r="M79" s="20">
        <f t="shared" si="18"/>
        <v>1.8668459834461967E-7</v>
      </c>
      <c r="N79" s="20">
        <f t="shared" si="19"/>
        <v>9.9846713107221945E-7</v>
      </c>
      <c r="O79" s="20">
        <f t="shared" si="20"/>
        <v>8.4080452212538666E-7</v>
      </c>
      <c r="P79" s="20">
        <f t="shared" si="21"/>
        <v>3.9181531130711886E-6</v>
      </c>
      <c r="Q79" s="20">
        <f t="shared" si="22"/>
        <v>0.15092785795764643</v>
      </c>
      <c r="R79" s="20">
        <f t="shared" si="23"/>
        <v>1.7851197708463371E-2</v>
      </c>
      <c r="S79" s="20">
        <f t="shared" si="24"/>
        <v>0.10972703130480553</v>
      </c>
      <c r="T79" s="20">
        <f t="shared" si="25"/>
        <v>9.4460937446681756E-2</v>
      </c>
      <c r="U79" s="20">
        <f t="shared" si="26"/>
        <v>0.30742358088711036</v>
      </c>
      <c r="V79" s="20">
        <f t="shared" si="27"/>
        <v>-0.73772837817050996</v>
      </c>
      <c r="W79" s="20">
        <f t="shared" si="28"/>
        <v>-0.96492375752241066</v>
      </c>
      <c r="X79" s="20">
        <f t="shared" si="29"/>
        <v>-0.80224500582672187</v>
      </c>
      <c r="Y79" s="20">
        <f t="shared" si="30"/>
        <v>-0.82738362930146414</v>
      </c>
      <c r="Z79" s="20">
        <f t="shared" si="31"/>
        <v>-0.5297261187862039</v>
      </c>
    </row>
    <row r="80" spans="1:26" x14ac:dyDescent="0.25">
      <c r="A80" s="29" t="s">
        <v>84</v>
      </c>
      <c r="B80" s="23">
        <v>231</v>
      </c>
      <c r="C80" s="23">
        <v>176</v>
      </c>
      <c r="D80" s="23">
        <v>173</v>
      </c>
      <c r="E80" s="23">
        <v>180</v>
      </c>
      <c r="F80" s="32">
        <v>150</v>
      </c>
      <c r="G80" s="20">
        <f>VLOOKUP(A80,IMPORTACIONTOTAL,2,FALSE)</f>
        <v>17315082</v>
      </c>
      <c r="H80" s="20">
        <f>VLOOKUP(A80,IMPORTACIONTOTAL,3,FALSE)</f>
        <v>23085528</v>
      </c>
      <c r="I80" s="20">
        <f>VLOOKUP(A80,IMPORTACIONTOTAL,4,FALSE)</f>
        <v>27901013</v>
      </c>
      <c r="J80" s="20">
        <f>VLOOKUP(A80,IMPORTACIONTOTAL,5,FALSE)</f>
        <v>25307970</v>
      </c>
      <c r="K80" s="20">
        <f>VLOOKUP(A80,IMPORTACIONTOTAL,6,FALSE)</f>
        <v>23466752</v>
      </c>
      <c r="L80" s="20">
        <f t="shared" si="17"/>
        <v>1.334097060585679E-5</v>
      </c>
      <c r="M80" s="20">
        <f t="shared" si="18"/>
        <v>7.6238238952126194E-6</v>
      </c>
      <c r="N80" s="20">
        <f t="shared" si="19"/>
        <v>6.2004917169136472E-6</v>
      </c>
      <c r="O80" s="20">
        <f t="shared" si="20"/>
        <v>7.1123839644191142E-6</v>
      </c>
      <c r="P80" s="20">
        <f t="shared" si="21"/>
        <v>6.3920222108283244E-6</v>
      </c>
      <c r="Q80" s="20">
        <f t="shared" si="22"/>
        <v>0.77223677044596029</v>
      </c>
      <c r="R80" s="20">
        <f t="shared" si="23"/>
        <v>0.72900704640196201</v>
      </c>
      <c r="S80" s="20">
        <f t="shared" si="24"/>
        <v>0.68140605489572226</v>
      </c>
      <c r="T80" s="20">
        <f t="shared" si="25"/>
        <v>0.79904714958179845</v>
      </c>
      <c r="U80" s="20">
        <f t="shared" si="26"/>
        <v>0.50152668883899343</v>
      </c>
      <c r="V80" s="20">
        <f t="shared" si="27"/>
        <v>-0.12851738173603411</v>
      </c>
      <c r="W80" s="20">
        <f t="shared" si="28"/>
        <v>-0.15673328466877581</v>
      </c>
      <c r="X80" s="20">
        <f t="shared" si="29"/>
        <v>-0.18948066957213164</v>
      </c>
      <c r="Y80" s="20">
        <f t="shared" si="30"/>
        <v>-0.11169960190588363</v>
      </c>
      <c r="Z80" s="20">
        <f t="shared" si="31"/>
        <v>-0.33197765638547178</v>
      </c>
    </row>
    <row r="81" spans="1:26" x14ac:dyDescent="0.25">
      <c r="A81" s="30" t="s">
        <v>85</v>
      </c>
      <c r="B81" s="22">
        <v>69</v>
      </c>
      <c r="C81" s="22">
        <v>105</v>
      </c>
      <c r="D81" s="22">
        <v>101</v>
      </c>
      <c r="E81" s="22">
        <v>115</v>
      </c>
      <c r="F81" s="31">
        <v>146</v>
      </c>
      <c r="G81" s="20">
        <f>VLOOKUP(A81,IMPORTACIONTOTAL,2,FALSE)</f>
        <v>38081411</v>
      </c>
      <c r="H81" s="20">
        <f>VLOOKUP(A81,IMPORTACIONTOTAL,3,FALSE)</f>
        <v>41415435</v>
      </c>
      <c r="I81" s="20">
        <f>VLOOKUP(A81,IMPORTACIONTOTAL,4,FALSE)</f>
        <v>30952133</v>
      </c>
      <c r="J81" s="20">
        <f>VLOOKUP(A81,IMPORTACIONTOTAL,5,FALSE)</f>
        <v>61160501</v>
      </c>
      <c r="K81" s="20">
        <f>VLOOKUP(A81,IMPORTACIONTOTAL,6,FALSE)</f>
        <v>59787311</v>
      </c>
      <c r="L81" s="20">
        <f t="shared" si="17"/>
        <v>1.8119076522663512E-6</v>
      </c>
      <c r="M81" s="20">
        <f t="shared" si="18"/>
        <v>2.5352866630520723E-6</v>
      </c>
      <c r="N81" s="20">
        <f t="shared" si="19"/>
        <v>3.2631030630425375E-6</v>
      </c>
      <c r="O81" s="20">
        <f t="shared" si="20"/>
        <v>1.8802985279666038E-6</v>
      </c>
      <c r="P81" s="20">
        <f t="shared" si="21"/>
        <v>2.4419897392608944E-6</v>
      </c>
      <c r="Q81" s="20">
        <f t="shared" si="22"/>
        <v>0.10488155285479903</v>
      </c>
      <c r="R81" s="20">
        <f t="shared" si="23"/>
        <v>0.24242976587831222</v>
      </c>
      <c r="S81" s="20">
        <f t="shared" si="24"/>
        <v>0.35860029920542008</v>
      </c>
      <c r="T81" s="20">
        <f t="shared" si="25"/>
        <v>0.21124382297845681</v>
      </c>
      <c r="U81" s="20">
        <f t="shared" si="26"/>
        <v>0.19160181046235833</v>
      </c>
      <c r="V81" s="20">
        <f t="shared" si="27"/>
        <v>-0.810148784575495</v>
      </c>
      <c r="W81" s="20">
        <f t="shared" si="28"/>
        <v>-0.60974894108894584</v>
      </c>
      <c r="X81" s="20">
        <f t="shared" si="29"/>
        <v>-0.47210331189364807</v>
      </c>
      <c r="Y81" s="20">
        <f t="shared" si="30"/>
        <v>-0.65119521111941481</v>
      </c>
      <c r="Z81" s="20">
        <f t="shared" si="31"/>
        <v>-0.67841302559281258</v>
      </c>
    </row>
    <row r="82" spans="1:26" x14ac:dyDescent="0.25">
      <c r="A82" s="29" t="s">
        <v>86</v>
      </c>
      <c r="B82" s="23">
        <v>25</v>
      </c>
      <c r="C82" s="23">
        <v>54</v>
      </c>
      <c r="D82" s="23">
        <v>47</v>
      </c>
      <c r="E82" s="23">
        <v>122</v>
      </c>
      <c r="F82" s="32">
        <v>129</v>
      </c>
      <c r="G82" s="20">
        <f>VLOOKUP(A82,IMPORTACIONTOTAL,2,FALSE)</f>
        <v>2486490</v>
      </c>
      <c r="H82" s="20">
        <f>VLOOKUP(A82,IMPORTACIONTOTAL,3,FALSE)</f>
        <v>4146385</v>
      </c>
      <c r="I82" s="20">
        <f>VLOOKUP(A82,IMPORTACIONTOTAL,4,FALSE)</f>
        <v>8557370</v>
      </c>
      <c r="J82" s="20">
        <f>VLOOKUP(A82,IMPORTACIONTOTAL,5,FALSE)</f>
        <v>5230066</v>
      </c>
      <c r="K82" s="20">
        <f>VLOOKUP(A82,IMPORTACIONTOTAL,6,FALSE)</f>
        <v>7210548</v>
      </c>
      <c r="L82" s="20">
        <f t="shared" si="17"/>
        <v>1.0054333618876408E-5</v>
      </c>
      <c r="M82" s="20">
        <f t="shared" si="18"/>
        <v>1.3023392666141712E-5</v>
      </c>
      <c r="N82" s="20">
        <f t="shared" si="19"/>
        <v>5.4923416890937283E-6</v>
      </c>
      <c r="O82" s="20">
        <f t="shared" si="20"/>
        <v>2.3326665476114451E-5</v>
      </c>
      <c r="P82" s="20">
        <f t="shared" si="21"/>
        <v>1.7890457146946389E-5</v>
      </c>
      <c r="Q82" s="20">
        <f t="shared" si="22"/>
        <v>0.58199109736579158</v>
      </c>
      <c r="R82" s="20">
        <f t="shared" si="23"/>
        <v>1.2453258564430891</v>
      </c>
      <c r="S82" s="20">
        <f t="shared" si="24"/>
        <v>0.60358356294483317</v>
      </c>
      <c r="T82" s="20">
        <f t="shared" si="25"/>
        <v>2.6206551349284046</v>
      </c>
      <c r="U82" s="20">
        <f t="shared" si="26"/>
        <v>1.4037094113227746</v>
      </c>
      <c r="V82" s="20">
        <f t="shared" si="27"/>
        <v>-0.26422961755615709</v>
      </c>
      <c r="W82" s="20">
        <f t="shared" si="28"/>
        <v>0.10926069182302103</v>
      </c>
      <c r="X82" s="20">
        <f t="shared" si="29"/>
        <v>-0.24720659790699315</v>
      </c>
      <c r="Y82" s="20">
        <f t="shared" si="30"/>
        <v>0.44761378107900124</v>
      </c>
      <c r="Z82" s="20">
        <f t="shared" si="31"/>
        <v>0.16795266907933395</v>
      </c>
    </row>
    <row r="83" spans="1:26" x14ac:dyDescent="0.25">
      <c r="A83" s="30" t="s">
        <v>87</v>
      </c>
      <c r="B83" s="22">
        <v>51</v>
      </c>
      <c r="C83" s="22">
        <v>48</v>
      </c>
      <c r="D83" s="22">
        <v>90</v>
      </c>
      <c r="E83" s="22">
        <v>72</v>
      </c>
      <c r="F83" s="31">
        <v>123</v>
      </c>
      <c r="G83" s="20">
        <f>VLOOKUP(A83,IMPORTACIONTOTAL,2,FALSE)</f>
        <v>6143458</v>
      </c>
      <c r="H83" s="20">
        <f>VLOOKUP(A83,IMPORTACIONTOTAL,3,FALSE)</f>
        <v>7697303</v>
      </c>
      <c r="I83" s="20">
        <f>VLOOKUP(A83,IMPORTACIONTOTAL,4,FALSE)</f>
        <v>10038186</v>
      </c>
      <c r="J83" s="20">
        <f>VLOOKUP(A83,IMPORTACIONTOTAL,5,FALSE)</f>
        <v>10982642</v>
      </c>
      <c r="K83" s="20">
        <f>VLOOKUP(A83,IMPORTACIONTOTAL,6,FALSE)</f>
        <v>13072085</v>
      </c>
      <c r="L83" s="20">
        <f t="shared" si="17"/>
        <v>8.3015135775323937E-6</v>
      </c>
      <c r="M83" s="20">
        <f t="shared" si="18"/>
        <v>6.235950436146271E-6</v>
      </c>
      <c r="N83" s="20">
        <f t="shared" si="19"/>
        <v>8.9657633361246745E-6</v>
      </c>
      <c r="O83" s="20">
        <f t="shared" si="20"/>
        <v>6.5557995972189573E-6</v>
      </c>
      <c r="P83" s="20">
        <f t="shared" si="21"/>
        <v>9.409363540705251E-6</v>
      </c>
      <c r="Q83" s="20">
        <f t="shared" si="22"/>
        <v>0.48052980733744693</v>
      </c>
      <c r="R83" s="20">
        <f t="shared" si="23"/>
        <v>0.59629549048459973</v>
      </c>
      <c r="S83" s="20">
        <f t="shared" si="24"/>
        <v>0.98529692529585355</v>
      </c>
      <c r="T83" s="20">
        <f t="shared" si="25"/>
        <v>0.73651718011755885</v>
      </c>
      <c r="U83" s="20">
        <f t="shared" si="26"/>
        <v>0.7382713615509674</v>
      </c>
      <c r="V83" s="20">
        <f t="shared" si="27"/>
        <v>-0.35086777050220774</v>
      </c>
      <c r="W83" s="20">
        <f t="shared" si="28"/>
        <v>-0.25290086448395882</v>
      </c>
      <c r="X83" s="20">
        <f t="shared" si="29"/>
        <v>-7.405982710599E-3</v>
      </c>
      <c r="Y83" s="20">
        <f t="shared" si="30"/>
        <v>-0.15173061510661467</v>
      </c>
      <c r="Z83" s="20">
        <f t="shared" si="31"/>
        <v>-0.15056834291713003</v>
      </c>
    </row>
    <row r="84" spans="1:26" x14ac:dyDescent="0.25">
      <c r="A84" s="29" t="s">
        <v>88</v>
      </c>
      <c r="B84" s="23">
        <v>18</v>
      </c>
      <c r="C84" s="23">
        <v>30</v>
      </c>
      <c r="D84" s="23">
        <v>54</v>
      </c>
      <c r="E84" s="23">
        <v>58</v>
      </c>
      <c r="F84" s="32">
        <v>84</v>
      </c>
      <c r="G84" s="20">
        <f>VLOOKUP(A84,IMPORTACIONTOTAL,2,FALSE)</f>
        <v>1501237</v>
      </c>
      <c r="H84" s="20">
        <f>VLOOKUP(A84,IMPORTACIONTOTAL,3,FALSE)</f>
        <v>1673621</v>
      </c>
      <c r="I84" s="20">
        <f>VLOOKUP(A84,IMPORTACIONTOTAL,4,FALSE)</f>
        <v>2147541</v>
      </c>
      <c r="J84" s="20">
        <f>VLOOKUP(A84,IMPORTACIONTOTAL,5,FALSE)</f>
        <v>2118006</v>
      </c>
      <c r="K84" s="20">
        <f>VLOOKUP(A84,IMPORTACIONTOTAL,6,FALSE)</f>
        <v>2153549</v>
      </c>
      <c r="L84" s="20">
        <f t="shared" si="17"/>
        <v>1.1990112154176856E-5</v>
      </c>
      <c r="M84" s="20">
        <f t="shared" si="18"/>
        <v>1.7925205288413566E-5</v>
      </c>
      <c r="N84" s="20">
        <f t="shared" si="19"/>
        <v>2.5145037975992076E-5</v>
      </c>
      <c r="O84" s="20">
        <f t="shared" si="20"/>
        <v>2.738424725897849E-5</v>
      </c>
      <c r="P84" s="20">
        <f t="shared" si="21"/>
        <v>3.9005381349576907E-5</v>
      </c>
      <c r="Q84" s="20">
        <f t="shared" si="22"/>
        <v>0.69404286695313822</v>
      </c>
      <c r="R84" s="20">
        <f t="shared" si="23"/>
        <v>1.7140481132651824</v>
      </c>
      <c r="S84" s="20">
        <f t="shared" si="24"/>
        <v>2.763326186000048</v>
      </c>
      <c r="T84" s="20">
        <f t="shared" si="25"/>
        <v>3.07650779614751</v>
      </c>
      <c r="U84" s="20">
        <f t="shared" si="26"/>
        <v>3.0604148593251708</v>
      </c>
      <c r="V84" s="20">
        <f t="shared" si="27"/>
        <v>-0.18060766879952003</v>
      </c>
      <c r="W84" s="20">
        <f t="shared" si="28"/>
        <v>0.26309338798203341</v>
      </c>
      <c r="X84" s="20">
        <f t="shared" si="29"/>
        <v>0.46855523514273062</v>
      </c>
      <c r="Y84" s="20">
        <f t="shared" si="30"/>
        <v>0.50938398746836855</v>
      </c>
      <c r="Z84" s="20">
        <f t="shared" si="31"/>
        <v>0.50743949342841432</v>
      </c>
    </row>
    <row r="85" spans="1:26" ht="23.25" x14ac:dyDescent="0.25">
      <c r="A85" s="30" t="s">
        <v>89</v>
      </c>
      <c r="B85" s="22">
        <v>31</v>
      </c>
      <c r="C85" s="22">
        <v>38</v>
      </c>
      <c r="D85" s="22">
        <v>35</v>
      </c>
      <c r="E85" s="22">
        <v>52</v>
      </c>
      <c r="F85" s="31">
        <v>84</v>
      </c>
      <c r="G85" s="20">
        <f>VLOOKUP(A85,IMPORTACIONTOTAL,2,FALSE)</f>
        <v>9867992</v>
      </c>
      <c r="H85" s="20">
        <f>VLOOKUP(A85,IMPORTACIONTOTAL,3,FALSE)</f>
        <v>13030086</v>
      </c>
      <c r="I85" s="20">
        <f>VLOOKUP(A85,IMPORTACIONTOTAL,4,FALSE)</f>
        <v>15382424</v>
      </c>
      <c r="J85" s="20">
        <f>VLOOKUP(A85,IMPORTACIONTOTAL,5,FALSE)</f>
        <v>15348896</v>
      </c>
      <c r="K85" s="20">
        <f>VLOOKUP(A85,IMPORTACIONTOTAL,6,FALSE)</f>
        <v>15853280</v>
      </c>
      <c r="L85" s="20">
        <f t="shared" si="17"/>
        <v>3.1414699160680308E-6</v>
      </c>
      <c r="M85" s="20">
        <f t="shared" si="18"/>
        <v>2.9163276435781008E-6</v>
      </c>
      <c r="N85" s="20">
        <f t="shared" si="19"/>
        <v>2.2753240971643999E-6</v>
      </c>
      <c r="O85" s="20">
        <f t="shared" si="20"/>
        <v>3.3878658113261047E-6</v>
      </c>
      <c r="P85" s="20">
        <f t="shared" si="21"/>
        <v>5.298588052440883E-6</v>
      </c>
      <c r="Q85" s="20">
        <f t="shared" si="22"/>
        <v>0.18184273499354714</v>
      </c>
      <c r="R85" s="20">
        <f t="shared" si="23"/>
        <v>0.27886575437823291</v>
      </c>
      <c r="S85" s="20">
        <f t="shared" si="24"/>
        <v>0.25004784901635202</v>
      </c>
      <c r="T85" s="20">
        <f t="shared" si="25"/>
        <v>0.38061282029320859</v>
      </c>
      <c r="U85" s="20">
        <f t="shared" si="26"/>
        <v>0.41573436915798262</v>
      </c>
      <c r="V85" s="20">
        <f t="shared" si="27"/>
        <v>-0.69227253405328915</v>
      </c>
      <c r="W85" s="20">
        <f t="shared" si="28"/>
        <v>-0.56388580517770825</v>
      </c>
      <c r="X85" s="20">
        <f t="shared" si="29"/>
        <v>-0.59993875560345677</v>
      </c>
      <c r="Y85" s="20">
        <f t="shared" si="30"/>
        <v>-0.44863206440111758</v>
      </c>
      <c r="Z85" s="20">
        <f t="shared" si="31"/>
        <v>-0.41269438926563118</v>
      </c>
    </row>
    <row r="86" spans="1:26" x14ac:dyDescent="0.25">
      <c r="A86" s="29" t="s">
        <v>90</v>
      </c>
      <c r="B86" s="23">
        <v>137</v>
      </c>
      <c r="C86" s="23">
        <v>143</v>
      </c>
      <c r="D86" s="23">
        <v>91</v>
      </c>
      <c r="E86" s="23">
        <v>101</v>
      </c>
      <c r="F86" s="32">
        <v>72</v>
      </c>
      <c r="G86" s="20">
        <f>VLOOKUP(A86,IMPORTACIONTOTAL,2,FALSE)</f>
        <v>5731510</v>
      </c>
      <c r="H86" s="20">
        <f>VLOOKUP(A86,IMPORTACIONTOTAL,3,FALSE)</f>
        <v>7145956</v>
      </c>
      <c r="I86" s="20">
        <f>VLOOKUP(A86,IMPORTACIONTOTAL,4,FALSE)</f>
        <v>8570977</v>
      </c>
      <c r="J86" s="20">
        <f>VLOOKUP(A86,IMPORTACIONTOTAL,5,FALSE)</f>
        <v>8394209</v>
      </c>
      <c r="K86" s="20">
        <f>VLOOKUP(A86,IMPORTACIONTOTAL,6,FALSE)</f>
        <v>8718694</v>
      </c>
      <c r="L86" s="20">
        <f t="shared" si="17"/>
        <v>2.3902950531360845E-5</v>
      </c>
      <c r="M86" s="20">
        <f t="shared" si="18"/>
        <v>2.0011318289673208E-5</v>
      </c>
      <c r="N86" s="20">
        <f t="shared" si="19"/>
        <v>1.0617226017524022E-5</v>
      </c>
      <c r="O86" s="20">
        <f t="shared" si="20"/>
        <v>1.2032104513957182E-5</v>
      </c>
      <c r="P86" s="20">
        <f t="shared" si="21"/>
        <v>8.2581175575149222E-6</v>
      </c>
      <c r="Q86" s="20">
        <f t="shared" si="22"/>
        <v>1.3836127720995144</v>
      </c>
      <c r="R86" s="20">
        <f t="shared" si="23"/>
        <v>1.9135268916855503</v>
      </c>
      <c r="S86" s="20">
        <f t="shared" si="24"/>
        <v>1.1667852204048061</v>
      </c>
      <c r="T86" s="20">
        <f t="shared" si="25"/>
        <v>1.3517575630680947</v>
      </c>
      <c r="U86" s="20">
        <f t="shared" si="26"/>
        <v>0.6479430480775672</v>
      </c>
      <c r="V86" s="20">
        <f t="shared" si="27"/>
        <v>0.16093753842476005</v>
      </c>
      <c r="W86" s="20">
        <f t="shared" si="28"/>
        <v>0.3135467512905129</v>
      </c>
      <c r="X86" s="20">
        <f t="shared" si="29"/>
        <v>7.6973582261026657E-2</v>
      </c>
      <c r="Y86" s="20">
        <f t="shared" si="30"/>
        <v>0.14957220446192296</v>
      </c>
      <c r="Z86" s="20">
        <f t="shared" si="31"/>
        <v>-0.21363417402872639</v>
      </c>
    </row>
    <row r="87" spans="1:26" x14ac:dyDescent="0.25">
      <c r="A87" s="30" t="s">
        <v>91</v>
      </c>
      <c r="B87" s="22">
        <v>43</v>
      </c>
      <c r="C87" s="22">
        <v>91</v>
      </c>
      <c r="D87" s="22">
        <v>52</v>
      </c>
      <c r="E87" s="22">
        <v>109</v>
      </c>
      <c r="F87" s="31">
        <v>69</v>
      </c>
      <c r="G87" s="20">
        <f>VLOOKUP(A87,IMPORTACIONTOTAL,2,FALSE)</f>
        <v>4241133</v>
      </c>
      <c r="H87" s="20">
        <f>VLOOKUP(A87,IMPORTACIONTOTAL,3,FALSE)</f>
        <v>5179825</v>
      </c>
      <c r="I87" s="20">
        <f>VLOOKUP(A87,IMPORTACIONTOTAL,4,FALSE)</f>
        <v>6610753</v>
      </c>
      <c r="J87" s="20">
        <f>VLOOKUP(A87,IMPORTACIONTOTAL,5,FALSE)</f>
        <v>6304368</v>
      </c>
      <c r="K87" s="20">
        <f>VLOOKUP(A87,IMPORTACIONTOTAL,6,FALSE)</f>
        <v>6801692</v>
      </c>
      <c r="L87" s="20">
        <f t="shared" si="17"/>
        <v>1.0138800174387364E-5</v>
      </c>
      <c r="M87" s="20">
        <f t="shared" si="18"/>
        <v>1.7568161086523195E-5</v>
      </c>
      <c r="N87" s="20">
        <f t="shared" si="19"/>
        <v>7.8659723030039096E-6</v>
      </c>
      <c r="O87" s="20">
        <f t="shared" si="20"/>
        <v>1.7289599845694288E-5</v>
      </c>
      <c r="P87" s="20">
        <f t="shared" si="21"/>
        <v>1.0144534624619873E-5</v>
      </c>
      <c r="Q87" s="20">
        <f t="shared" si="22"/>
        <v>0.58688041029253157</v>
      </c>
      <c r="R87" s="20">
        <f t="shared" si="23"/>
        <v>1.6799067502651146</v>
      </c>
      <c r="S87" s="20">
        <f t="shared" si="24"/>
        <v>0.86443485446293999</v>
      </c>
      <c r="T87" s="20">
        <f t="shared" si="25"/>
        <v>1.9424155871258906</v>
      </c>
      <c r="U87" s="20">
        <f t="shared" si="26"/>
        <v>0.79595387692478281</v>
      </c>
      <c r="V87" s="20">
        <f t="shared" si="27"/>
        <v>-0.26033441904504473</v>
      </c>
      <c r="W87" s="20">
        <f t="shared" si="28"/>
        <v>0.25370537620305389</v>
      </c>
      <c r="X87" s="20">
        <f t="shared" si="29"/>
        <v>-7.2711119518364842E-2</v>
      </c>
      <c r="Y87" s="20">
        <f t="shared" si="30"/>
        <v>0.3202863630988404</v>
      </c>
      <c r="Z87" s="20">
        <f t="shared" si="31"/>
        <v>-0.11361434483195412</v>
      </c>
    </row>
    <row r="88" spans="1:26" x14ac:dyDescent="0.25">
      <c r="A88" s="29" t="s">
        <v>92</v>
      </c>
      <c r="B88" s="23">
        <v>6</v>
      </c>
      <c r="C88" s="23">
        <v>0</v>
      </c>
      <c r="D88" s="23">
        <v>0</v>
      </c>
      <c r="E88" s="23">
        <v>97</v>
      </c>
      <c r="F88" s="32">
        <v>68</v>
      </c>
      <c r="G88" s="20">
        <f>VLOOKUP(A88,IMPORTACIONTOTAL,2,FALSE)</f>
        <v>36064092</v>
      </c>
      <c r="H88" s="20">
        <f>VLOOKUP(A88,IMPORTACIONTOTAL,3,FALSE)</f>
        <v>51177743</v>
      </c>
      <c r="I88" s="20">
        <f>VLOOKUP(A88,IMPORTACIONTOTAL,4,FALSE)</f>
        <v>60318941</v>
      </c>
      <c r="J88" s="20">
        <f>VLOOKUP(A88,IMPORTACIONTOTAL,5,FALSE)</f>
        <v>52273093</v>
      </c>
      <c r="K88" s="20">
        <f>VLOOKUP(A88,IMPORTACIONTOTAL,6,FALSE)</f>
        <v>55026567</v>
      </c>
      <c r="L88" s="20">
        <f t="shared" si="17"/>
        <v>1.6637047177009198E-7</v>
      </c>
      <c r="M88" s="20">
        <f t="shared" si="18"/>
        <v>0</v>
      </c>
      <c r="N88" s="20">
        <f t="shared" si="19"/>
        <v>0</v>
      </c>
      <c r="O88" s="20">
        <f t="shared" si="20"/>
        <v>1.8556391908931045E-6</v>
      </c>
      <c r="P88" s="20">
        <f t="shared" si="21"/>
        <v>1.2357667161027873E-6</v>
      </c>
      <c r="Q88" s="20">
        <f t="shared" si="22"/>
        <v>9.6302885009658945E-3</v>
      </c>
      <c r="R88" s="20">
        <f t="shared" si="23"/>
        <v>0</v>
      </c>
      <c r="S88" s="20">
        <f t="shared" si="24"/>
        <v>0</v>
      </c>
      <c r="T88" s="20">
        <f t="shared" si="25"/>
        <v>0.20847344765877093</v>
      </c>
      <c r="U88" s="20">
        <f t="shared" si="26"/>
        <v>9.6959924240337239E-2</v>
      </c>
      <c r="V88" s="20">
        <f t="shared" si="27"/>
        <v>-0.98092313867630831</v>
      </c>
      <c r="W88" s="20">
        <f t="shared" si="28"/>
        <v>-1</v>
      </c>
      <c r="X88" s="20">
        <f t="shared" si="29"/>
        <v>-1</v>
      </c>
      <c r="Y88" s="20">
        <f t="shared" si="30"/>
        <v>-0.65498050774279604</v>
      </c>
      <c r="Z88" s="20">
        <f t="shared" si="31"/>
        <v>-0.82322066267373706</v>
      </c>
    </row>
    <row r="89" spans="1:26" x14ac:dyDescent="0.25">
      <c r="A89" s="30" t="s">
        <v>93</v>
      </c>
      <c r="B89" s="22">
        <v>265</v>
      </c>
      <c r="C89" s="22">
        <v>200</v>
      </c>
      <c r="D89" s="22">
        <v>152</v>
      </c>
      <c r="E89" s="22">
        <v>162</v>
      </c>
      <c r="F89" s="25">
        <v>67</v>
      </c>
      <c r="G89" s="20">
        <f>VLOOKUP(A89,IMPORTACIONTOTAL,2,FALSE)</f>
        <v>15459448</v>
      </c>
      <c r="H89" s="20">
        <f>VLOOKUP(A89,IMPORTACIONTOTAL,3,FALSE)</f>
        <v>18675855</v>
      </c>
      <c r="I89" s="20">
        <f>VLOOKUP(A89,IMPORTACIONTOTAL,4,FALSE)</f>
        <v>15534503</v>
      </c>
      <c r="J89" s="20">
        <f>VLOOKUP(A89,IMPORTACIONTOTAL,5,FALSE)</f>
        <v>15354370</v>
      </c>
      <c r="K89" s="20">
        <f>VLOOKUP(A89,IMPORTACIONTOTAL,6,FALSE)</f>
        <v>21297031</v>
      </c>
      <c r="L89" s="20">
        <f t="shared" si="17"/>
        <v>1.7141621097984869E-5</v>
      </c>
      <c r="M89" s="20">
        <f t="shared" si="18"/>
        <v>1.070901439318307E-5</v>
      </c>
      <c r="N89" s="20">
        <f t="shared" si="19"/>
        <v>9.7846709354010225E-6</v>
      </c>
      <c r="O89" s="20">
        <f t="shared" si="20"/>
        <v>1.0550742231690391E-5</v>
      </c>
      <c r="P89" s="20">
        <f t="shared" si="21"/>
        <v>3.145978423001779E-6</v>
      </c>
      <c r="Q89" s="20">
        <f t="shared" si="22"/>
        <v>0.99223591056447225</v>
      </c>
      <c r="R89" s="20">
        <f t="shared" si="23"/>
        <v>1.0240198435791339</v>
      </c>
      <c r="S89" s="20">
        <f t="shared" si="24"/>
        <v>1.0752911744656237</v>
      </c>
      <c r="T89" s="20">
        <f t="shared" si="25"/>
        <v>1.1853325900822695</v>
      </c>
      <c r="U89" s="20">
        <f t="shared" si="26"/>
        <v>0.24683771263719351</v>
      </c>
      <c r="V89" s="20">
        <f t="shared" si="27"/>
        <v>-3.8971737204194397E-3</v>
      </c>
      <c r="W89" s="20">
        <f t="shared" si="28"/>
        <v>1.1867395300166079E-2</v>
      </c>
      <c r="X89" s="20">
        <f t="shared" si="29"/>
        <v>3.6279812390668888E-2</v>
      </c>
      <c r="Y89" s="20">
        <f t="shared" si="30"/>
        <v>8.480749837501507E-2</v>
      </c>
      <c r="Z89" s="20">
        <f t="shared" si="31"/>
        <v>-0.60405799385855019</v>
      </c>
    </row>
    <row r="90" spans="1:26" x14ac:dyDescent="0.25">
      <c r="A90" s="29" t="s">
        <v>94</v>
      </c>
      <c r="B90" s="23">
        <v>74</v>
      </c>
      <c r="C90" s="23">
        <v>73</v>
      </c>
      <c r="D90" s="23">
        <v>71</v>
      </c>
      <c r="E90" s="23">
        <v>72</v>
      </c>
      <c r="F90" s="24">
        <v>63</v>
      </c>
      <c r="G90" s="20">
        <f>VLOOKUP(A90,IMPORTACIONTOTAL,2,FALSE)</f>
        <v>6545027</v>
      </c>
      <c r="H90" s="20">
        <f>VLOOKUP(A90,IMPORTACIONTOTAL,3,FALSE)</f>
        <v>10163198</v>
      </c>
      <c r="I90" s="20">
        <f>VLOOKUP(A90,IMPORTACIONTOTAL,4,FALSE)</f>
        <v>11246827</v>
      </c>
      <c r="J90" s="20">
        <f>VLOOKUP(A90,IMPORTACIONTOTAL,5,FALSE)</f>
        <v>10916351</v>
      </c>
      <c r="K90" s="20">
        <f>VLOOKUP(A90,IMPORTACIONTOTAL,6,FALSE)</f>
        <v>8949467</v>
      </c>
      <c r="L90" s="20">
        <f t="shared" si="17"/>
        <v>1.1306294076403352E-5</v>
      </c>
      <c r="M90" s="20">
        <f t="shared" si="18"/>
        <v>7.1827784915732237E-6</v>
      </c>
      <c r="N90" s="20">
        <f t="shared" si="19"/>
        <v>6.312891627122921E-6</v>
      </c>
      <c r="O90" s="20">
        <f t="shared" si="20"/>
        <v>6.595610566204769E-6</v>
      </c>
      <c r="P90" s="20">
        <f t="shared" si="21"/>
        <v>7.0395253706170436E-6</v>
      </c>
      <c r="Q90" s="20">
        <f t="shared" si="22"/>
        <v>0.65446032985343505</v>
      </c>
      <c r="R90" s="20">
        <f t="shared" si="23"/>
        <v>0.68683330111933316</v>
      </c>
      <c r="S90" s="20">
        <f t="shared" si="24"/>
        <v>0.69375829773114339</v>
      </c>
      <c r="T90" s="20">
        <f t="shared" si="25"/>
        <v>0.74098977910115438</v>
      </c>
      <c r="U90" s="20">
        <f t="shared" si="26"/>
        <v>0.55233066057605962</v>
      </c>
      <c r="V90" s="20">
        <f t="shared" si="27"/>
        <v>-0.20885340307747091</v>
      </c>
      <c r="W90" s="20">
        <f t="shared" si="28"/>
        <v>-0.18565361418514717</v>
      </c>
      <c r="X90" s="20">
        <f t="shared" si="29"/>
        <v>-0.18080602331458953</v>
      </c>
      <c r="Y90" s="20">
        <f t="shared" si="30"/>
        <v>-0.14877182164307048</v>
      </c>
      <c r="Z90" s="20">
        <f t="shared" si="31"/>
        <v>-0.28838529753565084</v>
      </c>
    </row>
    <row r="91" spans="1:26" ht="23.25" x14ac:dyDescent="0.25">
      <c r="A91" s="30" t="s">
        <v>95</v>
      </c>
      <c r="B91" s="22">
        <v>68</v>
      </c>
      <c r="C91" s="22">
        <v>107</v>
      </c>
      <c r="D91" s="22">
        <v>98</v>
      </c>
      <c r="E91" s="22">
        <v>50</v>
      </c>
      <c r="F91" s="31">
        <v>56</v>
      </c>
      <c r="G91" s="20">
        <f>VLOOKUP(A91,IMPORTACIONTOTAL,2,FALSE)</f>
        <v>8709069</v>
      </c>
      <c r="H91" s="20">
        <f>VLOOKUP(A91,IMPORTACIONTOTAL,3,FALSE)</f>
        <v>11389534</v>
      </c>
      <c r="I91" s="20">
        <f>VLOOKUP(A91,IMPORTACIONTOTAL,4,FALSE)</f>
        <v>12755184</v>
      </c>
      <c r="J91" s="20">
        <f>VLOOKUP(A91,IMPORTACIONTOTAL,5,FALSE)</f>
        <v>12052389</v>
      </c>
      <c r="K91" s="20">
        <f>VLOOKUP(A91,IMPORTACIONTOTAL,6,FALSE)</f>
        <v>11966612</v>
      </c>
      <c r="L91" s="20">
        <f t="shared" si="17"/>
        <v>7.8079528362905374E-6</v>
      </c>
      <c r="M91" s="20">
        <f t="shared" si="18"/>
        <v>9.3945898049911443E-6</v>
      </c>
      <c r="N91" s="20">
        <f t="shared" si="19"/>
        <v>7.6831506311473047E-6</v>
      </c>
      <c r="O91" s="20">
        <f t="shared" si="20"/>
        <v>4.1485551121856419E-6</v>
      </c>
      <c r="P91" s="20">
        <f t="shared" si="21"/>
        <v>4.6796871161194161E-6</v>
      </c>
      <c r="Q91" s="20">
        <f t="shared" si="22"/>
        <v>0.45196024039243027</v>
      </c>
      <c r="R91" s="20">
        <f t="shared" si="23"/>
        <v>0.89833163252829518</v>
      </c>
      <c r="S91" s="20">
        <f t="shared" si="24"/>
        <v>0.84434357785830672</v>
      </c>
      <c r="T91" s="20">
        <f t="shared" si="25"/>
        <v>0.46607314141899964</v>
      </c>
      <c r="U91" s="20">
        <f t="shared" si="26"/>
        <v>0.36717456647349933</v>
      </c>
      <c r="V91" s="20">
        <f t="shared" si="27"/>
        <v>-0.37744818650092482</v>
      </c>
      <c r="W91" s="20">
        <f t="shared" si="28"/>
        <v>-5.3556694588867852E-2</v>
      </c>
      <c r="X91" s="20">
        <f t="shared" si="29"/>
        <v>-8.4396651475559137E-2</v>
      </c>
      <c r="Y91" s="20">
        <f t="shared" si="30"/>
        <v>-0.36418841836514187</v>
      </c>
      <c r="Z91" s="20">
        <f t="shared" si="31"/>
        <v>-0.46287098154467243</v>
      </c>
    </row>
    <row r="92" spans="1:26" x14ac:dyDescent="0.25">
      <c r="A92" s="29" t="s">
        <v>96</v>
      </c>
      <c r="B92" s="23">
        <v>12</v>
      </c>
      <c r="C92" s="23">
        <v>3</v>
      </c>
      <c r="D92" s="23">
        <v>13</v>
      </c>
      <c r="E92" s="23">
        <v>27</v>
      </c>
      <c r="F92" s="24">
        <v>55</v>
      </c>
      <c r="G92" s="20">
        <f>VLOOKUP(A92,IMPORTACIONTOTAL,2,FALSE)</f>
        <v>5410943</v>
      </c>
      <c r="H92" s="20">
        <f>VLOOKUP(A92,IMPORTACIONTOTAL,3,FALSE)</f>
        <v>7734905</v>
      </c>
      <c r="I92" s="20">
        <f>VLOOKUP(A92,IMPORTACIONTOTAL,4,FALSE)</f>
        <v>8407345</v>
      </c>
      <c r="J92" s="20">
        <f>VLOOKUP(A92,IMPORTACIONTOTAL,5,FALSE)</f>
        <v>8668928</v>
      </c>
      <c r="K92" s="20">
        <f>VLOOKUP(A92,IMPORTACIONTOTAL,6,FALSE)</f>
        <v>8791972</v>
      </c>
      <c r="L92" s="20">
        <f t="shared" si="17"/>
        <v>2.2177280374234215E-6</v>
      </c>
      <c r="M92" s="20">
        <f t="shared" si="18"/>
        <v>3.8785221020814087E-7</v>
      </c>
      <c r="N92" s="20">
        <f t="shared" si="19"/>
        <v>1.5462669844047081E-6</v>
      </c>
      <c r="O92" s="20">
        <f t="shared" si="20"/>
        <v>3.1145719516876826E-6</v>
      </c>
      <c r="P92" s="20">
        <f t="shared" si="21"/>
        <v>6.2557069108045381E-6</v>
      </c>
      <c r="Q92" s="20">
        <f t="shared" si="22"/>
        <v>0.12837230423065854</v>
      </c>
      <c r="R92" s="20">
        <f t="shared" si="23"/>
        <v>3.7087293475110396E-2</v>
      </c>
      <c r="S92" s="20">
        <f t="shared" si="24"/>
        <v>0.1699277627909121</v>
      </c>
      <c r="T92" s="20">
        <f t="shared" si="25"/>
        <v>0.34990937674534262</v>
      </c>
      <c r="U92" s="20">
        <f t="shared" si="26"/>
        <v>0.49083120643857098</v>
      </c>
      <c r="V92" s="20">
        <f t="shared" si="27"/>
        <v>-0.77246463113398589</v>
      </c>
      <c r="W92" s="20">
        <f t="shared" si="28"/>
        <v>-0.92847797151031153</v>
      </c>
      <c r="X92" s="20">
        <f t="shared" si="29"/>
        <v>-0.7095072564385646</v>
      </c>
      <c r="Y92" s="20">
        <f t="shared" si="30"/>
        <v>-0.48158093754562864</v>
      </c>
      <c r="Z92" s="20">
        <f t="shared" si="31"/>
        <v>-0.34153349578573444</v>
      </c>
    </row>
    <row r="93" spans="1:26" x14ac:dyDescent="0.25">
      <c r="A93" s="30" t="s">
        <v>97</v>
      </c>
      <c r="B93" s="22">
        <v>133</v>
      </c>
      <c r="C93" s="22">
        <v>146</v>
      </c>
      <c r="D93" s="22">
        <v>123</v>
      </c>
      <c r="E93" s="22">
        <v>84</v>
      </c>
      <c r="F93" s="25">
        <v>51</v>
      </c>
      <c r="G93" s="20">
        <f>VLOOKUP(A93,IMPORTACIONTOTAL,2,FALSE)</f>
        <v>11950497</v>
      </c>
      <c r="H93" s="20">
        <f>VLOOKUP(A93,IMPORTACIONTOTAL,3,FALSE)</f>
        <v>19346655</v>
      </c>
      <c r="I93" s="20">
        <f>VLOOKUP(A93,IMPORTACIONTOTAL,4,FALSE)</f>
        <v>17430546</v>
      </c>
      <c r="J93" s="20">
        <f>VLOOKUP(A93,IMPORTACIONTOTAL,5,FALSE)</f>
        <v>17560701</v>
      </c>
      <c r="K93" s="20">
        <f>VLOOKUP(A93,IMPORTACIONTOTAL,6,FALSE)</f>
        <v>14614151</v>
      </c>
      <c r="L93" s="20">
        <f t="shared" si="17"/>
        <v>1.1129244248168089E-5</v>
      </c>
      <c r="M93" s="20">
        <f t="shared" si="18"/>
        <v>7.5465241924249956E-6</v>
      </c>
      <c r="N93" s="20">
        <f t="shared" si="19"/>
        <v>7.0565775736457137E-6</v>
      </c>
      <c r="O93" s="20">
        <f t="shared" si="20"/>
        <v>4.7834081338780271E-6</v>
      </c>
      <c r="P93" s="20">
        <f t="shared" si="21"/>
        <v>3.4897682390171004E-6</v>
      </c>
      <c r="Q93" s="20">
        <f t="shared" si="22"/>
        <v>0.64421187105656252</v>
      </c>
      <c r="R93" s="20">
        <f t="shared" si="23"/>
        <v>0.72161547639831314</v>
      </c>
      <c r="S93" s="20">
        <f t="shared" si="24"/>
        <v>0.77548602676256417</v>
      </c>
      <c r="T93" s="20">
        <f t="shared" si="25"/>
        <v>0.537396273005319</v>
      </c>
      <c r="U93" s="20">
        <f t="shared" si="26"/>
        <v>0.27381192555382661</v>
      </c>
      <c r="V93" s="20">
        <f t="shared" si="27"/>
        <v>-0.21638824971796961</v>
      </c>
      <c r="W93" s="20">
        <f t="shared" si="28"/>
        <v>-0.16169959402553594</v>
      </c>
      <c r="X93" s="20">
        <f t="shared" si="29"/>
        <v>-0.12645212063246505</v>
      </c>
      <c r="Y93" s="20">
        <f t="shared" si="30"/>
        <v>-0.300900773026058</v>
      </c>
      <c r="Z93" s="20">
        <f t="shared" si="31"/>
        <v>-0.57009049756732499</v>
      </c>
    </row>
    <row r="94" spans="1:26" ht="34.5" x14ac:dyDescent="0.25">
      <c r="A94" s="29" t="s">
        <v>98</v>
      </c>
      <c r="B94" s="24">
        <v>2</v>
      </c>
      <c r="C94" s="24">
        <v>6</v>
      </c>
      <c r="D94" s="24">
        <v>12</v>
      </c>
      <c r="E94" s="24">
        <v>16</v>
      </c>
      <c r="F94" s="24">
        <v>51</v>
      </c>
      <c r="G94" s="20">
        <f>VLOOKUP(A94,IMPORTACIONTOTAL,2,FALSE)</f>
        <v>19663868</v>
      </c>
      <c r="H94" s="20">
        <f>VLOOKUP(A94,IMPORTACIONTOTAL,3,FALSE)</f>
        <v>23839731</v>
      </c>
      <c r="I94" s="20">
        <f>VLOOKUP(A94,IMPORTACIONTOTAL,4,FALSE)</f>
        <v>51612558</v>
      </c>
      <c r="J94" s="20">
        <f>VLOOKUP(A94,IMPORTACIONTOTAL,5,FALSE)</f>
        <v>50655550</v>
      </c>
      <c r="K94" s="20">
        <f>VLOOKUP(A94,IMPORTACIONTOTAL,6,FALSE)</f>
        <v>50326161</v>
      </c>
      <c r="L94" s="20">
        <f t="shared" si="17"/>
        <v>1.0170938901746085E-7</v>
      </c>
      <c r="M94" s="20">
        <f t="shared" si="18"/>
        <v>2.5168069220244136E-7</v>
      </c>
      <c r="N94" s="20">
        <f t="shared" si="19"/>
        <v>2.3250155514477696E-7</v>
      </c>
      <c r="O94" s="20">
        <f t="shared" si="20"/>
        <v>3.1585877559319758E-7</v>
      </c>
      <c r="P94" s="20">
        <f t="shared" si="21"/>
        <v>1.0133894377518682E-6</v>
      </c>
      <c r="Q94" s="20">
        <f t="shared" si="22"/>
        <v>5.8874074772636469E-3</v>
      </c>
      <c r="R94" s="20">
        <f t="shared" si="23"/>
        <v>2.4066269182072463E-2</v>
      </c>
      <c r="S94" s="20">
        <f t="shared" si="24"/>
        <v>2.5550871556874154E-2</v>
      </c>
      <c r="T94" s="20">
        <f t="shared" si="25"/>
        <v>3.5485437171382299E-2</v>
      </c>
      <c r="U94" s="20">
        <f t="shared" si="26"/>
        <v>7.9511902877797108E-2</v>
      </c>
      <c r="V94" s="20">
        <f t="shared" si="27"/>
        <v>-0.9882941024343288</v>
      </c>
      <c r="W94" s="20">
        <f t="shared" si="28"/>
        <v>-0.95299860974564787</v>
      </c>
      <c r="X94" s="20">
        <f t="shared" si="29"/>
        <v>-0.95017142052039649</v>
      </c>
      <c r="Y94" s="20">
        <f t="shared" si="30"/>
        <v>-0.93146125305573158</v>
      </c>
      <c r="Z94" s="20">
        <f t="shared" si="31"/>
        <v>-0.85268915948803947</v>
      </c>
    </row>
    <row r="95" spans="1:26" x14ac:dyDescent="0.25">
      <c r="A95" s="30" t="s">
        <v>99</v>
      </c>
      <c r="B95" s="22">
        <v>31</v>
      </c>
      <c r="C95" s="22">
        <v>39</v>
      </c>
      <c r="D95" s="22">
        <v>56</v>
      </c>
      <c r="E95" s="25">
        <v>43</v>
      </c>
      <c r="F95" s="25">
        <v>50</v>
      </c>
      <c r="G95" s="20">
        <f>VLOOKUP(A95,IMPORTACIONTOTAL,2,FALSE)</f>
        <v>9745446</v>
      </c>
      <c r="H95" s="20">
        <f>VLOOKUP(A95,IMPORTACIONTOTAL,3,FALSE)</f>
        <v>15792669</v>
      </c>
      <c r="I95" s="20">
        <f>VLOOKUP(A95,IMPORTACIONTOTAL,4,FALSE)</f>
        <v>13716419</v>
      </c>
      <c r="J95" s="20">
        <f>VLOOKUP(A95,IMPORTACIONTOTAL,5,FALSE)</f>
        <v>10354328</v>
      </c>
      <c r="K95" s="20">
        <f>VLOOKUP(A95,IMPORTACIONTOTAL,6,FALSE)</f>
        <v>10356044</v>
      </c>
      <c r="L95" s="20">
        <f t="shared" si="17"/>
        <v>3.1809729385397036E-6</v>
      </c>
      <c r="M95" s="20">
        <f t="shared" si="18"/>
        <v>2.4695002472349669E-6</v>
      </c>
      <c r="N95" s="20">
        <f t="shared" si="19"/>
        <v>4.082698261113196E-6</v>
      </c>
      <c r="O95" s="20">
        <f t="shared" si="20"/>
        <v>4.1528527974002759E-6</v>
      </c>
      <c r="P95" s="20">
        <f t="shared" si="21"/>
        <v>4.8280984514936398E-6</v>
      </c>
      <c r="Q95" s="20">
        <f t="shared" si="22"/>
        <v>0.18412935171714492</v>
      </c>
      <c r="R95" s="20">
        <f t="shared" si="23"/>
        <v>0.23613912205608084</v>
      </c>
      <c r="S95" s="20">
        <f t="shared" si="24"/>
        <v>0.44867011237933285</v>
      </c>
      <c r="T95" s="20">
        <f t="shared" si="25"/>
        <v>0.46655596871540722</v>
      </c>
      <c r="U95" s="20">
        <f t="shared" si="26"/>
        <v>0.37881912013138819</v>
      </c>
      <c r="V95" s="20">
        <f t="shared" si="27"/>
        <v>-0.68900466583294651</v>
      </c>
      <c r="W95" s="20">
        <f t="shared" si="28"/>
        <v>-0.61794086467660914</v>
      </c>
      <c r="X95" s="20">
        <f t="shared" si="29"/>
        <v>-0.38057655977671057</v>
      </c>
      <c r="Y95" s="20">
        <f t="shared" si="30"/>
        <v>-0.36373929305394975</v>
      </c>
      <c r="Z95" s="20">
        <f t="shared" si="31"/>
        <v>-0.45051658393699912</v>
      </c>
    </row>
    <row r="96" spans="1:26" x14ac:dyDescent="0.25">
      <c r="A96" s="29" t="s">
        <v>100</v>
      </c>
      <c r="B96" s="23">
        <v>70</v>
      </c>
      <c r="C96" s="23">
        <v>73</v>
      </c>
      <c r="D96" s="23">
        <v>149</v>
      </c>
      <c r="E96" s="23">
        <v>35</v>
      </c>
      <c r="F96" s="24">
        <v>49</v>
      </c>
      <c r="G96" s="20">
        <f>VLOOKUP(A96,IMPORTACIONTOTAL,2,FALSE)</f>
        <v>17006883</v>
      </c>
      <c r="H96" s="20">
        <f>VLOOKUP(A96,IMPORTACIONTOTAL,3,FALSE)</f>
        <v>21542435</v>
      </c>
      <c r="I96" s="20">
        <f>VLOOKUP(A96,IMPORTACIONTOTAL,4,FALSE)</f>
        <v>27364057</v>
      </c>
      <c r="J96" s="20">
        <f>VLOOKUP(A96,IMPORTACIONTOTAL,5,FALSE)</f>
        <v>25707802</v>
      </c>
      <c r="K96" s="20">
        <f>VLOOKUP(A96,IMPORTACIONTOTAL,6,FALSE)</f>
        <v>21752039</v>
      </c>
      <c r="L96" s="20">
        <f t="shared" si="17"/>
        <v>4.1159805709253129E-6</v>
      </c>
      <c r="M96" s="20">
        <f t="shared" si="18"/>
        <v>3.3886605669229129E-6</v>
      </c>
      <c r="N96" s="20">
        <f t="shared" si="19"/>
        <v>5.4450990216838092E-6</v>
      </c>
      <c r="O96" s="20">
        <f t="shared" si="20"/>
        <v>1.3614543942729915E-6</v>
      </c>
      <c r="P96" s="20">
        <f t="shared" si="21"/>
        <v>2.2526623825931905E-6</v>
      </c>
      <c r="Q96" s="20">
        <f t="shared" si="22"/>
        <v>0.23825189614871742</v>
      </c>
      <c r="R96" s="20">
        <f t="shared" si="23"/>
        <v>0.3240312820843792</v>
      </c>
      <c r="S96" s="20">
        <f t="shared" si="24"/>
        <v>0.59839180701768113</v>
      </c>
      <c r="T96" s="20">
        <f t="shared" si="25"/>
        <v>0.15295381386489817</v>
      </c>
      <c r="U96" s="20">
        <f t="shared" si="26"/>
        <v>0.17674693055669416</v>
      </c>
      <c r="V96" s="20">
        <f t="shared" si="27"/>
        <v>-0.61518024419790152</v>
      </c>
      <c r="W96" s="20">
        <f t="shared" si="28"/>
        <v>-0.51053832871038018</v>
      </c>
      <c r="X96" s="20">
        <f t="shared" si="29"/>
        <v>-0.25125766487232526</v>
      </c>
      <c r="Y96" s="20">
        <f t="shared" si="30"/>
        <v>-0.7346748637706989</v>
      </c>
      <c r="Z96" s="20">
        <f t="shared" si="31"/>
        <v>-0.69960077911895813</v>
      </c>
    </row>
    <row r="97" spans="1:26" x14ac:dyDescent="0.25">
      <c r="A97" s="30" t="s">
        <v>101</v>
      </c>
      <c r="B97" s="22">
        <v>6</v>
      </c>
      <c r="C97" s="22">
        <v>16</v>
      </c>
      <c r="D97" s="22">
        <v>9</v>
      </c>
      <c r="E97" s="22">
        <v>18</v>
      </c>
      <c r="F97" s="31">
        <v>49</v>
      </c>
      <c r="G97" s="20">
        <f>VLOOKUP(A97,IMPORTACIONTOTAL,2,FALSE)</f>
        <v>19955151</v>
      </c>
      <c r="H97" s="20">
        <f>VLOOKUP(A97,IMPORTACIONTOTAL,3,FALSE)</f>
        <v>23724275</v>
      </c>
      <c r="I97" s="20">
        <f>VLOOKUP(A97,IMPORTACIONTOTAL,4,FALSE)</f>
        <v>28264000</v>
      </c>
      <c r="J97" s="20">
        <f>VLOOKUP(A97,IMPORTACIONTOTAL,5,FALSE)</f>
        <v>36660334</v>
      </c>
      <c r="K97" s="20">
        <f>VLOOKUP(A97,IMPORTACIONTOTAL,6,FALSE)</f>
        <v>55524325</v>
      </c>
      <c r="L97" s="20">
        <f t="shared" si="17"/>
        <v>3.0067424696510691E-7</v>
      </c>
      <c r="M97" s="20">
        <f t="shared" si="18"/>
        <v>6.7441470814176615E-7</v>
      </c>
      <c r="N97" s="20">
        <f t="shared" si="19"/>
        <v>3.1842626662892724E-7</v>
      </c>
      <c r="O97" s="20">
        <f t="shared" si="20"/>
        <v>4.9099389001747779E-7</v>
      </c>
      <c r="P97" s="20">
        <f t="shared" si="21"/>
        <v>8.8249609517990539E-7</v>
      </c>
      <c r="Q97" s="20">
        <f t="shared" si="22"/>
        <v>1.740440904132352E-2</v>
      </c>
      <c r="R97" s="20">
        <f t="shared" si="23"/>
        <v>6.4489038727823161E-2</v>
      </c>
      <c r="S97" s="20">
        <f t="shared" si="24"/>
        <v>3.4993609543404622E-2</v>
      </c>
      <c r="T97" s="20">
        <f t="shared" si="25"/>
        <v>5.5161148532366526E-2</v>
      </c>
      <c r="U97" s="20">
        <f t="shared" si="26"/>
        <v>6.9241834576098005E-2</v>
      </c>
      <c r="V97" s="20">
        <f t="shared" si="27"/>
        <v>-0.96578664514001211</v>
      </c>
      <c r="W97" s="20">
        <f t="shared" si="28"/>
        <v>-0.8788356922774998</v>
      </c>
      <c r="X97" s="20">
        <f t="shared" si="29"/>
        <v>-0.93237908095134547</v>
      </c>
      <c r="Y97" s="20">
        <f t="shared" si="30"/>
        <v>-0.89544507280411023</v>
      </c>
      <c r="Z97" s="20">
        <f t="shared" si="31"/>
        <v>-0.87048423969765654</v>
      </c>
    </row>
    <row r="98" spans="1:26" x14ac:dyDescent="0.25">
      <c r="A98" s="29" t="s">
        <v>102</v>
      </c>
      <c r="B98" s="24">
        <v>26</v>
      </c>
      <c r="C98" s="24">
        <v>12</v>
      </c>
      <c r="D98" s="24">
        <v>61</v>
      </c>
      <c r="E98" s="24">
        <v>36</v>
      </c>
      <c r="F98" s="24">
        <v>47</v>
      </c>
      <c r="G98" s="20">
        <f>VLOOKUP(A98,IMPORTACIONTOTAL,2,FALSE)</f>
        <v>52438672</v>
      </c>
      <c r="H98" s="20">
        <f>VLOOKUP(A98,IMPORTACIONTOTAL,3,FALSE)</f>
        <v>61032085</v>
      </c>
      <c r="I98" s="20">
        <f>VLOOKUP(A98,IMPORTACIONTOTAL,4,FALSE)</f>
        <v>76263662</v>
      </c>
      <c r="J98" s="20">
        <f>VLOOKUP(A98,IMPORTACIONTOTAL,5,FALSE)</f>
        <v>85112409</v>
      </c>
      <c r="K98" s="20">
        <f>VLOOKUP(A98,IMPORTACIONTOTAL,6,FALSE)</f>
        <v>50646896</v>
      </c>
      <c r="L98" s="20">
        <f t="shared" si="17"/>
        <v>4.9581728538052987E-7</v>
      </c>
      <c r="M98" s="20">
        <f t="shared" si="18"/>
        <v>1.9661789368657487E-7</v>
      </c>
      <c r="N98" s="20">
        <f t="shared" si="19"/>
        <v>7.9985668666159781E-7</v>
      </c>
      <c r="O98" s="20">
        <f t="shared" si="20"/>
        <v>4.2297005128829101E-7</v>
      </c>
      <c r="P98" s="20">
        <f t="shared" si="21"/>
        <v>9.2799369185428464E-7</v>
      </c>
      <c r="Q98" s="20">
        <f t="shared" si="22"/>
        <v>2.8700186103809606E-2</v>
      </c>
      <c r="R98" s="20">
        <f t="shared" si="23"/>
        <v>1.8801041566061445E-2</v>
      </c>
      <c r="S98" s="20">
        <f t="shared" si="24"/>
        <v>8.7900639856242829E-2</v>
      </c>
      <c r="T98" s="20">
        <f t="shared" si="25"/>
        <v>4.7518949417121224E-2</v>
      </c>
      <c r="U98" s="20">
        <f t="shared" si="26"/>
        <v>7.2811637411197436E-2</v>
      </c>
      <c r="V98" s="20">
        <f t="shared" si="27"/>
        <v>-0.94420106753842192</v>
      </c>
      <c r="W98" s="20">
        <f t="shared" si="28"/>
        <v>-0.96309182892635981</v>
      </c>
      <c r="X98" s="20">
        <f t="shared" si="29"/>
        <v>-0.83840318382778378</v>
      </c>
      <c r="Y98" s="20">
        <f t="shared" si="30"/>
        <v>-0.90927333688128009</v>
      </c>
      <c r="Z98" s="20">
        <f t="shared" si="31"/>
        <v>-0.86426016483769841</v>
      </c>
    </row>
    <row r="99" spans="1:26" x14ac:dyDescent="0.25">
      <c r="A99" s="30" t="s">
        <v>103</v>
      </c>
      <c r="B99" s="22">
        <v>73</v>
      </c>
      <c r="C99" s="22">
        <v>71</v>
      </c>
      <c r="D99" s="22">
        <v>66</v>
      </c>
      <c r="E99" s="22">
        <v>48</v>
      </c>
      <c r="F99" s="31">
        <v>47</v>
      </c>
      <c r="G99" s="20">
        <f>VLOOKUP(A99,IMPORTACIONTOTAL,2,FALSE)</f>
        <v>5710976</v>
      </c>
      <c r="H99" s="20">
        <f>VLOOKUP(A99,IMPORTACIONTOTAL,3,FALSE)</f>
        <v>7841938</v>
      </c>
      <c r="I99" s="20">
        <f>VLOOKUP(A99,IMPORTACIONTOTAL,4,FALSE)</f>
        <v>9764239</v>
      </c>
      <c r="J99" s="20">
        <f>VLOOKUP(A99,IMPORTACIONTOTAL,5,FALSE)</f>
        <v>9481315</v>
      </c>
      <c r="K99" s="20">
        <f>VLOOKUP(A99,IMPORTACIONTOTAL,6,FALSE)</f>
        <v>9835158</v>
      </c>
      <c r="L99" s="20">
        <f t="shared" si="17"/>
        <v>1.278240356814667E-5</v>
      </c>
      <c r="M99" s="20">
        <f t="shared" si="18"/>
        <v>9.0538843841917657E-6</v>
      </c>
      <c r="N99" s="20">
        <f t="shared" si="19"/>
        <v>6.7593593315362311E-6</v>
      </c>
      <c r="O99" s="20">
        <f t="shared" si="20"/>
        <v>5.0625888919416771E-6</v>
      </c>
      <c r="P99" s="20">
        <f t="shared" si="21"/>
        <v>4.7787742708353032E-6</v>
      </c>
      <c r="Q99" s="20">
        <f t="shared" si="22"/>
        <v>0.73990433991879423</v>
      </c>
      <c r="R99" s="20">
        <f t="shared" si="23"/>
        <v>0.86575262022109056</v>
      </c>
      <c r="S99" s="20">
        <f t="shared" si="24"/>
        <v>0.74282308339528014</v>
      </c>
      <c r="T99" s="20">
        <f t="shared" si="25"/>
        <v>0.56876108543176174</v>
      </c>
      <c r="U99" s="20">
        <f t="shared" si="26"/>
        <v>0.37494907835284652</v>
      </c>
      <c r="V99" s="20">
        <f t="shared" si="27"/>
        <v>-0.14948848285150271</v>
      </c>
      <c r="W99" s="20">
        <f t="shared" si="28"/>
        <v>-7.1953472461424819E-2</v>
      </c>
      <c r="X99" s="20">
        <f t="shared" si="29"/>
        <v>-0.14756340965125431</v>
      </c>
      <c r="Y99" s="20">
        <f t="shared" si="30"/>
        <v>-0.27489138950023784</v>
      </c>
      <c r="Z99" s="20">
        <f t="shared" si="31"/>
        <v>-0.45459932406802178</v>
      </c>
    </row>
    <row r="100" spans="1:26" x14ac:dyDescent="0.25">
      <c r="A100" s="29" t="s">
        <v>104</v>
      </c>
      <c r="B100" s="23">
        <v>21</v>
      </c>
      <c r="C100" s="23">
        <v>19</v>
      </c>
      <c r="D100" s="23">
        <v>37</v>
      </c>
      <c r="E100" s="23">
        <v>27</v>
      </c>
      <c r="F100" s="32">
        <v>43</v>
      </c>
      <c r="G100" s="20">
        <f>VLOOKUP(A100,IMPORTACIONTOTAL,2,FALSE)</f>
        <v>735266</v>
      </c>
      <c r="H100" s="20">
        <f>VLOOKUP(A100,IMPORTACIONTOTAL,3,FALSE)</f>
        <v>767192</v>
      </c>
      <c r="I100" s="20">
        <f>VLOOKUP(A100,IMPORTACIONTOTAL,4,FALSE)</f>
        <v>846564</v>
      </c>
      <c r="J100" s="20">
        <f>VLOOKUP(A100,IMPORTACIONTOTAL,5,FALSE)</f>
        <v>925276</v>
      </c>
      <c r="K100" s="20">
        <f>VLOOKUP(A100,IMPORTACIONTOTAL,6,FALSE)</f>
        <v>915655</v>
      </c>
      <c r="L100" s="20">
        <f t="shared" si="17"/>
        <v>2.8561092176164816E-5</v>
      </c>
      <c r="M100" s="20">
        <f t="shared" si="18"/>
        <v>2.4765638849205935E-5</v>
      </c>
      <c r="N100" s="20">
        <f t="shared" si="19"/>
        <v>4.3706087194825197E-5</v>
      </c>
      <c r="O100" s="20">
        <f t="shared" si="20"/>
        <v>2.9180482364181067E-5</v>
      </c>
      <c r="P100" s="20">
        <f t="shared" si="21"/>
        <v>4.6960918686623239E-5</v>
      </c>
      <c r="Q100" s="20">
        <f t="shared" si="22"/>
        <v>1.6532474460927287</v>
      </c>
      <c r="R100" s="20">
        <f t="shared" si="23"/>
        <v>2.3681456284758258</v>
      </c>
      <c r="S100" s="20">
        <f t="shared" si="24"/>
        <v>4.8031017232256463</v>
      </c>
      <c r="T100" s="20">
        <f t="shared" si="25"/>
        <v>3.2783074385699509</v>
      </c>
      <c r="U100" s="20">
        <f t="shared" si="26"/>
        <v>3.6846170549659756</v>
      </c>
      <c r="V100" s="20">
        <f t="shared" si="27"/>
        <v>0.24620675582095644</v>
      </c>
      <c r="W100" s="20">
        <f t="shared" si="28"/>
        <v>0.40620144714317102</v>
      </c>
      <c r="X100" s="20">
        <f t="shared" si="29"/>
        <v>0.65535672207925688</v>
      </c>
      <c r="Y100" s="20">
        <f t="shared" si="30"/>
        <v>0.53252541367889361</v>
      </c>
      <c r="Z100" s="20">
        <f t="shared" si="31"/>
        <v>0.5730707597796324</v>
      </c>
    </row>
    <row r="101" spans="1:26" x14ac:dyDescent="0.25">
      <c r="A101" s="30" t="s">
        <v>105</v>
      </c>
      <c r="B101" s="22">
        <v>179</v>
      </c>
      <c r="C101" s="22">
        <v>90</v>
      </c>
      <c r="D101" s="22">
        <v>99</v>
      </c>
      <c r="E101" s="22">
        <v>100</v>
      </c>
      <c r="F101" s="25">
        <v>42</v>
      </c>
      <c r="G101" s="20">
        <f>VLOOKUP(A101,IMPORTACIONTOTAL,2,FALSE)</f>
        <v>28507456</v>
      </c>
      <c r="H101" s="20">
        <f>VLOOKUP(A101,IMPORTACIONTOTAL,3,FALSE)</f>
        <v>30994759</v>
      </c>
      <c r="I101" s="20">
        <f>VLOOKUP(A101,IMPORTACIONTOTAL,4,FALSE)</f>
        <v>38573002</v>
      </c>
      <c r="J101" s="20">
        <f>VLOOKUP(A101,IMPORTACIONTOTAL,5,FALSE)</f>
        <v>38775377</v>
      </c>
      <c r="K101" s="20">
        <f>VLOOKUP(A101,IMPORTACIONTOTAL,6,FALSE)</f>
        <v>28248929</v>
      </c>
      <c r="L101" s="20">
        <f t="shared" si="17"/>
        <v>6.2790590644075714E-6</v>
      </c>
      <c r="M101" s="20">
        <f t="shared" si="18"/>
        <v>2.9037167219141792E-6</v>
      </c>
      <c r="N101" s="20">
        <f t="shared" si="19"/>
        <v>2.5665619699498629E-6</v>
      </c>
      <c r="O101" s="20">
        <f t="shared" si="20"/>
        <v>2.5789562278143679E-6</v>
      </c>
      <c r="P101" s="20">
        <f t="shared" si="21"/>
        <v>1.4867820298603178E-6</v>
      </c>
      <c r="Q101" s="20">
        <f t="shared" si="22"/>
        <v>0.36346083329265583</v>
      </c>
      <c r="R101" s="20">
        <f t="shared" si="23"/>
        <v>0.27765986991907127</v>
      </c>
      <c r="S101" s="20">
        <f t="shared" si="24"/>
        <v>0.28205357678623694</v>
      </c>
      <c r="T101" s="20">
        <f t="shared" si="25"/>
        <v>0.28973514830475</v>
      </c>
      <c r="U101" s="20">
        <f t="shared" si="26"/>
        <v>0.1166549245085515</v>
      </c>
      <c r="V101" s="20">
        <f t="shared" si="27"/>
        <v>-0.46685548360795204</v>
      </c>
      <c r="W101" s="20">
        <f t="shared" si="28"/>
        <v>-0.56536183618781322</v>
      </c>
      <c r="X101" s="20">
        <f t="shared" si="29"/>
        <v>-0.55999720777150475</v>
      </c>
      <c r="Y101" s="20">
        <f t="shared" si="30"/>
        <v>-0.55070597450091541</v>
      </c>
      <c r="Z101" s="20">
        <f t="shared" si="31"/>
        <v>-0.79106360980785129</v>
      </c>
    </row>
    <row r="102" spans="1:26" x14ac:dyDescent="0.25">
      <c r="A102" s="29" t="s">
        <v>106</v>
      </c>
      <c r="B102" s="23">
        <v>15</v>
      </c>
      <c r="C102" s="23">
        <v>18</v>
      </c>
      <c r="D102" s="23">
        <v>21</v>
      </c>
      <c r="E102" s="23">
        <v>34</v>
      </c>
      <c r="F102" s="32">
        <v>37</v>
      </c>
      <c r="G102" s="20">
        <f>VLOOKUP(A102,IMPORTACIONTOTAL,2,FALSE)</f>
        <v>2102881</v>
      </c>
      <c r="H102" s="20">
        <f>VLOOKUP(A102,IMPORTACIONTOTAL,3,FALSE)</f>
        <v>2504294</v>
      </c>
      <c r="I102" s="20">
        <f>VLOOKUP(A102,IMPORTACIONTOTAL,4,FALSE)</f>
        <v>3722463</v>
      </c>
      <c r="J102" s="20">
        <f>VLOOKUP(A102,IMPORTACIONTOTAL,5,FALSE)</f>
        <v>4116053</v>
      </c>
      <c r="K102" s="20">
        <f>VLOOKUP(A102,IMPORTACIONTOTAL,6,FALSE)</f>
        <v>4398798</v>
      </c>
      <c r="L102" s="20">
        <f t="shared" si="17"/>
        <v>7.1330712484443961E-6</v>
      </c>
      <c r="M102" s="20">
        <f t="shared" si="18"/>
        <v>7.187654484657153E-6</v>
      </c>
      <c r="N102" s="20">
        <f t="shared" si="19"/>
        <v>5.6414261202864875E-6</v>
      </c>
      <c r="O102" s="20">
        <f t="shared" si="20"/>
        <v>8.2603406710263454E-6</v>
      </c>
      <c r="P102" s="20">
        <f t="shared" si="21"/>
        <v>8.4113887475624015E-6</v>
      </c>
      <c r="Q102" s="20">
        <f t="shared" si="22"/>
        <v>0.41289498845319361</v>
      </c>
      <c r="R102" s="20">
        <f t="shared" si="23"/>
        <v>0.68729955445430635</v>
      </c>
      <c r="S102" s="20">
        <f t="shared" si="24"/>
        <v>0.61996726906741739</v>
      </c>
      <c r="T102" s="20">
        <f t="shared" si="25"/>
        <v>0.92801537441985837</v>
      </c>
      <c r="U102" s="20">
        <f t="shared" si="26"/>
        <v>0.65996891249160261</v>
      </c>
      <c r="V102" s="20">
        <f t="shared" si="27"/>
        <v>-0.41553336684246861</v>
      </c>
      <c r="W102" s="20">
        <f t="shared" si="28"/>
        <v>-0.18532598122259616</v>
      </c>
      <c r="X102" s="20">
        <f t="shared" si="29"/>
        <v>-0.23459284529332486</v>
      </c>
      <c r="Y102" s="20">
        <f t="shared" si="30"/>
        <v>-3.7336126327209326E-2</v>
      </c>
      <c r="Z102" s="20">
        <f t="shared" si="31"/>
        <v>-0.20484184068122874</v>
      </c>
    </row>
    <row r="103" spans="1:26" x14ac:dyDescent="0.25">
      <c r="A103" s="30" t="s">
        <v>107</v>
      </c>
      <c r="B103" s="22">
        <v>31</v>
      </c>
      <c r="C103" s="22">
        <v>28</v>
      </c>
      <c r="D103" s="22">
        <v>22</v>
      </c>
      <c r="E103" s="22">
        <v>51</v>
      </c>
      <c r="F103" s="31">
        <v>37</v>
      </c>
      <c r="G103" s="20">
        <f>VLOOKUP(A103,IMPORTACIONTOTAL,2,FALSE)</f>
        <v>10732039</v>
      </c>
      <c r="H103" s="20">
        <f>VLOOKUP(A103,IMPORTACIONTOTAL,3,FALSE)</f>
        <v>11705787</v>
      </c>
      <c r="I103" s="20">
        <f>VLOOKUP(A103,IMPORTACIONTOTAL,4,FALSE)</f>
        <v>14539859</v>
      </c>
      <c r="J103" s="20">
        <f>VLOOKUP(A103,IMPORTACIONTOTAL,5,FALSE)</f>
        <v>17285345</v>
      </c>
      <c r="K103" s="20">
        <f>VLOOKUP(A103,IMPORTACIONTOTAL,6,FALSE)</f>
        <v>21058044</v>
      </c>
      <c r="L103" s="20">
        <f t="shared" si="17"/>
        <v>2.8885470878367104E-6</v>
      </c>
      <c r="M103" s="20">
        <f t="shared" si="18"/>
        <v>2.3919792834091377E-6</v>
      </c>
      <c r="N103" s="20">
        <f t="shared" si="19"/>
        <v>1.5130820732168036E-6</v>
      </c>
      <c r="O103" s="20">
        <f t="shared" si="20"/>
        <v>2.9504762560423294E-6</v>
      </c>
      <c r="P103" s="20">
        <f t="shared" si="21"/>
        <v>1.7570482804575772E-6</v>
      </c>
      <c r="Q103" s="20">
        <f t="shared" si="22"/>
        <v>0.16720239780850993</v>
      </c>
      <c r="R103" s="20">
        <f t="shared" si="23"/>
        <v>0.22872639457841851</v>
      </c>
      <c r="S103" s="20">
        <f t="shared" si="24"/>
        <v>0.16628089082543024</v>
      </c>
      <c r="T103" s="20">
        <f t="shared" si="25"/>
        <v>0.33147389877902189</v>
      </c>
      <c r="U103" s="20">
        <f t="shared" si="26"/>
        <v>0.13786037926078212</v>
      </c>
      <c r="V103" s="20">
        <f t="shared" si="27"/>
        <v>-0.71349887881923113</v>
      </c>
      <c r="W103" s="20">
        <f t="shared" si="28"/>
        <v>-0.62770166639596681</v>
      </c>
      <c r="X103" s="20">
        <f t="shared" si="29"/>
        <v>-0.71485275608392129</v>
      </c>
      <c r="Y103" s="20">
        <f t="shared" si="30"/>
        <v>-0.5020947852106038</v>
      </c>
      <c r="Z103" s="20">
        <f t="shared" si="31"/>
        <v>-0.75768489390527161</v>
      </c>
    </row>
    <row r="104" spans="1:26" ht="23.25" x14ac:dyDescent="0.25">
      <c r="A104" s="29" t="s">
        <v>108</v>
      </c>
      <c r="B104" s="23">
        <v>110</v>
      </c>
      <c r="C104" s="23">
        <v>112</v>
      </c>
      <c r="D104" s="23">
        <v>81</v>
      </c>
      <c r="E104" s="23">
        <v>83</v>
      </c>
      <c r="F104" s="24">
        <v>37</v>
      </c>
      <c r="G104" s="20">
        <f>VLOOKUP(A104,IMPORTACIONTOTAL,2,FALSE)</f>
        <v>1714131</v>
      </c>
      <c r="H104" s="20">
        <f>VLOOKUP(A104,IMPORTACIONTOTAL,3,FALSE)</f>
        <v>2003096</v>
      </c>
      <c r="I104" s="20">
        <f>VLOOKUP(A104,IMPORTACIONTOTAL,4,FALSE)</f>
        <v>2220195</v>
      </c>
      <c r="J104" s="20">
        <f>VLOOKUP(A104,IMPORTACIONTOTAL,5,FALSE)</f>
        <v>2302657</v>
      </c>
      <c r="K104" s="20">
        <f>VLOOKUP(A104,IMPORTACIONTOTAL,6,FALSE)</f>
        <v>1827168</v>
      </c>
      <c r="L104" s="20">
        <f t="shared" si="17"/>
        <v>6.417245823102201E-5</v>
      </c>
      <c r="M104" s="20">
        <f t="shared" si="18"/>
        <v>5.5913445985614268E-5</v>
      </c>
      <c r="N104" s="20">
        <f t="shared" si="19"/>
        <v>3.6483281873889453E-5</v>
      </c>
      <c r="O104" s="20">
        <f t="shared" si="20"/>
        <v>3.6045316345421834E-5</v>
      </c>
      <c r="P104" s="20">
        <f t="shared" si="21"/>
        <v>2.0249916811152558E-5</v>
      </c>
      <c r="Q104" s="20">
        <f t="shared" si="22"/>
        <v>3.7145971878648099</v>
      </c>
      <c r="R104" s="20">
        <f t="shared" si="23"/>
        <v>5.3465684245047109</v>
      </c>
      <c r="S104" s="20">
        <f t="shared" si="24"/>
        <v>4.0093480172746512</v>
      </c>
      <c r="T104" s="20">
        <f t="shared" si="25"/>
        <v>4.0495433634727629</v>
      </c>
      <c r="U104" s="20">
        <f t="shared" si="26"/>
        <v>1.5888358007201511</v>
      </c>
      <c r="V104" s="20">
        <f t="shared" si="27"/>
        <v>0.57578560366770626</v>
      </c>
      <c r="W104" s="20">
        <f t="shared" si="28"/>
        <v>0.68486907156349131</v>
      </c>
      <c r="X104" s="20">
        <f t="shared" si="29"/>
        <v>0.60074644582428005</v>
      </c>
      <c r="Y104" s="20">
        <f t="shared" si="30"/>
        <v>0.60392458168246643</v>
      </c>
      <c r="Z104" s="20">
        <f t="shared" si="31"/>
        <v>0.22745196916558064</v>
      </c>
    </row>
    <row r="105" spans="1:26" x14ac:dyDescent="0.25">
      <c r="A105" s="30" t="s">
        <v>109</v>
      </c>
      <c r="B105" s="22">
        <v>5</v>
      </c>
      <c r="C105" s="22">
        <v>18</v>
      </c>
      <c r="D105" s="22">
        <v>29</v>
      </c>
      <c r="E105" s="22">
        <v>17</v>
      </c>
      <c r="F105" s="31">
        <v>36</v>
      </c>
      <c r="G105" s="20">
        <f>VLOOKUP(A105,IMPORTACIONTOTAL,2,FALSE)</f>
        <v>15415397</v>
      </c>
      <c r="H105" s="20">
        <f>VLOOKUP(A105,IMPORTACIONTOTAL,3,FALSE)</f>
        <v>19288258</v>
      </c>
      <c r="I105" s="20">
        <f>VLOOKUP(A105,IMPORTACIONTOTAL,4,FALSE)</f>
        <v>21127751</v>
      </c>
      <c r="J105" s="20">
        <f>VLOOKUP(A105,IMPORTACIONTOTAL,5,FALSE)</f>
        <v>18705398</v>
      </c>
      <c r="K105" s="20">
        <f>VLOOKUP(A105,IMPORTACIONTOTAL,6,FALSE)</f>
        <v>20203122</v>
      </c>
      <c r="L105" s="20">
        <f t="shared" si="17"/>
        <v>3.2435103682376783E-7</v>
      </c>
      <c r="M105" s="20">
        <f t="shared" si="18"/>
        <v>9.3321024635817299E-7</v>
      </c>
      <c r="N105" s="20">
        <f t="shared" si="19"/>
        <v>1.3726023181549233E-6</v>
      </c>
      <c r="O105" s="20">
        <f t="shared" si="20"/>
        <v>9.0882856381885062E-7</v>
      </c>
      <c r="P105" s="20">
        <f t="shared" si="21"/>
        <v>1.7819028168022743E-6</v>
      </c>
      <c r="Q105" s="20">
        <f t="shared" si="22"/>
        <v>1.8774930592952838E-2</v>
      </c>
      <c r="R105" s="20">
        <f t="shared" si="23"/>
        <v>8.9235645355977347E-2</v>
      </c>
      <c r="S105" s="20">
        <f t="shared" si="24"/>
        <v>0.15084279977398687</v>
      </c>
      <c r="T105" s="20">
        <f t="shared" si="25"/>
        <v>0.10210315936413066</v>
      </c>
      <c r="U105" s="20">
        <f t="shared" si="26"/>
        <v>0.13981049972414156</v>
      </c>
      <c r="V105" s="20">
        <f t="shared" si="27"/>
        <v>-0.96314214252990038</v>
      </c>
      <c r="W105" s="20">
        <f t="shared" si="28"/>
        <v>-0.83614997225542709</v>
      </c>
      <c r="X105" s="20">
        <f t="shared" si="29"/>
        <v>-0.73785681275737958</v>
      </c>
      <c r="Y105" s="20">
        <f t="shared" si="30"/>
        <v>-0.81471215557890231</v>
      </c>
      <c r="Z105" s="20">
        <f t="shared" si="31"/>
        <v>-0.75467764201509158</v>
      </c>
    </row>
    <row r="106" spans="1:26" x14ac:dyDescent="0.25">
      <c r="A106" s="29" t="s">
        <v>110</v>
      </c>
      <c r="B106" s="23">
        <v>6</v>
      </c>
      <c r="C106" s="23">
        <v>78</v>
      </c>
      <c r="D106" s="23">
        <v>12</v>
      </c>
      <c r="E106" s="23">
        <v>5</v>
      </c>
      <c r="F106" s="24">
        <v>36</v>
      </c>
      <c r="G106" s="20">
        <f>VLOOKUP(A106,IMPORTACIONTOTAL,2,FALSE)</f>
        <v>18412051</v>
      </c>
      <c r="H106" s="20">
        <f>VLOOKUP(A106,IMPORTACIONTOTAL,3,FALSE)</f>
        <v>21811968</v>
      </c>
      <c r="I106" s="20">
        <f>VLOOKUP(A106,IMPORTACIONTOTAL,4,FALSE)</f>
        <v>26672667</v>
      </c>
      <c r="J106" s="20">
        <f>VLOOKUP(A106,IMPORTACIONTOTAL,5,FALSE)</f>
        <v>25930494</v>
      </c>
      <c r="K106" s="20">
        <f>VLOOKUP(A106,IMPORTACIONTOTAL,6,FALSE)</f>
        <v>20040234</v>
      </c>
      <c r="L106" s="20">
        <f t="shared" si="17"/>
        <v>3.2587352707202472E-7</v>
      </c>
      <c r="M106" s="20">
        <f t="shared" si="18"/>
        <v>3.5760184500545756E-6</v>
      </c>
      <c r="N106" s="20">
        <f t="shared" si="19"/>
        <v>4.4989876715365585E-7</v>
      </c>
      <c r="O106" s="20">
        <f t="shared" si="20"/>
        <v>1.9282316796587061E-7</v>
      </c>
      <c r="P106" s="20">
        <f t="shared" si="21"/>
        <v>1.7963862098616213E-6</v>
      </c>
      <c r="Q106" s="20">
        <f t="shared" si="22"/>
        <v>1.8863059334637736E-2</v>
      </c>
      <c r="R106" s="20">
        <f t="shared" si="23"/>
        <v>0.34194686078599457</v>
      </c>
      <c r="S106" s="20">
        <f t="shared" si="24"/>
        <v>4.9441843973822251E-2</v>
      </c>
      <c r="T106" s="20">
        <f t="shared" si="25"/>
        <v>2.1662891585612663E-2</v>
      </c>
      <c r="U106" s="20">
        <f t="shared" si="26"/>
        <v>0.14094688628924185</v>
      </c>
      <c r="V106" s="20">
        <f t="shared" si="27"/>
        <v>-0.96297233634722978</v>
      </c>
      <c r="W106" s="20">
        <f t="shared" si="28"/>
        <v>-0.49037198002652332</v>
      </c>
      <c r="X106" s="20">
        <f t="shared" si="29"/>
        <v>-0.90577497122354966</v>
      </c>
      <c r="Y106" s="20">
        <f t="shared" si="30"/>
        <v>-0.95759287772115897</v>
      </c>
      <c r="Z106" s="20">
        <f t="shared" si="31"/>
        <v>-0.75292997775268866</v>
      </c>
    </row>
    <row r="107" spans="1:26" x14ac:dyDescent="0.25">
      <c r="A107" s="30" t="s">
        <v>111</v>
      </c>
      <c r="B107" s="22">
        <v>10</v>
      </c>
      <c r="C107" s="22">
        <v>20</v>
      </c>
      <c r="D107" s="22">
        <v>21</v>
      </c>
      <c r="E107" s="22">
        <v>26</v>
      </c>
      <c r="F107" s="31">
        <v>36</v>
      </c>
      <c r="G107" s="20">
        <f>VLOOKUP(A107,IMPORTACIONTOTAL,2,FALSE)</f>
        <v>1065045</v>
      </c>
      <c r="H107" s="20">
        <f>VLOOKUP(A107,IMPORTACIONTOTAL,3,FALSE)</f>
        <v>1200014</v>
      </c>
      <c r="I107" s="20">
        <f>VLOOKUP(A107,IMPORTACIONTOTAL,4,FALSE)</f>
        <v>1407302</v>
      </c>
      <c r="J107" s="20">
        <f>VLOOKUP(A107,IMPORTACIONTOTAL,5,FALSE)</f>
        <v>1468137</v>
      </c>
      <c r="K107" s="20">
        <f>VLOOKUP(A107,IMPORTACIONTOTAL,6,FALSE)</f>
        <v>1507925</v>
      </c>
      <c r="L107" s="20">
        <f t="shared" si="17"/>
        <v>9.3892746315883373E-6</v>
      </c>
      <c r="M107" s="20">
        <f t="shared" si="18"/>
        <v>1.6666472224490715E-5</v>
      </c>
      <c r="N107" s="20">
        <f t="shared" si="19"/>
        <v>1.4922170223590956E-5</v>
      </c>
      <c r="O107" s="20">
        <f t="shared" si="20"/>
        <v>1.7709518934540849E-5</v>
      </c>
      <c r="P107" s="20">
        <f t="shared" si="21"/>
        <v>2.3873866405822571E-5</v>
      </c>
      <c r="Q107" s="20">
        <f t="shared" si="22"/>
        <v>0.54349442274798421</v>
      </c>
      <c r="R107" s="20">
        <f t="shared" si="23"/>
        <v>1.5936852499892991</v>
      </c>
      <c r="S107" s="20">
        <f t="shared" si="24"/>
        <v>1.6398791590678516</v>
      </c>
      <c r="T107" s="20">
        <f t="shared" si="25"/>
        <v>1.9895917734336603</v>
      </c>
      <c r="U107" s="20">
        <f t="shared" si="26"/>
        <v>1.8731757765192554</v>
      </c>
      <c r="V107" s="20">
        <f t="shared" si="27"/>
        <v>-0.295761079874373</v>
      </c>
      <c r="W107" s="20">
        <f t="shared" si="28"/>
        <v>0.22889641292895829</v>
      </c>
      <c r="X107" s="20">
        <f t="shared" si="29"/>
        <v>0.24238956426088634</v>
      </c>
      <c r="Y107" s="20">
        <f t="shared" si="30"/>
        <v>0.33101234162719029</v>
      </c>
      <c r="Z107" s="20">
        <f t="shared" si="31"/>
        <v>0.30390614582483882</v>
      </c>
    </row>
    <row r="108" spans="1:26" x14ac:dyDescent="0.25">
      <c r="A108" s="29" t="s">
        <v>112</v>
      </c>
      <c r="B108" s="23">
        <v>14</v>
      </c>
      <c r="C108" s="23">
        <v>22</v>
      </c>
      <c r="D108" s="23">
        <v>28</v>
      </c>
      <c r="E108" s="23">
        <v>24</v>
      </c>
      <c r="F108" s="24">
        <v>32</v>
      </c>
      <c r="G108" s="20">
        <f>VLOOKUP(A108,IMPORTACIONTOTAL,2,FALSE)</f>
        <v>9340310</v>
      </c>
      <c r="H108" s="20">
        <f>VLOOKUP(A108,IMPORTACIONTOTAL,3,FALSE)</f>
        <v>11359681</v>
      </c>
      <c r="I108" s="20">
        <f>VLOOKUP(A108,IMPORTACIONTOTAL,4,FALSE)</f>
        <v>17710712</v>
      </c>
      <c r="J108" s="20">
        <f>VLOOKUP(A108,IMPORTACIONTOTAL,5,FALSE)</f>
        <v>15749426</v>
      </c>
      <c r="K108" s="20">
        <f>VLOOKUP(A108,IMPORTACIONTOTAL,6,FALSE)</f>
        <v>11908935</v>
      </c>
      <c r="L108" s="20">
        <f t="shared" si="17"/>
        <v>1.4988795875083374E-6</v>
      </c>
      <c r="M108" s="20">
        <f t="shared" si="18"/>
        <v>1.9366741020280409E-6</v>
      </c>
      <c r="N108" s="20">
        <f t="shared" si="19"/>
        <v>1.580964108049411E-6</v>
      </c>
      <c r="O108" s="20">
        <f t="shared" si="20"/>
        <v>1.523865060225052E-6</v>
      </c>
      <c r="P108" s="20">
        <f t="shared" si="21"/>
        <v>2.6870580786611061E-6</v>
      </c>
      <c r="Q108" s="20">
        <f t="shared" si="22"/>
        <v>8.6762047990471144E-2</v>
      </c>
      <c r="R108" s="20">
        <f t="shared" si="23"/>
        <v>0.18518909754056687</v>
      </c>
      <c r="S108" s="20">
        <f t="shared" si="24"/>
        <v>0.17374082008029987</v>
      </c>
      <c r="T108" s="20">
        <f t="shared" si="25"/>
        <v>0.17119998566044389</v>
      </c>
      <c r="U108" s="20">
        <f t="shared" si="26"/>
        <v>0.21083020309692199</v>
      </c>
      <c r="V108" s="20">
        <f t="shared" si="27"/>
        <v>-0.84032926407229136</v>
      </c>
      <c r="W108" s="20">
        <f t="shared" si="28"/>
        <v>-0.68749442949676109</v>
      </c>
      <c r="X108" s="20">
        <f t="shared" si="29"/>
        <v>-0.70395368873954023</v>
      </c>
      <c r="Y108" s="20">
        <f t="shared" si="30"/>
        <v>-0.70765029413161473</v>
      </c>
      <c r="Z108" s="20">
        <f t="shared" si="31"/>
        <v>-0.65175925979103455</v>
      </c>
    </row>
    <row r="109" spans="1:26" ht="23.25" x14ac:dyDescent="0.25">
      <c r="A109" s="30" t="s">
        <v>113</v>
      </c>
      <c r="B109" s="22">
        <v>53</v>
      </c>
      <c r="C109" s="22">
        <v>28</v>
      </c>
      <c r="D109" s="22">
        <v>66</v>
      </c>
      <c r="E109" s="22">
        <v>67</v>
      </c>
      <c r="F109" s="31">
        <v>27</v>
      </c>
      <c r="G109" s="20">
        <f>VLOOKUP(A109,IMPORTACIONTOTAL,2,FALSE)</f>
        <v>5415991</v>
      </c>
      <c r="H109" s="20">
        <f>VLOOKUP(A109,IMPORTACIONTOTAL,3,FALSE)</f>
        <v>7176764</v>
      </c>
      <c r="I109" s="20">
        <f>VLOOKUP(A109,IMPORTACIONTOTAL,4,FALSE)</f>
        <v>9218982</v>
      </c>
      <c r="J109" s="20">
        <f>VLOOKUP(A109,IMPORTACIONTOTAL,5,FALSE)</f>
        <v>8673672</v>
      </c>
      <c r="K109" s="20">
        <f>VLOOKUP(A109,IMPORTACIONTOTAL,6,FALSE)</f>
        <v>9065188</v>
      </c>
      <c r="L109" s="20">
        <f t="shared" si="17"/>
        <v>9.7858360547497217E-6</v>
      </c>
      <c r="M109" s="20">
        <f t="shared" si="18"/>
        <v>3.9014798313000123E-6</v>
      </c>
      <c r="N109" s="20">
        <f t="shared" si="19"/>
        <v>7.1591418662060516E-6</v>
      </c>
      <c r="O109" s="20">
        <f t="shared" si="20"/>
        <v>7.7245254374387226E-6</v>
      </c>
      <c r="P109" s="20">
        <f t="shared" si="21"/>
        <v>2.9784269228613903E-6</v>
      </c>
      <c r="Q109" s="20">
        <f t="shared" si="22"/>
        <v>0.56644922279612764</v>
      </c>
      <c r="R109" s="20">
        <f t="shared" si="23"/>
        <v>0.37306820402801627</v>
      </c>
      <c r="S109" s="20">
        <f t="shared" si="24"/>
        <v>0.78675737960964098</v>
      </c>
      <c r="T109" s="20">
        <f t="shared" si="25"/>
        <v>0.86781873188163983</v>
      </c>
      <c r="U109" s="20">
        <f t="shared" si="26"/>
        <v>0.23369139582166953</v>
      </c>
      <c r="V109" s="20">
        <f t="shared" si="27"/>
        <v>-0.27677295305492239</v>
      </c>
      <c r="W109" s="20">
        <f t="shared" si="28"/>
        <v>-0.45659188242275534</v>
      </c>
      <c r="X109" s="20">
        <f t="shared" si="29"/>
        <v>-0.11934615344191099</v>
      </c>
      <c r="Y109" s="20">
        <f t="shared" si="30"/>
        <v>-7.0767717371160957E-2</v>
      </c>
      <c r="Z109" s="20">
        <f t="shared" si="31"/>
        <v>-0.62115096755453147</v>
      </c>
    </row>
    <row r="110" spans="1:26" x14ac:dyDescent="0.25">
      <c r="A110" s="29" t="s">
        <v>114</v>
      </c>
      <c r="B110" s="23">
        <v>44</v>
      </c>
      <c r="C110" s="23">
        <v>65</v>
      </c>
      <c r="D110" s="23">
        <v>72</v>
      </c>
      <c r="E110" s="23">
        <v>65</v>
      </c>
      <c r="F110" s="24">
        <v>26</v>
      </c>
      <c r="G110" s="20">
        <f>VLOOKUP(A110,IMPORTACIONTOTAL,2,FALSE)</f>
        <v>939715</v>
      </c>
      <c r="H110" s="20">
        <f>VLOOKUP(A110,IMPORTACIONTOTAL,3,FALSE)</f>
        <v>1169779</v>
      </c>
      <c r="I110" s="20">
        <f>VLOOKUP(A110,IMPORTACIONTOTAL,4,FALSE)</f>
        <v>1474134</v>
      </c>
      <c r="J110" s="20">
        <f>VLOOKUP(A110,IMPORTACIONTOTAL,5,FALSE)</f>
        <v>1536520</v>
      </c>
      <c r="K110" s="20">
        <f>VLOOKUP(A110,IMPORTACIONTOTAL,6,FALSE)</f>
        <v>1410705</v>
      </c>
      <c r="L110" s="20">
        <f t="shared" si="17"/>
        <v>4.6822706884534143E-5</v>
      </c>
      <c r="M110" s="20">
        <f t="shared" si="18"/>
        <v>5.5566051365257882E-5</v>
      </c>
      <c r="N110" s="20">
        <f t="shared" si="19"/>
        <v>4.884223550911925E-5</v>
      </c>
      <c r="O110" s="20">
        <f t="shared" si="20"/>
        <v>4.2303386874235282E-5</v>
      </c>
      <c r="P110" s="20">
        <f t="shared" si="21"/>
        <v>1.8430501061525975E-5</v>
      </c>
      <c r="Q110" s="20">
        <f t="shared" si="22"/>
        <v>2.7103137407541205</v>
      </c>
      <c r="R110" s="20">
        <f t="shared" si="23"/>
        <v>5.3133497760150767</v>
      </c>
      <c r="S110" s="20">
        <f t="shared" si="24"/>
        <v>5.3675412418940924</v>
      </c>
      <c r="T110" s="20">
        <f t="shared" si="25"/>
        <v>4.7526119046181856</v>
      </c>
      <c r="U110" s="20">
        <f t="shared" si="26"/>
        <v>1.4460819856620695</v>
      </c>
      <c r="V110" s="20">
        <f t="shared" si="27"/>
        <v>0.46096202646369727</v>
      </c>
      <c r="W110" s="20">
        <f t="shared" si="28"/>
        <v>0.6832109623328394</v>
      </c>
      <c r="X110" s="20">
        <f t="shared" si="29"/>
        <v>0.68590702061867148</v>
      </c>
      <c r="Y110" s="20">
        <f t="shared" si="30"/>
        <v>0.65233183931730143</v>
      </c>
      <c r="Z110" s="20">
        <f t="shared" si="31"/>
        <v>0.18236591752722078</v>
      </c>
    </row>
    <row r="111" spans="1:26" x14ac:dyDescent="0.25">
      <c r="A111" s="30" t="s">
        <v>115</v>
      </c>
      <c r="B111" s="22">
        <v>4</v>
      </c>
      <c r="C111" s="22">
        <v>8</v>
      </c>
      <c r="D111" s="22">
        <v>16</v>
      </c>
      <c r="E111" s="22">
        <v>14</v>
      </c>
      <c r="F111" s="25">
        <v>24</v>
      </c>
      <c r="G111" s="20">
        <f>VLOOKUP(A111,IMPORTACIONTOTAL,2,FALSE)</f>
        <v>7820339</v>
      </c>
      <c r="H111" s="20">
        <f>VLOOKUP(A111,IMPORTACIONTOTAL,3,FALSE)</f>
        <v>8285456</v>
      </c>
      <c r="I111" s="20">
        <f>VLOOKUP(A111,IMPORTACIONTOTAL,4,FALSE)</f>
        <v>12129313</v>
      </c>
      <c r="J111" s="20">
        <f>VLOOKUP(A111,IMPORTACIONTOTAL,5,FALSE)</f>
        <v>11877493</v>
      </c>
      <c r="K111" s="20">
        <f>VLOOKUP(A111,IMPORTACIONTOTAL,6,FALSE)</f>
        <v>13278219</v>
      </c>
      <c r="L111" s="20">
        <f t="shared" si="17"/>
        <v>5.1148677825858952E-7</v>
      </c>
      <c r="M111" s="20">
        <f t="shared" si="18"/>
        <v>9.6554733982052399E-7</v>
      </c>
      <c r="N111" s="20">
        <f t="shared" si="19"/>
        <v>1.3191184034907831E-6</v>
      </c>
      <c r="O111" s="20">
        <f t="shared" si="20"/>
        <v>1.1786999158829224E-6</v>
      </c>
      <c r="P111" s="20">
        <f t="shared" si="21"/>
        <v>1.8074713182543532E-6</v>
      </c>
      <c r="Q111" s="20">
        <f t="shared" si="22"/>
        <v>2.9607208458642356E-2</v>
      </c>
      <c r="R111" s="20">
        <f t="shared" si="23"/>
        <v>9.2327790363290002E-2</v>
      </c>
      <c r="S111" s="20">
        <f t="shared" si="24"/>
        <v>0.14496515894233172</v>
      </c>
      <c r="T111" s="20">
        <f t="shared" si="25"/>
        <v>0.13242209823179546</v>
      </c>
      <c r="U111" s="20">
        <f t="shared" si="26"/>
        <v>0.14181663885333809</v>
      </c>
      <c r="V111" s="20">
        <f t="shared" si="27"/>
        <v>-0.94248834270893389</v>
      </c>
      <c r="W111" s="20">
        <f t="shared" si="28"/>
        <v>-0.83095222665243496</v>
      </c>
      <c r="X111" s="20">
        <f t="shared" si="29"/>
        <v>-0.74677804331400932</v>
      </c>
      <c r="Y111" s="20">
        <f t="shared" si="30"/>
        <v>-0.76612590227872801</v>
      </c>
      <c r="Z111" s="20">
        <f t="shared" si="31"/>
        <v>-0.75159472365763291</v>
      </c>
    </row>
    <row r="112" spans="1:26" ht="23.25" x14ac:dyDescent="0.25">
      <c r="A112" s="29" t="s">
        <v>116</v>
      </c>
      <c r="B112" s="24">
        <v>14</v>
      </c>
      <c r="C112" s="24">
        <v>44</v>
      </c>
      <c r="D112" s="24">
        <v>36</v>
      </c>
      <c r="E112" s="24">
        <v>24</v>
      </c>
      <c r="F112" s="24">
        <v>22</v>
      </c>
      <c r="G112" s="20">
        <f>VLOOKUP(A112,IMPORTACIONTOTAL,2,FALSE)</f>
        <v>2160324</v>
      </c>
      <c r="H112" s="20">
        <f>VLOOKUP(A112,IMPORTACIONTOTAL,3,FALSE)</f>
        <v>2265708</v>
      </c>
      <c r="I112" s="20">
        <f>VLOOKUP(A112,IMPORTACIONTOTAL,4,FALSE)</f>
        <v>2836706</v>
      </c>
      <c r="J112" s="20">
        <f>VLOOKUP(A112,IMPORTACIONTOTAL,5,FALSE)</f>
        <v>2720816</v>
      </c>
      <c r="K112" s="20">
        <f>VLOOKUP(A112,IMPORTACIONTOTAL,6,FALSE)</f>
        <v>1748506</v>
      </c>
      <c r="L112" s="20">
        <f t="shared" si="17"/>
        <v>6.4805094050707206E-6</v>
      </c>
      <c r="M112" s="20">
        <f t="shared" si="18"/>
        <v>1.9419978214315348E-5</v>
      </c>
      <c r="N112" s="20">
        <f t="shared" si="19"/>
        <v>1.2690775850581626E-5</v>
      </c>
      <c r="O112" s="20">
        <f t="shared" si="20"/>
        <v>8.8208831468206599E-6</v>
      </c>
      <c r="P112" s="20">
        <f t="shared" si="21"/>
        <v>1.258217014983077E-5</v>
      </c>
      <c r="Q112" s="20">
        <f t="shared" si="22"/>
        <v>0.37512170603385303</v>
      </c>
      <c r="R112" s="20">
        <f t="shared" si="23"/>
        <v>1.8569816346490584</v>
      </c>
      <c r="S112" s="20">
        <f t="shared" si="24"/>
        <v>1.3946589884673115</v>
      </c>
      <c r="T112" s="20">
        <f t="shared" si="25"/>
        <v>0.99099002114079826</v>
      </c>
      <c r="U112" s="20">
        <f t="shared" si="26"/>
        <v>0.98721404987666861</v>
      </c>
      <c r="V112" s="20">
        <f t="shared" si="27"/>
        <v>-0.4544167190614935</v>
      </c>
      <c r="W112" s="20">
        <f t="shared" si="28"/>
        <v>0.29996049826002014</v>
      </c>
      <c r="X112" s="20">
        <f t="shared" si="29"/>
        <v>0.16480801248444601</v>
      </c>
      <c r="Y112" s="20">
        <f t="shared" si="30"/>
        <v>-4.5253762015538372E-3</v>
      </c>
      <c r="Z112" s="20">
        <f t="shared" si="31"/>
        <v>-6.434108154642384E-3</v>
      </c>
    </row>
    <row r="113" spans="1:26" x14ac:dyDescent="0.25">
      <c r="A113" s="30" t="s">
        <v>117</v>
      </c>
      <c r="B113" s="22">
        <v>14</v>
      </c>
      <c r="C113" s="22">
        <v>21</v>
      </c>
      <c r="D113" s="22">
        <v>37</v>
      </c>
      <c r="E113" s="22">
        <v>26</v>
      </c>
      <c r="F113" s="31">
        <v>13</v>
      </c>
      <c r="G113" s="20">
        <f>VLOOKUP(A113,IMPORTACIONTOTAL,2,FALSE)</f>
        <v>5298771</v>
      </c>
      <c r="H113" s="20">
        <f>VLOOKUP(A113,IMPORTACIONTOTAL,3,FALSE)</f>
        <v>6848642</v>
      </c>
      <c r="I113" s="20">
        <f>VLOOKUP(A113,IMPORTACIONTOTAL,4,FALSE)</f>
        <v>8746855</v>
      </c>
      <c r="J113" s="20">
        <f>VLOOKUP(A113,IMPORTACIONTOTAL,5,FALSE)</f>
        <v>9252491</v>
      </c>
      <c r="K113" s="20">
        <f>VLOOKUP(A113,IMPORTACIONTOTAL,6,FALSE)</f>
        <v>11608376</v>
      </c>
      <c r="L113" s="20">
        <f t="shared" si="17"/>
        <v>2.6421221071829675E-6</v>
      </c>
      <c r="M113" s="20">
        <f t="shared" si="18"/>
        <v>3.0663013192980446E-6</v>
      </c>
      <c r="N113" s="20">
        <f t="shared" si="19"/>
        <v>4.230091844440087E-6</v>
      </c>
      <c r="O113" s="20">
        <f t="shared" si="20"/>
        <v>2.8100540708442734E-6</v>
      </c>
      <c r="P113" s="20">
        <f t="shared" si="21"/>
        <v>1.1198810238400273E-6</v>
      </c>
      <c r="Q113" s="20">
        <f t="shared" si="22"/>
        <v>0.15293818594271719</v>
      </c>
      <c r="R113" s="20">
        <f t="shared" si="23"/>
        <v>0.29320657177871051</v>
      </c>
      <c r="S113" s="20">
        <f t="shared" si="24"/>
        <v>0.46486800195279282</v>
      </c>
      <c r="T113" s="20">
        <f t="shared" si="25"/>
        <v>0.31569804255670975</v>
      </c>
      <c r="U113" s="20">
        <f t="shared" si="26"/>
        <v>8.7867376435059041E-2</v>
      </c>
      <c r="V113" s="20">
        <f t="shared" si="27"/>
        <v>-0.73469837705537522</v>
      </c>
      <c r="W113" s="20">
        <f t="shared" si="28"/>
        <v>-0.54654333162655311</v>
      </c>
      <c r="X113" s="20">
        <f t="shared" si="29"/>
        <v>-0.36531072924920943</v>
      </c>
      <c r="Y113" s="20">
        <f t="shared" si="30"/>
        <v>-0.52010562857837128</v>
      </c>
      <c r="Z113" s="20">
        <f t="shared" si="31"/>
        <v>-0.83845939617566179</v>
      </c>
    </row>
    <row r="114" spans="1:26" x14ac:dyDescent="0.25">
      <c r="A114" s="29" t="s">
        <v>118</v>
      </c>
      <c r="B114" s="24">
        <v>14</v>
      </c>
      <c r="C114" s="24">
        <v>15</v>
      </c>
      <c r="D114" s="23"/>
      <c r="E114" s="24">
        <v>17</v>
      </c>
      <c r="F114" s="24">
        <v>12</v>
      </c>
      <c r="G114" s="20">
        <f>VLOOKUP(A114,IMPORTACIONTOTAL,2,FALSE)</f>
        <v>12487628</v>
      </c>
      <c r="H114" s="20">
        <f>VLOOKUP(A114,IMPORTACIONTOTAL,3,FALSE)</f>
        <v>18010707</v>
      </c>
      <c r="I114" s="20">
        <f>VLOOKUP(A114,IMPORTACIONTOTAL,4,FALSE)</f>
        <v>19948111</v>
      </c>
      <c r="J114" s="20">
        <f>VLOOKUP(A114,IMPORTACIONTOTAL,5,FALSE)</f>
        <v>23270982</v>
      </c>
      <c r="K114" s="20">
        <f>VLOOKUP(A114,IMPORTACIONTOTAL,6,FALSE)</f>
        <v>18339326</v>
      </c>
      <c r="L114" s="20">
        <f t="shared" si="17"/>
        <v>1.1211096294668611E-6</v>
      </c>
      <c r="M114" s="20">
        <f t="shared" si="18"/>
        <v>8.3283793356918195E-7</v>
      </c>
      <c r="N114" s="20">
        <f t="shared" si="19"/>
        <v>0</v>
      </c>
      <c r="O114" s="20">
        <f t="shared" si="20"/>
        <v>7.3052353355780175E-7</v>
      </c>
      <c r="P114" s="20">
        <f t="shared" si="21"/>
        <v>6.5433157140017033E-7</v>
      </c>
      <c r="Q114" s="20">
        <f t="shared" si="22"/>
        <v>6.4894984417046817E-2</v>
      </c>
      <c r="R114" s="20">
        <f t="shared" si="23"/>
        <v>7.9637820918717628E-2</v>
      </c>
      <c r="S114" s="20">
        <f t="shared" si="24"/>
        <v>0</v>
      </c>
      <c r="T114" s="20">
        <f t="shared" si="25"/>
        <v>8.2071320968040401E-2</v>
      </c>
      <c r="U114" s="20">
        <f t="shared" si="26"/>
        <v>5.133973812719541E-2</v>
      </c>
      <c r="V114" s="20">
        <f t="shared" si="27"/>
        <v>-0.87811946648885364</v>
      </c>
      <c r="W114" s="20">
        <f t="shared" si="28"/>
        <v>-0.85247308055408832</v>
      </c>
      <c r="X114" s="20">
        <f t="shared" si="29"/>
        <v>-1</v>
      </c>
      <c r="Y114" s="20">
        <f t="shared" si="30"/>
        <v>-0.84830700273135806</v>
      </c>
      <c r="Z114" s="20">
        <f t="shared" si="31"/>
        <v>-0.90233463786187806</v>
      </c>
    </row>
    <row r="115" spans="1:26" x14ac:dyDescent="0.25">
      <c r="A115" s="30" t="s">
        <v>119</v>
      </c>
      <c r="B115" s="22">
        <v>40</v>
      </c>
      <c r="C115" s="25">
        <v>19</v>
      </c>
      <c r="D115" s="25">
        <v>11</v>
      </c>
      <c r="E115" s="25">
        <v>9</v>
      </c>
      <c r="F115" s="25">
        <v>12</v>
      </c>
      <c r="G115" s="20">
        <f>VLOOKUP(A115,IMPORTACIONTOTAL,2,FALSE)</f>
        <v>1003430</v>
      </c>
      <c r="H115" s="20">
        <f>VLOOKUP(A115,IMPORTACIONTOTAL,3,FALSE)</f>
        <v>1715157</v>
      </c>
      <c r="I115" s="20">
        <f>VLOOKUP(A115,IMPORTACIONTOTAL,4,FALSE)</f>
        <v>2343768</v>
      </c>
      <c r="J115" s="20">
        <f>VLOOKUP(A115,IMPORTACIONTOTAL,5,FALSE)</f>
        <v>2293825</v>
      </c>
      <c r="K115" s="20">
        <f>VLOOKUP(A115,IMPORTACIONTOTAL,6,FALSE)</f>
        <v>2707963</v>
      </c>
      <c r="L115" s="20">
        <f t="shared" si="17"/>
        <v>3.9863268987373311E-5</v>
      </c>
      <c r="M115" s="20">
        <f t="shared" si="18"/>
        <v>1.1077703090737467E-5</v>
      </c>
      <c r="N115" s="20">
        <f t="shared" si="19"/>
        <v>4.6932972888101556E-6</v>
      </c>
      <c r="O115" s="20">
        <f t="shared" si="20"/>
        <v>3.9235774307107128E-6</v>
      </c>
      <c r="P115" s="20">
        <f t="shared" si="21"/>
        <v>4.4313751701925026E-6</v>
      </c>
      <c r="Q115" s="20">
        <f t="shared" si="22"/>
        <v>2.3074694496900703</v>
      </c>
      <c r="R115" s="20">
        <f t="shared" si="23"/>
        <v>1.0592746792285637</v>
      </c>
      <c r="S115" s="20">
        <f t="shared" si="24"/>
        <v>0.51577218969542826</v>
      </c>
      <c r="T115" s="20">
        <f t="shared" si="25"/>
        <v>0.44079782220094532</v>
      </c>
      <c r="U115" s="20">
        <f t="shared" si="26"/>
        <v>0.34769167609353085</v>
      </c>
      <c r="V115" s="20">
        <f t="shared" si="27"/>
        <v>0.39530809568402453</v>
      </c>
      <c r="W115" s="20">
        <f t="shared" si="28"/>
        <v>2.8784250992086636E-2</v>
      </c>
      <c r="X115" s="20">
        <f t="shared" si="29"/>
        <v>-0.31945948975476984</v>
      </c>
      <c r="Y115" s="20">
        <f t="shared" si="30"/>
        <v>-0.38811981055386674</v>
      </c>
      <c r="Z115" s="20">
        <f t="shared" si="31"/>
        <v>-0.4840189603287261</v>
      </c>
    </row>
    <row r="116" spans="1:26" x14ac:dyDescent="0.25">
      <c r="A116" s="29" t="s">
        <v>120</v>
      </c>
      <c r="B116" s="23">
        <v>15</v>
      </c>
      <c r="C116" s="23">
        <v>17</v>
      </c>
      <c r="D116" s="23">
        <v>20</v>
      </c>
      <c r="E116" s="23">
        <v>23</v>
      </c>
      <c r="F116" s="32">
        <v>11</v>
      </c>
      <c r="G116" s="20">
        <f>VLOOKUP(A116,IMPORTACIONTOTAL,2,FALSE)</f>
        <v>10532202</v>
      </c>
      <c r="H116" s="20">
        <f>VLOOKUP(A116,IMPORTACIONTOTAL,3,FALSE)</f>
        <v>13998346</v>
      </c>
      <c r="I116" s="20">
        <f>VLOOKUP(A116,IMPORTACIONTOTAL,4,FALSE)</f>
        <v>17972135</v>
      </c>
      <c r="J116" s="20">
        <f>VLOOKUP(A116,IMPORTACIONTOTAL,5,FALSE)</f>
        <v>18834793</v>
      </c>
      <c r="K116" s="20">
        <f>VLOOKUP(A116,IMPORTACIONTOTAL,6,FALSE)</f>
        <v>17219303</v>
      </c>
      <c r="L116" s="20">
        <f t="shared" si="17"/>
        <v>1.4242035995891458E-6</v>
      </c>
      <c r="M116" s="20">
        <f t="shared" si="18"/>
        <v>1.2144291904200682E-6</v>
      </c>
      <c r="N116" s="20">
        <f t="shared" si="19"/>
        <v>1.1128338397190986E-6</v>
      </c>
      <c r="O116" s="20">
        <f t="shared" si="20"/>
        <v>1.2211442939670216E-6</v>
      </c>
      <c r="P116" s="20">
        <f t="shared" si="21"/>
        <v>6.3881795912412946E-7</v>
      </c>
      <c r="Q116" s="20">
        <f t="shared" si="22"/>
        <v>8.243945816966293E-2</v>
      </c>
      <c r="R116" s="20">
        <f t="shared" si="23"/>
        <v>0.11612642806825604</v>
      </c>
      <c r="S116" s="20">
        <f t="shared" si="24"/>
        <v>0.12229541641173199</v>
      </c>
      <c r="T116" s="20">
        <f t="shared" si="25"/>
        <v>0.13719054992022192</v>
      </c>
      <c r="U116" s="20">
        <f t="shared" si="26"/>
        <v>5.0122519172049365E-2</v>
      </c>
      <c r="V116" s="20">
        <f t="shared" si="27"/>
        <v>-0.84767839430195402</v>
      </c>
      <c r="W116" s="20">
        <f t="shared" si="28"/>
        <v>-0.79191169539952078</v>
      </c>
      <c r="X116" s="20">
        <f t="shared" si="29"/>
        <v>-0.782061987203437</v>
      </c>
      <c r="Y116" s="20">
        <f t="shared" si="30"/>
        <v>-0.75872020756794656</v>
      </c>
      <c r="Z116" s="20">
        <f t="shared" si="31"/>
        <v>-0.90453967369147059</v>
      </c>
    </row>
    <row r="117" spans="1:26" x14ac:dyDescent="0.25">
      <c r="A117" s="30" t="s">
        <v>121</v>
      </c>
      <c r="B117" s="22">
        <v>7</v>
      </c>
      <c r="C117" s="22">
        <v>11</v>
      </c>
      <c r="D117" s="22">
        <v>9</v>
      </c>
      <c r="E117" s="22">
        <v>15</v>
      </c>
      <c r="F117" s="31">
        <v>10</v>
      </c>
      <c r="G117" s="20">
        <f>VLOOKUP(A117,IMPORTACIONTOTAL,2,FALSE)</f>
        <v>6437597</v>
      </c>
      <c r="H117" s="20">
        <f>VLOOKUP(A117,IMPORTACIONTOTAL,3,FALSE)</f>
        <v>8622697</v>
      </c>
      <c r="I117" s="20">
        <f>VLOOKUP(A117,IMPORTACIONTOTAL,4,FALSE)</f>
        <v>14512194</v>
      </c>
      <c r="J117" s="20">
        <f>VLOOKUP(A117,IMPORTACIONTOTAL,5,FALSE)</f>
        <v>10069934</v>
      </c>
      <c r="K117" s="20">
        <f>VLOOKUP(A117,IMPORTACIONTOTAL,6,FALSE)</f>
        <v>9212662</v>
      </c>
      <c r="L117" s="20">
        <f t="shared" si="17"/>
        <v>1.0873622564444465E-6</v>
      </c>
      <c r="M117" s="20">
        <f t="shared" si="18"/>
        <v>1.2757029500166828E-6</v>
      </c>
      <c r="N117" s="20">
        <f t="shared" si="19"/>
        <v>6.2016811517266096E-7</v>
      </c>
      <c r="O117" s="20">
        <f t="shared" si="20"/>
        <v>1.4895827519822871E-6</v>
      </c>
      <c r="P117" s="20">
        <f t="shared" si="21"/>
        <v>1.0854625948504351E-6</v>
      </c>
      <c r="Q117" s="20">
        <f t="shared" si="22"/>
        <v>6.2941531169617912E-2</v>
      </c>
      <c r="R117" s="20">
        <f t="shared" si="23"/>
        <v>0.12198556163684776</v>
      </c>
      <c r="S117" s="20">
        <f t="shared" si="24"/>
        <v>6.8153676841336885E-2</v>
      </c>
      <c r="T117" s="20">
        <f t="shared" si="25"/>
        <v>0.16734850902201928</v>
      </c>
      <c r="U117" s="20">
        <f t="shared" si="26"/>
        <v>8.5166860048093415E-2</v>
      </c>
      <c r="V117" s="20">
        <f t="shared" si="27"/>
        <v>-0.88157103787193336</v>
      </c>
      <c r="W117" s="20">
        <f t="shared" si="28"/>
        <v>-0.78255413294466136</v>
      </c>
      <c r="X117" s="20">
        <f t="shared" si="29"/>
        <v>-0.87238975379858119</v>
      </c>
      <c r="Y117" s="20">
        <f t="shared" si="30"/>
        <v>-0.71328440867719889</v>
      </c>
      <c r="Z117" s="20">
        <f t="shared" si="31"/>
        <v>-0.84303453563939668</v>
      </c>
    </row>
    <row r="118" spans="1:26" x14ac:dyDescent="0.25">
      <c r="A118" s="29" t="s">
        <v>122</v>
      </c>
      <c r="B118" s="23">
        <v>3</v>
      </c>
      <c r="C118" s="23">
        <v>3</v>
      </c>
      <c r="D118" s="23">
        <v>8</v>
      </c>
      <c r="E118" s="23">
        <v>8</v>
      </c>
      <c r="F118" s="32">
        <v>10</v>
      </c>
      <c r="G118" s="20">
        <f>VLOOKUP(A118,IMPORTACIONTOTAL,2,FALSE)</f>
        <v>6519859</v>
      </c>
      <c r="H118" s="20">
        <f>VLOOKUP(A118,IMPORTACIONTOTAL,3,FALSE)</f>
        <v>8405634</v>
      </c>
      <c r="I118" s="20">
        <f>VLOOKUP(A118,IMPORTACIONTOTAL,4,FALSE)</f>
        <v>8096330</v>
      </c>
      <c r="J118" s="20">
        <f>VLOOKUP(A118,IMPORTACIONTOTAL,5,FALSE)</f>
        <v>6417468</v>
      </c>
      <c r="K118" s="20">
        <f>VLOOKUP(A118,IMPORTACIONTOTAL,6,FALSE)</f>
        <v>7099523</v>
      </c>
      <c r="L118" s="20">
        <f t="shared" si="17"/>
        <v>4.6013265010792413E-7</v>
      </c>
      <c r="M118" s="20">
        <f t="shared" si="18"/>
        <v>3.569034768822911E-7</v>
      </c>
      <c r="N118" s="20">
        <f t="shared" si="19"/>
        <v>9.8810201659270307E-7</v>
      </c>
      <c r="O118" s="20">
        <f t="shared" si="20"/>
        <v>1.2465975677634854E-6</v>
      </c>
      <c r="P118" s="20">
        <f t="shared" si="21"/>
        <v>1.4085453346654416E-6</v>
      </c>
      <c r="Q118" s="20">
        <f t="shared" si="22"/>
        <v>2.6634595202547795E-2</v>
      </c>
      <c r="R118" s="20">
        <f t="shared" si="23"/>
        <v>3.4127906560896988E-2</v>
      </c>
      <c r="S118" s="20">
        <f t="shared" si="24"/>
        <v>0.10858795200456813</v>
      </c>
      <c r="T118" s="20">
        <f t="shared" si="25"/>
        <v>0.14005012077246154</v>
      </c>
      <c r="U118" s="20">
        <f t="shared" si="26"/>
        <v>0.1105163678213858</v>
      </c>
      <c r="V118" s="20">
        <f t="shared" si="27"/>
        <v>-0.94811280405509246</v>
      </c>
      <c r="W118" s="20">
        <f t="shared" si="28"/>
        <v>-0.93399673996924992</v>
      </c>
      <c r="X118" s="20">
        <f t="shared" si="29"/>
        <v>-0.80409682099067104</v>
      </c>
      <c r="Y118" s="20">
        <f t="shared" si="30"/>
        <v>-0.75430883568949036</v>
      </c>
      <c r="Z118" s="20">
        <f t="shared" si="31"/>
        <v>-0.80096400012870195</v>
      </c>
    </row>
    <row r="119" spans="1:26" x14ac:dyDescent="0.25">
      <c r="A119" s="30" t="s">
        <v>123</v>
      </c>
      <c r="B119" s="22">
        <v>13</v>
      </c>
      <c r="C119" s="22">
        <v>6</v>
      </c>
      <c r="D119" s="22">
        <v>12</v>
      </c>
      <c r="E119" s="22">
        <v>23</v>
      </c>
      <c r="F119" s="25">
        <v>10</v>
      </c>
      <c r="G119" s="20">
        <f>VLOOKUP(A119,IMPORTACIONTOTAL,2,FALSE)</f>
        <v>1733489</v>
      </c>
      <c r="H119" s="20">
        <f>VLOOKUP(A119,IMPORTACIONTOTAL,3,FALSE)</f>
        <v>2117133</v>
      </c>
      <c r="I119" s="20">
        <f>VLOOKUP(A119,IMPORTACIONTOTAL,4,FALSE)</f>
        <v>3015746</v>
      </c>
      <c r="J119" s="20">
        <f>VLOOKUP(A119,IMPORTACIONTOTAL,5,FALSE)</f>
        <v>3132125</v>
      </c>
      <c r="K119" s="20">
        <f>VLOOKUP(A119,IMPORTACIONTOTAL,6,FALSE)</f>
        <v>2710891</v>
      </c>
      <c r="L119" s="20">
        <f t="shared" si="17"/>
        <v>7.4993265027929221E-6</v>
      </c>
      <c r="M119" s="20">
        <f t="shared" si="18"/>
        <v>2.8340212920019669E-6</v>
      </c>
      <c r="N119" s="20">
        <f t="shared" si="19"/>
        <v>3.9791149519886622E-6</v>
      </c>
      <c r="O119" s="20">
        <f t="shared" si="20"/>
        <v>7.3432573731891288E-6</v>
      </c>
      <c r="P119" s="20">
        <f t="shared" si="21"/>
        <v>3.6888240803484908E-6</v>
      </c>
      <c r="Q119" s="20">
        <f t="shared" si="22"/>
        <v>0.43409552798911033</v>
      </c>
      <c r="R119" s="20">
        <f t="shared" si="23"/>
        <v>0.27099543744970089</v>
      </c>
      <c r="S119" s="20">
        <f t="shared" si="24"/>
        <v>0.4372867742109971</v>
      </c>
      <c r="T119" s="20">
        <f t="shared" si="25"/>
        <v>0.82498482956572494</v>
      </c>
      <c r="U119" s="20">
        <f t="shared" si="26"/>
        <v>0.28943011549501196</v>
      </c>
      <c r="V119" s="20">
        <f t="shared" si="27"/>
        <v>-0.39460723568701261</v>
      </c>
      <c r="W119" s="20">
        <f t="shared" si="28"/>
        <v>-0.5735697714329121</v>
      </c>
      <c r="X119" s="20">
        <f t="shared" si="29"/>
        <v>-0.39151075198469421</v>
      </c>
      <c r="Y119" s="20">
        <f t="shared" si="30"/>
        <v>-9.5899520696794957E-2</v>
      </c>
      <c r="Z119" s="20">
        <f t="shared" si="31"/>
        <v>-0.5510728157859105</v>
      </c>
    </row>
    <row r="120" spans="1:26" x14ac:dyDescent="0.25">
      <c r="A120" s="29" t="s">
        <v>124</v>
      </c>
      <c r="B120" s="23">
        <v>45</v>
      </c>
      <c r="C120" s="23">
        <v>20</v>
      </c>
      <c r="D120" s="23">
        <v>29</v>
      </c>
      <c r="E120" s="23">
        <v>34</v>
      </c>
      <c r="F120" s="24">
        <v>9</v>
      </c>
      <c r="G120" s="20">
        <f>VLOOKUP(A120,IMPORTACIONTOTAL,2,FALSE)</f>
        <v>1334620</v>
      </c>
      <c r="H120" s="20">
        <f>VLOOKUP(A120,IMPORTACIONTOTAL,3,FALSE)</f>
        <v>1537820</v>
      </c>
      <c r="I120" s="20">
        <f>VLOOKUP(A120,IMPORTACIONTOTAL,4,FALSE)</f>
        <v>1795761</v>
      </c>
      <c r="J120" s="20">
        <f>VLOOKUP(A120,IMPORTACIONTOTAL,5,FALSE)</f>
        <v>1831973</v>
      </c>
      <c r="K120" s="20">
        <f>VLOOKUP(A120,IMPORTACIONTOTAL,6,FALSE)</f>
        <v>7067650</v>
      </c>
      <c r="L120" s="20">
        <f t="shared" si="17"/>
        <v>3.3717462648544152E-5</v>
      </c>
      <c r="M120" s="20">
        <f t="shared" si="18"/>
        <v>1.3005423261500045E-5</v>
      </c>
      <c r="N120" s="20">
        <f t="shared" si="19"/>
        <v>1.6149142341324932E-5</v>
      </c>
      <c r="O120" s="20">
        <f t="shared" si="20"/>
        <v>1.8559225490768696E-5</v>
      </c>
      <c r="P120" s="20">
        <f t="shared" si="21"/>
        <v>1.273407709776234E-6</v>
      </c>
      <c r="Q120" s="20">
        <f t="shared" si="22"/>
        <v>1.9517218973492982</v>
      </c>
      <c r="R120" s="20">
        <f t="shared" si="23"/>
        <v>1.2436075818890757</v>
      </c>
      <c r="S120" s="20">
        <f t="shared" si="24"/>
        <v>1.7747178570910334</v>
      </c>
      <c r="T120" s="20">
        <f t="shared" si="25"/>
        <v>2.0850528178783101</v>
      </c>
      <c r="U120" s="20">
        <f t="shared" si="26"/>
        <v>9.9913287401321452E-2</v>
      </c>
      <c r="V120" s="20">
        <f t="shared" si="27"/>
        <v>0.32242939221474842</v>
      </c>
      <c r="W120" s="20">
        <f t="shared" si="28"/>
        <v>0.10857851607185366</v>
      </c>
      <c r="X120" s="20">
        <f t="shared" si="29"/>
        <v>0.27920599390355105</v>
      </c>
      <c r="Y120" s="20">
        <f t="shared" si="30"/>
        <v>0.35171288205838103</v>
      </c>
      <c r="Z120" s="20">
        <f t="shared" si="31"/>
        <v>-0.81832515609047918</v>
      </c>
    </row>
    <row r="121" spans="1:26" x14ac:dyDescent="0.25">
      <c r="A121" s="30" t="s">
        <v>125</v>
      </c>
      <c r="B121" s="22">
        <v>98</v>
      </c>
      <c r="C121" s="22">
        <v>140</v>
      </c>
      <c r="D121" s="22">
        <v>7</v>
      </c>
      <c r="E121" s="22">
        <v>4</v>
      </c>
      <c r="F121" s="31">
        <v>8</v>
      </c>
      <c r="G121" s="20">
        <f>VLOOKUP(A121,IMPORTACIONTOTAL,2,FALSE)</f>
        <v>15607090</v>
      </c>
      <c r="H121" s="20">
        <f>VLOOKUP(A121,IMPORTACIONTOTAL,3,FALSE)</f>
        <v>21501894</v>
      </c>
      <c r="I121" s="20">
        <f>VLOOKUP(A121,IMPORTACIONTOTAL,4,FALSE)</f>
        <v>17300557</v>
      </c>
      <c r="J121" s="20">
        <f>VLOOKUP(A121,IMPORTACIONTOTAL,5,FALSE)</f>
        <v>16298240</v>
      </c>
      <c r="K121" s="20">
        <f>VLOOKUP(A121,IMPORTACIONTOTAL,6,FALSE)</f>
        <v>18604913</v>
      </c>
      <c r="L121" s="20">
        <f t="shared" si="17"/>
        <v>6.2791974673049236E-6</v>
      </c>
      <c r="M121" s="20">
        <f t="shared" si="18"/>
        <v>6.511054328516362E-6</v>
      </c>
      <c r="N121" s="20">
        <f t="shared" si="19"/>
        <v>4.0461125037766124E-7</v>
      </c>
      <c r="O121" s="20">
        <f t="shared" si="20"/>
        <v>2.4542527291290347E-7</v>
      </c>
      <c r="P121" s="20">
        <f t="shared" si="21"/>
        <v>4.2999394837266911E-7</v>
      </c>
      <c r="Q121" s="20">
        <f t="shared" si="22"/>
        <v>0.36346884468924973</v>
      </c>
      <c r="R121" s="20">
        <f t="shared" si="23"/>
        <v>0.622601538314002</v>
      </c>
      <c r="S121" s="20">
        <f t="shared" si="24"/>
        <v>4.4464950277121246E-2</v>
      </c>
      <c r="T121" s="20">
        <f t="shared" si="25"/>
        <v>2.7572522200354374E-2</v>
      </c>
      <c r="U121" s="20">
        <f t="shared" si="26"/>
        <v>3.3737905475801515E-2</v>
      </c>
      <c r="V121" s="20">
        <f t="shared" si="27"/>
        <v>-0.46684686473772929</v>
      </c>
      <c r="W121" s="20">
        <f t="shared" si="28"/>
        <v>-0.23258850233689643</v>
      </c>
      <c r="X121" s="20">
        <f t="shared" si="29"/>
        <v>-0.91485602218566808</v>
      </c>
      <c r="Y121" s="20">
        <f t="shared" si="30"/>
        <v>-0.94633464479701546</v>
      </c>
      <c r="Z121" s="20">
        <f t="shared" si="31"/>
        <v>-0.93472638413066056</v>
      </c>
    </row>
    <row r="122" spans="1:26" x14ac:dyDescent="0.25">
      <c r="A122" s="29" t="s">
        <v>126</v>
      </c>
      <c r="B122" s="23">
        <v>6</v>
      </c>
      <c r="C122" s="23">
        <v>7</v>
      </c>
      <c r="D122" s="23">
        <v>8</v>
      </c>
      <c r="E122" s="23">
        <v>10</v>
      </c>
      <c r="F122" s="32">
        <v>8</v>
      </c>
      <c r="G122" s="20">
        <f>VLOOKUP(A122,IMPORTACIONTOTAL,2,FALSE)</f>
        <v>3227340</v>
      </c>
      <c r="H122" s="20">
        <f>VLOOKUP(A122,IMPORTACIONTOTAL,3,FALSE)</f>
        <v>4380344</v>
      </c>
      <c r="I122" s="20">
        <f>VLOOKUP(A122,IMPORTACIONTOTAL,4,FALSE)</f>
        <v>5478191</v>
      </c>
      <c r="J122" s="20">
        <f>VLOOKUP(A122,IMPORTACIONTOTAL,5,FALSE)</f>
        <v>4809848</v>
      </c>
      <c r="K122" s="20">
        <f>VLOOKUP(A122,IMPORTACIONTOTAL,6,FALSE)</f>
        <v>4803725</v>
      </c>
      <c r="L122" s="20">
        <f t="shared" si="17"/>
        <v>1.8591161761698489E-6</v>
      </c>
      <c r="M122" s="20">
        <f t="shared" si="18"/>
        <v>1.5980480071884764E-6</v>
      </c>
      <c r="N122" s="20">
        <f t="shared" si="19"/>
        <v>1.4603360853975337E-6</v>
      </c>
      <c r="O122" s="20">
        <f t="shared" si="20"/>
        <v>2.0790677792728584E-6</v>
      </c>
      <c r="P122" s="20">
        <f t="shared" si="21"/>
        <v>1.6653742668450005E-6</v>
      </c>
      <c r="Q122" s="20">
        <f t="shared" si="22"/>
        <v>0.10761419946004329</v>
      </c>
      <c r="R122" s="20">
        <f t="shared" si="23"/>
        <v>0.15280891501974056</v>
      </c>
      <c r="S122" s="20">
        <f t="shared" si="24"/>
        <v>0.16048434482352752</v>
      </c>
      <c r="T122" s="20">
        <f t="shared" si="25"/>
        <v>0.23357473262497258</v>
      </c>
      <c r="U122" s="20">
        <f t="shared" si="26"/>
        <v>0.13066751243660091</v>
      </c>
      <c r="V122" s="20">
        <f t="shared" si="27"/>
        <v>-0.80568288215787653</v>
      </c>
      <c r="W122" s="20">
        <f t="shared" si="28"/>
        <v>-0.73489289850413086</v>
      </c>
      <c r="X122" s="20">
        <f t="shared" si="29"/>
        <v>-0.72341833728410687</v>
      </c>
      <c r="Y122" s="20">
        <f t="shared" si="30"/>
        <v>-0.62130428510327917</v>
      </c>
      <c r="Z122" s="20">
        <f t="shared" si="31"/>
        <v>-0.76886660136716756</v>
      </c>
    </row>
    <row r="123" spans="1:26" ht="45.75" x14ac:dyDescent="0.25">
      <c r="A123" s="30" t="s">
        <v>127</v>
      </c>
      <c r="B123" s="22">
        <v>0</v>
      </c>
      <c r="C123" s="22">
        <v>0</v>
      </c>
      <c r="D123" s="22">
        <v>0</v>
      </c>
      <c r="E123" s="22">
        <v>0</v>
      </c>
      <c r="F123" s="25">
        <v>7</v>
      </c>
      <c r="G123" s="20">
        <f>VLOOKUP(A123,IMPORTACIONTOTAL,2,FALSE)</f>
        <v>6938042</v>
      </c>
      <c r="H123" s="20">
        <f>VLOOKUP(A123,IMPORTACIONTOTAL,3,FALSE)</f>
        <v>11971835</v>
      </c>
      <c r="I123" s="20">
        <f>VLOOKUP(A123,IMPORTACIONTOTAL,4,FALSE)</f>
        <v>26858595</v>
      </c>
      <c r="J123" s="20">
        <f>VLOOKUP(A123,IMPORTACIONTOTAL,5,FALSE)</f>
        <v>25675561</v>
      </c>
      <c r="K123" s="20">
        <f>VLOOKUP(A123,IMPORTACIONTOTAL,6,FALSE)</f>
        <v>10747193</v>
      </c>
      <c r="L123" s="20">
        <f t="shared" si="17"/>
        <v>0</v>
      </c>
      <c r="M123" s="20">
        <f t="shared" si="18"/>
        <v>0</v>
      </c>
      <c r="N123" s="20">
        <f t="shared" si="19"/>
        <v>0</v>
      </c>
      <c r="O123" s="20">
        <f t="shared" si="20"/>
        <v>0</v>
      </c>
      <c r="P123" s="20">
        <f t="shared" si="21"/>
        <v>6.5133286431163931E-7</v>
      </c>
      <c r="Q123" s="20">
        <f t="shared" si="22"/>
        <v>0</v>
      </c>
      <c r="R123" s="20">
        <f t="shared" si="23"/>
        <v>0</v>
      </c>
      <c r="S123" s="20">
        <f t="shared" si="24"/>
        <v>0</v>
      </c>
      <c r="T123" s="20">
        <f t="shared" si="25"/>
        <v>0</v>
      </c>
      <c r="U123" s="20">
        <f t="shared" si="26"/>
        <v>5.1104455522206764E-2</v>
      </c>
      <c r="V123" s="20">
        <f t="shared" si="27"/>
        <v>-1</v>
      </c>
      <c r="W123" s="20">
        <f t="shared" si="28"/>
        <v>-1</v>
      </c>
      <c r="X123" s="20">
        <f t="shared" si="29"/>
        <v>-1</v>
      </c>
      <c r="Y123" s="20">
        <f t="shared" si="30"/>
        <v>-1</v>
      </c>
      <c r="Z123" s="20">
        <f t="shared" si="31"/>
        <v>-0.90276046257112064</v>
      </c>
    </row>
    <row r="124" spans="1:26" x14ac:dyDescent="0.25">
      <c r="A124" s="29" t="s">
        <v>128</v>
      </c>
      <c r="B124" s="23">
        <v>54</v>
      </c>
      <c r="C124" s="23">
        <v>111</v>
      </c>
      <c r="D124" s="23">
        <v>98</v>
      </c>
      <c r="E124" s="23">
        <v>93</v>
      </c>
      <c r="F124" s="24">
        <v>6</v>
      </c>
      <c r="G124" s="20">
        <f>VLOOKUP(A124,IMPORTACIONTOTAL,2,FALSE)</f>
        <v>2205287</v>
      </c>
      <c r="H124" s="20">
        <f>VLOOKUP(A124,IMPORTACIONTOTAL,3,FALSE)</f>
        <v>3482606</v>
      </c>
      <c r="I124" s="20">
        <f>VLOOKUP(A124,IMPORTACIONTOTAL,4,FALSE)</f>
        <v>3757894</v>
      </c>
      <c r="J124" s="20">
        <f>VLOOKUP(A124,IMPORTACIONTOTAL,5,FALSE)</f>
        <v>4187519</v>
      </c>
      <c r="K124" s="20">
        <f>VLOOKUP(A124,IMPORTACIONTOTAL,6,FALSE)</f>
        <v>9931781</v>
      </c>
      <c r="L124" s="20">
        <f t="shared" si="17"/>
        <v>2.4486608772463628E-5</v>
      </c>
      <c r="M124" s="20">
        <f t="shared" si="18"/>
        <v>3.1872683846521831E-5</v>
      </c>
      <c r="N124" s="20">
        <f t="shared" si="19"/>
        <v>2.6078436485967938E-5</v>
      </c>
      <c r="O124" s="20">
        <f t="shared" si="20"/>
        <v>2.220885445534695E-5</v>
      </c>
      <c r="P124" s="20">
        <f t="shared" si="21"/>
        <v>6.0412125478803857E-7</v>
      </c>
      <c r="Q124" s="20">
        <f t="shared" si="22"/>
        <v>1.4173975969424317</v>
      </c>
      <c r="R124" s="20">
        <f t="shared" si="23"/>
        <v>3.0477371239447288</v>
      </c>
      <c r="S124" s="20">
        <f t="shared" si="24"/>
        <v>2.8659024695217661</v>
      </c>
      <c r="T124" s="20">
        <f t="shared" si="25"/>
        <v>2.4950736541782521</v>
      </c>
      <c r="U124" s="20">
        <f t="shared" si="26"/>
        <v>4.7400168925858618E-2</v>
      </c>
      <c r="V124" s="20">
        <f t="shared" si="27"/>
        <v>0.17266402410193663</v>
      </c>
      <c r="W124" s="20">
        <f t="shared" si="28"/>
        <v>0.50589676682093998</v>
      </c>
      <c r="X124" s="20">
        <f t="shared" si="29"/>
        <v>0.48265637434784764</v>
      </c>
      <c r="Y124" s="20">
        <f t="shared" si="30"/>
        <v>0.42776599354091949</v>
      </c>
      <c r="Z124" s="20">
        <f t="shared" si="31"/>
        <v>-0.90948985816095695</v>
      </c>
    </row>
    <row r="125" spans="1:26" x14ac:dyDescent="0.25">
      <c r="A125" s="30" t="s">
        <v>129</v>
      </c>
      <c r="B125" s="22">
        <v>3</v>
      </c>
      <c r="C125" s="22">
        <v>3</v>
      </c>
      <c r="D125" s="22">
        <v>5</v>
      </c>
      <c r="E125" s="22">
        <v>5</v>
      </c>
      <c r="F125" s="31">
        <v>6</v>
      </c>
      <c r="G125" s="20">
        <f>VLOOKUP(A125,IMPORTACIONTOTAL,2,FALSE)</f>
        <v>6612697</v>
      </c>
      <c r="H125" s="20">
        <f>VLOOKUP(A125,IMPORTACIONTOTAL,3,FALSE)</f>
        <v>6445781</v>
      </c>
      <c r="I125" s="20">
        <f>VLOOKUP(A125,IMPORTACIONTOTAL,4,FALSE)</f>
        <v>7957768</v>
      </c>
      <c r="J125" s="20">
        <f>VLOOKUP(A125,IMPORTACIONTOTAL,5,FALSE)</f>
        <v>7441108</v>
      </c>
      <c r="K125" s="20">
        <f>VLOOKUP(A125,IMPORTACIONTOTAL,6,FALSE)</f>
        <v>8824992</v>
      </c>
      <c r="L125" s="20">
        <f t="shared" si="17"/>
        <v>4.5367268453401087E-7</v>
      </c>
      <c r="M125" s="20">
        <f t="shared" si="18"/>
        <v>4.6542071472797478E-7</v>
      </c>
      <c r="N125" s="20">
        <f t="shared" si="19"/>
        <v>6.2831688483504418E-7</v>
      </c>
      <c r="O125" s="20">
        <f t="shared" si="20"/>
        <v>6.7194294183070585E-7</v>
      </c>
      <c r="P125" s="20">
        <f t="shared" si="21"/>
        <v>6.7988730188084019E-7</v>
      </c>
      <c r="Q125" s="20">
        <f t="shared" si="22"/>
        <v>2.6260662667998858E-2</v>
      </c>
      <c r="R125" s="20">
        <f t="shared" si="23"/>
        <v>4.4504566899976714E-2</v>
      </c>
      <c r="S125" s="20">
        <f t="shared" si="24"/>
        <v>6.9049189849241105E-2</v>
      </c>
      <c r="T125" s="20">
        <f t="shared" si="25"/>
        <v>7.5490031898929513E-2</v>
      </c>
      <c r="U125" s="20">
        <f t="shared" si="26"/>
        <v>5.3344875228740492E-2</v>
      </c>
      <c r="V125" s="20">
        <f t="shared" si="27"/>
        <v>-0.94882262640813242</v>
      </c>
      <c r="W125" s="20">
        <f t="shared" si="28"/>
        <v>-0.91478339432815803</v>
      </c>
      <c r="X125" s="20">
        <f t="shared" si="29"/>
        <v>-0.87082130456695162</v>
      </c>
      <c r="Y125" s="20">
        <f t="shared" si="30"/>
        <v>-0.85961742152897269</v>
      </c>
      <c r="Z125" s="20">
        <f t="shared" si="31"/>
        <v>-0.89871337207169433</v>
      </c>
    </row>
    <row r="126" spans="1:26" x14ac:dyDescent="0.25">
      <c r="A126" s="29" t="s">
        <v>130</v>
      </c>
      <c r="B126" s="23">
        <v>0</v>
      </c>
      <c r="C126" s="23">
        <v>0</v>
      </c>
      <c r="D126" s="23">
        <v>0</v>
      </c>
      <c r="E126" s="23">
        <v>0</v>
      </c>
      <c r="F126" s="24">
        <v>6</v>
      </c>
      <c r="G126" s="20">
        <f>VLOOKUP(A126,IMPORTACIONTOTAL,2,FALSE)</f>
        <v>53010001</v>
      </c>
      <c r="H126" s="20">
        <f>VLOOKUP(A126,IMPORTACIONTOTAL,3,FALSE)</f>
        <v>52441679</v>
      </c>
      <c r="I126" s="20">
        <f>VLOOKUP(A126,IMPORTACIONTOTAL,4,FALSE)</f>
        <v>60487524</v>
      </c>
      <c r="J126" s="20">
        <f>VLOOKUP(A126,IMPORTACIONTOTAL,5,FALSE)</f>
        <v>60575070</v>
      </c>
      <c r="K126" s="20">
        <f>VLOOKUP(A126,IMPORTACIONTOTAL,6,FALSE)</f>
        <v>47195990</v>
      </c>
      <c r="L126" s="20">
        <f t="shared" si="17"/>
        <v>0</v>
      </c>
      <c r="M126" s="20">
        <f t="shared" si="18"/>
        <v>0</v>
      </c>
      <c r="N126" s="20">
        <f t="shared" si="19"/>
        <v>0</v>
      </c>
      <c r="O126" s="20">
        <f t="shared" si="20"/>
        <v>0</v>
      </c>
      <c r="P126" s="20">
        <f t="shared" si="21"/>
        <v>1.2712944468375384E-7</v>
      </c>
      <c r="Q126" s="20">
        <f t="shared" si="22"/>
        <v>0</v>
      </c>
      <c r="R126" s="20">
        <f t="shared" si="23"/>
        <v>0</v>
      </c>
      <c r="S126" s="20">
        <f t="shared" si="24"/>
        <v>0</v>
      </c>
      <c r="T126" s="20">
        <f t="shared" si="25"/>
        <v>0</v>
      </c>
      <c r="U126" s="20">
        <f t="shared" si="26"/>
        <v>9.974747793925565E-3</v>
      </c>
      <c r="V126" s="20">
        <f t="shared" si="27"/>
        <v>-1</v>
      </c>
      <c r="W126" s="20">
        <f t="shared" si="28"/>
        <v>-1</v>
      </c>
      <c r="X126" s="20">
        <f t="shared" si="29"/>
        <v>-1</v>
      </c>
      <c r="Y126" s="20">
        <f t="shared" si="30"/>
        <v>-1</v>
      </c>
      <c r="Z126" s="20">
        <f t="shared" si="31"/>
        <v>-0.98024753031555822</v>
      </c>
    </row>
    <row r="127" spans="1:26" ht="23.25" x14ac:dyDescent="0.25">
      <c r="A127" s="30" t="s">
        <v>131</v>
      </c>
      <c r="B127" s="22">
        <v>7</v>
      </c>
      <c r="C127" s="22">
        <v>5</v>
      </c>
      <c r="D127" s="22">
        <v>5</v>
      </c>
      <c r="E127" s="22">
        <v>7</v>
      </c>
      <c r="F127" s="25">
        <v>5</v>
      </c>
      <c r="G127" s="20">
        <f>VLOOKUP(A127,IMPORTACIONTOTAL,2,FALSE)</f>
        <v>4087226</v>
      </c>
      <c r="H127" s="20">
        <f>VLOOKUP(A127,IMPORTACIONTOTAL,3,FALSE)</f>
        <v>4502304</v>
      </c>
      <c r="I127" s="20">
        <f>VLOOKUP(A127,IMPORTACIONTOTAL,4,FALSE)</f>
        <v>5820621</v>
      </c>
      <c r="J127" s="20">
        <f>VLOOKUP(A127,IMPORTACIONTOTAL,5,FALSE)</f>
        <v>6175200</v>
      </c>
      <c r="K127" s="20">
        <f>VLOOKUP(A127,IMPORTACIONTOTAL,6,FALSE)</f>
        <v>5634228</v>
      </c>
      <c r="L127" s="20">
        <f t="shared" si="17"/>
        <v>1.7126530316649972E-6</v>
      </c>
      <c r="M127" s="20">
        <f t="shared" si="18"/>
        <v>1.1105425133442788E-6</v>
      </c>
      <c r="N127" s="20">
        <f t="shared" si="19"/>
        <v>8.5901487143725726E-7</v>
      </c>
      <c r="O127" s="20">
        <f t="shared" si="20"/>
        <v>1.1335665241611607E-6</v>
      </c>
      <c r="P127" s="20">
        <f t="shared" si="21"/>
        <v>8.8743302542957087E-7</v>
      </c>
      <c r="Q127" s="20">
        <f t="shared" si="22"/>
        <v>9.9136238669684226E-2</v>
      </c>
      <c r="R127" s="20">
        <f t="shared" si="23"/>
        <v>0.10619255227882539</v>
      </c>
      <c r="S127" s="20">
        <f t="shared" si="24"/>
        <v>9.4401857363366495E-2</v>
      </c>
      <c r="T127" s="20">
        <f t="shared" si="25"/>
        <v>0.12735154689673717</v>
      </c>
      <c r="U127" s="20">
        <f t="shared" si="26"/>
        <v>6.9629192785984909E-2</v>
      </c>
      <c r="V127" s="20">
        <f t="shared" si="27"/>
        <v>-0.8196106448283943</v>
      </c>
      <c r="W127" s="20">
        <f t="shared" si="28"/>
        <v>-0.80800349440056862</v>
      </c>
      <c r="X127" s="20">
        <f t="shared" si="29"/>
        <v>-0.82748227860139145</v>
      </c>
      <c r="Y127" s="20">
        <f t="shared" si="30"/>
        <v>-0.77406950432223542</v>
      </c>
      <c r="Z127" s="20">
        <f t="shared" si="31"/>
        <v>-0.86980685782401501</v>
      </c>
    </row>
    <row r="128" spans="1:26" x14ac:dyDescent="0.25">
      <c r="A128" s="29" t="s">
        <v>132</v>
      </c>
      <c r="B128" s="23">
        <v>19</v>
      </c>
      <c r="C128" s="23">
        <v>32</v>
      </c>
      <c r="D128" s="23">
        <v>13</v>
      </c>
      <c r="E128" s="23">
        <v>5</v>
      </c>
      <c r="F128" s="32">
        <v>5</v>
      </c>
      <c r="G128" s="20">
        <f>VLOOKUP(A128,IMPORTACIONTOTAL,2,FALSE)</f>
        <v>10217078</v>
      </c>
      <c r="H128" s="20">
        <f>VLOOKUP(A128,IMPORTACIONTOTAL,3,FALSE)</f>
        <v>13559729</v>
      </c>
      <c r="I128" s="20">
        <f>VLOOKUP(A128,IMPORTACIONTOTAL,4,FALSE)</f>
        <v>15879593</v>
      </c>
      <c r="J128" s="20">
        <f>VLOOKUP(A128,IMPORTACIONTOTAL,5,FALSE)</f>
        <v>16134396</v>
      </c>
      <c r="K128" s="20">
        <f>VLOOKUP(A128,IMPORTACIONTOTAL,6,FALSE)</f>
        <v>16563002</v>
      </c>
      <c r="L128" s="20">
        <f t="shared" si="17"/>
        <v>1.859631491508629E-6</v>
      </c>
      <c r="M128" s="20">
        <f t="shared" si="18"/>
        <v>2.3599291696758835E-6</v>
      </c>
      <c r="N128" s="20">
        <f t="shared" si="19"/>
        <v>8.1866078053763725E-7</v>
      </c>
      <c r="O128" s="20">
        <f t="shared" si="20"/>
        <v>3.09896943151761E-7</v>
      </c>
      <c r="P128" s="20">
        <f t="shared" si="21"/>
        <v>3.0187764271235373E-7</v>
      </c>
      <c r="Q128" s="20">
        <f t="shared" si="22"/>
        <v>0.10764402828320299</v>
      </c>
      <c r="R128" s="20">
        <f t="shared" si="23"/>
        <v>0.22566169121293306</v>
      </c>
      <c r="S128" s="20">
        <f t="shared" si="24"/>
        <v>8.9967124904357487E-2</v>
      </c>
      <c r="T128" s="20">
        <f t="shared" si="25"/>
        <v>3.4815649763609346E-2</v>
      </c>
      <c r="U128" s="20">
        <f t="shared" si="26"/>
        <v>2.3685727237863899E-2</v>
      </c>
      <c r="V128" s="20">
        <f t="shared" si="27"/>
        <v>-0.80563425516761689</v>
      </c>
      <c r="W128" s="20">
        <f t="shared" si="28"/>
        <v>-0.63177164982677259</v>
      </c>
      <c r="X128" s="20">
        <f t="shared" si="29"/>
        <v>-0.83491772761081784</v>
      </c>
      <c r="Y128" s="20">
        <f t="shared" si="30"/>
        <v>-0.93271139691101002</v>
      </c>
      <c r="Z128" s="20">
        <f t="shared" si="31"/>
        <v>-0.95372461174822987</v>
      </c>
    </row>
    <row r="129" spans="1:26" x14ac:dyDescent="0.25">
      <c r="A129" s="30" t="s">
        <v>133</v>
      </c>
      <c r="B129" s="22"/>
      <c r="C129" s="22"/>
      <c r="D129" s="22"/>
      <c r="E129" s="22"/>
      <c r="F129" s="25">
        <v>5</v>
      </c>
      <c r="G129" s="20">
        <f>VLOOKUP(A129,IMPORTACIONTOTAL,2,FALSE)</f>
        <v>3376044</v>
      </c>
      <c r="H129" s="20">
        <f>VLOOKUP(A129,IMPORTACIONTOTAL,3,FALSE)</f>
        <v>4541758</v>
      </c>
      <c r="I129" s="20">
        <f>VLOOKUP(A129,IMPORTACIONTOTAL,4,FALSE)</f>
        <v>4939758</v>
      </c>
      <c r="J129" s="20">
        <f>VLOOKUP(A129,IMPORTACIONTOTAL,5,FALSE)</f>
        <v>5265519</v>
      </c>
      <c r="K129" s="20">
        <f>VLOOKUP(A129,IMPORTACIONTOTAL,6,FALSE)</f>
        <v>3947850</v>
      </c>
      <c r="L129" s="20">
        <f t="shared" si="17"/>
        <v>0</v>
      </c>
      <c r="M129" s="20">
        <f t="shared" si="18"/>
        <v>0</v>
      </c>
      <c r="N129" s="20">
        <f t="shared" si="19"/>
        <v>0</v>
      </c>
      <c r="O129" s="20">
        <f t="shared" si="20"/>
        <v>0</v>
      </c>
      <c r="P129" s="20">
        <f t="shared" si="21"/>
        <v>1.2665121521841002E-6</v>
      </c>
      <c r="Q129" s="20">
        <f t="shared" si="22"/>
        <v>0</v>
      </c>
      <c r="R129" s="20">
        <f t="shared" si="23"/>
        <v>0</v>
      </c>
      <c r="S129" s="20">
        <f t="shared" si="24"/>
        <v>0</v>
      </c>
      <c r="T129" s="20">
        <f t="shared" si="25"/>
        <v>0</v>
      </c>
      <c r="U129" s="20">
        <f t="shared" si="26"/>
        <v>9.9372252646932932E-2</v>
      </c>
      <c r="V129" s="20">
        <f t="shared" si="27"/>
        <v>-1</v>
      </c>
      <c r="W129" s="20">
        <f t="shared" si="28"/>
        <v>-1</v>
      </c>
      <c r="X129" s="20">
        <f t="shared" si="29"/>
        <v>-1</v>
      </c>
      <c r="Y129" s="20">
        <f t="shared" si="30"/>
        <v>-1</v>
      </c>
      <c r="Z129" s="20">
        <f t="shared" si="31"/>
        <v>-0.81922000958696806</v>
      </c>
    </row>
    <row r="130" spans="1:26" x14ac:dyDescent="0.25">
      <c r="A130" s="29" t="s">
        <v>134</v>
      </c>
      <c r="B130" s="23">
        <v>0</v>
      </c>
      <c r="C130" s="23">
        <v>1</v>
      </c>
      <c r="D130" s="23">
        <v>8</v>
      </c>
      <c r="E130" s="23">
        <v>3</v>
      </c>
      <c r="F130" s="24">
        <v>4</v>
      </c>
      <c r="G130" s="20">
        <f>VLOOKUP(A130,IMPORTACIONTOTAL,2,FALSE)</f>
        <v>3684109</v>
      </c>
      <c r="H130" s="20">
        <f>VLOOKUP(A130,IMPORTACIONTOTAL,3,FALSE)</f>
        <v>5570126</v>
      </c>
      <c r="I130" s="20">
        <f>VLOOKUP(A130,IMPORTACIONTOTAL,4,FALSE)</f>
        <v>9802959</v>
      </c>
      <c r="J130" s="20">
        <f>VLOOKUP(A130,IMPORTACIONTOTAL,5,FALSE)</f>
        <v>12350402</v>
      </c>
      <c r="K130" s="20">
        <f>VLOOKUP(A130,IMPORTACIONTOTAL,6,FALSE)</f>
        <v>28576029</v>
      </c>
      <c r="L130" s="20">
        <f t="shared" si="17"/>
        <v>0</v>
      </c>
      <c r="M130" s="20">
        <f t="shared" si="18"/>
        <v>1.7952915248236754E-7</v>
      </c>
      <c r="N130" s="20">
        <f t="shared" si="19"/>
        <v>8.1608012437877176E-7</v>
      </c>
      <c r="O130" s="20">
        <f t="shared" si="20"/>
        <v>2.4290707298434494E-7</v>
      </c>
      <c r="P130" s="20">
        <f t="shared" si="21"/>
        <v>1.3997746152903191E-7</v>
      </c>
      <c r="Q130" s="20">
        <f t="shared" si="22"/>
        <v>0</v>
      </c>
      <c r="R130" s="20">
        <f t="shared" si="23"/>
        <v>1.716697801432731E-2</v>
      </c>
      <c r="S130" s="20">
        <f t="shared" si="24"/>
        <v>8.9683522439820987E-2</v>
      </c>
      <c r="T130" s="20">
        <f t="shared" si="25"/>
        <v>2.728961277293061E-2</v>
      </c>
      <c r="U130" s="20">
        <f t="shared" si="26"/>
        <v>1.0982820534293109E-2</v>
      </c>
      <c r="V130" s="20">
        <f t="shared" si="27"/>
        <v>-1</v>
      </c>
      <c r="W130" s="20">
        <f t="shared" si="28"/>
        <v>-0.96624550661713382</v>
      </c>
      <c r="X130" s="20">
        <f t="shared" si="29"/>
        <v>-0.83539528570824317</v>
      </c>
      <c r="Y130" s="20">
        <f t="shared" si="30"/>
        <v>-0.94687065374044121</v>
      </c>
      <c r="Z130" s="20">
        <f t="shared" si="31"/>
        <v>-0.97827298286139275</v>
      </c>
    </row>
    <row r="131" spans="1:26" x14ac:dyDescent="0.25">
      <c r="A131" s="30" t="s">
        <v>135</v>
      </c>
      <c r="B131" s="22">
        <v>2</v>
      </c>
      <c r="C131" s="22">
        <v>12</v>
      </c>
      <c r="D131" s="22">
        <v>8</v>
      </c>
      <c r="E131" s="22">
        <v>2</v>
      </c>
      <c r="F131" s="31">
        <v>4</v>
      </c>
      <c r="G131" s="20">
        <f>VLOOKUP(A131,IMPORTACIONTOTAL,2,FALSE)</f>
        <v>2652177</v>
      </c>
      <c r="H131" s="20">
        <f>VLOOKUP(A131,IMPORTACIONTOTAL,3,FALSE)</f>
        <v>3460378</v>
      </c>
      <c r="I131" s="20">
        <f>VLOOKUP(A131,IMPORTACIONTOTAL,4,FALSE)</f>
        <v>3925598</v>
      </c>
      <c r="J131" s="20">
        <f>VLOOKUP(A131,IMPORTACIONTOTAL,5,FALSE)</f>
        <v>4211327</v>
      </c>
      <c r="K131" s="20">
        <f>VLOOKUP(A131,IMPORTACIONTOTAL,6,FALSE)</f>
        <v>3366575</v>
      </c>
      <c r="L131" s="20">
        <f t="shared" ref="L131:L183" si="32">B131/G131</f>
        <v>7.5409748293571654E-7</v>
      </c>
      <c r="M131" s="20">
        <f t="shared" ref="M131:M183" si="33">C131/H131</f>
        <v>3.4678292371527041E-6</v>
      </c>
      <c r="N131" s="20">
        <f t="shared" ref="N131:N183" si="34">D131/I131</f>
        <v>2.0379060718901936E-6</v>
      </c>
      <c r="O131" s="20">
        <f t="shared" ref="O131:O183" si="35">E131/J131</f>
        <v>4.74909689986078E-7</v>
      </c>
      <c r="P131" s="20">
        <f t="shared" ref="P131:P183" si="36">F131/K131</f>
        <v>1.1881511625316531E-6</v>
      </c>
      <c r="Q131" s="20">
        <f t="shared" si="22"/>
        <v>4.3650632478573398E-2</v>
      </c>
      <c r="R131" s="20">
        <f t="shared" si="23"/>
        <v>0.33160156692372772</v>
      </c>
      <c r="S131" s="20">
        <f t="shared" si="24"/>
        <v>0.22395667958184845</v>
      </c>
      <c r="T131" s="20">
        <f t="shared" si="25"/>
        <v>5.3354154667484104E-2</v>
      </c>
      <c r="U131" s="20">
        <f t="shared" si="26"/>
        <v>9.3223943648888072E-2</v>
      </c>
      <c r="V131" s="20">
        <f t="shared" si="27"/>
        <v>-0.91635010583013354</v>
      </c>
      <c r="W131" s="20">
        <f t="shared" si="28"/>
        <v>-0.50195077092047091</v>
      </c>
      <c r="X131" s="20">
        <f t="shared" si="29"/>
        <v>-0.63404476103131235</v>
      </c>
      <c r="Y131" s="20">
        <f t="shared" si="30"/>
        <v>-0.89869664550888573</v>
      </c>
      <c r="Z131" s="20">
        <f t="shared" si="31"/>
        <v>-0.82945133210725053</v>
      </c>
    </row>
    <row r="132" spans="1:26" x14ac:dyDescent="0.25">
      <c r="A132" s="29" t="s">
        <v>136</v>
      </c>
      <c r="B132" s="24">
        <v>4</v>
      </c>
      <c r="C132" s="24">
        <v>3</v>
      </c>
      <c r="D132" s="24">
        <v>4</v>
      </c>
      <c r="E132" s="24">
        <v>6</v>
      </c>
      <c r="F132" s="24">
        <v>4</v>
      </c>
      <c r="G132" s="20">
        <f>VLOOKUP(A132,IMPORTACIONTOTAL,2,FALSE)</f>
        <v>1166841</v>
      </c>
      <c r="H132" s="20">
        <f>VLOOKUP(A132,IMPORTACIONTOTAL,3,FALSE)</f>
        <v>1328900</v>
      </c>
      <c r="I132" s="20">
        <f>VLOOKUP(A132,IMPORTACIONTOTAL,4,FALSE)</f>
        <v>1440679</v>
      </c>
      <c r="J132" s="20">
        <f>VLOOKUP(A132,IMPORTACIONTOTAL,5,FALSE)</f>
        <v>1464480</v>
      </c>
      <c r="K132" s="20">
        <f>VLOOKUP(A132,IMPORTACIONTOTAL,6,FALSE)</f>
        <v>1635279</v>
      </c>
      <c r="L132" s="20">
        <f t="shared" si="32"/>
        <v>3.4280591785855998E-6</v>
      </c>
      <c r="M132" s="20">
        <f t="shared" si="33"/>
        <v>2.2575062081420725E-6</v>
      </c>
      <c r="N132" s="20">
        <f t="shared" si="34"/>
        <v>2.7764685957107726E-6</v>
      </c>
      <c r="O132" s="20">
        <f t="shared" si="35"/>
        <v>4.0970173713536544E-6</v>
      </c>
      <c r="P132" s="20">
        <f t="shared" si="36"/>
        <v>2.4460657783778791E-6</v>
      </c>
      <c r="Q132" s="20">
        <f t="shared" ref="Q132:Q183" si="37">L132/$L$2</f>
        <v>0.19843184031950431</v>
      </c>
      <c r="R132" s="20">
        <f t="shared" ref="R132:R183" si="38">M132/$M$2</f>
        <v>0.21586777916855956</v>
      </c>
      <c r="S132" s="20">
        <f t="shared" ref="S132:S183" si="39">N132/$N$2</f>
        <v>0.30512136758193364</v>
      </c>
      <c r="T132" s="20">
        <f t="shared" ref="T132:T183" si="40">O132/$O$2</f>
        <v>0.46028308774449328</v>
      </c>
      <c r="U132" s="20">
        <f t="shared" ref="U132:U183" si="41">P132/$P$2</f>
        <v>0.19192162199218318</v>
      </c>
      <c r="V132" s="20">
        <f t="shared" ref="V132:V183" si="42">(Q132-1)/(Q132+1)</f>
        <v>-0.66884751615644333</v>
      </c>
      <c r="W132" s="20">
        <f t="shared" ref="W132:W183" si="43">(R132-1)/(R132+1)</f>
        <v>-0.64491570075789773</v>
      </c>
      <c r="X132" s="20">
        <f t="shared" ref="X132:X183" si="44">(S132-1)/(S132+1)</f>
        <v>-0.53242453129512723</v>
      </c>
      <c r="Y132" s="20">
        <f t="shared" ref="Y132:Y183" si="45">(T132-1)/(T132+1)</f>
        <v>-0.36959745462034788</v>
      </c>
      <c r="Z132" s="20">
        <f t="shared" ref="Z132:Z183" si="46">(U132-1)/(U132+1)</f>
        <v>-0.67796268068129428</v>
      </c>
    </row>
    <row r="133" spans="1:26" x14ac:dyDescent="0.25">
      <c r="A133" s="30" t="s">
        <v>137</v>
      </c>
      <c r="B133" s="22"/>
      <c r="C133" s="22">
        <v>23</v>
      </c>
      <c r="D133" s="22">
        <v>11</v>
      </c>
      <c r="E133" s="22">
        <v>11</v>
      </c>
      <c r="F133" s="25">
        <v>3</v>
      </c>
      <c r="G133" s="20">
        <f>VLOOKUP(A133,IMPORTACIONTOTAL,2,FALSE)</f>
        <v>0</v>
      </c>
      <c r="H133" s="20">
        <f>VLOOKUP(A133,IMPORTACIONTOTAL,3,FALSE)</f>
        <v>17848192</v>
      </c>
      <c r="I133" s="20">
        <f>VLOOKUP(A133,IMPORTACIONTOTAL,4,FALSE)</f>
        <v>17962660</v>
      </c>
      <c r="J133" s="20">
        <f>VLOOKUP(A133,IMPORTACIONTOTAL,5,FALSE)</f>
        <v>16394368</v>
      </c>
      <c r="K133" s="20">
        <f>VLOOKUP(A133,IMPORTACIONTOTAL,6,FALSE)</f>
        <v>19984601</v>
      </c>
      <c r="L133" s="20" t="e">
        <f t="shared" si="32"/>
        <v>#DIV/0!</v>
      </c>
      <c r="M133" s="20">
        <f t="shared" si="33"/>
        <v>1.28864593119572E-6</v>
      </c>
      <c r="N133" s="20">
        <f t="shared" si="34"/>
        <v>6.1238146243373756E-7</v>
      </c>
      <c r="O133" s="20">
        <f t="shared" si="35"/>
        <v>6.7096212552993806E-7</v>
      </c>
      <c r="P133" s="20">
        <f t="shared" si="36"/>
        <v>1.5011558149196974E-7</v>
      </c>
      <c r="Q133" s="20" t="e">
        <f t="shared" si="37"/>
        <v>#DIV/0!</v>
      </c>
      <c r="R133" s="20">
        <f t="shared" si="38"/>
        <v>0.12322319836752973</v>
      </c>
      <c r="S133" s="20">
        <f t="shared" si="39"/>
        <v>6.7297958848971953E-2</v>
      </c>
      <c r="T133" s="20">
        <f t="shared" si="40"/>
        <v>7.5379841212752763E-2</v>
      </c>
      <c r="U133" s="20">
        <f t="shared" si="41"/>
        <v>1.1778271108205588E-2</v>
      </c>
      <c r="V133" s="20" t="e">
        <f t="shared" si="42"/>
        <v>#DIV/0!</v>
      </c>
      <c r="W133" s="20">
        <f t="shared" si="43"/>
        <v>-0.78059000464623607</v>
      </c>
      <c r="X133" s="20">
        <f t="shared" si="44"/>
        <v>-0.87389096307923331</v>
      </c>
      <c r="Y133" s="20">
        <f t="shared" si="45"/>
        <v>-0.85980797049767355</v>
      </c>
      <c r="Z133" s="20">
        <f t="shared" si="46"/>
        <v>-0.97671768322261998</v>
      </c>
    </row>
    <row r="134" spans="1:26" x14ac:dyDescent="0.25">
      <c r="A134" s="29" t="s">
        <v>138</v>
      </c>
      <c r="B134" s="23">
        <v>12</v>
      </c>
      <c r="C134" s="23">
        <v>9</v>
      </c>
      <c r="D134" s="23">
        <v>9</v>
      </c>
      <c r="E134" s="23">
        <v>12</v>
      </c>
      <c r="F134" s="24">
        <v>3</v>
      </c>
      <c r="G134" s="20">
        <f>VLOOKUP(A134,IMPORTACIONTOTAL,2,FALSE)</f>
        <v>1494812</v>
      </c>
      <c r="H134" s="20">
        <f>VLOOKUP(A134,IMPORTACIONTOTAL,3,FALSE)</f>
        <v>1563492</v>
      </c>
      <c r="I134" s="20">
        <f>VLOOKUP(A134,IMPORTACIONTOTAL,4,FALSE)</f>
        <v>1864441</v>
      </c>
      <c r="J134" s="20">
        <f>VLOOKUP(A134,IMPORTACIONTOTAL,5,FALSE)</f>
        <v>1994798</v>
      </c>
      <c r="K134" s="20">
        <f>VLOOKUP(A134,IMPORTACIONTOTAL,6,FALSE)</f>
        <v>1877488</v>
      </c>
      <c r="L134" s="20">
        <f t="shared" si="32"/>
        <v>8.0277653644739274E-6</v>
      </c>
      <c r="M134" s="20">
        <f t="shared" si="33"/>
        <v>5.7563454114251944E-6</v>
      </c>
      <c r="N134" s="20">
        <f t="shared" si="34"/>
        <v>4.8271841265022596E-6</v>
      </c>
      <c r="O134" s="20">
        <f t="shared" si="35"/>
        <v>6.0156466970590508E-6</v>
      </c>
      <c r="P134" s="20">
        <f t="shared" si="36"/>
        <v>1.5978797201366932E-6</v>
      </c>
      <c r="Q134" s="20">
        <f t="shared" si="37"/>
        <v>0.46468400104545066</v>
      </c>
      <c r="R134" s="20">
        <f t="shared" si="38"/>
        <v>0.55043458822385816</v>
      </c>
      <c r="S134" s="20">
        <f t="shared" si="39"/>
        <v>0.53048574888386824</v>
      </c>
      <c r="T134" s="20">
        <f t="shared" si="40"/>
        <v>0.67583321854148193</v>
      </c>
      <c r="U134" s="20">
        <f t="shared" si="41"/>
        <v>0.12537179921646183</v>
      </c>
      <c r="V134" s="20">
        <f t="shared" si="42"/>
        <v>-0.36548224639065874</v>
      </c>
      <c r="W134" s="20">
        <f t="shared" si="43"/>
        <v>-0.28996090205337427</v>
      </c>
      <c r="X134" s="20">
        <f t="shared" si="44"/>
        <v>-0.30677466383370944</v>
      </c>
      <c r="Y134" s="20">
        <f t="shared" si="45"/>
        <v>-0.19343618319050165</v>
      </c>
      <c r="Z134" s="20">
        <f t="shared" si="46"/>
        <v>-0.77719043732257787</v>
      </c>
    </row>
    <row r="135" spans="1:26" x14ac:dyDescent="0.25">
      <c r="A135" s="30" t="s">
        <v>139</v>
      </c>
      <c r="B135" s="22">
        <v>1</v>
      </c>
      <c r="C135" s="22">
        <v>3</v>
      </c>
      <c r="D135" s="22">
        <v>1</v>
      </c>
      <c r="E135" s="22">
        <v>0</v>
      </c>
      <c r="F135" s="25">
        <v>3</v>
      </c>
      <c r="G135" s="20">
        <f>VLOOKUP(A135,IMPORTACIONTOTAL,2,FALSE)</f>
        <v>891869</v>
      </c>
      <c r="H135" s="20">
        <f>VLOOKUP(A135,IMPORTACIONTOTAL,3,FALSE)</f>
        <v>1221291</v>
      </c>
      <c r="I135" s="20">
        <f>VLOOKUP(A135,IMPORTACIONTOTAL,4,FALSE)</f>
        <v>1568916</v>
      </c>
      <c r="J135" s="20">
        <f>VLOOKUP(A135,IMPORTACIONTOTAL,5,FALSE)</f>
        <v>1289872</v>
      </c>
      <c r="K135" s="20">
        <f>VLOOKUP(A135,IMPORTACIONTOTAL,6,FALSE)</f>
        <v>1461529</v>
      </c>
      <c r="L135" s="20">
        <f t="shared" si="32"/>
        <v>1.1212408997285476E-6</v>
      </c>
      <c r="M135" s="20">
        <f t="shared" si="33"/>
        <v>2.4564170210048219E-6</v>
      </c>
      <c r="N135" s="20">
        <f t="shared" si="34"/>
        <v>6.3738275344250424E-7</v>
      </c>
      <c r="O135" s="20">
        <f t="shared" si="35"/>
        <v>0</v>
      </c>
      <c r="P135" s="20">
        <f t="shared" si="36"/>
        <v>2.0526448671220344E-6</v>
      </c>
      <c r="Q135" s="20">
        <f t="shared" si="37"/>
        <v>6.4902582943865847E-2</v>
      </c>
      <c r="R135" s="20">
        <f t="shared" si="38"/>
        <v>0.23488807478078425</v>
      </c>
      <c r="S135" s="20">
        <f t="shared" si="39"/>
        <v>7.0045487892049757E-2</v>
      </c>
      <c r="T135" s="20">
        <f t="shared" si="40"/>
        <v>0</v>
      </c>
      <c r="U135" s="20">
        <f t="shared" si="41"/>
        <v>0.16105328636470198</v>
      </c>
      <c r="V135" s="20">
        <f t="shared" si="42"/>
        <v>-0.87810606531830138</v>
      </c>
      <c r="W135" s="20">
        <f t="shared" si="43"/>
        <v>-0.61957997720160796</v>
      </c>
      <c r="X135" s="20">
        <f t="shared" si="44"/>
        <v>-0.8690794201094445</v>
      </c>
      <c r="Y135" s="20">
        <f t="shared" si="45"/>
        <v>-1</v>
      </c>
      <c r="Z135" s="20">
        <f t="shared" si="46"/>
        <v>-0.72257382455035224</v>
      </c>
    </row>
    <row r="136" spans="1:26" ht="23.25" x14ac:dyDescent="0.25">
      <c r="A136" s="29" t="s">
        <v>140</v>
      </c>
      <c r="B136" s="23">
        <v>3</v>
      </c>
      <c r="C136" s="23">
        <v>2</v>
      </c>
      <c r="D136" s="23">
        <v>0</v>
      </c>
      <c r="E136" s="23">
        <v>2</v>
      </c>
      <c r="F136" s="32">
        <v>3</v>
      </c>
      <c r="G136" s="20">
        <f>VLOOKUP(A136,IMPORTACIONTOTAL,2,FALSE)</f>
        <v>5321313</v>
      </c>
      <c r="H136" s="20">
        <f>VLOOKUP(A136,IMPORTACIONTOTAL,3,FALSE)</f>
        <v>7237001</v>
      </c>
      <c r="I136" s="20">
        <f>VLOOKUP(A136,IMPORTACIONTOTAL,4,FALSE)</f>
        <v>9188938</v>
      </c>
      <c r="J136" s="20">
        <f>VLOOKUP(A136,IMPORTACIONTOTAL,5,FALSE)</f>
        <v>7488773</v>
      </c>
      <c r="K136" s="20">
        <f>VLOOKUP(A136,IMPORTACIONTOTAL,6,FALSE)</f>
        <v>7294537</v>
      </c>
      <c r="L136" s="20">
        <f t="shared" si="32"/>
        <v>5.6377063330046555E-7</v>
      </c>
      <c r="M136" s="20">
        <f t="shared" si="33"/>
        <v>2.7635756855636749E-7</v>
      </c>
      <c r="N136" s="20">
        <f t="shared" si="34"/>
        <v>0</v>
      </c>
      <c r="O136" s="20">
        <f t="shared" si="35"/>
        <v>2.6706644733389567E-7</v>
      </c>
      <c r="P136" s="20">
        <f t="shared" si="36"/>
        <v>4.1126667806332325E-7</v>
      </c>
      <c r="Q136" s="20">
        <f t="shared" si="37"/>
        <v>3.2633638585568649E-2</v>
      </c>
      <c r="R136" s="20">
        <f t="shared" si="38"/>
        <v>2.6425927142757873E-2</v>
      </c>
      <c r="S136" s="20">
        <f t="shared" si="39"/>
        <v>0</v>
      </c>
      <c r="T136" s="20">
        <f t="shared" si="40"/>
        <v>3.0003819332399557E-2</v>
      </c>
      <c r="U136" s="20">
        <f t="shared" si="41"/>
        <v>3.2268538574458737E-2</v>
      </c>
      <c r="V136" s="20">
        <f t="shared" si="42"/>
        <v>-0.93679532146508815</v>
      </c>
      <c r="W136" s="20">
        <f t="shared" si="43"/>
        <v>-0.94850884716772665</v>
      </c>
      <c r="X136" s="20">
        <f t="shared" si="44"/>
        <v>-1</v>
      </c>
      <c r="Y136" s="20">
        <f t="shared" si="45"/>
        <v>-0.94174037266804189</v>
      </c>
      <c r="Z136" s="20">
        <f t="shared" si="46"/>
        <v>-0.93748034088296262</v>
      </c>
    </row>
    <row r="137" spans="1:26" x14ac:dyDescent="0.25">
      <c r="A137" s="30" t="s">
        <v>141</v>
      </c>
      <c r="B137" s="22">
        <v>2</v>
      </c>
      <c r="C137" s="22">
        <v>2</v>
      </c>
      <c r="D137" s="22">
        <v>2</v>
      </c>
      <c r="E137" s="22">
        <v>1</v>
      </c>
      <c r="F137" s="25">
        <v>3</v>
      </c>
      <c r="G137" s="20">
        <f>VLOOKUP(A137,IMPORTACIONTOTAL,2,FALSE)</f>
        <v>1605274</v>
      </c>
      <c r="H137" s="20">
        <f>VLOOKUP(A137,IMPORTACIONTOTAL,3,FALSE)</f>
        <v>2051495</v>
      </c>
      <c r="I137" s="20">
        <f>VLOOKUP(A137,IMPORTACIONTOTAL,4,FALSE)</f>
        <v>2123792</v>
      </c>
      <c r="J137" s="20">
        <f>VLOOKUP(A137,IMPORTACIONTOTAL,5,FALSE)</f>
        <v>2038539</v>
      </c>
      <c r="K137" s="20">
        <f>VLOOKUP(A137,IMPORTACIONTOTAL,6,FALSE)</f>
        <v>2123695</v>
      </c>
      <c r="L137" s="20">
        <f t="shared" si="32"/>
        <v>1.2458932244588773E-6</v>
      </c>
      <c r="M137" s="20">
        <f t="shared" si="33"/>
        <v>9.7489879331901859E-7</v>
      </c>
      <c r="N137" s="20">
        <f t="shared" si="34"/>
        <v>9.4171180605257011E-7</v>
      </c>
      <c r="O137" s="20">
        <f t="shared" si="35"/>
        <v>4.9054739693476554E-7</v>
      </c>
      <c r="P137" s="20">
        <f t="shared" si="36"/>
        <v>1.412632228262533E-6</v>
      </c>
      <c r="Q137" s="20">
        <f t="shared" si="37"/>
        <v>7.2118033117788832E-2</v>
      </c>
      <c r="R137" s="20">
        <f t="shared" si="38"/>
        <v>9.3221997205972157E-2</v>
      </c>
      <c r="S137" s="20">
        <f t="shared" si="39"/>
        <v>0.10348987723999632</v>
      </c>
      <c r="T137" s="20">
        <f t="shared" si="40"/>
        <v>5.511098686690611E-2</v>
      </c>
      <c r="U137" s="20">
        <f t="shared" si="41"/>
        <v>0.11083703100836821</v>
      </c>
      <c r="V137" s="20">
        <f t="shared" si="42"/>
        <v>-0.86546624365963709</v>
      </c>
      <c r="W137" s="20">
        <f t="shared" si="43"/>
        <v>-0.82945458938033356</v>
      </c>
      <c r="X137" s="20">
        <f t="shared" si="44"/>
        <v>-0.81243166906280828</v>
      </c>
      <c r="Y137" s="20">
        <f t="shared" si="45"/>
        <v>-0.8955351852973209</v>
      </c>
      <c r="Z137" s="20">
        <f t="shared" si="46"/>
        <v>-0.80044411931828507</v>
      </c>
    </row>
    <row r="138" spans="1:26" x14ac:dyDescent="0.25">
      <c r="A138" s="29" t="s">
        <v>142</v>
      </c>
      <c r="B138" s="23">
        <v>1</v>
      </c>
      <c r="C138" s="23">
        <v>0</v>
      </c>
      <c r="D138" s="23">
        <v>1</v>
      </c>
      <c r="E138" s="23">
        <v>3</v>
      </c>
      <c r="F138" s="32">
        <v>3</v>
      </c>
      <c r="G138" s="20">
        <f>VLOOKUP(A138,IMPORTACIONTOTAL,2,FALSE)</f>
        <v>5378310</v>
      </c>
      <c r="H138" s="20">
        <f>VLOOKUP(A138,IMPORTACIONTOTAL,3,FALSE)</f>
        <v>7111525</v>
      </c>
      <c r="I138" s="20">
        <f>VLOOKUP(A138,IMPORTACIONTOTAL,4,FALSE)</f>
        <v>9048377</v>
      </c>
      <c r="J138" s="20">
        <f>VLOOKUP(A138,IMPORTACIONTOTAL,5,FALSE)</f>
        <v>10226926</v>
      </c>
      <c r="K138" s="20">
        <f>VLOOKUP(A138,IMPORTACIONTOTAL,6,FALSE)</f>
        <v>11268015</v>
      </c>
      <c r="L138" s="20">
        <f t="shared" si="32"/>
        <v>1.8593201210045535E-7</v>
      </c>
      <c r="M138" s="20">
        <f t="shared" si="33"/>
        <v>0</v>
      </c>
      <c r="N138" s="20">
        <f t="shared" si="34"/>
        <v>1.1051705736840982E-7</v>
      </c>
      <c r="O138" s="20">
        <f t="shared" si="35"/>
        <v>2.933432783223424E-7</v>
      </c>
      <c r="P138" s="20">
        <f t="shared" si="36"/>
        <v>2.66240327156114E-7</v>
      </c>
      <c r="Q138" s="20">
        <f t="shared" si="37"/>
        <v>1.0762600472557863E-2</v>
      </c>
      <c r="R138" s="20">
        <f t="shared" si="38"/>
        <v>0</v>
      </c>
      <c r="S138" s="20">
        <f t="shared" si="39"/>
        <v>1.2145325806124473E-2</v>
      </c>
      <c r="T138" s="20">
        <f t="shared" si="40"/>
        <v>3.2955913455326433E-2</v>
      </c>
      <c r="U138" s="20">
        <f t="shared" si="41"/>
        <v>2.0889575365964325E-2</v>
      </c>
      <c r="V138" s="20">
        <f t="shared" si="42"/>
        <v>-0.97870399940099473</v>
      </c>
      <c r="W138" s="20">
        <f t="shared" si="43"/>
        <v>-1</v>
      </c>
      <c r="X138" s="20">
        <f t="shared" si="44"/>
        <v>-0.97600082617295836</v>
      </c>
      <c r="Y138" s="20">
        <f t="shared" si="45"/>
        <v>-0.93619105515338785</v>
      </c>
      <c r="Z138" s="20">
        <f t="shared" si="46"/>
        <v>-0.95907573968815196</v>
      </c>
    </row>
    <row r="139" spans="1:26" ht="23.25" x14ac:dyDescent="0.25">
      <c r="A139" s="30" t="s">
        <v>143</v>
      </c>
      <c r="B139" s="22"/>
      <c r="C139" s="25">
        <v>1</v>
      </c>
      <c r="D139" s="22"/>
      <c r="E139" s="22"/>
      <c r="F139" s="25">
        <v>2</v>
      </c>
      <c r="G139" s="20">
        <f>VLOOKUP(A139,IMPORTACIONTOTAL,2,FALSE)</f>
        <v>40428</v>
      </c>
      <c r="H139" s="20">
        <f>VLOOKUP(A139,IMPORTACIONTOTAL,3,FALSE)</f>
        <v>50854</v>
      </c>
      <c r="I139" s="20">
        <f>VLOOKUP(A139,IMPORTACIONTOTAL,4,FALSE)</f>
        <v>60046</v>
      </c>
      <c r="J139" s="20">
        <f>VLOOKUP(A139,IMPORTACIONTOTAL,5,FALSE)</f>
        <v>54458</v>
      </c>
      <c r="K139" s="20">
        <f>VLOOKUP(A139,IMPORTACIONTOTAL,6,FALSE)</f>
        <v>38451</v>
      </c>
      <c r="L139" s="20">
        <f t="shared" si="32"/>
        <v>0</v>
      </c>
      <c r="M139" s="20">
        <f t="shared" si="33"/>
        <v>1.9664136547764188E-5</v>
      </c>
      <c r="N139" s="20">
        <f t="shared" si="34"/>
        <v>0</v>
      </c>
      <c r="O139" s="20">
        <f t="shared" si="35"/>
        <v>0</v>
      </c>
      <c r="P139" s="20">
        <f t="shared" si="36"/>
        <v>5.2014251905021975E-5</v>
      </c>
      <c r="Q139" s="20">
        <f t="shared" si="37"/>
        <v>0</v>
      </c>
      <c r="R139" s="20">
        <f t="shared" si="38"/>
        <v>1.8803285991078957</v>
      </c>
      <c r="S139" s="20">
        <f t="shared" si="39"/>
        <v>0</v>
      </c>
      <c r="T139" s="20">
        <f t="shared" si="40"/>
        <v>0</v>
      </c>
      <c r="U139" s="20">
        <f t="shared" si="41"/>
        <v>4.0811083988681096</v>
      </c>
      <c r="V139" s="20">
        <f t="shared" si="42"/>
        <v>-1</v>
      </c>
      <c r="W139" s="20">
        <f t="shared" si="43"/>
        <v>0.30563478048322468</v>
      </c>
      <c r="X139" s="20">
        <f t="shared" si="44"/>
        <v>-1</v>
      </c>
      <c r="Y139" s="20">
        <f t="shared" si="45"/>
        <v>-1</v>
      </c>
      <c r="Z139" s="20">
        <f t="shared" si="46"/>
        <v>0.60638509494394399</v>
      </c>
    </row>
    <row r="140" spans="1:26" ht="34.5" x14ac:dyDescent="0.25">
      <c r="A140" s="29" t="s">
        <v>144</v>
      </c>
      <c r="B140" s="23">
        <v>1</v>
      </c>
      <c r="C140" s="23">
        <v>1</v>
      </c>
      <c r="D140" s="23">
        <v>0</v>
      </c>
      <c r="E140" s="23">
        <v>0</v>
      </c>
      <c r="F140" s="24">
        <v>2</v>
      </c>
      <c r="G140" s="20">
        <f>VLOOKUP(A140,IMPORTACIONTOTAL,2,FALSE)</f>
        <v>8477673</v>
      </c>
      <c r="H140" s="20">
        <f>VLOOKUP(A140,IMPORTACIONTOTAL,3,FALSE)</f>
        <v>10873264</v>
      </c>
      <c r="I140" s="20">
        <f>VLOOKUP(A140,IMPORTACIONTOTAL,4,FALSE)</f>
        <v>15654447</v>
      </c>
      <c r="J140" s="20">
        <f>VLOOKUP(A140,IMPORTACIONTOTAL,5,FALSE)</f>
        <v>15117482</v>
      </c>
      <c r="K140" s="20">
        <f>VLOOKUP(A140,IMPORTACIONTOTAL,6,FALSE)</f>
        <v>19382446</v>
      </c>
      <c r="L140" s="20">
        <f t="shared" si="32"/>
        <v>1.1795689689847673E-7</v>
      </c>
      <c r="M140" s="20">
        <f t="shared" si="33"/>
        <v>9.1968704153600974E-8</v>
      </c>
      <c r="N140" s="20">
        <f t="shared" si="34"/>
        <v>0</v>
      </c>
      <c r="O140" s="20">
        <f t="shared" si="35"/>
        <v>0</v>
      </c>
      <c r="P140" s="20">
        <f t="shared" si="36"/>
        <v>1.0318615101520211E-7</v>
      </c>
      <c r="Q140" s="20">
        <f t="shared" si="37"/>
        <v>6.8278880003466375E-3</v>
      </c>
      <c r="R140" s="20">
        <f t="shared" si="38"/>
        <v>8.7942526346304964E-3</v>
      </c>
      <c r="S140" s="20">
        <f t="shared" si="39"/>
        <v>0</v>
      </c>
      <c r="T140" s="20">
        <f t="shared" si="40"/>
        <v>0</v>
      </c>
      <c r="U140" s="20">
        <f t="shared" si="41"/>
        <v>8.0961246606789296E-3</v>
      </c>
      <c r="V140" s="20">
        <f t="shared" si="42"/>
        <v>-0.98643683179275554</v>
      </c>
      <c r="W140" s="20">
        <f t="shared" si="43"/>
        <v>-0.98256482407257395</v>
      </c>
      <c r="X140" s="20">
        <f t="shared" si="44"/>
        <v>-1</v>
      </c>
      <c r="Y140" s="20">
        <f t="shared" si="45"/>
        <v>-1</v>
      </c>
      <c r="Z140" s="20">
        <f t="shared" si="46"/>
        <v>-0.98393779231439049</v>
      </c>
    </row>
    <row r="141" spans="1:26" x14ac:dyDescent="0.25">
      <c r="A141" s="30" t="s">
        <v>145</v>
      </c>
      <c r="B141" s="22">
        <v>1</v>
      </c>
      <c r="C141" s="22">
        <v>3</v>
      </c>
      <c r="D141" s="22">
        <v>6</v>
      </c>
      <c r="E141" s="22">
        <v>2</v>
      </c>
      <c r="F141" s="31">
        <v>2</v>
      </c>
      <c r="G141" s="20">
        <f>VLOOKUP(A141,IMPORTACIONTOTAL,2,FALSE)</f>
        <v>787099</v>
      </c>
      <c r="H141" s="20">
        <f>VLOOKUP(A141,IMPORTACIONTOTAL,3,FALSE)</f>
        <v>1057442</v>
      </c>
      <c r="I141" s="20">
        <f>VLOOKUP(A141,IMPORTACIONTOTAL,4,FALSE)</f>
        <v>1378182</v>
      </c>
      <c r="J141" s="20">
        <f>VLOOKUP(A141,IMPORTACIONTOTAL,5,FALSE)</f>
        <v>1337483</v>
      </c>
      <c r="K141" s="20">
        <f>VLOOKUP(A141,IMPORTACIONTOTAL,6,FALSE)</f>
        <v>1440307</v>
      </c>
      <c r="L141" s="20">
        <f t="shared" si="32"/>
        <v>1.2704882105046505E-6</v>
      </c>
      <c r="M141" s="20">
        <f t="shared" si="33"/>
        <v>2.8370350335999518E-6</v>
      </c>
      <c r="N141" s="20">
        <f t="shared" si="34"/>
        <v>4.3535614309285711E-6</v>
      </c>
      <c r="O141" s="20">
        <f t="shared" si="35"/>
        <v>1.4953461090720405E-6</v>
      </c>
      <c r="P141" s="20">
        <f t="shared" si="36"/>
        <v>1.3885928486079704E-6</v>
      </c>
      <c r="Q141" s="20">
        <f t="shared" si="37"/>
        <v>7.3541704090035284E-2</v>
      </c>
      <c r="R141" s="20">
        <f t="shared" si="38"/>
        <v>0.27128361814368901</v>
      </c>
      <c r="S141" s="20">
        <f t="shared" si="39"/>
        <v>0.478436752250326</v>
      </c>
      <c r="T141" s="20">
        <f t="shared" si="40"/>
        <v>0.16799599853856223</v>
      </c>
      <c r="U141" s="20">
        <f t="shared" si="41"/>
        <v>0.10895086883898897</v>
      </c>
      <c r="V141" s="20">
        <f t="shared" si="42"/>
        <v>-0.8629923666498428</v>
      </c>
      <c r="W141" s="20">
        <f t="shared" si="43"/>
        <v>-0.57321306705766617</v>
      </c>
      <c r="X141" s="20">
        <f t="shared" si="44"/>
        <v>-0.35278022340543386</v>
      </c>
      <c r="Y141" s="20">
        <f t="shared" si="45"/>
        <v>-0.71233463342551739</v>
      </c>
      <c r="Z141" s="20">
        <f t="shared" si="46"/>
        <v>-0.80350640970586096</v>
      </c>
    </row>
    <row r="142" spans="1:26" ht="23.25" x14ac:dyDescent="0.25">
      <c r="A142" s="29" t="s">
        <v>146</v>
      </c>
      <c r="B142" s="24">
        <v>1</v>
      </c>
      <c r="C142" s="23"/>
      <c r="D142" s="24">
        <v>1</v>
      </c>
      <c r="E142" s="24">
        <v>1</v>
      </c>
      <c r="F142" s="24">
        <v>2</v>
      </c>
      <c r="G142" s="20">
        <f>VLOOKUP(A142,IMPORTACIONTOTAL,2,FALSE)</f>
        <v>1280190</v>
      </c>
      <c r="H142" s="20">
        <f>VLOOKUP(A142,IMPORTACIONTOTAL,3,FALSE)</f>
        <v>1015295</v>
      </c>
      <c r="I142" s="20">
        <f>VLOOKUP(A142,IMPORTACIONTOTAL,4,FALSE)</f>
        <v>1734017</v>
      </c>
      <c r="J142" s="20">
        <f>VLOOKUP(A142,IMPORTACIONTOTAL,5,FALSE)</f>
        <v>1037187</v>
      </c>
      <c r="K142" s="20">
        <f>VLOOKUP(A142,IMPORTACIONTOTAL,6,FALSE)</f>
        <v>860779</v>
      </c>
      <c r="L142" s="20">
        <f t="shared" si="32"/>
        <v>7.8113405041439158E-7</v>
      </c>
      <c r="M142" s="20">
        <f t="shared" si="33"/>
        <v>0</v>
      </c>
      <c r="N142" s="20">
        <f t="shared" si="34"/>
        <v>5.7669561486421416E-7</v>
      </c>
      <c r="O142" s="20">
        <f t="shared" si="35"/>
        <v>9.6414629184515434E-7</v>
      </c>
      <c r="P142" s="20">
        <f t="shared" si="36"/>
        <v>2.3234767576811239E-6</v>
      </c>
      <c r="Q142" s="20">
        <f t="shared" si="37"/>
        <v>4.5215633419697608E-2</v>
      </c>
      <c r="R142" s="20">
        <f t="shared" si="38"/>
        <v>0</v>
      </c>
      <c r="S142" s="20">
        <f t="shared" si="39"/>
        <v>6.3376245262672243E-2</v>
      </c>
      <c r="T142" s="20">
        <f t="shared" si="40"/>
        <v>0.10831787908706524</v>
      </c>
      <c r="U142" s="20">
        <f t="shared" si="41"/>
        <v>0.18230312199168158</v>
      </c>
      <c r="V142" s="20">
        <f t="shared" si="42"/>
        <v>-0.9134807555991814</v>
      </c>
      <c r="W142" s="20">
        <f t="shared" si="43"/>
        <v>-1</v>
      </c>
      <c r="X142" s="20">
        <f t="shared" si="44"/>
        <v>-0.88080184122033445</v>
      </c>
      <c r="Y142" s="20">
        <f t="shared" si="45"/>
        <v>-0.80453644007567948</v>
      </c>
      <c r="Z142" s="20">
        <f t="shared" si="46"/>
        <v>-0.69161356575870703</v>
      </c>
    </row>
    <row r="143" spans="1:26" x14ac:dyDescent="0.25">
      <c r="A143" s="30" t="s">
        <v>147</v>
      </c>
      <c r="B143" s="25">
        <v>2</v>
      </c>
      <c r="C143" s="25">
        <v>3</v>
      </c>
      <c r="D143" s="22"/>
      <c r="E143" s="22"/>
      <c r="F143" s="25">
        <v>2</v>
      </c>
      <c r="G143" s="20">
        <f>VLOOKUP(A143,IMPORTACIONTOTAL,2,FALSE)</f>
        <v>89130</v>
      </c>
      <c r="H143" s="20">
        <f>VLOOKUP(A143,IMPORTACIONTOTAL,3,FALSE)</f>
        <v>158318</v>
      </c>
      <c r="I143" s="20">
        <f>VLOOKUP(A143,IMPORTACIONTOTAL,4,FALSE)</f>
        <v>161064</v>
      </c>
      <c r="J143" s="20">
        <f>VLOOKUP(A143,IMPORTACIONTOTAL,5,FALSE)</f>
        <v>251496</v>
      </c>
      <c r="K143" s="20">
        <f>VLOOKUP(A143,IMPORTACIONTOTAL,6,FALSE)</f>
        <v>290919</v>
      </c>
      <c r="L143" s="20">
        <f t="shared" si="32"/>
        <v>2.2439133849433412E-5</v>
      </c>
      <c r="M143" s="20">
        <f t="shared" si="33"/>
        <v>1.8949203501812807E-5</v>
      </c>
      <c r="N143" s="20">
        <f t="shared" si="34"/>
        <v>0</v>
      </c>
      <c r="O143" s="20">
        <f t="shared" si="35"/>
        <v>0</v>
      </c>
      <c r="P143" s="20">
        <f t="shared" si="36"/>
        <v>6.8747658282889737E-6</v>
      </c>
      <c r="Q143" s="20">
        <f t="shared" si="37"/>
        <v>1.2988803264347062</v>
      </c>
      <c r="R143" s="20">
        <f t="shared" si="38"/>
        <v>1.8119651065393625</v>
      </c>
      <c r="S143" s="20">
        <f t="shared" si="39"/>
        <v>0</v>
      </c>
      <c r="T143" s="20">
        <f t="shared" si="40"/>
        <v>0</v>
      </c>
      <c r="U143" s="20">
        <f t="shared" si="41"/>
        <v>0.53940340453829994</v>
      </c>
      <c r="V143" s="20">
        <f t="shared" si="42"/>
        <v>0.13001125939349548</v>
      </c>
      <c r="W143" s="20">
        <f t="shared" si="43"/>
        <v>0.28875362096460511</v>
      </c>
      <c r="X143" s="20">
        <f t="shared" si="44"/>
        <v>-1</v>
      </c>
      <c r="Y143" s="20">
        <f t="shared" si="45"/>
        <v>-1</v>
      </c>
      <c r="Z143" s="20">
        <f t="shared" si="46"/>
        <v>-0.29920461011312555</v>
      </c>
    </row>
    <row r="144" spans="1:26" ht="34.5" x14ac:dyDescent="0.25">
      <c r="A144" s="29" t="s">
        <v>148</v>
      </c>
      <c r="B144" s="23">
        <v>0</v>
      </c>
      <c r="C144" s="23">
        <v>0</v>
      </c>
      <c r="D144" s="23"/>
      <c r="E144" s="24">
        <v>1</v>
      </c>
      <c r="F144" s="24">
        <v>2</v>
      </c>
      <c r="G144" s="20">
        <f>VLOOKUP(A144,IMPORTACIONTOTAL,2,FALSE)</f>
        <v>5023261</v>
      </c>
      <c r="H144" s="20">
        <f>VLOOKUP(A144,IMPORTACIONTOTAL,3,FALSE)</f>
        <v>5871286</v>
      </c>
      <c r="I144" s="20">
        <f>VLOOKUP(A144,IMPORTACIONTOTAL,4,FALSE)</f>
        <v>8284932</v>
      </c>
      <c r="J144" s="20">
        <f>VLOOKUP(A144,IMPORTACIONTOTAL,5,FALSE)</f>
        <v>9155771</v>
      </c>
      <c r="K144" s="20">
        <f>VLOOKUP(A144,IMPORTACIONTOTAL,6,FALSE)</f>
        <v>9241694</v>
      </c>
      <c r="L144" s="20">
        <f t="shared" si="32"/>
        <v>0</v>
      </c>
      <c r="M144" s="20">
        <f t="shared" si="33"/>
        <v>0</v>
      </c>
      <c r="N144" s="20">
        <f t="shared" si="34"/>
        <v>0</v>
      </c>
      <c r="O144" s="20">
        <f t="shared" si="35"/>
        <v>1.092207308374139E-7</v>
      </c>
      <c r="P144" s="20">
        <f t="shared" si="36"/>
        <v>2.1641054118433265E-7</v>
      </c>
      <c r="Q144" s="20">
        <f t="shared" si="37"/>
        <v>0</v>
      </c>
      <c r="R144" s="20">
        <f t="shared" si="38"/>
        <v>0</v>
      </c>
      <c r="S144" s="20">
        <f t="shared" si="39"/>
        <v>0</v>
      </c>
      <c r="T144" s="20">
        <f t="shared" si="40"/>
        <v>1.227050087389428E-2</v>
      </c>
      <c r="U144" s="20">
        <f t="shared" si="41"/>
        <v>1.697986311220407E-2</v>
      </c>
      <c r="V144" s="20">
        <f t="shared" si="42"/>
        <v>-1</v>
      </c>
      <c r="W144" s="20">
        <f t="shared" si="43"/>
        <v>-1</v>
      </c>
      <c r="X144" s="20">
        <f t="shared" si="44"/>
        <v>-1</v>
      </c>
      <c r="Y144" s="20">
        <f t="shared" si="45"/>
        <v>-0.97575647840512758</v>
      </c>
      <c r="Z144" s="20">
        <f t="shared" si="46"/>
        <v>-0.96660727763037202</v>
      </c>
    </row>
    <row r="145" spans="1:26" x14ac:dyDescent="0.25">
      <c r="A145" s="30" t="s">
        <v>149</v>
      </c>
      <c r="B145" s="22">
        <v>0</v>
      </c>
      <c r="C145" s="22">
        <v>1</v>
      </c>
      <c r="D145" s="22">
        <v>1</v>
      </c>
      <c r="E145" s="22">
        <v>1</v>
      </c>
      <c r="F145" s="25">
        <v>2</v>
      </c>
      <c r="G145" s="20">
        <f>VLOOKUP(A145,IMPORTACIONTOTAL,2,FALSE)</f>
        <v>1480789</v>
      </c>
      <c r="H145" s="20">
        <f>VLOOKUP(A145,IMPORTACIONTOTAL,3,FALSE)</f>
        <v>1832506</v>
      </c>
      <c r="I145" s="20">
        <f>VLOOKUP(A145,IMPORTACIONTOTAL,4,FALSE)</f>
        <v>1881396</v>
      </c>
      <c r="J145" s="20">
        <f>VLOOKUP(A145,IMPORTACIONTOTAL,5,FALSE)</f>
        <v>1734885</v>
      </c>
      <c r="K145" s="20">
        <f>VLOOKUP(A145,IMPORTACIONTOTAL,6,FALSE)</f>
        <v>1673439</v>
      </c>
      <c r="L145" s="20">
        <f t="shared" si="32"/>
        <v>0</v>
      </c>
      <c r="M145" s="20">
        <f t="shared" si="33"/>
        <v>5.4570080534524849E-7</v>
      </c>
      <c r="N145" s="20">
        <f t="shared" si="34"/>
        <v>5.3152021158756585E-7</v>
      </c>
      <c r="O145" s="20">
        <f t="shared" si="35"/>
        <v>5.7640708173740619E-7</v>
      </c>
      <c r="P145" s="20">
        <f t="shared" si="36"/>
        <v>1.1951436532792651E-6</v>
      </c>
      <c r="Q145" s="20">
        <f t="shared" si="37"/>
        <v>0</v>
      </c>
      <c r="R145" s="20">
        <f t="shared" si="38"/>
        <v>5.2181128235887317E-2</v>
      </c>
      <c r="S145" s="20">
        <f t="shared" si="39"/>
        <v>5.8411672333545488E-2</v>
      </c>
      <c r="T145" s="20">
        <f t="shared" si="40"/>
        <v>6.4756970091202543E-2</v>
      </c>
      <c r="U145" s="20">
        <f t="shared" si="41"/>
        <v>9.3772583909468882E-2</v>
      </c>
      <c r="V145" s="20">
        <f t="shared" si="42"/>
        <v>-1</v>
      </c>
      <c r="W145" s="20">
        <f t="shared" si="43"/>
        <v>-0.9008134116159725</v>
      </c>
      <c r="X145" s="20">
        <f t="shared" si="44"/>
        <v>-0.88962390748249842</v>
      </c>
      <c r="Y145" s="20">
        <f t="shared" si="45"/>
        <v>-0.87836290926434468</v>
      </c>
      <c r="Z145" s="20">
        <f t="shared" si="46"/>
        <v>-0.82853367274155332</v>
      </c>
    </row>
    <row r="146" spans="1:26" x14ac:dyDescent="0.25">
      <c r="A146" s="29" t="s">
        <v>150</v>
      </c>
      <c r="B146" s="23">
        <v>4</v>
      </c>
      <c r="C146" s="23">
        <v>3</v>
      </c>
      <c r="D146" s="23">
        <v>3</v>
      </c>
      <c r="E146" s="24">
        <v>2</v>
      </c>
      <c r="F146" s="24">
        <v>2</v>
      </c>
      <c r="G146" s="20">
        <f>VLOOKUP(A146,IMPORTACIONTOTAL,2,FALSE)</f>
        <v>3706645</v>
      </c>
      <c r="H146" s="20">
        <f>VLOOKUP(A146,IMPORTACIONTOTAL,3,FALSE)</f>
        <v>3736702</v>
      </c>
      <c r="I146" s="20">
        <f>VLOOKUP(A146,IMPORTACIONTOTAL,4,FALSE)</f>
        <v>3367604</v>
      </c>
      <c r="J146" s="20">
        <f>VLOOKUP(A146,IMPORTACIONTOTAL,5,FALSE)</f>
        <v>2289622</v>
      </c>
      <c r="K146" s="20">
        <f>VLOOKUP(A146,IMPORTACIONTOTAL,6,FALSE)</f>
        <v>1616708</v>
      </c>
      <c r="L146" s="20">
        <f t="shared" si="32"/>
        <v>1.0791429985876715E-6</v>
      </c>
      <c r="M146" s="20">
        <f t="shared" si="33"/>
        <v>8.0284700251719302E-7</v>
      </c>
      <c r="N146" s="20">
        <f t="shared" si="34"/>
        <v>8.9084108464059309E-7</v>
      </c>
      <c r="O146" s="20">
        <f t="shared" si="35"/>
        <v>8.7350663122559092E-7</v>
      </c>
      <c r="P146" s="20">
        <f t="shared" si="36"/>
        <v>1.237081773579397E-6</v>
      </c>
      <c r="Q146" s="20">
        <f t="shared" si="37"/>
        <v>6.2465762701917962E-2</v>
      </c>
      <c r="R146" s="20">
        <f t="shared" si="38"/>
        <v>7.6770021194384461E-2</v>
      </c>
      <c r="S146" s="20">
        <f t="shared" si="39"/>
        <v>9.7899414552580818E-2</v>
      </c>
      <c r="T146" s="20">
        <f t="shared" si="40"/>
        <v>9.8134885196487387E-2</v>
      </c>
      <c r="U146" s="20">
        <f t="shared" si="41"/>
        <v>9.7063105424651616E-2</v>
      </c>
      <c r="V146" s="20">
        <f t="shared" si="42"/>
        <v>-0.88241359882870274</v>
      </c>
      <c r="W146" s="20">
        <f t="shared" si="43"/>
        <v>-0.8574068377029499</v>
      </c>
      <c r="X146" s="20">
        <f t="shared" si="44"/>
        <v>-0.82166050322109507</v>
      </c>
      <c r="Y146" s="20">
        <f t="shared" si="45"/>
        <v>-0.82126988857306304</v>
      </c>
      <c r="Z146" s="20">
        <f t="shared" si="46"/>
        <v>-0.82304918478307521</v>
      </c>
    </row>
    <row r="147" spans="1:26" x14ac:dyDescent="0.25">
      <c r="A147" s="30" t="s">
        <v>151</v>
      </c>
      <c r="B147" s="25">
        <v>1</v>
      </c>
      <c r="C147" s="25">
        <v>3</v>
      </c>
      <c r="D147" s="25">
        <v>1</v>
      </c>
      <c r="E147" s="25">
        <v>2</v>
      </c>
      <c r="F147" s="25">
        <v>2</v>
      </c>
      <c r="G147" s="20">
        <f>VLOOKUP(A147,IMPORTACIONTOTAL,2,FALSE)</f>
        <v>253761</v>
      </c>
      <c r="H147" s="20">
        <f>VLOOKUP(A147,IMPORTACIONTOTAL,3,FALSE)</f>
        <v>341944</v>
      </c>
      <c r="I147" s="20">
        <f>VLOOKUP(A147,IMPORTACIONTOTAL,4,FALSE)</f>
        <v>427909</v>
      </c>
      <c r="J147" s="20">
        <f>VLOOKUP(A147,IMPORTACIONTOTAL,5,FALSE)</f>
        <v>492381</v>
      </c>
      <c r="K147" s="20">
        <f>VLOOKUP(A147,IMPORTACIONTOTAL,6,FALSE)</f>
        <v>525871</v>
      </c>
      <c r="L147" s="20">
        <f t="shared" si="32"/>
        <v>3.9407158704450248E-6</v>
      </c>
      <c r="M147" s="20">
        <f t="shared" si="33"/>
        <v>8.7733663991764737E-6</v>
      </c>
      <c r="N147" s="20">
        <f t="shared" si="34"/>
        <v>2.3369454720513008E-6</v>
      </c>
      <c r="O147" s="20">
        <f t="shared" si="35"/>
        <v>4.0618951584240658E-6</v>
      </c>
      <c r="P147" s="20">
        <f t="shared" si="36"/>
        <v>3.8032140962327263E-6</v>
      </c>
      <c r="Q147" s="20">
        <f t="shared" si="37"/>
        <v>0.22810676876101008</v>
      </c>
      <c r="R147" s="20">
        <f t="shared" si="38"/>
        <v>0.83892886477639261</v>
      </c>
      <c r="S147" s="20">
        <f t="shared" si="39"/>
        <v>0.25681975999953993</v>
      </c>
      <c r="T147" s="20">
        <f t="shared" si="40"/>
        <v>0.45633725126142527</v>
      </c>
      <c r="U147" s="20">
        <f t="shared" si="41"/>
        <v>0.29840531051318225</v>
      </c>
      <c r="V147" s="20">
        <f t="shared" si="42"/>
        <v>-0.62852290279103618</v>
      </c>
      <c r="W147" s="20">
        <f t="shared" si="43"/>
        <v>-8.75896497732081E-2</v>
      </c>
      <c r="X147" s="20">
        <f t="shared" si="44"/>
        <v>-0.59131807412125048</v>
      </c>
      <c r="Y147" s="20">
        <f t="shared" si="45"/>
        <v>-0.37330827613430495</v>
      </c>
      <c r="Z147" s="20">
        <f t="shared" si="46"/>
        <v>-0.54035106280450984</v>
      </c>
    </row>
    <row r="148" spans="1:26" ht="23.25" x14ac:dyDescent="0.25">
      <c r="A148" s="29" t="s">
        <v>152</v>
      </c>
      <c r="B148" s="23"/>
      <c r="C148" s="23"/>
      <c r="D148" s="23"/>
      <c r="E148" s="23"/>
      <c r="F148" s="24">
        <v>1</v>
      </c>
      <c r="G148" s="20">
        <f>VLOOKUP(A148,IMPORTACIONTOTAL,2,FALSE)</f>
        <v>312123</v>
      </c>
      <c r="H148" s="20">
        <f>VLOOKUP(A148,IMPORTACIONTOTAL,3,FALSE)</f>
        <v>572318</v>
      </c>
      <c r="I148" s="20">
        <f>VLOOKUP(A148,IMPORTACIONTOTAL,4,FALSE)</f>
        <v>839897</v>
      </c>
      <c r="J148" s="20">
        <f>VLOOKUP(A148,IMPORTACIONTOTAL,5,FALSE)</f>
        <v>697784</v>
      </c>
      <c r="K148" s="20">
        <f>VLOOKUP(A148,IMPORTACIONTOTAL,6,FALSE)</f>
        <v>662898</v>
      </c>
      <c r="L148" s="20">
        <f t="shared" si="32"/>
        <v>0</v>
      </c>
      <c r="M148" s="20">
        <f t="shared" si="33"/>
        <v>0</v>
      </c>
      <c r="N148" s="20">
        <f t="shared" si="34"/>
        <v>0</v>
      </c>
      <c r="O148" s="20">
        <f t="shared" si="35"/>
        <v>0</v>
      </c>
      <c r="P148" s="20">
        <f t="shared" si="36"/>
        <v>1.5085277071283969E-6</v>
      </c>
      <c r="Q148" s="20">
        <f t="shared" si="37"/>
        <v>0</v>
      </c>
      <c r="R148" s="20">
        <f t="shared" si="38"/>
        <v>0</v>
      </c>
      <c r="S148" s="20">
        <f t="shared" si="39"/>
        <v>0</v>
      </c>
      <c r="T148" s="20">
        <f t="shared" si="40"/>
        <v>0</v>
      </c>
      <c r="U148" s="20">
        <f t="shared" si="41"/>
        <v>0.1183611196932844</v>
      </c>
      <c r="V148" s="20">
        <f t="shared" si="42"/>
        <v>-1</v>
      </c>
      <c r="W148" s="20">
        <f t="shared" si="43"/>
        <v>-1</v>
      </c>
      <c r="X148" s="20">
        <f t="shared" si="44"/>
        <v>-1</v>
      </c>
      <c r="Y148" s="20">
        <f t="shared" si="45"/>
        <v>-1</v>
      </c>
      <c r="Z148" s="20">
        <f t="shared" si="46"/>
        <v>-0.78833112559251795</v>
      </c>
    </row>
    <row r="149" spans="1:26" x14ac:dyDescent="0.25">
      <c r="A149" s="30" t="s">
        <v>153</v>
      </c>
      <c r="B149" s="22"/>
      <c r="C149" s="22"/>
      <c r="D149" s="22"/>
      <c r="E149" s="25">
        <v>1</v>
      </c>
      <c r="F149" s="25">
        <v>1</v>
      </c>
      <c r="G149" s="20">
        <f>VLOOKUP(A149,IMPORTACIONTOTAL,2,FALSE)</f>
        <v>331753</v>
      </c>
      <c r="H149" s="20">
        <f>VLOOKUP(A149,IMPORTACIONTOTAL,3,FALSE)</f>
        <v>411016</v>
      </c>
      <c r="I149" s="20">
        <f>VLOOKUP(A149,IMPORTACIONTOTAL,4,FALSE)</f>
        <v>423353</v>
      </c>
      <c r="J149" s="20">
        <f>VLOOKUP(A149,IMPORTACIONTOTAL,5,FALSE)</f>
        <v>577313</v>
      </c>
      <c r="K149" s="20">
        <f>VLOOKUP(A149,IMPORTACIONTOTAL,6,FALSE)</f>
        <v>425102</v>
      </c>
      <c r="L149" s="20">
        <f t="shared" si="32"/>
        <v>0</v>
      </c>
      <c r="M149" s="20">
        <f t="shared" si="33"/>
        <v>0</v>
      </c>
      <c r="N149" s="20">
        <f t="shared" si="34"/>
        <v>0</v>
      </c>
      <c r="O149" s="20">
        <f t="shared" si="35"/>
        <v>1.7321626223556372E-6</v>
      </c>
      <c r="P149" s="20">
        <f t="shared" si="36"/>
        <v>2.3523766060851278E-6</v>
      </c>
      <c r="Q149" s="20">
        <f t="shared" si="37"/>
        <v>0</v>
      </c>
      <c r="R149" s="20">
        <f t="shared" si="38"/>
        <v>0</v>
      </c>
      <c r="S149" s="20">
        <f t="shared" si="39"/>
        <v>0</v>
      </c>
      <c r="T149" s="20">
        <f t="shared" si="40"/>
        <v>0.19460136192442559</v>
      </c>
      <c r="U149" s="20">
        <f t="shared" si="41"/>
        <v>0.18457064309845364</v>
      </c>
      <c r="V149" s="20">
        <f t="shared" si="42"/>
        <v>-1</v>
      </c>
      <c r="W149" s="20">
        <f t="shared" si="43"/>
        <v>-1</v>
      </c>
      <c r="X149" s="20">
        <f t="shared" si="44"/>
        <v>-1</v>
      </c>
      <c r="Y149" s="20">
        <f t="shared" si="45"/>
        <v>-0.67419866052900634</v>
      </c>
      <c r="Z149" s="20">
        <f t="shared" si="46"/>
        <v>-0.68837545624855845</v>
      </c>
    </row>
    <row r="150" spans="1:26" x14ac:dyDescent="0.25">
      <c r="A150" s="29" t="s">
        <v>154</v>
      </c>
      <c r="B150" s="23">
        <v>1</v>
      </c>
      <c r="C150" s="23">
        <v>1</v>
      </c>
      <c r="D150" s="23">
        <v>2</v>
      </c>
      <c r="E150" s="23">
        <v>1</v>
      </c>
      <c r="F150" s="24">
        <v>1</v>
      </c>
      <c r="G150" s="20">
        <f>VLOOKUP(A150,IMPORTACIONTOTAL,2,FALSE)</f>
        <v>1186080</v>
      </c>
      <c r="H150" s="20">
        <f>VLOOKUP(A150,IMPORTACIONTOTAL,3,FALSE)</f>
        <v>1701154</v>
      </c>
      <c r="I150" s="20">
        <f>VLOOKUP(A150,IMPORTACIONTOTAL,4,FALSE)</f>
        <v>1920653</v>
      </c>
      <c r="J150" s="20">
        <f>VLOOKUP(A150,IMPORTACIONTOTAL,5,FALSE)</f>
        <v>2166707</v>
      </c>
      <c r="K150" s="20">
        <f>VLOOKUP(A150,IMPORTACIONTOTAL,6,FALSE)</f>
        <v>29130140</v>
      </c>
      <c r="L150" s="20">
        <f t="shared" si="32"/>
        <v>8.4311344934574392E-7</v>
      </c>
      <c r="M150" s="20">
        <f t="shared" si="33"/>
        <v>5.878362570349304E-7</v>
      </c>
      <c r="N150" s="20">
        <f t="shared" si="34"/>
        <v>1.0413125119425529E-6</v>
      </c>
      <c r="O150" s="20">
        <f t="shared" si="35"/>
        <v>4.6152986998242034E-7</v>
      </c>
      <c r="P150" s="20">
        <f t="shared" si="36"/>
        <v>3.4328705594961095E-8</v>
      </c>
      <c r="Q150" s="20">
        <f t="shared" si="37"/>
        <v>4.8803286243392252E-2</v>
      </c>
      <c r="R150" s="20">
        <f t="shared" si="38"/>
        <v>5.621021411290978E-2</v>
      </c>
      <c r="S150" s="20">
        <f t="shared" si="39"/>
        <v>0.11443554528761118</v>
      </c>
      <c r="T150" s="20">
        <f t="shared" si="40"/>
        <v>5.1850986800096151E-2</v>
      </c>
      <c r="U150" s="20">
        <f t="shared" si="41"/>
        <v>2.6934765683391442E-3</v>
      </c>
      <c r="V150" s="20">
        <f t="shared" si="42"/>
        <v>-0.90693529113892069</v>
      </c>
      <c r="W150" s="20">
        <f t="shared" si="43"/>
        <v>-0.89356244928928352</v>
      </c>
      <c r="X150" s="20">
        <f t="shared" si="44"/>
        <v>-0.79463048218176158</v>
      </c>
      <c r="Y150" s="20">
        <f t="shared" si="45"/>
        <v>-0.90141001443971558</v>
      </c>
      <c r="Z150" s="20">
        <f t="shared" si="46"/>
        <v>-0.99462751751899814</v>
      </c>
    </row>
    <row r="151" spans="1:26" x14ac:dyDescent="0.25">
      <c r="A151" s="30" t="s">
        <v>155</v>
      </c>
      <c r="B151" s="22">
        <v>65</v>
      </c>
      <c r="C151" s="22">
        <v>160</v>
      </c>
      <c r="D151" s="22">
        <v>121</v>
      </c>
      <c r="E151" s="22">
        <v>110</v>
      </c>
      <c r="F151" s="25">
        <v>1</v>
      </c>
      <c r="G151" s="20">
        <f>VLOOKUP(A151,IMPORTACIONTOTAL,2,FALSE)</f>
        <v>1837143</v>
      </c>
      <c r="H151" s="20">
        <f>VLOOKUP(A151,IMPORTACIONTOTAL,3,FALSE)</f>
        <v>2580550</v>
      </c>
      <c r="I151" s="20">
        <f>VLOOKUP(A151,IMPORTACIONTOTAL,4,FALSE)</f>
        <v>3522703</v>
      </c>
      <c r="J151" s="20">
        <f>VLOOKUP(A151,IMPORTACIONTOTAL,5,FALSE)</f>
        <v>3394094</v>
      </c>
      <c r="K151" s="20">
        <f>VLOOKUP(A151,IMPORTACIONTOTAL,6,FALSE)</f>
        <v>2930447</v>
      </c>
      <c r="L151" s="20">
        <f t="shared" si="32"/>
        <v>3.53810236873232E-5</v>
      </c>
      <c r="M151" s="20">
        <f t="shared" si="33"/>
        <v>6.2002286334308579E-5</v>
      </c>
      <c r="N151" s="20">
        <f t="shared" si="34"/>
        <v>3.4348623769872171E-5</v>
      </c>
      <c r="O151" s="20">
        <f t="shared" si="35"/>
        <v>3.240923792917933E-5</v>
      </c>
      <c r="P151" s="20">
        <f t="shared" si="36"/>
        <v>3.4124486810373981E-7</v>
      </c>
      <c r="Q151" s="20">
        <f t="shared" si="37"/>
        <v>2.0480164655617852</v>
      </c>
      <c r="R151" s="20">
        <f t="shared" si="38"/>
        <v>5.9287969202864774</v>
      </c>
      <c r="S151" s="20">
        <f t="shared" si="39"/>
        <v>3.7747587260347579</v>
      </c>
      <c r="T151" s="20">
        <f t="shared" si="40"/>
        <v>3.6410448756676597</v>
      </c>
      <c r="U151" s="20">
        <f t="shared" si="41"/>
        <v>2.677453286902607E-2</v>
      </c>
      <c r="V151" s="20">
        <f t="shared" si="42"/>
        <v>0.34383556565486711</v>
      </c>
      <c r="W151" s="20">
        <f t="shared" si="43"/>
        <v>0.71134960036939454</v>
      </c>
      <c r="X151" s="20">
        <f t="shared" si="44"/>
        <v>0.58113066758853416</v>
      </c>
      <c r="Y151" s="20">
        <f t="shared" si="45"/>
        <v>0.56906255949264428</v>
      </c>
      <c r="Z151" s="20">
        <f t="shared" si="46"/>
        <v>-0.94784729848292526</v>
      </c>
    </row>
    <row r="152" spans="1:26" x14ac:dyDescent="0.25">
      <c r="A152" s="29" t="s">
        <v>156</v>
      </c>
      <c r="B152" s="24">
        <v>1</v>
      </c>
      <c r="C152" s="23"/>
      <c r="D152" s="24">
        <v>1</v>
      </c>
      <c r="E152" s="23"/>
      <c r="F152" s="24">
        <v>1</v>
      </c>
      <c r="G152" s="20">
        <f>VLOOKUP(A152,IMPORTACIONTOTAL,2,FALSE)</f>
        <v>5823207</v>
      </c>
      <c r="H152" s="20">
        <f>VLOOKUP(A152,IMPORTACIONTOTAL,3,FALSE)</f>
        <v>6875818</v>
      </c>
      <c r="I152" s="20">
        <f>VLOOKUP(A152,IMPORTACIONTOTAL,4,FALSE)</f>
        <v>10326257</v>
      </c>
      <c r="J152" s="20">
        <f>VLOOKUP(A152,IMPORTACIONTOTAL,5,FALSE)</f>
        <v>9331838</v>
      </c>
      <c r="K152" s="20">
        <f>VLOOKUP(A152,IMPORTACIONTOTAL,6,FALSE)</f>
        <v>8076312</v>
      </c>
      <c r="L152" s="20">
        <f t="shared" si="32"/>
        <v>1.7172667913058904E-7</v>
      </c>
      <c r="M152" s="20">
        <f t="shared" si="33"/>
        <v>0</v>
      </c>
      <c r="N152" s="20">
        <f t="shared" si="34"/>
        <v>9.6840510554792508E-8</v>
      </c>
      <c r="O152" s="20">
        <f t="shared" si="35"/>
        <v>0</v>
      </c>
      <c r="P152" s="20">
        <f t="shared" si="36"/>
        <v>1.2381889159309348E-7</v>
      </c>
      <c r="Q152" s="20">
        <f t="shared" si="37"/>
        <v>9.9403304309056296E-3</v>
      </c>
      <c r="R152" s="20">
        <f t="shared" si="38"/>
        <v>0</v>
      </c>
      <c r="S152" s="20">
        <f t="shared" si="39"/>
        <v>1.0642335037917722E-2</v>
      </c>
      <c r="T152" s="20">
        <f t="shared" si="40"/>
        <v>0</v>
      </c>
      <c r="U152" s="20">
        <f t="shared" si="41"/>
        <v>9.7149973307666723E-3</v>
      </c>
      <c r="V152" s="20">
        <f t="shared" si="42"/>
        <v>-0.98031501439958457</v>
      </c>
      <c r="W152" s="20">
        <f t="shared" si="43"/>
        <v>-1</v>
      </c>
      <c r="X152" s="20">
        <f t="shared" si="44"/>
        <v>-0.97893946321273317</v>
      </c>
      <c r="Y152" s="20">
        <f t="shared" si="45"/>
        <v>-1</v>
      </c>
      <c r="Z152" s="20">
        <f t="shared" si="46"/>
        <v>-0.98075695150324849</v>
      </c>
    </row>
    <row r="153" spans="1:26" x14ac:dyDescent="0.25">
      <c r="A153" s="30" t="s">
        <v>157</v>
      </c>
      <c r="B153" s="25">
        <v>2</v>
      </c>
      <c r="C153" s="25">
        <v>3</v>
      </c>
      <c r="D153" s="25">
        <v>2</v>
      </c>
      <c r="E153" s="25">
        <v>2</v>
      </c>
      <c r="F153" s="25">
        <v>1</v>
      </c>
      <c r="G153" s="20">
        <f>VLOOKUP(A153,IMPORTACIONTOTAL,2,FALSE)</f>
        <v>797694</v>
      </c>
      <c r="H153" s="20">
        <f>VLOOKUP(A153,IMPORTACIONTOTAL,3,FALSE)</f>
        <v>952785</v>
      </c>
      <c r="I153" s="20">
        <f>VLOOKUP(A153,IMPORTACIONTOTAL,4,FALSE)</f>
        <v>1062776</v>
      </c>
      <c r="J153" s="20">
        <f>VLOOKUP(A153,IMPORTACIONTOTAL,5,FALSE)</f>
        <v>1131380</v>
      </c>
      <c r="K153" s="20">
        <f>VLOOKUP(A153,IMPORTACIONTOTAL,6,FALSE)</f>
        <v>1039263</v>
      </c>
      <c r="L153" s="20">
        <f t="shared" si="32"/>
        <v>2.5072270820640498E-6</v>
      </c>
      <c r="M153" s="20">
        <f t="shared" si="33"/>
        <v>3.1486641792219652E-6</v>
      </c>
      <c r="N153" s="20">
        <f t="shared" si="34"/>
        <v>1.8818640993022049E-6</v>
      </c>
      <c r="O153" s="20">
        <f t="shared" si="35"/>
        <v>1.7677526560483656E-6</v>
      </c>
      <c r="P153" s="20">
        <f t="shared" si="36"/>
        <v>9.6222034268515285E-7</v>
      </c>
      <c r="Q153" s="20">
        <f t="shared" si="37"/>
        <v>0.14512984113598118</v>
      </c>
      <c r="R153" s="20">
        <f t="shared" si="38"/>
        <v>0.30108229216150423</v>
      </c>
      <c r="S153" s="20">
        <f t="shared" si="39"/>
        <v>0.2068083710615278</v>
      </c>
      <c r="T153" s="20">
        <f t="shared" si="40"/>
        <v>0.19859975615032247</v>
      </c>
      <c r="U153" s="20">
        <f t="shared" si="41"/>
        <v>7.5497106625020655E-2</v>
      </c>
      <c r="V153" s="20">
        <f t="shared" si="42"/>
        <v>-0.74652683752960136</v>
      </c>
      <c r="W153" s="20">
        <f t="shared" si="43"/>
        <v>-0.53718178477194944</v>
      </c>
      <c r="X153" s="20">
        <f t="shared" si="44"/>
        <v>-0.65726394343848327</v>
      </c>
      <c r="Y153" s="20">
        <f t="shared" si="45"/>
        <v>-0.66861372175114131</v>
      </c>
      <c r="Z153" s="20">
        <f t="shared" si="46"/>
        <v>-0.85960518878207781</v>
      </c>
    </row>
    <row r="154" spans="1:26" x14ac:dyDescent="0.25">
      <c r="A154" s="29" t="s">
        <v>158</v>
      </c>
      <c r="B154" s="23"/>
      <c r="C154" s="23"/>
      <c r="D154" s="23"/>
      <c r="E154" s="23"/>
      <c r="F154" s="24">
        <v>1</v>
      </c>
      <c r="G154" s="20">
        <f>VLOOKUP(A154,IMPORTACIONTOTAL,2,FALSE)</f>
        <v>4948620</v>
      </c>
      <c r="H154" s="20">
        <f>VLOOKUP(A154,IMPORTACIONTOTAL,3,FALSE)</f>
        <v>5489697</v>
      </c>
      <c r="I154" s="20">
        <f>VLOOKUP(A154,IMPORTACIONTOTAL,4,FALSE)</f>
        <v>6432321</v>
      </c>
      <c r="J154" s="20">
        <f>VLOOKUP(A154,IMPORTACIONTOTAL,5,FALSE)</f>
        <v>6989461</v>
      </c>
      <c r="K154" s="20">
        <f>VLOOKUP(A154,IMPORTACIONTOTAL,6,FALSE)</f>
        <v>7449895</v>
      </c>
      <c r="L154" s="20">
        <f t="shared" si="32"/>
        <v>0</v>
      </c>
      <c r="M154" s="20">
        <f t="shared" si="33"/>
        <v>0</v>
      </c>
      <c r="N154" s="20">
        <f t="shared" si="34"/>
        <v>0</v>
      </c>
      <c r="O154" s="20">
        <f t="shared" si="35"/>
        <v>0</v>
      </c>
      <c r="P154" s="20">
        <f t="shared" si="36"/>
        <v>1.3423007975280188E-7</v>
      </c>
      <c r="Q154" s="20">
        <f t="shared" si="37"/>
        <v>0</v>
      </c>
      <c r="R154" s="20">
        <f t="shared" si="38"/>
        <v>0</v>
      </c>
      <c r="S154" s="20">
        <f t="shared" si="39"/>
        <v>0</v>
      </c>
      <c r="T154" s="20">
        <f t="shared" si="40"/>
        <v>0</v>
      </c>
      <c r="U154" s="20">
        <f t="shared" si="41"/>
        <v>1.053187320390943E-2</v>
      </c>
      <c r="V154" s="20">
        <f t="shared" si="42"/>
        <v>-1</v>
      </c>
      <c r="W154" s="20">
        <f t="shared" si="43"/>
        <v>-1</v>
      </c>
      <c r="X154" s="20">
        <f t="shared" si="44"/>
        <v>-1</v>
      </c>
      <c r="Y154" s="20">
        <f t="shared" si="45"/>
        <v>-1</v>
      </c>
      <c r="Z154" s="20">
        <f t="shared" si="46"/>
        <v>-0.97915578225055289</v>
      </c>
    </row>
    <row r="155" spans="1:26" x14ac:dyDescent="0.25">
      <c r="A155" s="30" t="s">
        <v>159</v>
      </c>
      <c r="B155" s="22"/>
      <c r="C155" s="22"/>
      <c r="D155" s="22"/>
      <c r="E155" s="22"/>
      <c r="F155" s="25">
        <v>1</v>
      </c>
      <c r="G155" s="20">
        <f>VLOOKUP(A155,IMPORTACIONTOTAL,2,FALSE)</f>
        <v>369488</v>
      </c>
      <c r="H155" s="20">
        <f>VLOOKUP(A155,IMPORTACIONTOTAL,3,FALSE)</f>
        <v>490173</v>
      </c>
      <c r="I155" s="20">
        <f>VLOOKUP(A155,IMPORTACIONTOTAL,4,FALSE)</f>
        <v>552231</v>
      </c>
      <c r="J155" s="20">
        <f>VLOOKUP(A155,IMPORTACIONTOTAL,5,FALSE)</f>
        <v>595939</v>
      </c>
      <c r="K155" s="20">
        <f>VLOOKUP(A155,IMPORTACIONTOTAL,6,FALSE)</f>
        <v>557376</v>
      </c>
      <c r="L155" s="20">
        <f t="shared" si="32"/>
        <v>0</v>
      </c>
      <c r="M155" s="20">
        <f t="shared" si="33"/>
        <v>0</v>
      </c>
      <c r="N155" s="20">
        <f t="shared" si="34"/>
        <v>0</v>
      </c>
      <c r="O155" s="20">
        <f t="shared" si="35"/>
        <v>0</v>
      </c>
      <c r="P155" s="20">
        <f t="shared" si="36"/>
        <v>1.7941210242278103E-6</v>
      </c>
      <c r="Q155" s="20">
        <f t="shared" si="37"/>
        <v>0</v>
      </c>
      <c r="R155" s="20">
        <f t="shared" si="38"/>
        <v>0</v>
      </c>
      <c r="S155" s="20">
        <f t="shared" si="39"/>
        <v>0</v>
      </c>
      <c r="T155" s="20">
        <f t="shared" si="40"/>
        <v>0</v>
      </c>
      <c r="U155" s="20">
        <f t="shared" si="41"/>
        <v>0.14076915676749419</v>
      </c>
      <c r="V155" s="20">
        <f t="shared" si="42"/>
        <v>-1</v>
      </c>
      <c r="W155" s="20">
        <f t="shared" si="43"/>
        <v>-1</v>
      </c>
      <c r="X155" s="20">
        <f t="shared" si="44"/>
        <v>-1</v>
      </c>
      <c r="Y155" s="20">
        <f t="shared" si="45"/>
        <v>-1</v>
      </c>
      <c r="Z155" s="20">
        <f t="shared" si="46"/>
        <v>-0.75320308068920716</v>
      </c>
    </row>
    <row r="156" spans="1:26" x14ac:dyDescent="0.25">
      <c r="A156" s="29" t="s">
        <v>160</v>
      </c>
      <c r="B156" s="24">
        <v>2</v>
      </c>
      <c r="C156" s="24">
        <v>5</v>
      </c>
      <c r="D156" s="24">
        <v>4</v>
      </c>
      <c r="E156" s="24">
        <v>25</v>
      </c>
      <c r="F156" s="24">
        <v>1</v>
      </c>
      <c r="G156" s="20">
        <f>VLOOKUP(A156,IMPORTACIONTOTAL,2,FALSE)</f>
        <v>50703718</v>
      </c>
      <c r="H156" s="20">
        <f>VLOOKUP(A156,IMPORTACIONTOTAL,3,FALSE)</f>
        <v>78305242</v>
      </c>
      <c r="I156" s="20">
        <f>VLOOKUP(A156,IMPORTACIONTOTAL,4,FALSE)</f>
        <v>88344267</v>
      </c>
      <c r="J156" s="20">
        <f>VLOOKUP(A156,IMPORTACIONTOTAL,5,FALSE)</f>
        <v>70599072</v>
      </c>
      <c r="K156" s="20">
        <f>VLOOKUP(A156,IMPORTACIONTOTAL,6,FALSE)</f>
        <v>63526663</v>
      </c>
      <c r="L156" s="20">
        <f t="shared" si="32"/>
        <v>3.9444839133887578E-8</v>
      </c>
      <c r="M156" s="20">
        <f t="shared" si="33"/>
        <v>6.3852685622247362E-8</v>
      </c>
      <c r="N156" s="20">
        <f t="shared" si="34"/>
        <v>4.5277414549152353E-8</v>
      </c>
      <c r="O156" s="20">
        <f t="shared" si="35"/>
        <v>3.5411230334585703E-7</v>
      </c>
      <c r="P156" s="20">
        <f t="shared" si="36"/>
        <v>1.574142183416749E-8</v>
      </c>
      <c r="Q156" s="20">
        <f t="shared" si="37"/>
        <v>2.2832488042617578E-3</v>
      </c>
      <c r="R156" s="20">
        <f t="shared" si="38"/>
        <v>6.1057362276610381E-3</v>
      </c>
      <c r="S156" s="20">
        <f t="shared" si="39"/>
        <v>4.9757835075656077E-3</v>
      </c>
      <c r="T156" s="20">
        <f t="shared" si="40"/>
        <v>3.9783064024083749E-2</v>
      </c>
      <c r="U156" s="20">
        <f t="shared" si="41"/>
        <v>1.2350932005107656E-3</v>
      </c>
      <c r="V156" s="20">
        <f t="shared" si="42"/>
        <v>-0.99544390508973246</v>
      </c>
      <c r="W156" s="20">
        <f t="shared" si="43"/>
        <v>-0.98786263509329708</v>
      </c>
      <c r="X156" s="20">
        <f t="shared" si="44"/>
        <v>-0.9900977046626952</v>
      </c>
      <c r="Y156" s="20">
        <f t="shared" si="45"/>
        <v>-0.92347814577760379</v>
      </c>
      <c r="Z156" s="20">
        <f t="shared" si="46"/>
        <v>-0.99753286074589598</v>
      </c>
    </row>
    <row r="157" spans="1:26" x14ac:dyDescent="0.25">
      <c r="A157" s="30" t="s">
        <v>161</v>
      </c>
      <c r="B157" s="22">
        <v>2</v>
      </c>
      <c r="C157" s="22">
        <v>1</v>
      </c>
      <c r="D157" s="22">
        <v>1</v>
      </c>
      <c r="E157" s="22">
        <v>2</v>
      </c>
      <c r="F157" s="25">
        <v>1</v>
      </c>
      <c r="G157" s="20">
        <f>VLOOKUP(A157,IMPORTACIONTOTAL,2,FALSE)</f>
        <v>8250511</v>
      </c>
      <c r="H157" s="20">
        <f>VLOOKUP(A157,IMPORTACIONTOTAL,3,FALSE)</f>
        <v>9086037</v>
      </c>
      <c r="I157" s="20">
        <f>VLOOKUP(A157,IMPORTACIONTOTAL,4,FALSE)</f>
        <v>9747769</v>
      </c>
      <c r="J157" s="20">
        <f>VLOOKUP(A157,IMPORTACIONTOTAL,5,FALSE)</f>
        <v>11780107</v>
      </c>
      <c r="K157" s="20">
        <f>VLOOKUP(A157,IMPORTACIONTOTAL,6,FALSE)</f>
        <v>4539022</v>
      </c>
      <c r="L157" s="20">
        <f t="shared" si="32"/>
        <v>2.4240922774359065E-7</v>
      </c>
      <c r="M157" s="20">
        <f t="shared" si="33"/>
        <v>1.1005898391124756E-7</v>
      </c>
      <c r="N157" s="20">
        <f t="shared" si="34"/>
        <v>1.0258757670601345E-7</v>
      </c>
      <c r="O157" s="20">
        <f t="shared" si="35"/>
        <v>1.6977774480316691E-7</v>
      </c>
      <c r="P157" s="20">
        <f t="shared" si="36"/>
        <v>2.2031177641350934E-7</v>
      </c>
      <c r="Q157" s="20">
        <f t="shared" si="37"/>
        <v>1.4031761607871968E-2</v>
      </c>
      <c r="R157" s="20">
        <f t="shared" si="38"/>
        <v>1.0524085536855389E-2</v>
      </c>
      <c r="S157" s="20">
        <f t="shared" si="39"/>
        <v>1.1273911669597745E-2</v>
      </c>
      <c r="T157" s="20">
        <f t="shared" si="40"/>
        <v>1.907383287039344E-2</v>
      </c>
      <c r="U157" s="20">
        <f t="shared" si="41"/>
        <v>1.7285959293089754E-2</v>
      </c>
      <c r="V157" s="20">
        <f t="shared" si="42"/>
        <v>-0.97232480847419822</v>
      </c>
      <c r="W157" s="20">
        <f t="shared" si="43"/>
        <v>-0.9791710347383471</v>
      </c>
      <c r="X157" s="20">
        <f t="shared" si="44"/>
        <v>-0.97770354492585554</v>
      </c>
      <c r="Y157" s="20">
        <f t="shared" si="45"/>
        <v>-0.96256633767806843</v>
      </c>
      <c r="Z157" s="20">
        <f t="shared" si="46"/>
        <v>-0.96601553548404073</v>
      </c>
    </row>
    <row r="158" spans="1:26" x14ac:dyDescent="0.25">
      <c r="A158" s="29" t="s">
        <v>162</v>
      </c>
      <c r="B158" s="23">
        <v>0</v>
      </c>
      <c r="C158" s="23">
        <v>4</v>
      </c>
      <c r="D158" s="23">
        <v>0</v>
      </c>
      <c r="E158" s="23">
        <v>0</v>
      </c>
      <c r="F158" s="32">
        <v>0</v>
      </c>
      <c r="G158" s="20">
        <f>VLOOKUP(A158,IMPORTACIONTOTAL,2,FALSE)</f>
        <v>17968641</v>
      </c>
      <c r="H158" s="20">
        <f>VLOOKUP(A158,IMPORTACIONTOTAL,3,FALSE)</f>
        <v>14326568</v>
      </c>
      <c r="I158" s="20">
        <f>VLOOKUP(A158,IMPORTACIONTOTAL,4,FALSE)</f>
        <v>17403359</v>
      </c>
      <c r="J158" s="20">
        <f>VLOOKUP(A158,IMPORTACIONTOTAL,5,FALSE)</f>
        <v>16440463</v>
      </c>
      <c r="K158" s="20">
        <f>VLOOKUP(A158,IMPORTACIONTOTAL,6,FALSE)</f>
        <v>12452129</v>
      </c>
      <c r="L158" s="20">
        <f t="shared" si="32"/>
        <v>0</v>
      </c>
      <c r="M158" s="20">
        <f t="shared" si="33"/>
        <v>2.7920155057373128E-7</v>
      </c>
      <c r="N158" s="20">
        <f t="shared" si="34"/>
        <v>0</v>
      </c>
      <c r="O158" s="20">
        <f t="shared" si="35"/>
        <v>0</v>
      </c>
      <c r="P158" s="20">
        <f t="shared" si="36"/>
        <v>0</v>
      </c>
      <c r="Q158" s="20">
        <f t="shared" si="37"/>
        <v>0</v>
      </c>
      <c r="R158" s="20">
        <f t="shared" si="38"/>
        <v>2.6697875046984856E-2</v>
      </c>
      <c r="S158" s="20">
        <f t="shared" si="39"/>
        <v>0</v>
      </c>
      <c r="T158" s="20">
        <f t="shared" si="40"/>
        <v>0</v>
      </c>
      <c r="U158" s="20">
        <f t="shared" si="41"/>
        <v>0</v>
      </c>
      <c r="V158" s="20">
        <f t="shared" si="42"/>
        <v>-1</v>
      </c>
      <c r="W158" s="20">
        <f t="shared" si="43"/>
        <v>-0.94799273341095969</v>
      </c>
      <c r="X158" s="20">
        <f t="shared" si="44"/>
        <v>-1</v>
      </c>
      <c r="Y158" s="20">
        <f t="shared" si="45"/>
        <v>-1</v>
      </c>
      <c r="Z158" s="20">
        <f t="shared" si="46"/>
        <v>-1</v>
      </c>
    </row>
    <row r="159" spans="1:26" x14ac:dyDescent="0.25">
      <c r="A159" s="30" t="s">
        <v>163</v>
      </c>
      <c r="B159" s="22">
        <v>1</v>
      </c>
      <c r="C159" s="22">
        <v>0</v>
      </c>
      <c r="D159" s="22">
        <v>0</v>
      </c>
      <c r="E159" s="22">
        <v>0</v>
      </c>
      <c r="F159" s="31">
        <v>0</v>
      </c>
      <c r="G159" s="20">
        <f>VLOOKUP(A159,IMPORTACIONTOTAL,2,FALSE)</f>
        <v>909131</v>
      </c>
      <c r="H159" s="20">
        <f>VLOOKUP(A159,IMPORTACIONTOTAL,3,FALSE)</f>
        <v>981086</v>
      </c>
      <c r="I159" s="20">
        <f>VLOOKUP(A159,IMPORTACIONTOTAL,4,FALSE)</f>
        <v>1203662</v>
      </c>
      <c r="J159" s="20">
        <f>VLOOKUP(A159,IMPORTACIONTOTAL,5,FALSE)</f>
        <v>1182293</v>
      </c>
      <c r="K159" s="20">
        <f>VLOOKUP(A159,IMPORTACIONTOTAL,6,FALSE)</f>
        <v>1267502</v>
      </c>
      <c r="L159" s="20">
        <f t="shared" si="32"/>
        <v>1.0999514921391966E-6</v>
      </c>
      <c r="M159" s="20">
        <f t="shared" si="33"/>
        <v>0</v>
      </c>
      <c r="N159" s="20">
        <f t="shared" si="34"/>
        <v>0</v>
      </c>
      <c r="O159" s="20">
        <f t="shared" si="35"/>
        <v>0</v>
      </c>
      <c r="P159" s="20">
        <f t="shared" si="36"/>
        <v>0</v>
      </c>
      <c r="Q159" s="20">
        <f t="shared" si="37"/>
        <v>6.3670254064114723E-2</v>
      </c>
      <c r="R159" s="20">
        <f t="shared" si="38"/>
        <v>0</v>
      </c>
      <c r="S159" s="20">
        <f t="shared" si="39"/>
        <v>0</v>
      </c>
      <c r="T159" s="20">
        <f t="shared" si="40"/>
        <v>0</v>
      </c>
      <c r="U159" s="20">
        <f t="shared" si="41"/>
        <v>0</v>
      </c>
      <c r="V159" s="20">
        <f t="shared" si="42"/>
        <v>-0.88028196930234559</v>
      </c>
      <c r="W159" s="20">
        <f t="shared" si="43"/>
        <v>-1</v>
      </c>
      <c r="X159" s="20">
        <f t="shared" si="44"/>
        <v>-1</v>
      </c>
      <c r="Y159" s="20">
        <f t="shared" si="45"/>
        <v>-1</v>
      </c>
      <c r="Z159" s="20">
        <f t="shared" si="46"/>
        <v>-1</v>
      </c>
    </row>
    <row r="160" spans="1:26" x14ac:dyDescent="0.25">
      <c r="A160" s="29" t="s">
        <v>164</v>
      </c>
      <c r="B160" s="23">
        <v>0</v>
      </c>
      <c r="C160" s="23">
        <v>3</v>
      </c>
      <c r="D160" s="23">
        <v>0</v>
      </c>
      <c r="E160" s="23">
        <v>0</v>
      </c>
      <c r="F160" s="32">
        <v>0</v>
      </c>
      <c r="G160" s="20">
        <f>VLOOKUP(A160,IMPORTACIONTOTAL,2,FALSE)</f>
        <v>19296193</v>
      </c>
      <c r="H160" s="20">
        <f>VLOOKUP(A160,IMPORTACIONTOTAL,3,FALSE)</f>
        <v>28702890</v>
      </c>
      <c r="I160" s="20">
        <f>VLOOKUP(A160,IMPORTACIONTOTAL,4,FALSE)</f>
        <v>29941602</v>
      </c>
      <c r="J160" s="20">
        <f>VLOOKUP(A160,IMPORTACIONTOTAL,5,FALSE)</f>
        <v>24407102</v>
      </c>
      <c r="K160" s="20">
        <f>VLOOKUP(A160,IMPORTACIONTOTAL,6,FALSE)</f>
        <v>28710505</v>
      </c>
      <c r="L160" s="20">
        <f t="shared" si="32"/>
        <v>0</v>
      </c>
      <c r="M160" s="20">
        <f t="shared" si="33"/>
        <v>1.0451909197993652E-7</v>
      </c>
      <c r="N160" s="20">
        <f t="shared" si="34"/>
        <v>0</v>
      </c>
      <c r="O160" s="20">
        <f t="shared" si="35"/>
        <v>0</v>
      </c>
      <c r="P160" s="20">
        <f t="shared" si="36"/>
        <v>0</v>
      </c>
      <c r="Q160" s="20">
        <f t="shared" si="37"/>
        <v>0</v>
      </c>
      <c r="R160" s="20">
        <f t="shared" si="38"/>
        <v>9.9943487132166404E-3</v>
      </c>
      <c r="S160" s="20">
        <f t="shared" si="39"/>
        <v>0</v>
      </c>
      <c r="T160" s="20">
        <f t="shared" si="40"/>
        <v>0</v>
      </c>
      <c r="U160" s="20">
        <f t="shared" si="41"/>
        <v>0</v>
      </c>
      <c r="V160" s="20">
        <f t="shared" si="42"/>
        <v>-1</v>
      </c>
      <c r="W160" s="20">
        <f t="shared" si="43"/>
        <v>-0.98020909973219172</v>
      </c>
      <c r="X160" s="20">
        <f t="shared" si="44"/>
        <v>-1</v>
      </c>
      <c r="Y160" s="20">
        <f t="shared" si="45"/>
        <v>-1</v>
      </c>
      <c r="Z160" s="20">
        <f t="shared" si="46"/>
        <v>-1</v>
      </c>
    </row>
    <row r="161" spans="1:26" x14ac:dyDescent="0.25">
      <c r="A161" s="30" t="s">
        <v>165</v>
      </c>
      <c r="B161" s="22">
        <v>3</v>
      </c>
      <c r="C161" s="22">
        <v>1</v>
      </c>
      <c r="D161" s="22">
        <v>4</v>
      </c>
      <c r="E161" s="22">
        <v>0</v>
      </c>
      <c r="F161" s="31">
        <v>0</v>
      </c>
      <c r="G161" s="20">
        <f>VLOOKUP(A161,IMPORTACIONTOTAL,2,FALSE)</f>
        <v>45841651</v>
      </c>
      <c r="H161" s="20">
        <f>VLOOKUP(A161,IMPORTACIONTOTAL,3,FALSE)</f>
        <v>73106624</v>
      </c>
      <c r="I161" s="20">
        <f>VLOOKUP(A161,IMPORTACIONTOTAL,4,FALSE)</f>
        <v>71104684</v>
      </c>
      <c r="J161" s="20">
        <f>VLOOKUP(A161,IMPORTACIONTOTAL,5,FALSE)</f>
        <v>50362541</v>
      </c>
      <c r="K161" s="20">
        <f>VLOOKUP(A161,IMPORTACIONTOTAL,6,FALSE)</f>
        <v>56522668</v>
      </c>
      <c r="L161" s="20">
        <f t="shared" si="32"/>
        <v>6.5442669156920202E-8</v>
      </c>
      <c r="M161" s="20">
        <f t="shared" si="33"/>
        <v>1.3678651061769725E-8</v>
      </c>
      <c r="N161" s="20">
        <f t="shared" si="34"/>
        <v>5.6255084404847368E-8</v>
      </c>
      <c r="O161" s="20">
        <f t="shared" si="35"/>
        <v>0</v>
      </c>
      <c r="P161" s="20">
        <f t="shared" si="36"/>
        <v>0</v>
      </c>
      <c r="Q161" s="20">
        <f t="shared" si="37"/>
        <v>3.7881228414458294E-3</v>
      </c>
      <c r="R161" s="20">
        <f t="shared" si="38"/>
        <v>1.3079831258386782E-3</v>
      </c>
      <c r="S161" s="20">
        <f t="shared" si="39"/>
        <v>6.1821798789876148E-3</v>
      </c>
      <c r="T161" s="20">
        <f t="shared" si="40"/>
        <v>0</v>
      </c>
      <c r="U161" s="20">
        <f t="shared" si="41"/>
        <v>0</v>
      </c>
      <c r="V161" s="20">
        <f t="shared" si="42"/>
        <v>-0.9924523457585398</v>
      </c>
      <c r="W161" s="20">
        <f t="shared" si="43"/>
        <v>-0.99738745091843672</v>
      </c>
      <c r="X161" s="20">
        <f t="shared" si="44"/>
        <v>-0.98771160928385526</v>
      </c>
      <c r="Y161" s="20">
        <f t="shared" si="45"/>
        <v>-1</v>
      </c>
      <c r="Z161" s="20">
        <f t="shared" si="46"/>
        <v>-1</v>
      </c>
    </row>
    <row r="162" spans="1:26" x14ac:dyDescent="0.25">
      <c r="A162" s="29" t="s">
        <v>166</v>
      </c>
      <c r="B162" s="23">
        <v>81</v>
      </c>
      <c r="C162" s="23">
        <v>0</v>
      </c>
      <c r="D162" s="23">
        <v>0</v>
      </c>
      <c r="E162" s="23">
        <v>0</v>
      </c>
      <c r="F162" s="32"/>
      <c r="G162" s="20">
        <f>VLOOKUP(A162,IMPORTACIONTOTAL,2,FALSE)</f>
        <v>3026110</v>
      </c>
      <c r="H162" s="20">
        <f>VLOOKUP(A162,IMPORTACIONTOTAL,3,FALSE)</f>
        <v>2784744</v>
      </c>
      <c r="I162" s="20">
        <f>VLOOKUP(A162,IMPORTACIONTOTAL,4,FALSE)</f>
        <v>3787226</v>
      </c>
      <c r="J162" s="20">
        <f>VLOOKUP(A162,IMPORTACIONTOTAL,5,FALSE)</f>
        <v>3136148</v>
      </c>
      <c r="K162" s="20">
        <f>VLOOKUP(A162,IMPORTACIONTOTAL,6,FALSE)</f>
        <v>875787</v>
      </c>
      <c r="L162" s="20">
        <f t="shared" si="32"/>
        <v>2.6767037549857737E-5</v>
      </c>
      <c r="M162" s="20">
        <f t="shared" si="33"/>
        <v>0</v>
      </c>
      <c r="N162" s="20">
        <f t="shared" si="34"/>
        <v>0</v>
      </c>
      <c r="O162" s="20">
        <f t="shared" si="35"/>
        <v>0</v>
      </c>
      <c r="P162" s="20">
        <f t="shared" si="36"/>
        <v>0</v>
      </c>
      <c r="Q162" s="20">
        <f t="shared" si="37"/>
        <v>1.5493993085355711</v>
      </c>
      <c r="R162" s="20">
        <f t="shared" si="38"/>
        <v>0</v>
      </c>
      <c r="S162" s="20">
        <f t="shared" si="39"/>
        <v>0</v>
      </c>
      <c r="T162" s="20">
        <f t="shared" si="40"/>
        <v>0</v>
      </c>
      <c r="U162" s="20">
        <f t="shared" si="41"/>
        <v>0</v>
      </c>
      <c r="V162" s="20">
        <f t="shared" si="42"/>
        <v>0.21550147389471039</v>
      </c>
      <c r="W162" s="20">
        <f t="shared" si="43"/>
        <v>-1</v>
      </c>
      <c r="X162" s="20">
        <f t="shared" si="44"/>
        <v>-1</v>
      </c>
      <c r="Y162" s="20">
        <f t="shared" si="45"/>
        <v>-1</v>
      </c>
      <c r="Z162" s="20">
        <f t="shared" si="46"/>
        <v>-1</v>
      </c>
    </row>
    <row r="163" spans="1:26" x14ac:dyDescent="0.25">
      <c r="A163" s="30" t="s">
        <v>167</v>
      </c>
      <c r="B163" s="22">
        <v>55</v>
      </c>
      <c r="C163" s="22"/>
      <c r="D163" s="22"/>
      <c r="E163" s="22"/>
      <c r="F163" s="31"/>
      <c r="G163" s="20">
        <f>VLOOKUP(A163,IMPORTACIONTOTAL,2,FALSE)</f>
        <v>532953</v>
      </c>
      <c r="H163" s="20">
        <f>VLOOKUP(A163,IMPORTACIONTOTAL,3,FALSE)</f>
        <v>1513366</v>
      </c>
      <c r="I163" s="20">
        <f>VLOOKUP(A163,IMPORTACIONTOTAL,4,FALSE)</f>
        <v>1346174</v>
      </c>
      <c r="J163" s="20">
        <f>VLOOKUP(A163,IMPORTACIONTOTAL,5,FALSE)</f>
        <v>1132883</v>
      </c>
      <c r="K163" s="20">
        <f>VLOOKUP(A163,IMPORTACIONTOTAL,6,FALSE)</f>
        <v>1632543</v>
      </c>
      <c r="L163" s="20">
        <f t="shared" si="32"/>
        <v>1.0319859349698754E-4</v>
      </c>
      <c r="M163" s="20">
        <f t="shared" si="33"/>
        <v>0</v>
      </c>
      <c r="N163" s="20">
        <f t="shared" si="34"/>
        <v>0</v>
      </c>
      <c r="O163" s="20">
        <f t="shared" si="35"/>
        <v>0</v>
      </c>
      <c r="P163" s="20">
        <f t="shared" si="36"/>
        <v>0</v>
      </c>
      <c r="Q163" s="20">
        <f t="shared" si="37"/>
        <v>5.9736094854817363</v>
      </c>
      <c r="R163" s="20">
        <f t="shared" si="38"/>
        <v>0</v>
      </c>
      <c r="S163" s="20">
        <f t="shared" si="39"/>
        <v>0</v>
      </c>
      <c r="T163" s="20">
        <f t="shared" si="40"/>
        <v>0</v>
      </c>
      <c r="U163" s="20">
        <f t="shared" si="41"/>
        <v>0</v>
      </c>
      <c r="V163" s="20">
        <f t="shared" si="42"/>
        <v>0.71320447407274912</v>
      </c>
      <c r="W163" s="20">
        <f t="shared" si="43"/>
        <v>-1</v>
      </c>
      <c r="X163" s="20">
        <f t="shared" si="44"/>
        <v>-1</v>
      </c>
      <c r="Y163" s="20">
        <f t="shared" si="45"/>
        <v>-1</v>
      </c>
      <c r="Z163" s="20">
        <f t="shared" si="46"/>
        <v>-1</v>
      </c>
    </row>
    <row r="164" spans="1:26" ht="23.25" x14ac:dyDescent="0.25">
      <c r="A164" s="29" t="s">
        <v>168</v>
      </c>
      <c r="B164" s="23">
        <v>0</v>
      </c>
      <c r="C164" s="23">
        <v>0</v>
      </c>
      <c r="D164" s="23">
        <v>0</v>
      </c>
      <c r="E164" s="23">
        <v>1</v>
      </c>
      <c r="F164" s="32"/>
      <c r="G164" s="20">
        <f>VLOOKUP(A164,IMPORTACIONTOTAL,2,FALSE)</f>
        <v>321194</v>
      </c>
      <c r="H164" s="20">
        <f>VLOOKUP(A164,IMPORTACIONTOTAL,3,FALSE)</f>
        <v>372388</v>
      </c>
      <c r="I164" s="20">
        <f>VLOOKUP(A164,IMPORTACIONTOTAL,4,FALSE)</f>
        <v>437951</v>
      </c>
      <c r="J164" s="20">
        <f>VLOOKUP(A164,IMPORTACIONTOTAL,5,FALSE)</f>
        <v>456433</v>
      </c>
      <c r="K164" s="20">
        <f>VLOOKUP(A164,IMPORTACIONTOTAL,6,FALSE)</f>
        <v>490724</v>
      </c>
      <c r="L164" s="20">
        <f t="shared" si="32"/>
        <v>0</v>
      </c>
      <c r="M164" s="20">
        <f t="shared" si="33"/>
        <v>0</v>
      </c>
      <c r="N164" s="20">
        <f t="shared" si="34"/>
        <v>0</v>
      </c>
      <c r="O164" s="20">
        <f t="shared" si="35"/>
        <v>2.1909020601052069E-6</v>
      </c>
      <c r="P164" s="20">
        <f t="shared" si="36"/>
        <v>0</v>
      </c>
      <c r="Q164" s="20">
        <f t="shared" si="37"/>
        <v>0</v>
      </c>
      <c r="R164" s="20">
        <f t="shared" si="38"/>
        <v>0</v>
      </c>
      <c r="S164" s="20">
        <f t="shared" si="39"/>
        <v>0</v>
      </c>
      <c r="T164" s="20">
        <f t="shared" si="40"/>
        <v>0.24613885511493672</v>
      </c>
      <c r="U164" s="20">
        <f t="shared" si="41"/>
        <v>0</v>
      </c>
      <c r="V164" s="20">
        <f t="shared" si="42"/>
        <v>-1</v>
      </c>
      <c r="W164" s="20">
        <f t="shared" si="43"/>
        <v>-1</v>
      </c>
      <c r="X164" s="20">
        <f t="shared" si="44"/>
        <v>-1</v>
      </c>
      <c r="Y164" s="20">
        <f t="shared" si="45"/>
        <v>-0.60495757899751179</v>
      </c>
      <c r="Z164" s="20">
        <f t="shared" si="46"/>
        <v>-1</v>
      </c>
    </row>
    <row r="165" spans="1:26" x14ac:dyDescent="0.25">
      <c r="A165" s="30" t="s">
        <v>169</v>
      </c>
      <c r="B165" s="22">
        <v>0</v>
      </c>
      <c r="C165" s="22">
        <v>1</v>
      </c>
      <c r="D165" s="22">
        <v>1</v>
      </c>
      <c r="E165" s="22">
        <v>1</v>
      </c>
      <c r="F165" s="31"/>
      <c r="G165" s="20">
        <f>VLOOKUP(A165,IMPORTACIONTOTAL,2,FALSE)</f>
        <v>30657</v>
      </c>
      <c r="H165" s="20">
        <f>VLOOKUP(A165,IMPORTACIONTOTAL,3,FALSE)</f>
        <v>36493</v>
      </c>
      <c r="I165" s="20">
        <f>VLOOKUP(A165,IMPORTACIONTOTAL,4,FALSE)</f>
        <v>39237</v>
      </c>
      <c r="J165" s="20">
        <f>VLOOKUP(A165,IMPORTACIONTOTAL,5,FALSE)</f>
        <v>47525</v>
      </c>
      <c r="K165" s="20">
        <f>VLOOKUP(A165,IMPORTACIONTOTAL,6,FALSE)</f>
        <v>24948</v>
      </c>
      <c r="L165" s="20">
        <f t="shared" si="32"/>
        <v>0</v>
      </c>
      <c r="M165" s="20">
        <f t="shared" si="33"/>
        <v>2.7402515550927574E-5</v>
      </c>
      <c r="N165" s="20">
        <f t="shared" si="34"/>
        <v>2.5486148278410685E-5</v>
      </c>
      <c r="O165" s="20">
        <f t="shared" si="35"/>
        <v>2.1041557075223567E-5</v>
      </c>
      <c r="P165" s="20">
        <f t="shared" si="36"/>
        <v>0</v>
      </c>
      <c r="Q165" s="20">
        <f t="shared" si="37"/>
        <v>0</v>
      </c>
      <c r="R165" s="20">
        <f t="shared" si="38"/>
        <v>2.6202896604563319</v>
      </c>
      <c r="S165" s="20">
        <f t="shared" si="39"/>
        <v>2.8008126686964636</v>
      </c>
      <c r="T165" s="20">
        <f t="shared" si="40"/>
        <v>2.3639325840436807</v>
      </c>
      <c r="U165" s="20">
        <f t="shared" si="41"/>
        <v>0</v>
      </c>
      <c r="V165" s="20">
        <f t="shared" si="42"/>
        <v>-1</v>
      </c>
      <c r="W165" s="20">
        <f t="shared" si="43"/>
        <v>0.44755801673949397</v>
      </c>
      <c r="X165" s="20">
        <f t="shared" si="44"/>
        <v>0.47379674445098996</v>
      </c>
      <c r="Y165" s="20">
        <f t="shared" si="45"/>
        <v>0.40545776408043793</v>
      </c>
      <c r="Z165" s="20">
        <f t="shared" si="46"/>
        <v>-1</v>
      </c>
    </row>
    <row r="166" spans="1:26" x14ac:dyDescent="0.25">
      <c r="A166" s="29" t="s">
        <v>170</v>
      </c>
      <c r="B166" s="23">
        <v>0</v>
      </c>
      <c r="C166" s="23">
        <v>1</v>
      </c>
      <c r="D166" s="23">
        <v>0</v>
      </c>
      <c r="E166" s="23">
        <v>0</v>
      </c>
      <c r="F166" s="32"/>
      <c r="G166" s="20">
        <f>VLOOKUP(A166,IMPORTACIONTOTAL,2,FALSE)</f>
        <v>5339900</v>
      </c>
      <c r="H166" s="20">
        <f>VLOOKUP(A166,IMPORTACIONTOTAL,3,FALSE)</f>
        <v>5765412</v>
      </c>
      <c r="I166" s="20">
        <f>VLOOKUP(A166,IMPORTACIONTOTAL,4,FALSE)</f>
        <v>6453532</v>
      </c>
      <c r="J166" s="20">
        <f>VLOOKUP(A166,IMPORTACIONTOTAL,5,FALSE)</f>
        <v>6416647</v>
      </c>
      <c r="K166" s="20">
        <f>VLOOKUP(A166,IMPORTACIONTOTAL,6,FALSE)</f>
        <v>4699356</v>
      </c>
      <c r="L166" s="20">
        <f t="shared" si="32"/>
        <v>0</v>
      </c>
      <c r="M166" s="20">
        <f t="shared" si="33"/>
        <v>1.7344814212757041E-7</v>
      </c>
      <c r="N166" s="20">
        <f t="shared" si="34"/>
        <v>0</v>
      </c>
      <c r="O166" s="20">
        <f t="shared" si="35"/>
        <v>0</v>
      </c>
      <c r="P166" s="20">
        <f t="shared" si="36"/>
        <v>0</v>
      </c>
      <c r="Q166" s="20">
        <f t="shared" si="37"/>
        <v>0</v>
      </c>
      <c r="R166" s="20">
        <f t="shared" si="38"/>
        <v>1.6585498240027412E-2</v>
      </c>
      <c r="S166" s="20">
        <f t="shared" si="39"/>
        <v>0</v>
      </c>
      <c r="T166" s="20">
        <f t="shared" si="40"/>
        <v>0</v>
      </c>
      <c r="U166" s="20">
        <f t="shared" si="41"/>
        <v>0</v>
      </c>
      <c r="V166" s="20">
        <f t="shared" si="42"/>
        <v>-1</v>
      </c>
      <c r="W166" s="20">
        <f t="shared" si="43"/>
        <v>-0.96737018525497132</v>
      </c>
      <c r="X166" s="20">
        <f t="shared" si="44"/>
        <v>-1</v>
      </c>
      <c r="Y166" s="20">
        <f t="shared" si="45"/>
        <v>-1</v>
      </c>
      <c r="Z166" s="20">
        <f t="shared" si="46"/>
        <v>-1</v>
      </c>
    </row>
    <row r="167" spans="1:26" x14ac:dyDescent="0.25">
      <c r="A167" s="30" t="s">
        <v>171</v>
      </c>
      <c r="B167" s="22">
        <v>1</v>
      </c>
      <c r="C167" s="22">
        <v>0</v>
      </c>
      <c r="D167" s="22">
        <v>1</v>
      </c>
      <c r="E167" s="22">
        <v>0</v>
      </c>
      <c r="F167" s="31"/>
      <c r="G167" s="20">
        <f>VLOOKUP(A167,IMPORTACIONTOTAL,2,FALSE)</f>
        <v>2730273</v>
      </c>
      <c r="H167" s="20">
        <f>VLOOKUP(A167,IMPORTACIONTOTAL,3,FALSE)</f>
        <v>3308449</v>
      </c>
      <c r="I167" s="20">
        <f>VLOOKUP(A167,IMPORTACIONTOTAL,4,FALSE)</f>
        <v>3095448</v>
      </c>
      <c r="J167" s="20">
        <f>VLOOKUP(A167,IMPORTACIONTOTAL,5,FALSE)</f>
        <v>3329919</v>
      </c>
      <c r="K167" s="20">
        <f>VLOOKUP(A167,IMPORTACIONTOTAL,6,FALSE)</f>
        <v>1423048</v>
      </c>
      <c r="L167" s="20">
        <f t="shared" si="32"/>
        <v>3.6626373992637369E-7</v>
      </c>
      <c r="M167" s="20">
        <f t="shared" si="33"/>
        <v>0</v>
      </c>
      <c r="N167" s="20">
        <f t="shared" si="34"/>
        <v>3.2305501497683048E-7</v>
      </c>
      <c r="O167" s="20">
        <f t="shared" si="35"/>
        <v>0</v>
      </c>
      <c r="P167" s="20">
        <f t="shared" si="36"/>
        <v>0</v>
      </c>
      <c r="Q167" s="20">
        <f t="shared" si="37"/>
        <v>2.1201030720211015E-2</v>
      </c>
      <c r="R167" s="20">
        <f t="shared" si="38"/>
        <v>0</v>
      </c>
      <c r="S167" s="20">
        <f t="shared" si="39"/>
        <v>3.55022880958243E-2</v>
      </c>
      <c r="T167" s="20">
        <f t="shared" si="40"/>
        <v>0</v>
      </c>
      <c r="U167" s="20">
        <f t="shared" si="41"/>
        <v>0</v>
      </c>
      <c r="V167" s="20">
        <f t="shared" si="42"/>
        <v>-0.95847824261348646</v>
      </c>
      <c r="W167" s="20">
        <f t="shared" si="43"/>
        <v>-1</v>
      </c>
      <c r="X167" s="20">
        <f t="shared" si="44"/>
        <v>-0.93142982202171831</v>
      </c>
      <c r="Y167" s="20">
        <f t="shared" si="45"/>
        <v>-1</v>
      </c>
      <c r="Z167" s="20">
        <f t="shared" si="46"/>
        <v>-1</v>
      </c>
    </row>
    <row r="168" spans="1:26" x14ac:dyDescent="0.25">
      <c r="A168" s="29" t="s">
        <v>172</v>
      </c>
      <c r="B168" s="23">
        <v>4</v>
      </c>
      <c r="C168" s="23">
        <v>3</v>
      </c>
      <c r="D168" s="23"/>
      <c r="E168" s="23"/>
      <c r="F168" s="32"/>
      <c r="G168" s="20">
        <f>VLOOKUP(A168,IMPORTACIONTOTAL,2,FALSE)</f>
        <v>5605920</v>
      </c>
      <c r="H168" s="20">
        <f>VLOOKUP(A168,IMPORTACIONTOTAL,3,FALSE)</f>
        <v>6984923</v>
      </c>
      <c r="I168" s="20">
        <f>VLOOKUP(A168,IMPORTACIONTOTAL,4,FALSE)</f>
        <v>8635104</v>
      </c>
      <c r="J168" s="20">
        <f>VLOOKUP(A168,IMPORTACIONTOTAL,5,FALSE)</f>
        <v>9019715</v>
      </c>
      <c r="K168" s="20">
        <f>VLOOKUP(A168,IMPORTACIONTOTAL,6,FALSE)</f>
        <v>8122516</v>
      </c>
      <c r="L168" s="20">
        <f t="shared" si="32"/>
        <v>7.135314096526529E-7</v>
      </c>
      <c r="M168" s="20">
        <f t="shared" si="33"/>
        <v>4.294965026815614E-7</v>
      </c>
      <c r="N168" s="20">
        <f t="shared" si="34"/>
        <v>0</v>
      </c>
      <c r="O168" s="20">
        <f t="shared" si="35"/>
        <v>0</v>
      </c>
      <c r="P168" s="20">
        <f t="shared" si="36"/>
        <v>0</v>
      </c>
      <c r="Q168" s="20">
        <f t="shared" si="37"/>
        <v>4.1302481482120817E-2</v>
      </c>
      <c r="R168" s="20">
        <f t="shared" si="38"/>
        <v>4.1069413612304498E-2</v>
      </c>
      <c r="S168" s="20">
        <f t="shared" si="39"/>
        <v>0</v>
      </c>
      <c r="T168" s="20">
        <f t="shared" si="40"/>
        <v>0</v>
      </c>
      <c r="U168" s="20">
        <f t="shared" si="41"/>
        <v>0</v>
      </c>
      <c r="V168" s="20">
        <f t="shared" si="42"/>
        <v>-0.92067150090080729</v>
      </c>
      <c r="W168" s="20">
        <f t="shared" si="43"/>
        <v>-0.92110148838240913</v>
      </c>
      <c r="X168" s="20">
        <f t="shared" si="44"/>
        <v>-1</v>
      </c>
      <c r="Y168" s="20">
        <f t="shared" si="45"/>
        <v>-1</v>
      </c>
      <c r="Z168" s="20">
        <f t="shared" si="46"/>
        <v>-1</v>
      </c>
    </row>
    <row r="169" spans="1:26" x14ac:dyDescent="0.25">
      <c r="A169" s="30" t="s">
        <v>173</v>
      </c>
      <c r="B169" s="22">
        <v>103</v>
      </c>
      <c r="C169" s="22">
        <v>146</v>
      </c>
      <c r="D169" s="22"/>
      <c r="E169" s="22"/>
      <c r="F169" s="31"/>
      <c r="G169" s="20">
        <f>VLOOKUP(A169,IMPORTACIONTOTAL,2,FALSE)</f>
        <v>32767433</v>
      </c>
      <c r="H169" s="20">
        <f>VLOOKUP(A169,IMPORTACIONTOTAL,3,FALSE)</f>
        <v>41810690</v>
      </c>
      <c r="I169" s="20">
        <f>VLOOKUP(A169,IMPORTACIONTOTAL,4,FALSE)</f>
        <v>12670093</v>
      </c>
      <c r="J169" s="20">
        <f>VLOOKUP(A169,IMPORTACIONTOTAL,5,FALSE)</f>
        <v>18041351</v>
      </c>
      <c r="K169" s="20">
        <f>VLOOKUP(A169,IMPORTACIONTOTAL,6,FALSE)</f>
        <v>16777544</v>
      </c>
      <c r="L169" s="20">
        <f t="shared" si="32"/>
        <v>3.143364937985835E-6</v>
      </c>
      <c r="M169" s="20">
        <f t="shared" si="33"/>
        <v>3.4919299346650343E-6</v>
      </c>
      <c r="N169" s="20">
        <f t="shared" si="34"/>
        <v>0</v>
      </c>
      <c r="O169" s="20">
        <f t="shared" si="35"/>
        <v>0</v>
      </c>
      <c r="P169" s="20">
        <f t="shared" si="36"/>
        <v>0</v>
      </c>
      <c r="Q169" s="20">
        <f t="shared" si="37"/>
        <v>0.18195242758256214</v>
      </c>
      <c r="R169" s="20">
        <f t="shared" si="38"/>
        <v>0.33390612937836728</v>
      </c>
      <c r="S169" s="20">
        <f t="shared" si="39"/>
        <v>0</v>
      </c>
      <c r="T169" s="20">
        <f t="shared" si="40"/>
        <v>0</v>
      </c>
      <c r="U169" s="20">
        <f t="shared" si="41"/>
        <v>0</v>
      </c>
      <c r="V169" s="20">
        <f t="shared" si="42"/>
        <v>-0.69211548056175498</v>
      </c>
      <c r="W169" s="20">
        <f t="shared" si="43"/>
        <v>-0.49935588116087948</v>
      </c>
      <c r="X169" s="20">
        <f t="shared" si="44"/>
        <v>-1</v>
      </c>
      <c r="Y169" s="20">
        <f t="shared" si="45"/>
        <v>-1</v>
      </c>
      <c r="Z169" s="20">
        <f t="shared" si="46"/>
        <v>-1</v>
      </c>
    </row>
    <row r="170" spans="1:26" x14ac:dyDescent="0.25">
      <c r="A170" s="29" t="s">
        <v>174</v>
      </c>
      <c r="B170" s="23">
        <v>61</v>
      </c>
      <c r="C170" s="23">
        <v>61</v>
      </c>
      <c r="D170" s="23">
        <v>66</v>
      </c>
      <c r="E170" s="23">
        <v>72</v>
      </c>
      <c r="F170" s="32"/>
      <c r="G170" s="20">
        <f>VLOOKUP(A170,IMPORTACIONTOTAL,2,FALSE)</f>
        <v>903957</v>
      </c>
      <c r="H170" s="20">
        <f>VLOOKUP(A170,IMPORTACIONTOTAL,3,FALSE)</f>
        <v>1055227</v>
      </c>
      <c r="I170" s="20">
        <f>VLOOKUP(A170,IMPORTACIONTOTAL,4,FALSE)</f>
        <v>1192258</v>
      </c>
      <c r="J170" s="20">
        <f>VLOOKUP(A170,IMPORTACIONTOTAL,5,FALSE)</f>
        <v>1180035</v>
      </c>
      <c r="K170" s="20">
        <f>VLOOKUP(A170,IMPORTACIONTOTAL,6,FALSE)</f>
        <v>3161567</v>
      </c>
      <c r="L170" s="20">
        <f t="shared" si="32"/>
        <v>6.7481085936609811E-5</v>
      </c>
      <c r="M170" s="20">
        <f t="shared" si="33"/>
        <v>5.780746701894474E-5</v>
      </c>
      <c r="N170" s="20">
        <f t="shared" si="34"/>
        <v>5.535714585265941E-5</v>
      </c>
      <c r="O170" s="20">
        <f t="shared" si="35"/>
        <v>6.1015139381459022E-5</v>
      </c>
      <c r="P170" s="20">
        <f t="shared" si="36"/>
        <v>0</v>
      </c>
      <c r="Q170" s="20">
        <f t="shared" si="37"/>
        <v>3.9061157849337116</v>
      </c>
      <c r="R170" s="20">
        <f t="shared" si="38"/>
        <v>5.5276789404753757</v>
      </c>
      <c r="S170" s="20">
        <f t="shared" si="39"/>
        <v>6.0835004847847092</v>
      </c>
      <c r="T170" s="20">
        <f t="shared" si="40"/>
        <v>6.8548005068329889</v>
      </c>
      <c r="U170" s="20">
        <f t="shared" si="41"/>
        <v>0</v>
      </c>
      <c r="V170" s="20">
        <f t="shared" si="42"/>
        <v>0.59234553612822594</v>
      </c>
      <c r="W170" s="20">
        <f t="shared" si="43"/>
        <v>0.69361238225139321</v>
      </c>
      <c r="X170" s="20">
        <f t="shared" si="44"/>
        <v>0.71765372158920848</v>
      </c>
      <c r="Y170" s="20">
        <f t="shared" si="45"/>
        <v>0.74537863841861096</v>
      </c>
      <c r="Z170" s="20">
        <f t="shared" si="46"/>
        <v>-1</v>
      </c>
    </row>
    <row r="171" spans="1:26" x14ac:dyDescent="0.25">
      <c r="A171" s="30" t="s">
        <v>175</v>
      </c>
      <c r="B171" s="25">
        <v>2</v>
      </c>
      <c r="C171" s="25">
        <v>3</v>
      </c>
      <c r="D171" s="22"/>
      <c r="E171" s="22"/>
      <c r="F171" s="31"/>
      <c r="G171" s="20">
        <f>VLOOKUP(A171,IMPORTACIONTOTAL,2,FALSE)</f>
        <v>8795009</v>
      </c>
      <c r="H171" s="20">
        <f>VLOOKUP(A171,IMPORTACIONTOTAL,3,FALSE)</f>
        <v>7325522</v>
      </c>
      <c r="I171" s="20">
        <f>VLOOKUP(A171,IMPORTACIONTOTAL,4,FALSE)</f>
        <v>7501550</v>
      </c>
      <c r="J171" s="20">
        <f>VLOOKUP(A171,IMPORTACIONTOTAL,5,FALSE)</f>
        <v>8711906</v>
      </c>
      <c r="K171" s="20">
        <f>VLOOKUP(A171,IMPORTACIONTOTAL,6,FALSE)</f>
        <v>6159337</v>
      </c>
      <c r="L171" s="20">
        <f t="shared" si="32"/>
        <v>2.2740170021429199E-7</v>
      </c>
      <c r="M171" s="20">
        <f t="shared" si="33"/>
        <v>4.095271299437774E-7</v>
      </c>
      <c r="N171" s="20">
        <f t="shared" si="34"/>
        <v>0</v>
      </c>
      <c r="O171" s="20">
        <f t="shared" si="35"/>
        <v>0</v>
      </c>
      <c r="P171" s="20">
        <f t="shared" si="36"/>
        <v>0</v>
      </c>
      <c r="Q171" s="20">
        <f t="shared" si="37"/>
        <v>1.316305685362293E-2</v>
      </c>
      <c r="R171" s="20">
        <f t="shared" si="38"/>
        <v>3.9159897647853464E-2</v>
      </c>
      <c r="S171" s="20">
        <f t="shared" si="39"/>
        <v>0</v>
      </c>
      <c r="T171" s="20">
        <f t="shared" si="40"/>
        <v>0</v>
      </c>
      <c r="U171" s="20">
        <f t="shared" si="41"/>
        <v>0</v>
      </c>
      <c r="V171" s="20">
        <f t="shared" si="42"/>
        <v>-0.97401591626425699</v>
      </c>
      <c r="W171" s="20">
        <f t="shared" si="43"/>
        <v>-0.92463162264730914</v>
      </c>
      <c r="X171" s="20">
        <f t="shared" si="44"/>
        <v>-1</v>
      </c>
      <c r="Y171" s="20">
        <f t="shared" si="45"/>
        <v>-1</v>
      </c>
      <c r="Z171" s="20">
        <f t="shared" si="46"/>
        <v>-1</v>
      </c>
    </row>
    <row r="172" spans="1:26" x14ac:dyDescent="0.25">
      <c r="A172" s="29" t="s">
        <v>176</v>
      </c>
      <c r="B172" s="24">
        <v>5</v>
      </c>
      <c r="C172" s="24">
        <v>3</v>
      </c>
      <c r="D172" s="24">
        <v>3</v>
      </c>
      <c r="E172" s="24">
        <v>4</v>
      </c>
      <c r="F172" s="32"/>
      <c r="G172" s="20">
        <f>VLOOKUP(A172,IMPORTACIONTOTAL,2,FALSE)</f>
        <v>4238119</v>
      </c>
      <c r="H172" s="20">
        <f>VLOOKUP(A172,IMPORTACIONTOTAL,3,FALSE)</f>
        <v>4598229</v>
      </c>
      <c r="I172" s="20">
        <f>VLOOKUP(A172,IMPORTACIONTOTAL,4,FALSE)</f>
        <v>4326183</v>
      </c>
      <c r="J172" s="20">
        <f>VLOOKUP(A172,IMPORTACIONTOTAL,5,FALSE)</f>
        <v>3962129</v>
      </c>
      <c r="K172" s="20">
        <f>VLOOKUP(A172,IMPORTACIONTOTAL,6,FALSE)</f>
        <v>3520958</v>
      </c>
      <c r="L172" s="20">
        <f t="shared" si="32"/>
        <v>1.1797686662408489E-6</v>
      </c>
      <c r="M172" s="20">
        <f t="shared" si="33"/>
        <v>6.5242509670570992E-7</v>
      </c>
      <c r="N172" s="20">
        <f t="shared" si="34"/>
        <v>6.9345194135338242E-7</v>
      </c>
      <c r="O172" s="20">
        <f t="shared" si="35"/>
        <v>1.0095582450748071E-6</v>
      </c>
      <c r="P172" s="20">
        <f t="shared" si="36"/>
        <v>0</v>
      </c>
      <c r="Q172" s="20">
        <f t="shared" si="37"/>
        <v>6.8290439399604733E-2</v>
      </c>
      <c r="R172" s="20">
        <f t="shared" si="38"/>
        <v>6.2386343032741251E-2</v>
      </c>
      <c r="S172" s="20">
        <f t="shared" si="39"/>
        <v>7.6207238585360215E-2</v>
      </c>
      <c r="T172" s="20">
        <f t="shared" si="40"/>
        <v>0.11341972566433443</v>
      </c>
      <c r="U172" s="20">
        <f t="shared" si="41"/>
        <v>0</v>
      </c>
      <c r="V172" s="20">
        <f t="shared" si="42"/>
        <v>-0.87215005043387828</v>
      </c>
      <c r="W172" s="20">
        <f t="shared" si="43"/>
        <v>-0.88255432039035808</v>
      </c>
      <c r="X172" s="20">
        <f t="shared" si="44"/>
        <v>-0.85837813414908415</v>
      </c>
      <c r="Y172" s="20">
        <f t="shared" si="45"/>
        <v>-0.79626779901593492</v>
      </c>
      <c r="Z172" s="20">
        <f t="shared" si="46"/>
        <v>-1</v>
      </c>
    </row>
    <row r="173" spans="1:26" x14ac:dyDescent="0.25">
      <c r="A173" s="30" t="s">
        <v>177</v>
      </c>
      <c r="B173" s="22">
        <v>14</v>
      </c>
      <c r="C173" s="22">
        <v>12</v>
      </c>
      <c r="D173" s="22">
        <v>18</v>
      </c>
      <c r="E173" s="22">
        <v>28</v>
      </c>
      <c r="F173" s="31"/>
      <c r="G173" s="20">
        <f>VLOOKUP(A173,IMPORTACIONTOTAL,2,FALSE)</f>
        <v>394552</v>
      </c>
      <c r="H173" s="20">
        <f>VLOOKUP(A173,IMPORTACIONTOTAL,3,FALSE)</f>
        <v>446676</v>
      </c>
      <c r="I173" s="20">
        <f>VLOOKUP(A173,IMPORTACIONTOTAL,4,FALSE)</f>
        <v>589270</v>
      </c>
      <c r="J173" s="20">
        <f>VLOOKUP(A173,IMPORTACIONTOTAL,5,FALSE)</f>
        <v>608759</v>
      </c>
      <c r="K173" s="20">
        <f>VLOOKUP(A173,IMPORTACIONTOTAL,6,FALSE)</f>
        <v>512167</v>
      </c>
      <c r="L173" s="20">
        <f t="shared" si="32"/>
        <v>3.5483282304994017E-5</v>
      </c>
      <c r="M173" s="20">
        <f t="shared" si="33"/>
        <v>2.6865110281277706E-5</v>
      </c>
      <c r="N173" s="20">
        <f t="shared" si="34"/>
        <v>3.0546269112630884E-5</v>
      </c>
      <c r="O173" s="20">
        <f t="shared" si="35"/>
        <v>4.5995213212453534E-5</v>
      </c>
      <c r="P173" s="20">
        <f t="shared" si="36"/>
        <v>0</v>
      </c>
      <c r="Q173" s="20">
        <f t="shared" si="37"/>
        <v>2.0539356649209166</v>
      </c>
      <c r="R173" s="20">
        <f t="shared" si="38"/>
        <v>2.5689017698474848</v>
      </c>
      <c r="S173" s="20">
        <f t="shared" si="39"/>
        <v>3.3568971104410146</v>
      </c>
      <c r="T173" s="20">
        <f t="shared" si="40"/>
        <v>5.1673734426709519</v>
      </c>
      <c r="U173" s="20">
        <f t="shared" si="41"/>
        <v>0</v>
      </c>
      <c r="V173" s="20">
        <f t="shared" si="42"/>
        <v>0.34510735672233256</v>
      </c>
      <c r="W173" s="20">
        <f t="shared" si="43"/>
        <v>0.43960351699860067</v>
      </c>
      <c r="X173" s="20">
        <f t="shared" si="44"/>
        <v>0.54095771616751454</v>
      </c>
      <c r="Y173" s="20">
        <f t="shared" si="45"/>
        <v>0.67571284298071554</v>
      </c>
      <c r="Z173" s="20">
        <f t="shared" si="46"/>
        <v>-1</v>
      </c>
    </row>
    <row r="174" spans="1:26" x14ac:dyDescent="0.25">
      <c r="A174" s="29" t="s">
        <v>178</v>
      </c>
      <c r="B174" s="23">
        <v>1</v>
      </c>
      <c r="C174" s="23">
        <v>10</v>
      </c>
      <c r="D174" s="23">
        <v>0</v>
      </c>
      <c r="E174" s="23">
        <v>0</v>
      </c>
      <c r="F174" s="32"/>
      <c r="G174" s="20">
        <f>VLOOKUP(A174,IMPORTACIONTOTAL,2,FALSE)</f>
        <v>3477811</v>
      </c>
      <c r="H174" s="20">
        <f>VLOOKUP(A174,IMPORTACIONTOTAL,3,FALSE)</f>
        <v>3650384</v>
      </c>
      <c r="I174" s="20">
        <f>VLOOKUP(A174,IMPORTACIONTOTAL,4,FALSE)</f>
        <v>4096472</v>
      </c>
      <c r="J174" s="20">
        <f>VLOOKUP(A174,IMPORTACIONTOTAL,5,FALSE)</f>
        <v>4226842</v>
      </c>
      <c r="K174" s="20">
        <f>VLOOKUP(A174,IMPORTACIONTOTAL,6,FALSE)</f>
        <v>2715565</v>
      </c>
      <c r="L174" s="20">
        <f t="shared" si="32"/>
        <v>2.8753718934122644E-7</v>
      </c>
      <c r="M174" s="20">
        <f t="shared" si="33"/>
        <v>2.7394378235276072E-6</v>
      </c>
      <c r="N174" s="20">
        <f t="shared" si="34"/>
        <v>0</v>
      </c>
      <c r="O174" s="20">
        <f t="shared" si="35"/>
        <v>0</v>
      </c>
      <c r="P174" s="20">
        <f t="shared" si="36"/>
        <v>0</v>
      </c>
      <c r="Q174" s="20">
        <f t="shared" si="37"/>
        <v>1.6643975692630417E-2</v>
      </c>
      <c r="R174" s="20">
        <f t="shared" si="38"/>
        <v>0.261951155218281</v>
      </c>
      <c r="S174" s="20">
        <f t="shared" si="39"/>
        <v>0</v>
      </c>
      <c r="T174" s="20">
        <f t="shared" si="40"/>
        <v>0</v>
      </c>
      <c r="U174" s="20">
        <f t="shared" si="41"/>
        <v>0</v>
      </c>
      <c r="V174" s="20">
        <f t="shared" si="42"/>
        <v>-0.96725702194558116</v>
      </c>
      <c r="W174" s="20">
        <f t="shared" si="43"/>
        <v>-0.58484739423536403</v>
      </c>
      <c r="X174" s="20">
        <f t="shared" si="44"/>
        <v>-1</v>
      </c>
      <c r="Y174" s="20">
        <f t="shared" si="45"/>
        <v>-1</v>
      </c>
      <c r="Z174" s="20">
        <f t="shared" si="46"/>
        <v>-1</v>
      </c>
    </row>
    <row r="175" spans="1:26" ht="23.25" x14ac:dyDescent="0.25">
      <c r="A175" s="30" t="s">
        <v>179</v>
      </c>
      <c r="B175" s="22">
        <v>29</v>
      </c>
      <c r="C175" s="22">
        <v>73</v>
      </c>
      <c r="D175" s="22">
        <v>0</v>
      </c>
      <c r="E175" s="22">
        <v>25</v>
      </c>
      <c r="F175" s="31"/>
      <c r="G175" s="20">
        <f>VLOOKUP(A175,IMPORTACIONTOTAL,2,FALSE)</f>
        <v>6063062</v>
      </c>
      <c r="H175" s="20">
        <f>VLOOKUP(A175,IMPORTACIONTOTAL,3,FALSE)</f>
        <v>7829705</v>
      </c>
      <c r="I175" s="20">
        <f>VLOOKUP(A175,IMPORTACIONTOTAL,4,FALSE)</f>
        <v>9088634</v>
      </c>
      <c r="J175" s="20">
        <f>VLOOKUP(A175,IMPORTACIONTOTAL,5,FALSE)</f>
        <v>8270534</v>
      </c>
      <c r="K175" s="20">
        <f>VLOOKUP(A175,IMPORTACIONTOTAL,6,FALSE)</f>
        <v>1496150</v>
      </c>
      <c r="L175" s="20">
        <f t="shared" si="32"/>
        <v>4.7830617598830427E-6</v>
      </c>
      <c r="M175" s="20">
        <f t="shared" si="33"/>
        <v>9.3234674869615143E-6</v>
      </c>
      <c r="N175" s="20">
        <f t="shared" si="34"/>
        <v>0</v>
      </c>
      <c r="O175" s="20">
        <f t="shared" si="35"/>
        <v>3.0227794239162793E-6</v>
      </c>
      <c r="P175" s="20">
        <f t="shared" si="36"/>
        <v>0</v>
      </c>
      <c r="Q175" s="20">
        <f t="shared" si="37"/>
        <v>0.27686562510482621</v>
      </c>
      <c r="R175" s="20">
        <f t="shared" si="38"/>
        <v>0.89153075783435065</v>
      </c>
      <c r="S175" s="20">
        <f t="shared" si="39"/>
        <v>0</v>
      </c>
      <c r="T175" s="20">
        <f t="shared" si="40"/>
        <v>0.339596862961557</v>
      </c>
      <c r="U175" s="20">
        <f t="shared" si="41"/>
        <v>0</v>
      </c>
      <c r="V175" s="20">
        <f t="shared" si="42"/>
        <v>-0.56633553341668741</v>
      </c>
      <c r="W175" s="20">
        <f t="shared" si="43"/>
        <v>-5.734468853672664E-2</v>
      </c>
      <c r="X175" s="20">
        <f t="shared" si="44"/>
        <v>-1</v>
      </c>
      <c r="Y175" s="20">
        <f t="shared" si="45"/>
        <v>-0.49298647622870317</v>
      </c>
      <c r="Z175" s="20">
        <f t="shared" si="46"/>
        <v>-1</v>
      </c>
    </row>
    <row r="176" spans="1:26" x14ac:dyDescent="0.25">
      <c r="A176" s="29" t="s">
        <v>180</v>
      </c>
      <c r="B176" s="23">
        <v>1</v>
      </c>
      <c r="C176" s="23">
        <v>1</v>
      </c>
      <c r="D176" s="23">
        <v>1</v>
      </c>
      <c r="E176" s="24">
        <v>4</v>
      </c>
      <c r="F176" s="32"/>
      <c r="G176" s="20">
        <f>VLOOKUP(A176,IMPORTACIONTOTAL,2,FALSE)</f>
        <v>1912607</v>
      </c>
      <c r="H176" s="20">
        <f>VLOOKUP(A176,IMPORTACIONTOTAL,3,FALSE)</f>
        <v>2351503</v>
      </c>
      <c r="I176" s="20">
        <f>VLOOKUP(A176,IMPORTACIONTOTAL,4,FALSE)</f>
        <v>3631494</v>
      </c>
      <c r="J176" s="20">
        <f>VLOOKUP(A176,IMPORTACIONTOTAL,5,FALSE)</f>
        <v>6336973</v>
      </c>
      <c r="K176" s="20">
        <f>VLOOKUP(A176,IMPORTACIONTOTAL,6,FALSE)</f>
        <v>4378398</v>
      </c>
      <c r="L176" s="20">
        <f t="shared" si="32"/>
        <v>5.2284656492421081E-7</v>
      </c>
      <c r="M176" s="20">
        <f t="shared" si="33"/>
        <v>4.252599295004089E-7</v>
      </c>
      <c r="N176" s="20">
        <f t="shared" si="34"/>
        <v>2.7536876007505449E-7</v>
      </c>
      <c r="O176" s="20">
        <f t="shared" si="35"/>
        <v>6.3121619738635468E-7</v>
      </c>
      <c r="P176" s="20">
        <f t="shared" si="36"/>
        <v>0</v>
      </c>
      <c r="Q176" s="20">
        <f t="shared" si="37"/>
        <v>3.026476518571912E-2</v>
      </c>
      <c r="R176" s="20">
        <f t="shared" si="38"/>
        <v>4.0664303034711385E-2</v>
      </c>
      <c r="S176" s="20">
        <f t="shared" si="39"/>
        <v>3.0261783905368735E-2</v>
      </c>
      <c r="T176" s="20">
        <f t="shared" si="40"/>
        <v>7.0914549300857638E-2</v>
      </c>
      <c r="U176" s="20">
        <f t="shared" si="41"/>
        <v>0</v>
      </c>
      <c r="V176" s="20">
        <f t="shared" si="42"/>
        <v>-0.94124856792464717</v>
      </c>
      <c r="W176" s="20">
        <f t="shared" si="43"/>
        <v>-0.92184933620548148</v>
      </c>
      <c r="X176" s="20">
        <f t="shared" si="44"/>
        <v>-0.9412541853379115</v>
      </c>
      <c r="Y176" s="20">
        <f t="shared" si="45"/>
        <v>-0.86756263728575933</v>
      </c>
      <c r="Z176" s="20">
        <f t="shared" si="46"/>
        <v>-1</v>
      </c>
    </row>
    <row r="177" spans="1:26" x14ac:dyDescent="0.25">
      <c r="A177" s="30" t="s">
        <v>181</v>
      </c>
      <c r="B177" s="22">
        <v>3</v>
      </c>
      <c r="C177" s="22">
        <v>0</v>
      </c>
      <c r="D177" s="22">
        <v>0</v>
      </c>
      <c r="E177" s="22"/>
      <c r="F177" s="31"/>
      <c r="G177" s="20">
        <f>VLOOKUP(A177,IMPORTACIONTOTAL,2,FALSE)</f>
        <v>7230346</v>
      </c>
      <c r="H177" s="20">
        <f>VLOOKUP(A177,IMPORTACIONTOTAL,3,FALSE)</f>
        <v>8431207</v>
      </c>
      <c r="I177" s="20">
        <f>VLOOKUP(A177,IMPORTACIONTOTAL,4,FALSE)</f>
        <v>9833120</v>
      </c>
      <c r="J177" s="20">
        <f>VLOOKUP(A177,IMPORTACIONTOTAL,5,FALSE)</f>
        <v>4671629</v>
      </c>
      <c r="K177" s="20">
        <f>VLOOKUP(A177,IMPORTACIONTOTAL,6,FALSE)</f>
        <v>4251894</v>
      </c>
      <c r="L177" s="20">
        <f t="shared" si="32"/>
        <v>4.1491790296066054E-7</v>
      </c>
      <c r="M177" s="20">
        <f t="shared" si="33"/>
        <v>0</v>
      </c>
      <c r="N177" s="20">
        <f t="shared" si="34"/>
        <v>0</v>
      </c>
      <c r="O177" s="20">
        <f t="shared" si="35"/>
        <v>0</v>
      </c>
      <c r="P177" s="20">
        <f t="shared" si="36"/>
        <v>0</v>
      </c>
      <c r="Q177" s="20">
        <f t="shared" si="37"/>
        <v>2.4017357570811693E-2</v>
      </c>
      <c r="R177" s="20">
        <f t="shared" si="38"/>
        <v>0</v>
      </c>
      <c r="S177" s="20">
        <f t="shared" si="39"/>
        <v>0</v>
      </c>
      <c r="T177" s="20">
        <f t="shared" si="40"/>
        <v>0</v>
      </c>
      <c r="U177" s="20">
        <f t="shared" si="41"/>
        <v>0</v>
      </c>
      <c r="V177" s="20">
        <f t="shared" si="42"/>
        <v>-0.95309189362222124</v>
      </c>
      <c r="W177" s="20">
        <f t="shared" si="43"/>
        <v>-1</v>
      </c>
      <c r="X177" s="20">
        <f t="shared" si="44"/>
        <v>-1</v>
      </c>
      <c r="Y177" s="20">
        <f t="shared" si="45"/>
        <v>-1</v>
      </c>
      <c r="Z177" s="20">
        <f t="shared" si="46"/>
        <v>-1</v>
      </c>
    </row>
    <row r="178" spans="1:26" x14ac:dyDescent="0.25">
      <c r="A178" s="29" t="s">
        <v>182</v>
      </c>
      <c r="B178" s="23">
        <v>1</v>
      </c>
      <c r="C178" s="23">
        <v>0</v>
      </c>
      <c r="D178" s="23">
        <v>1</v>
      </c>
      <c r="E178" s="23">
        <v>2</v>
      </c>
      <c r="F178" s="32"/>
      <c r="G178" s="20">
        <f>VLOOKUP(A178,IMPORTACIONTOTAL,2,FALSE)</f>
        <v>14134431</v>
      </c>
      <c r="H178" s="20">
        <f>VLOOKUP(A178,IMPORTACIONTOTAL,3,FALSE)</f>
        <v>15289980</v>
      </c>
      <c r="I178" s="20">
        <f>VLOOKUP(A178,IMPORTACIONTOTAL,4,FALSE)</f>
        <v>16544493</v>
      </c>
      <c r="J178" s="20">
        <f>VLOOKUP(A178,IMPORTACIONTOTAL,5,FALSE)</f>
        <v>17036379</v>
      </c>
      <c r="K178" s="20">
        <f>VLOOKUP(A178,IMPORTACIONTOTAL,6,FALSE)</f>
        <v>7849656</v>
      </c>
      <c r="L178" s="20">
        <f t="shared" si="32"/>
        <v>7.0749222236112649E-8</v>
      </c>
      <c r="M178" s="20">
        <f t="shared" si="33"/>
        <v>0</v>
      </c>
      <c r="N178" s="20">
        <f t="shared" si="34"/>
        <v>6.0443073112001678E-8</v>
      </c>
      <c r="O178" s="20">
        <f t="shared" si="35"/>
        <v>1.1739583863448918E-7</v>
      </c>
      <c r="P178" s="20">
        <f t="shared" si="36"/>
        <v>0</v>
      </c>
      <c r="Q178" s="20">
        <f t="shared" si="37"/>
        <v>4.0952905530871869E-3</v>
      </c>
      <c r="R178" s="20">
        <f t="shared" si="38"/>
        <v>0</v>
      </c>
      <c r="S178" s="20">
        <f t="shared" si="39"/>
        <v>6.642420936177563E-3</v>
      </c>
      <c r="T178" s="20">
        <f t="shared" si="40"/>
        <v>1.318894068471662E-2</v>
      </c>
      <c r="U178" s="20">
        <f t="shared" si="41"/>
        <v>0</v>
      </c>
      <c r="V178" s="20">
        <f t="shared" si="42"/>
        <v>-0.99184282489596909</v>
      </c>
      <c r="W178" s="20">
        <f t="shared" si="43"/>
        <v>-1</v>
      </c>
      <c r="X178" s="20">
        <f t="shared" si="44"/>
        <v>-0.98680281935664882</v>
      </c>
      <c r="Y178" s="20">
        <f t="shared" si="45"/>
        <v>-0.9739654862876741</v>
      </c>
      <c r="Z178" s="20">
        <f t="shared" si="46"/>
        <v>-1</v>
      </c>
    </row>
    <row r="179" spans="1:26" x14ac:dyDescent="0.25">
      <c r="A179" s="30" t="s">
        <v>183</v>
      </c>
      <c r="B179" s="22">
        <v>0</v>
      </c>
      <c r="C179" s="22">
        <v>0</v>
      </c>
      <c r="D179" s="22">
        <v>0</v>
      </c>
      <c r="E179" s="22">
        <v>5</v>
      </c>
      <c r="F179" s="31"/>
      <c r="G179" s="20">
        <f>VLOOKUP(A179,IMPORTACIONTOTAL,2,FALSE)</f>
        <v>179967</v>
      </c>
      <c r="H179" s="20">
        <f>VLOOKUP(A179,IMPORTACIONTOTAL,3,FALSE)</f>
        <v>190371</v>
      </c>
      <c r="I179" s="20">
        <f>VLOOKUP(A179,IMPORTACIONTOTAL,4,FALSE)</f>
        <v>216719</v>
      </c>
      <c r="J179" s="20">
        <f>VLOOKUP(A179,IMPORTACIONTOTAL,5,FALSE)</f>
        <v>301309</v>
      </c>
      <c r="K179" s="20">
        <f>VLOOKUP(A179,IMPORTACIONTOTAL,6,FALSE)</f>
        <v>287257</v>
      </c>
      <c r="L179" s="20">
        <f t="shared" si="32"/>
        <v>0</v>
      </c>
      <c r="M179" s="20">
        <f t="shared" si="33"/>
        <v>0</v>
      </c>
      <c r="N179" s="20">
        <f t="shared" si="34"/>
        <v>0</v>
      </c>
      <c r="O179" s="20">
        <f t="shared" si="35"/>
        <v>1.6594260377220728E-5</v>
      </c>
      <c r="P179" s="20">
        <f t="shared" si="36"/>
        <v>0</v>
      </c>
      <c r="Q179" s="20">
        <f t="shared" si="37"/>
        <v>0</v>
      </c>
      <c r="R179" s="20">
        <f t="shared" si="38"/>
        <v>0</v>
      </c>
      <c r="S179" s="20">
        <f t="shared" si="39"/>
        <v>0</v>
      </c>
      <c r="T179" s="20">
        <f t="shared" si="40"/>
        <v>1.8642970514766557</v>
      </c>
      <c r="U179" s="20">
        <f t="shared" si="41"/>
        <v>0</v>
      </c>
      <c r="V179" s="20">
        <f t="shared" si="42"/>
        <v>-1</v>
      </c>
      <c r="W179" s="20">
        <f t="shared" si="43"/>
        <v>-1</v>
      </c>
      <c r="X179" s="20">
        <f t="shared" si="44"/>
        <v>-1</v>
      </c>
      <c r="Y179" s="20">
        <f t="shared" si="45"/>
        <v>0.30174839967491407</v>
      </c>
      <c r="Z179" s="20">
        <f t="shared" si="46"/>
        <v>-1</v>
      </c>
    </row>
    <row r="180" spans="1:26" x14ac:dyDescent="0.25">
      <c r="A180" s="29" t="s">
        <v>184</v>
      </c>
      <c r="B180" s="23">
        <v>0</v>
      </c>
      <c r="C180" s="23">
        <v>1</v>
      </c>
      <c r="D180" s="23">
        <v>0</v>
      </c>
      <c r="E180" s="23">
        <v>0</v>
      </c>
      <c r="F180" s="32"/>
      <c r="G180" s="20">
        <f>VLOOKUP(A180,IMPORTACIONTOTAL,2,FALSE)</f>
        <v>3139016</v>
      </c>
      <c r="H180" s="20">
        <f>VLOOKUP(A180,IMPORTACIONTOTAL,3,FALSE)</f>
        <v>4217793</v>
      </c>
      <c r="I180" s="20">
        <f>VLOOKUP(A180,IMPORTACIONTOTAL,4,FALSE)</f>
        <v>5182866</v>
      </c>
      <c r="J180" s="20">
        <f>VLOOKUP(A180,IMPORTACIONTOTAL,5,FALSE)</f>
        <v>5704363</v>
      </c>
      <c r="K180" s="20">
        <f>VLOOKUP(A180,IMPORTACIONTOTAL,6,FALSE)</f>
        <v>6465425</v>
      </c>
      <c r="L180" s="20">
        <f t="shared" si="32"/>
        <v>0</v>
      </c>
      <c r="M180" s="20">
        <f t="shared" si="33"/>
        <v>2.3709081977233117E-7</v>
      </c>
      <c r="N180" s="20">
        <f t="shared" si="34"/>
        <v>0</v>
      </c>
      <c r="O180" s="20">
        <f t="shared" si="35"/>
        <v>0</v>
      </c>
      <c r="P180" s="20">
        <f t="shared" si="36"/>
        <v>0</v>
      </c>
      <c r="Q180" s="20">
        <f t="shared" si="37"/>
        <v>0</v>
      </c>
      <c r="R180" s="20">
        <f t="shared" si="38"/>
        <v>2.267115303644179E-2</v>
      </c>
      <c r="S180" s="20">
        <f t="shared" si="39"/>
        <v>0</v>
      </c>
      <c r="T180" s="20">
        <f t="shared" si="40"/>
        <v>0</v>
      </c>
      <c r="U180" s="20">
        <f t="shared" si="41"/>
        <v>0</v>
      </c>
      <c r="V180" s="20">
        <f t="shared" si="42"/>
        <v>-1</v>
      </c>
      <c r="W180" s="20">
        <f t="shared" si="43"/>
        <v>-0.95566286783561216</v>
      </c>
      <c r="X180" s="20">
        <f t="shared" si="44"/>
        <v>-1</v>
      </c>
      <c r="Y180" s="20">
        <f t="shared" si="45"/>
        <v>-1</v>
      </c>
      <c r="Z180" s="20">
        <f t="shared" si="46"/>
        <v>-1</v>
      </c>
    </row>
    <row r="181" spans="1:26" x14ac:dyDescent="0.25">
      <c r="A181" s="30" t="s">
        <v>185</v>
      </c>
      <c r="B181" s="22">
        <v>1</v>
      </c>
      <c r="C181" s="22">
        <v>0</v>
      </c>
      <c r="D181" s="22">
        <v>0</v>
      </c>
      <c r="E181" s="22">
        <v>0</v>
      </c>
      <c r="F181" s="31"/>
      <c r="G181" s="20">
        <f>VLOOKUP(A181,IMPORTACIONTOTAL,2,FALSE)</f>
        <v>5643095</v>
      </c>
      <c r="H181" s="20">
        <f>VLOOKUP(A181,IMPORTACIONTOTAL,3,FALSE)</f>
        <v>7577619</v>
      </c>
      <c r="I181" s="20">
        <f>VLOOKUP(A181,IMPORTACIONTOTAL,4,FALSE)</f>
        <v>8603710</v>
      </c>
      <c r="J181" s="20">
        <f>VLOOKUP(A181,IMPORTACIONTOTAL,5,FALSE)</f>
        <v>9201594</v>
      </c>
      <c r="K181" s="20">
        <f>VLOOKUP(A181,IMPORTACIONTOTAL,6,FALSE)</f>
        <v>6530844</v>
      </c>
      <c r="L181" s="20">
        <f t="shared" si="32"/>
        <v>1.772077202315396E-7</v>
      </c>
      <c r="M181" s="20">
        <f t="shared" si="33"/>
        <v>0</v>
      </c>
      <c r="N181" s="20">
        <f t="shared" si="34"/>
        <v>0</v>
      </c>
      <c r="O181" s="20">
        <f t="shared" si="35"/>
        <v>0</v>
      </c>
      <c r="P181" s="20">
        <f t="shared" si="36"/>
        <v>0</v>
      </c>
      <c r="Q181" s="20">
        <f t="shared" si="37"/>
        <v>1.0257598312196177E-2</v>
      </c>
      <c r="R181" s="20">
        <f t="shared" si="38"/>
        <v>0</v>
      </c>
      <c r="S181" s="20">
        <f t="shared" si="39"/>
        <v>0</v>
      </c>
      <c r="T181" s="20">
        <f t="shared" si="40"/>
        <v>0</v>
      </c>
      <c r="U181" s="20">
        <f t="shared" si="41"/>
        <v>0</v>
      </c>
      <c r="V181" s="20">
        <f t="shared" si="42"/>
        <v>-0.97969310336426429</v>
      </c>
      <c r="W181" s="20">
        <f t="shared" si="43"/>
        <v>-1</v>
      </c>
      <c r="X181" s="20">
        <f t="shared" si="44"/>
        <v>-1</v>
      </c>
      <c r="Y181" s="20">
        <f t="shared" si="45"/>
        <v>-1</v>
      </c>
      <c r="Z181" s="20">
        <f t="shared" si="46"/>
        <v>-1</v>
      </c>
    </row>
    <row r="182" spans="1:26" x14ac:dyDescent="0.25">
      <c r="A182" s="29" t="s">
        <v>186</v>
      </c>
      <c r="B182" s="24">
        <v>1</v>
      </c>
      <c r="C182" s="23"/>
      <c r="D182" s="23"/>
      <c r="E182" s="23"/>
      <c r="F182" s="32"/>
      <c r="G182" s="20">
        <f>VLOOKUP(A182,IMPORTACIONTOTAL,2,FALSE)</f>
        <v>4420043</v>
      </c>
      <c r="H182" s="20">
        <f>VLOOKUP(A182,IMPORTACIONTOTAL,3,FALSE)</f>
        <v>5159980</v>
      </c>
      <c r="I182" s="20">
        <f>VLOOKUP(A182,IMPORTACIONTOTAL,4,FALSE)</f>
        <v>5824416</v>
      </c>
      <c r="J182" s="20">
        <f>VLOOKUP(A182,IMPORTACIONTOTAL,5,FALSE)</f>
        <v>5298254</v>
      </c>
      <c r="K182" s="20">
        <f>VLOOKUP(A182,IMPORTACIONTOTAL,6,FALSE)</f>
        <v>3100163</v>
      </c>
      <c r="L182" s="20">
        <f t="shared" si="32"/>
        <v>2.2624214289318E-7</v>
      </c>
      <c r="M182" s="20">
        <f t="shared" si="33"/>
        <v>0</v>
      </c>
      <c r="N182" s="20">
        <f t="shared" si="34"/>
        <v>0</v>
      </c>
      <c r="O182" s="20">
        <f t="shared" si="35"/>
        <v>0</v>
      </c>
      <c r="P182" s="20">
        <f t="shared" si="36"/>
        <v>0</v>
      </c>
      <c r="Q182" s="20">
        <f t="shared" si="37"/>
        <v>1.3095936339886894E-2</v>
      </c>
      <c r="R182" s="20">
        <f t="shared" si="38"/>
        <v>0</v>
      </c>
      <c r="S182" s="20">
        <f t="shared" si="39"/>
        <v>0</v>
      </c>
      <c r="T182" s="20">
        <f t="shared" si="40"/>
        <v>0</v>
      </c>
      <c r="U182" s="20">
        <f t="shared" si="41"/>
        <v>0</v>
      </c>
      <c r="V182" s="20">
        <f t="shared" si="42"/>
        <v>-0.97414670048485263</v>
      </c>
      <c r="W182" s="20">
        <f t="shared" si="43"/>
        <v>-1</v>
      </c>
      <c r="X182" s="20">
        <f t="shared" si="44"/>
        <v>-1</v>
      </c>
      <c r="Y182" s="20">
        <f t="shared" si="45"/>
        <v>-1</v>
      </c>
      <c r="Z182" s="20">
        <f t="shared" si="46"/>
        <v>-1</v>
      </c>
    </row>
    <row r="183" spans="1:26" x14ac:dyDescent="0.25">
      <c r="A183" s="33" t="s">
        <v>187</v>
      </c>
      <c r="B183" s="34">
        <v>0</v>
      </c>
      <c r="C183" s="34">
        <v>0</v>
      </c>
      <c r="D183" s="34">
        <v>1</v>
      </c>
      <c r="E183" s="34">
        <v>0</v>
      </c>
      <c r="F183" s="35"/>
      <c r="G183" s="20">
        <f>VLOOKUP(A183,IMPORTACIONTOTAL,2,FALSE)</f>
        <v>311893</v>
      </c>
      <c r="H183" s="20">
        <f>VLOOKUP(A183,IMPORTACIONTOTAL,3,FALSE)</f>
        <v>370236</v>
      </c>
      <c r="I183" s="20">
        <f>VLOOKUP(A183,IMPORTACIONTOTAL,4,FALSE)</f>
        <v>447050</v>
      </c>
      <c r="J183" s="20">
        <f>VLOOKUP(A183,IMPORTACIONTOTAL,5,FALSE)</f>
        <v>473580</v>
      </c>
      <c r="K183" s="20">
        <f>VLOOKUP(A183,IMPORTACIONTOTAL,6,FALSE)</f>
        <v>530853</v>
      </c>
      <c r="L183" s="20">
        <f t="shared" si="32"/>
        <v>0</v>
      </c>
      <c r="M183" s="20">
        <f t="shared" si="33"/>
        <v>0</v>
      </c>
      <c r="N183" s="20">
        <f t="shared" si="34"/>
        <v>2.2368862543339669E-6</v>
      </c>
      <c r="O183" s="20">
        <f t="shared" si="35"/>
        <v>0</v>
      </c>
      <c r="P183" s="20">
        <f t="shared" si="36"/>
        <v>0</v>
      </c>
      <c r="Q183" s="20">
        <f t="shared" si="37"/>
        <v>0</v>
      </c>
      <c r="R183" s="20">
        <f t="shared" si="38"/>
        <v>0</v>
      </c>
      <c r="S183" s="20">
        <f t="shared" si="39"/>
        <v>0.24582370357150907</v>
      </c>
      <c r="T183" s="20">
        <f t="shared" si="40"/>
        <v>0</v>
      </c>
      <c r="U183" s="20">
        <f t="shared" si="41"/>
        <v>0</v>
      </c>
      <c r="V183" s="20">
        <f t="shared" si="42"/>
        <v>-1</v>
      </c>
      <c r="W183" s="20">
        <f t="shared" si="43"/>
        <v>-1</v>
      </c>
      <c r="X183" s="20">
        <f t="shared" si="44"/>
        <v>-0.6053635793462826</v>
      </c>
      <c r="Y183" s="20">
        <f t="shared" si="45"/>
        <v>-1</v>
      </c>
      <c r="Z183" s="20">
        <f t="shared" si="46"/>
        <v>-1</v>
      </c>
    </row>
  </sheetData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6"/>
  <sheetViews>
    <sheetView workbookViewId="0">
      <selection activeCell="G6" sqref="G6"/>
    </sheetView>
  </sheetViews>
  <sheetFormatPr baseColWidth="10" defaultColWidth="9.140625" defaultRowHeight="15" x14ac:dyDescent="0.25"/>
  <sheetData>
    <row r="1" spans="1:6" ht="33.75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</row>
    <row r="2" spans="1:6" x14ac:dyDescent="0.25">
      <c r="A2" s="13" t="s">
        <v>6</v>
      </c>
      <c r="B2" s="5">
        <v>17740704282</v>
      </c>
      <c r="C2" s="5">
        <v>22469120497</v>
      </c>
      <c r="D2" s="5">
        <v>25340140901</v>
      </c>
      <c r="E2" s="5">
        <v>23977310520</v>
      </c>
      <c r="F2" s="5">
        <v>23987203776</v>
      </c>
    </row>
    <row r="3" spans="1:6" ht="34.5" x14ac:dyDescent="0.25">
      <c r="A3" s="14" t="s">
        <v>7</v>
      </c>
      <c r="B3" s="6">
        <v>2406931650</v>
      </c>
      <c r="C3" s="6">
        <v>2935314152</v>
      </c>
      <c r="D3" s="6">
        <v>3375948186</v>
      </c>
      <c r="E3" s="6">
        <v>3172533052</v>
      </c>
      <c r="F3" s="15">
        <v>3359310385</v>
      </c>
    </row>
    <row r="4" spans="1:6" x14ac:dyDescent="0.25">
      <c r="A4" s="13" t="s">
        <v>13</v>
      </c>
      <c r="B4" s="7">
        <v>2057021048</v>
      </c>
      <c r="C4" s="7">
        <v>2675680064</v>
      </c>
      <c r="D4" s="7">
        <v>2715998754</v>
      </c>
      <c r="E4" s="7">
        <v>2559319988</v>
      </c>
      <c r="F4" s="16">
        <v>2587295232</v>
      </c>
    </row>
    <row r="5" spans="1:6" x14ac:dyDescent="0.25">
      <c r="A5" s="14" t="s">
        <v>9</v>
      </c>
      <c r="B5" s="6">
        <v>1172923865</v>
      </c>
      <c r="C5" s="6">
        <v>1422827856</v>
      </c>
      <c r="D5" s="6">
        <v>1505324953</v>
      </c>
      <c r="E5" s="6">
        <v>1433191152</v>
      </c>
      <c r="F5" s="15">
        <v>1425209578</v>
      </c>
    </row>
    <row r="6" spans="1:6" x14ac:dyDescent="0.25">
      <c r="A6" s="13" t="s">
        <v>15</v>
      </c>
      <c r="B6" s="7">
        <v>630863707</v>
      </c>
      <c r="C6" s="7">
        <v>695578289</v>
      </c>
      <c r="D6" s="7">
        <v>816299884</v>
      </c>
      <c r="E6" s="7">
        <v>791855405</v>
      </c>
      <c r="F6" s="16">
        <v>815579239</v>
      </c>
    </row>
    <row r="7" spans="1:6" x14ac:dyDescent="0.25">
      <c r="A7" s="14" t="s">
        <v>30</v>
      </c>
      <c r="B7" s="6">
        <v>634678167</v>
      </c>
      <c r="C7" s="6">
        <v>773720906</v>
      </c>
      <c r="D7" s="6">
        <v>905098532</v>
      </c>
      <c r="E7" s="6">
        <v>786365263</v>
      </c>
      <c r="F7" s="15">
        <v>743267456</v>
      </c>
    </row>
    <row r="8" spans="1:6" x14ac:dyDescent="0.25">
      <c r="A8" s="13" t="s">
        <v>12</v>
      </c>
      <c r="B8" s="7">
        <v>571097349</v>
      </c>
      <c r="C8" s="7">
        <v>707758694</v>
      </c>
      <c r="D8" s="7">
        <v>815172598</v>
      </c>
      <c r="E8" s="7">
        <v>777352604</v>
      </c>
      <c r="F8" s="16">
        <v>740387893</v>
      </c>
    </row>
    <row r="9" spans="1:6" x14ac:dyDescent="0.25">
      <c r="A9" s="14" t="s">
        <v>58</v>
      </c>
      <c r="B9" s="6">
        <v>367980363</v>
      </c>
      <c r="C9" s="6">
        <v>570402004</v>
      </c>
      <c r="D9" s="6">
        <v>732565993</v>
      </c>
      <c r="E9" s="6">
        <v>673791035</v>
      </c>
      <c r="F9" s="15">
        <v>702773476</v>
      </c>
    </row>
    <row r="10" spans="1:6" ht="23.25" x14ac:dyDescent="0.25">
      <c r="A10" s="13" t="s">
        <v>40</v>
      </c>
      <c r="B10" s="7">
        <v>573061310</v>
      </c>
      <c r="C10" s="7">
        <v>713969246</v>
      </c>
      <c r="D10" s="7">
        <v>669093235</v>
      </c>
      <c r="E10" s="7">
        <v>655539567</v>
      </c>
      <c r="F10" s="16">
        <v>698906913</v>
      </c>
    </row>
    <row r="11" spans="1:6" ht="23.25" x14ac:dyDescent="0.25">
      <c r="A11" s="14" t="s">
        <v>10</v>
      </c>
      <c r="B11" s="6">
        <v>484088531</v>
      </c>
      <c r="C11" s="6">
        <v>623369107</v>
      </c>
      <c r="D11" s="6">
        <v>710771872</v>
      </c>
      <c r="E11" s="6">
        <v>664131324</v>
      </c>
      <c r="F11" s="15">
        <v>636885898</v>
      </c>
    </row>
    <row r="12" spans="1:6" ht="34.5" x14ac:dyDescent="0.25">
      <c r="A12" s="13" t="s">
        <v>53</v>
      </c>
      <c r="B12" s="7">
        <v>467540264</v>
      </c>
      <c r="C12" s="7">
        <v>615034495</v>
      </c>
      <c r="D12" s="7">
        <v>731366344</v>
      </c>
      <c r="E12" s="7">
        <v>642571069</v>
      </c>
      <c r="F12" s="16">
        <v>632098015</v>
      </c>
    </row>
    <row r="13" spans="1:6" x14ac:dyDescent="0.25">
      <c r="A13" s="14" t="s">
        <v>11</v>
      </c>
      <c r="B13" s="6">
        <v>426475840</v>
      </c>
      <c r="C13" s="6">
        <v>568202425</v>
      </c>
      <c r="D13" s="6">
        <v>695235843</v>
      </c>
      <c r="E13" s="6">
        <v>639928812</v>
      </c>
      <c r="F13" s="15">
        <v>615599099</v>
      </c>
    </row>
    <row r="14" spans="1:6" x14ac:dyDescent="0.25">
      <c r="A14" s="13" t="s">
        <v>20</v>
      </c>
      <c r="B14" s="7">
        <v>382979896</v>
      </c>
      <c r="C14" s="7">
        <v>505715616</v>
      </c>
      <c r="D14" s="7">
        <v>604614616</v>
      </c>
      <c r="E14" s="7">
        <v>598475395</v>
      </c>
      <c r="F14" s="8">
        <v>571784647</v>
      </c>
    </row>
    <row r="15" spans="1:6" x14ac:dyDescent="0.25">
      <c r="A15" s="14" t="s">
        <v>8</v>
      </c>
      <c r="B15" s="6">
        <v>405666523</v>
      </c>
      <c r="C15" s="6">
        <v>491713789</v>
      </c>
      <c r="D15" s="6">
        <v>570189759</v>
      </c>
      <c r="E15" s="6">
        <v>559231481</v>
      </c>
      <c r="F15" s="15">
        <v>554263254</v>
      </c>
    </row>
    <row r="16" spans="1:6" x14ac:dyDescent="0.25">
      <c r="A16" s="13" t="s">
        <v>16</v>
      </c>
      <c r="B16" s="7">
        <v>395854450</v>
      </c>
      <c r="C16" s="7">
        <v>532547499</v>
      </c>
      <c r="D16" s="7">
        <v>624289390</v>
      </c>
      <c r="E16" s="7">
        <v>550854780</v>
      </c>
      <c r="F16" s="16">
        <v>519085769</v>
      </c>
    </row>
    <row r="17" spans="1:6" x14ac:dyDescent="0.25">
      <c r="A17" s="14" t="s">
        <v>45</v>
      </c>
      <c r="B17" s="6">
        <v>328822696</v>
      </c>
      <c r="C17" s="6">
        <v>406912769</v>
      </c>
      <c r="D17" s="6">
        <v>475516057</v>
      </c>
      <c r="E17" s="6">
        <v>422530066</v>
      </c>
      <c r="F17" s="15">
        <v>457612578</v>
      </c>
    </row>
    <row r="18" spans="1:6" x14ac:dyDescent="0.25">
      <c r="A18" s="13" t="s">
        <v>14</v>
      </c>
      <c r="B18" s="7">
        <v>329738801</v>
      </c>
      <c r="C18" s="7">
        <v>426059817</v>
      </c>
      <c r="D18" s="7">
        <v>499055069</v>
      </c>
      <c r="E18" s="7">
        <v>469043091</v>
      </c>
      <c r="F18" s="16">
        <v>451303134</v>
      </c>
    </row>
    <row r="19" spans="1:6" ht="23.25" x14ac:dyDescent="0.25">
      <c r="A19" s="14" t="s">
        <v>38</v>
      </c>
      <c r="B19" s="6">
        <v>287160021</v>
      </c>
      <c r="C19" s="6">
        <v>382921158</v>
      </c>
      <c r="D19" s="6">
        <v>427241617</v>
      </c>
      <c r="E19" s="6">
        <v>351666960</v>
      </c>
      <c r="F19" s="15">
        <v>394062784</v>
      </c>
    </row>
    <row r="20" spans="1:6" x14ac:dyDescent="0.25">
      <c r="A20" s="13" t="s">
        <v>68</v>
      </c>
      <c r="B20" s="7">
        <v>261309452</v>
      </c>
      <c r="C20" s="7">
        <v>330752261</v>
      </c>
      <c r="D20" s="7">
        <v>358788815</v>
      </c>
      <c r="E20" s="7">
        <v>325443689</v>
      </c>
      <c r="F20" s="8">
        <v>381228376</v>
      </c>
    </row>
    <row r="21" spans="1:6" x14ac:dyDescent="0.25">
      <c r="A21" s="14" t="s">
        <v>28</v>
      </c>
      <c r="B21" s="6">
        <v>254660433</v>
      </c>
      <c r="C21" s="6">
        <v>335451322</v>
      </c>
      <c r="D21" s="6">
        <v>386969092</v>
      </c>
      <c r="E21" s="6">
        <v>371400902</v>
      </c>
      <c r="F21" s="15">
        <v>379496070</v>
      </c>
    </row>
    <row r="22" spans="1:6" x14ac:dyDescent="0.25">
      <c r="A22" s="13" t="s">
        <v>21</v>
      </c>
      <c r="B22" s="7">
        <v>291035118</v>
      </c>
      <c r="C22" s="7">
        <v>324497583</v>
      </c>
      <c r="D22" s="7">
        <v>356763182</v>
      </c>
      <c r="E22" s="7">
        <v>366266257</v>
      </c>
      <c r="F22" s="16">
        <v>369659595</v>
      </c>
    </row>
    <row r="23" spans="1:6" x14ac:dyDescent="0.25">
      <c r="A23" s="14" t="s">
        <v>49</v>
      </c>
      <c r="B23" s="6">
        <v>219514373</v>
      </c>
      <c r="C23" s="6">
        <v>271422758</v>
      </c>
      <c r="D23" s="6">
        <v>363710987</v>
      </c>
      <c r="E23" s="6">
        <v>361966913</v>
      </c>
      <c r="F23" s="15">
        <v>344017272</v>
      </c>
    </row>
    <row r="24" spans="1:6" ht="34.5" x14ac:dyDescent="0.25">
      <c r="A24" s="13" t="s">
        <v>24</v>
      </c>
      <c r="B24" s="7">
        <v>246961071</v>
      </c>
      <c r="C24" s="7">
        <v>347528998</v>
      </c>
      <c r="D24" s="7">
        <v>420493198</v>
      </c>
      <c r="E24" s="7">
        <v>470536020</v>
      </c>
      <c r="F24" s="8">
        <v>313364827</v>
      </c>
    </row>
    <row r="25" spans="1:6" x14ac:dyDescent="0.25">
      <c r="A25" s="14" t="s">
        <v>35</v>
      </c>
      <c r="B25" s="6">
        <v>208615061</v>
      </c>
      <c r="C25" s="6">
        <v>269102030</v>
      </c>
      <c r="D25" s="6">
        <v>306260910</v>
      </c>
      <c r="E25" s="6">
        <v>292053342</v>
      </c>
      <c r="F25" s="15">
        <v>310155165</v>
      </c>
    </row>
    <row r="26" spans="1:6" x14ac:dyDescent="0.25">
      <c r="A26" s="13" t="s">
        <v>54</v>
      </c>
      <c r="B26" s="7">
        <v>189559672</v>
      </c>
      <c r="C26" s="7">
        <v>238321107</v>
      </c>
      <c r="D26" s="7">
        <v>295092902</v>
      </c>
      <c r="E26" s="7">
        <v>265972626</v>
      </c>
      <c r="F26" s="16">
        <v>300081375</v>
      </c>
    </row>
    <row r="27" spans="1:6" x14ac:dyDescent="0.25">
      <c r="A27" s="14" t="s">
        <v>17</v>
      </c>
      <c r="B27" s="6">
        <v>202277035</v>
      </c>
      <c r="C27" s="6">
        <v>248893435</v>
      </c>
      <c r="D27" s="6">
        <v>290113770</v>
      </c>
      <c r="E27" s="6">
        <v>276027533</v>
      </c>
      <c r="F27" s="15">
        <v>284464732</v>
      </c>
    </row>
    <row r="28" spans="1:6" x14ac:dyDescent="0.25">
      <c r="A28" s="13" t="s">
        <v>25</v>
      </c>
      <c r="B28" s="7">
        <v>158786825</v>
      </c>
      <c r="C28" s="7">
        <v>219408049</v>
      </c>
      <c r="D28" s="7">
        <v>272701734</v>
      </c>
      <c r="E28" s="7">
        <v>240792839</v>
      </c>
      <c r="F28" s="16">
        <v>262869606</v>
      </c>
    </row>
    <row r="29" spans="1:6" x14ac:dyDescent="0.25">
      <c r="A29" s="14" t="s">
        <v>81</v>
      </c>
      <c r="B29" s="6">
        <v>141622127</v>
      </c>
      <c r="C29" s="6">
        <v>195694490</v>
      </c>
      <c r="D29" s="6">
        <v>237447057</v>
      </c>
      <c r="E29" s="6">
        <v>221739634</v>
      </c>
      <c r="F29" s="15">
        <v>233658658</v>
      </c>
    </row>
    <row r="30" spans="1:6" ht="23.25" x14ac:dyDescent="0.25">
      <c r="A30" s="13" t="s">
        <v>48</v>
      </c>
      <c r="B30" s="7">
        <v>131328602</v>
      </c>
      <c r="C30" s="7">
        <v>152849564</v>
      </c>
      <c r="D30" s="7">
        <v>189877037</v>
      </c>
      <c r="E30" s="7">
        <v>211114487</v>
      </c>
      <c r="F30" s="16">
        <v>232028140</v>
      </c>
    </row>
    <row r="31" spans="1:6" ht="23.25" x14ac:dyDescent="0.25">
      <c r="A31" s="14" t="s">
        <v>37</v>
      </c>
      <c r="B31" s="6">
        <v>171440208</v>
      </c>
      <c r="C31" s="6">
        <v>212480637</v>
      </c>
      <c r="D31" s="6">
        <v>236320011</v>
      </c>
      <c r="E31" s="6">
        <v>228913299</v>
      </c>
      <c r="F31" s="15">
        <v>229396962</v>
      </c>
    </row>
    <row r="32" spans="1:6" x14ac:dyDescent="0.25">
      <c r="A32" s="13" t="s">
        <v>19</v>
      </c>
      <c r="B32" s="7">
        <v>172259029</v>
      </c>
      <c r="C32" s="7">
        <v>219819100</v>
      </c>
      <c r="D32" s="7">
        <v>233952070</v>
      </c>
      <c r="E32" s="7">
        <v>226369849</v>
      </c>
      <c r="F32" s="16">
        <v>211991694</v>
      </c>
    </row>
    <row r="33" spans="1:6" ht="34.5" x14ac:dyDescent="0.25">
      <c r="A33" s="14" t="s">
        <v>23</v>
      </c>
      <c r="B33" s="6">
        <v>231667985</v>
      </c>
      <c r="C33" s="6">
        <v>293501672</v>
      </c>
      <c r="D33" s="9">
        <v>199386103</v>
      </c>
      <c r="E33" s="9">
        <v>218843240</v>
      </c>
      <c r="F33" s="9">
        <v>204294595</v>
      </c>
    </row>
    <row r="34" spans="1:6" x14ac:dyDescent="0.25">
      <c r="A34" s="13" t="s">
        <v>26</v>
      </c>
      <c r="B34" s="7">
        <v>149436257</v>
      </c>
      <c r="C34" s="7">
        <v>187319607</v>
      </c>
      <c r="D34" s="7">
        <v>202997376</v>
      </c>
      <c r="E34" s="7">
        <v>193241453</v>
      </c>
      <c r="F34" s="16">
        <v>188975538</v>
      </c>
    </row>
    <row r="35" spans="1:6" x14ac:dyDescent="0.25">
      <c r="A35" s="14" t="s">
        <v>39</v>
      </c>
      <c r="B35" s="6">
        <v>113422659</v>
      </c>
      <c r="C35" s="6">
        <v>139132012</v>
      </c>
      <c r="D35" s="6">
        <v>159334562</v>
      </c>
      <c r="E35" s="6">
        <v>148897654</v>
      </c>
      <c r="F35" s="15">
        <v>151630797</v>
      </c>
    </row>
    <row r="36" spans="1:6" x14ac:dyDescent="0.25">
      <c r="A36" s="13" t="s">
        <v>43</v>
      </c>
      <c r="B36" s="7">
        <v>99441600</v>
      </c>
      <c r="C36" s="7">
        <v>122740451</v>
      </c>
      <c r="D36" s="7">
        <v>148503449</v>
      </c>
      <c r="E36" s="7">
        <v>150611380</v>
      </c>
      <c r="F36" s="16">
        <v>144552207</v>
      </c>
    </row>
    <row r="37" spans="1:6" x14ac:dyDescent="0.25">
      <c r="A37" s="14" t="s">
        <v>56</v>
      </c>
      <c r="B37" s="6">
        <v>91852185</v>
      </c>
      <c r="C37" s="6">
        <v>116381979</v>
      </c>
      <c r="D37" s="6">
        <v>132869619</v>
      </c>
      <c r="E37" s="6">
        <v>131998810</v>
      </c>
      <c r="F37" s="15">
        <v>136432938</v>
      </c>
    </row>
    <row r="38" spans="1:6" x14ac:dyDescent="0.25">
      <c r="A38" s="13" t="s">
        <v>78</v>
      </c>
      <c r="B38" s="7">
        <v>90758564</v>
      </c>
      <c r="C38" s="7">
        <v>124386497</v>
      </c>
      <c r="D38" s="7">
        <v>145889817</v>
      </c>
      <c r="E38" s="7">
        <v>133758994</v>
      </c>
      <c r="F38" s="16">
        <v>134882435</v>
      </c>
    </row>
    <row r="39" spans="1:6" x14ac:dyDescent="0.25">
      <c r="A39" s="14" t="s">
        <v>32</v>
      </c>
      <c r="B39" s="6">
        <v>95778398</v>
      </c>
      <c r="C39" s="6">
        <v>120259539</v>
      </c>
      <c r="D39" s="6">
        <v>127078114</v>
      </c>
      <c r="E39" s="6">
        <v>126396956</v>
      </c>
      <c r="F39" s="15">
        <v>121792392</v>
      </c>
    </row>
    <row r="40" spans="1:6" x14ac:dyDescent="0.25">
      <c r="A40" s="13" t="s">
        <v>34</v>
      </c>
      <c r="B40" s="7">
        <v>77834420</v>
      </c>
      <c r="C40" s="7">
        <v>98337110</v>
      </c>
      <c r="D40" s="7">
        <v>115291040</v>
      </c>
      <c r="E40" s="7">
        <v>113486253</v>
      </c>
      <c r="F40" s="16">
        <v>115997232</v>
      </c>
    </row>
    <row r="41" spans="1:6" x14ac:dyDescent="0.25">
      <c r="A41" s="14" t="s">
        <v>75</v>
      </c>
      <c r="B41" s="6">
        <v>84112732</v>
      </c>
      <c r="C41" s="6">
        <v>104037546</v>
      </c>
      <c r="D41" s="6">
        <v>112651398</v>
      </c>
      <c r="E41" s="6">
        <v>113612391</v>
      </c>
      <c r="F41" s="15">
        <v>112964408</v>
      </c>
    </row>
    <row r="42" spans="1:6" x14ac:dyDescent="0.25">
      <c r="A42" s="13" t="s">
        <v>46</v>
      </c>
      <c r="B42" s="7">
        <v>68704670</v>
      </c>
      <c r="C42" s="7">
        <v>93614253</v>
      </c>
      <c r="D42" s="7">
        <v>111878211</v>
      </c>
      <c r="E42" s="7">
        <v>107264215</v>
      </c>
      <c r="F42" s="16">
        <v>101243957</v>
      </c>
    </row>
    <row r="43" spans="1:6" x14ac:dyDescent="0.25">
      <c r="A43" s="14" t="s">
        <v>52</v>
      </c>
      <c r="B43" s="6">
        <v>81320407</v>
      </c>
      <c r="C43" s="6">
        <v>98636184</v>
      </c>
      <c r="D43" s="6">
        <v>107268574</v>
      </c>
      <c r="E43" s="6">
        <v>96972068</v>
      </c>
      <c r="F43" s="15">
        <v>98730037</v>
      </c>
    </row>
    <row r="44" spans="1:6" x14ac:dyDescent="0.25">
      <c r="A44" s="13" t="s">
        <v>18</v>
      </c>
      <c r="B44" s="7">
        <v>69260696</v>
      </c>
      <c r="C44" s="7">
        <v>92158602</v>
      </c>
      <c r="D44" s="7">
        <v>107757786</v>
      </c>
      <c r="E44" s="7">
        <v>83163005</v>
      </c>
      <c r="F44" s="16">
        <v>91537567</v>
      </c>
    </row>
    <row r="45" spans="1:6" x14ac:dyDescent="0.25">
      <c r="A45" s="14" t="s">
        <v>27</v>
      </c>
      <c r="B45" s="6">
        <v>55533638</v>
      </c>
      <c r="C45" s="6">
        <v>77285028</v>
      </c>
      <c r="D45" s="6">
        <v>97970296</v>
      </c>
      <c r="E45" s="6">
        <v>88606156</v>
      </c>
      <c r="F45" s="15">
        <v>89273160</v>
      </c>
    </row>
    <row r="46" spans="1:6" x14ac:dyDescent="0.25">
      <c r="A46" s="13" t="s">
        <v>29</v>
      </c>
      <c r="B46" s="7">
        <v>42128767</v>
      </c>
      <c r="C46" s="7">
        <v>57733941</v>
      </c>
      <c r="D46" s="7">
        <v>69930680</v>
      </c>
      <c r="E46" s="7">
        <v>71694473</v>
      </c>
      <c r="F46" s="16">
        <v>84328690</v>
      </c>
    </row>
    <row r="47" spans="1:6" x14ac:dyDescent="0.25">
      <c r="A47" s="14" t="s">
        <v>57</v>
      </c>
      <c r="B47" s="6">
        <v>68266522</v>
      </c>
      <c r="C47" s="6">
        <v>86263574</v>
      </c>
      <c r="D47" s="6">
        <v>97374453</v>
      </c>
      <c r="E47" s="6">
        <v>83093615</v>
      </c>
      <c r="F47" s="15">
        <v>80413668</v>
      </c>
    </row>
    <row r="48" spans="1:6" x14ac:dyDescent="0.25">
      <c r="A48" s="13" t="s">
        <v>22</v>
      </c>
      <c r="B48" s="7">
        <v>61395860</v>
      </c>
      <c r="C48" s="7">
        <v>95168654</v>
      </c>
      <c r="D48" s="7">
        <v>109265861</v>
      </c>
      <c r="E48" s="7">
        <v>80492407</v>
      </c>
      <c r="F48" s="16">
        <v>79688269</v>
      </c>
    </row>
    <row r="49" spans="1:6" x14ac:dyDescent="0.25">
      <c r="A49" s="14" t="s">
        <v>80</v>
      </c>
      <c r="B49" s="6">
        <v>70436789</v>
      </c>
      <c r="C49" s="6">
        <v>89206205</v>
      </c>
      <c r="D49" s="6">
        <v>96188946</v>
      </c>
      <c r="E49" s="6">
        <v>83158878</v>
      </c>
      <c r="F49" s="9">
        <v>77643169</v>
      </c>
    </row>
    <row r="50" spans="1:6" x14ac:dyDescent="0.25">
      <c r="A50" s="13" t="s">
        <v>60</v>
      </c>
      <c r="B50" s="7">
        <v>54335684</v>
      </c>
      <c r="C50" s="7">
        <v>72842535</v>
      </c>
      <c r="D50" s="7">
        <v>55224068</v>
      </c>
      <c r="E50" s="7">
        <v>63561928</v>
      </c>
      <c r="F50" s="16">
        <v>70495616</v>
      </c>
    </row>
    <row r="51" spans="1:6" x14ac:dyDescent="0.25">
      <c r="A51" s="14" t="s">
        <v>41</v>
      </c>
      <c r="B51" s="6">
        <v>43488662</v>
      </c>
      <c r="C51" s="6">
        <v>61101362</v>
      </c>
      <c r="D51" s="6">
        <v>77413351</v>
      </c>
      <c r="E51" s="6">
        <v>62796636</v>
      </c>
      <c r="F51" s="15">
        <v>64104684</v>
      </c>
    </row>
    <row r="52" spans="1:6" x14ac:dyDescent="0.25">
      <c r="A52" s="13" t="s">
        <v>160</v>
      </c>
      <c r="B52" s="8">
        <v>50703718</v>
      </c>
      <c r="C52" s="8">
        <v>78305242</v>
      </c>
      <c r="D52" s="8">
        <v>88344267</v>
      </c>
      <c r="E52" s="8">
        <v>70599072</v>
      </c>
      <c r="F52" s="8">
        <v>63526663</v>
      </c>
    </row>
    <row r="53" spans="1:6" x14ac:dyDescent="0.25">
      <c r="A53" s="14" t="s">
        <v>44</v>
      </c>
      <c r="B53" s="6">
        <v>44518195</v>
      </c>
      <c r="C53" s="6">
        <v>58667257</v>
      </c>
      <c r="D53" s="6">
        <v>72832659</v>
      </c>
      <c r="E53" s="6">
        <v>70671817</v>
      </c>
      <c r="F53" s="9">
        <v>62338226</v>
      </c>
    </row>
    <row r="54" spans="1:6" x14ac:dyDescent="0.25">
      <c r="A54" s="13" t="s">
        <v>33</v>
      </c>
      <c r="B54" s="7">
        <v>42355637</v>
      </c>
      <c r="C54" s="7">
        <v>63183753</v>
      </c>
      <c r="D54" s="7">
        <v>76162545</v>
      </c>
      <c r="E54" s="7">
        <v>73713616</v>
      </c>
      <c r="F54" s="16">
        <v>60821974</v>
      </c>
    </row>
    <row r="55" spans="1:6" x14ac:dyDescent="0.25">
      <c r="A55" s="14" t="s">
        <v>85</v>
      </c>
      <c r="B55" s="6">
        <v>38081411</v>
      </c>
      <c r="C55" s="6">
        <v>41415435</v>
      </c>
      <c r="D55" s="6">
        <v>30952133</v>
      </c>
      <c r="E55" s="6">
        <v>61160501</v>
      </c>
      <c r="F55" s="15">
        <v>59787311</v>
      </c>
    </row>
    <row r="56" spans="1:6" x14ac:dyDescent="0.25">
      <c r="A56" s="13" t="s">
        <v>165</v>
      </c>
      <c r="B56" s="7">
        <v>45841651</v>
      </c>
      <c r="C56" s="7">
        <v>73106624</v>
      </c>
      <c r="D56" s="7">
        <v>71104684</v>
      </c>
      <c r="E56" s="7">
        <v>50362541</v>
      </c>
      <c r="F56" s="16">
        <v>56522668</v>
      </c>
    </row>
    <row r="57" spans="1:6" x14ac:dyDescent="0.25">
      <c r="A57" s="14" t="s">
        <v>101</v>
      </c>
      <c r="B57" s="6">
        <v>19955151</v>
      </c>
      <c r="C57" s="6">
        <v>23724275</v>
      </c>
      <c r="D57" s="6">
        <v>28264000</v>
      </c>
      <c r="E57" s="6">
        <v>36660334</v>
      </c>
      <c r="F57" s="15">
        <v>55524325</v>
      </c>
    </row>
    <row r="58" spans="1:6" x14ac:dyDescent="0.25">
      <c r="A58" s="13" t="s">
        <v>92</v>
      </c>
      <c r="B58" s="7">
        <v>36064092</v>
      </c>
      <c r="C58" s="7">
        <v>51177743</v>
      </c>
      <c r="D58" s="7">
        <v>60318941</v>
      </c>
      <c r="E58" s="7">
        <v>52273093</v>
      </c>
      <c r="F58" s="16">
        <v>55026567</v>
      </c>
    </row>
    <row r="59" spans="1:6" x14ac:dyDescent="0.25">
      <c r="A59" s="14" t="s">
        <v>36</v>
      </c>
      <c r="B59" s="6">
        <v>34978940</v>
      </c>
      <c r="C59" s="6">
        <v>46309122</v>
      </c>
      <c r="D59" s="6">
        <v>58148475</v>
      </c>
      <c r="E59" s="6">
        <v>53657409</v>
      </c>
      <c r="F59" s="15">
        <v>53813484</v>
      </c>
    </row>
    <row r="60" spans="1:6" x14ac:dyDescent="0.25">
      <c r="A60" s="13" t="s">
        <v>102</v>
      </c>
      <c r="B60" s="8">
        <v>52438672</v>
      </c>
      <c r="C60" s="8">
        <v>61032085</v>
      </c>
      <c r="D60" s="8">
        <v>76263662</v>
      </c>
      <c r="E60" s="8">
        <v>85112409</v>
      </c>
      <c r="F60" s="8">
        <v>50646896</v>
      </c>
    </row>
    <row r="61" spans="1:6" ht="34.5" x14ac:dyDescent="0.25">
      <c r="A61" s="14" t="s">
        <v>98</v>
      </c>
      <c r="B61" s="9">
        <v>19663868</v>
      </c>
      <c r="C61" s="9">
        <v>23839731</v>
      </c>
      <c r="D61" s="9">
        <v>51612558</v>
      </c>
      <c r="E61" s="9">
        <v>50655550</v>
      </c>
      <c r="F61" s="9">
        <v>50326161</v>
      </c>
    </row>
    <row r="62" spans="1:6" x14ac:dyDescent="0.25">
      <c r="A62" s="13" t="s">
        <v>130</v>
      </c>
      <c r="B62" s="7">
        <v>53010001</v>
      </c>
      <c r="C62" s="7">
        <v>52441679</v>
      </c>
      <c r="D62" s="7">
        <v>60487524</v>
      </c>
      <c r="E62" s="7">
        <v>60575070</v>
      </c>
      <c r="F62" s="8">
        <v>47195990</v>
      </c>
    </row>
    <row r="63" spans="1:6" ht="23.25" x14ac:dyDescent="0.25">
      <c r="A63" s="14" t="s">
        <v>42</v>
      </c>
      <c r="B63" s="6">
        <v>37055600</v>
      </c>
      <c r="C63" s="6">
        <v>49589283</v>
      </c>
      <c r="D63" s="6">
        <v>54676139</v>
      </c>
      <c r="E63" s="6">
        <v>49958477</v>
      </c>
      <c r="F63" s="15">
        <v>46889500</v>
      </c>
    </row>
    <row r="64" spans="1:6" x14ac:dyDescent="0.25">
      <c r="A64" s="13" t="s">
        <v>55</v>
      </c>
      <c r="B64" s="7">
        <v>26794587</v>
      </c>
      <c r="C64" s="7">
        <v>34594841</v>
      </c>
      <c r="D64" s="7">
        <v>44790266</v>
      </c>
      <c r="E64" s="7">
        <v>43463068</v>
      </c>
      <c r="F64" s="16">
        <v>45864363</v>
      </c>
    </row>
    <row r="65" spans="1:6" x14ac:dyDescent="0.25">
      <c r="A65" s="14" t="s">
        <v>62</v>
      </c>
      <c r="B65" s="6">
        <v>33313761</v>
      </c>
      <c r="C65" s="6">
        <v>44476453</v>
      </c>
      <c r="D65" s="6">
        <v>55110148</v>
      </c>
      <c r="E65" s="6">
        <v>48418283</v>
      </c>
      <c r="F65" s="15">
        <v>44757934</v>
      </c>
    </row>
    <row r="66" spans="1:6" x14ac:dyDescent="0.25">
      <c r="A66" s="13" t="s">
        <v>83</v>
      </c>
      <c r="B66" s="8">
        <v>34900772</v>
      </c>
      <c r="C66" s="8">
        <v>37496398</v>
      </c>
      <c r="D66" s="8">
        <v>36055268</v>
      </c>
      <c r="E66" s="8">
        <v>41626798</v>
      </c>
      <c r="F66" s="8">
        <v>42622122</v>
      </c>
    </row>
    <row r="67" spans="1:6" x14ac:dyDescent="0.25">
      <c r="A67" s="14" t="s">
        <v>31</v>
      </c>
      <c r="B67" s="6">
        <v>26154982</v>
      </c>
      <c r="C67" s="6">
        <v>33793017</v>
      </c>
      <c r="D67" s="6">
        <v>39756632</v>
      </c>
      <c r="E67" s="6">
        <v>39644484</v>
      </c>
      <c r="F67" s="15">
        <v>42112733</v>
      </c>
    </row>
    <row r="68" spans="1:6" ht="23.25" x14ac:dyDescent="0.25">
      <c r="A68" s="13" t="s">
        <v>47</v>
      </c>
      <c r="B68" s="7">
        <v>18537603</v>
      </c>
      <c r="C68" s="7">
        <v>26942694</v>
      </c>
      <c r="D68" s="7">
        <v>29990014</v>
      </c>
      <c r="E68" s="7">
        <v>31356398</v>
      </c>
      <c r="F68" s="16">
        <v>32702358</v>
      </c>
    </row>
    <row r="69" spans="1:6" x14ac:dyDescent="0.25">
      <c r="A69" s="14" t="s">
        <v>59</v>
      </c>
      <c r="B69" s="6">
        <v>18206520</v>
      </c>
      <c r="C69" s="6">
        <v>26605961</v>
      </c>
      <c r="D69" s="6">
        <v>32123685</v>
      </c>
      <c r="E69" s="6">
        <v>30318004</v>
      </c>
      <c r="F69" s="15">
        <v>32488859</v>
      </c>
    </row>
    <row r="70" spans="1:6" x14ac:dyDescent="0.25">
      <c r="A70" s="13" t="s">
        <v>70</v>
      </c>
      <c r="B70" s="7">
        <v>25834886</v>
      </c>
      <c r="C70" s="7">
        <v>27985403</v>
      </c>
      <c r="D70" s="7">
        <v>33479012</v>
      </c>
      <c r="E70" s="7">
        <v>31431141</v>
      </c>
      <c r="F70" s="8">
        <v>31124259</v>
      </c>
    </row>
    <row r="71" spans="1:6" x14ac:dyDescent="0.25">
      <c r="A71" s="14" t="s">
        <v>73</v>
      </c>
      <c r="B71" s="6">
        <v>17803362</v>
      </c>
      <c r="C71" s="6">
        <v>25719892</v>
      </c>
      <c r="D71" s="6">
        <v>33048924</v>
      </c>
      <c r="E71" s="6">
        <v>30895681</v>
      </c>
      <c r="F71" s="15">
        <v>29489612</v>
      </c>
    </row>
    <row r="72" spans="1:6" x14ac:dyDescent="0.25">
      <c r="A72" s="13" t="s">
        <v>154</v>
      </c>
      <c r="B72" s="7">
        <v>1186080</v>
      </c>
      <c r="C72" s="7">
        <v>1701154</v>
      </c>
      <c r="D72" s="7">
        <v>1920653</v>
      </c>
      <c r="E72" s="7">
        <v>2166707</v>
      </c>
      <c r="F72" s="8">
        <v>29130140</v>
      </c>
    </row>
    <row r="73" spans="1:6" x14ac:dyDescent="0.25">
      <c r="A73" s="14" t="s">
        <v>164</v>
      </c>
      <c r="B73" s="6">
        <v>19296193</v>
      </c>
      <c r="C73" s="6">
        <v>28702890</v>
      </c>
      <c r="D73" s="6">
        <v>29941602</v>
      </c>
      <c r="E73" s="6">
        <v>24407102</v>
      </c>
      <c r="F73" s="15">
        <v>28710505</v>
      </c>
    </row>
    <row r="74" spans="1:6" x14ac:dyDescent="0.25">
      <c r="A74" s="13" t="s">
        <v>134</v>
      </c>
      <c r="B74" s="7">
        <v>3684109</v>
      </c>
      <c r="C74" s="7">
        <v>5570126</v>
      </c>
      <c r="D74" s="7">
        <v>9802959</v>
      </c>
      <c r="E74" s="7">
        <v>12350402</v>
      </c>
      <c r="F74" s="8">
        <v>28576029</v>
      </c>
    </row>
    <row r="75" spans="1:6" x14ac:dyDescent="0.25">
      <c r="A75" s="14" t="s">
        <v>105</v>
      </c>
      <c r="B75" s="6">
        <v>28507456</v>
      </c>
      <c r="C75" s="6">
        <v>30994759</v>
      </c>
      <c r="D75" s="6">
        <v>38573002</v>
      </c>
      <c r="E75" s="6">
        <v>38775377</v>
      </c>
      <c r="F75" s="9">
        <v>28248929</v>
      </c>
    </row>
    <row r="76" spans="1:6" x14ac:dyDescent="0.25">
      <c r="A76" s="13" t="s">
        <v>51</v>
      </c>
      <c r="B76" s="7">
        <v>14739520</v>
      </c>
      <c r="C76" s="7">
        <v>20595840</v>
      </c>
      <c r="D76" s="7">
        <v>29249346</v>
      </c>
      <c r="E76" s="7">
        <v>34284541</v>
      </c>
      <c r="F76" s="16">
        <v>26686634</v>
      </c>
    </row>
    <row r="77" spans="1:6" ht="23.25" x14ac:dyDescent="0.25">
      <c r="A77" s="14" t="s">
        <v>64</v>
      </c>
      <c r="B77" s="6">
        <v>21118675</v>
      </c>
      <c r="C77" s="6">
        <v>26211169</v>
      </c>
      <c r="D77" s="6">
        <v>27042857</v>
      </c>
      <c r="E77" s="6">
        <v>26308584</v>
      </c>
      <c r="F77" s="15">
        <v>25101182</v>
      </c>
    </row>
    <row r="78" spans="1:6" x14ac:dyDescent="0.25">
      <c r="A78" s="13" t="s">
        <v>65</v>
      </c>
      <c r="B78" s="7">
        <v>27735027</v>
      </c>
      <c r="C78" s="7">
        <v>31888107</v>
      </c>
      <c r="D78" s="7">
        <v>35033785</v>
      </c>
      <c r="E78" s="7">
        <v>37493120</v>
      </c>
      <c r="F78" s="8">
        <v>24490601</v>
      </c>
    </row>
    <row r="79" spans="1:6" x14ac:dyDescent="0.25">
      <c r="A79" s="14" t="s">
        <v>50</v>
      </c>
      <c r="B79" s="6">
        <v>14456986</v>
      </c>
      <c r="C79" s="6">
        <v>18430776</v>
      </c>
      <c r="D79" s="6">
        <v>21143801</v>
      </c>
      <c r="E79" s="6">
        <v>22515896</v>
      </c>
      <c r="F79" s="15">
        <v>23683764</v>
      </c>
    </row>
    <row r="80" spans="1:6" x14ac:dyDescent="0.25">
      <c r="A80" s="13" t="s">
        <v>84</v>
      </c>
      <c r="B80" s="7">
        <v>17315082</v>
      </c>
      <c r="C80" s="7">
        <v>23085528</v>
      </c>
      <c r="D80" s="7">
        <v>27901013</v>
      </c>
      <c r="E80" s="7">
        <v>25307970</v>
      </c>
      <c r="F80" s="16">
        <v>23466752</v>
      </c>
    </row>
    <row r="81" spans="1:6" ht="34.5" x14ac:dyDescent="0.25">
      <c r="A81" s="14" t="s">
        <v>79</v>
      </c>
      <c r="B81" s="6">
        <v>38911684</v>
      </c>
      <c r="C81" s="6">
        <v>48986643</v>
      </c>
      <c r="D81" s="6">
        <v>58922123</v>
      </c>
      <c r="E81" s="6">
        <v>65555454</v>
      </c>
      <c r="F81" s="9">
        <v>23150950</v>
      </c>
    </row>
    <row r="82" spans="1:6" x14ac:dyDescent="0.25">
      <c r="A82" s="13" t="s">
        <v>63</v>
      </c>
      <c r="B82" s="7">
        <v>17764140</v>
      </c>
      <c r="C82" s="7">
        <v>24203349</v>
      </c>
      <c r="D82" s="7">
        <v>27535703</v>
      </c>
      <c r="E82" s="7">
        <v>23437466</v>
      </c>
      <c r="F82" s="16">
        <v>22671636</v>
      </c>
    </row>
    <row r="83" spans="1:6" x14ac:dyDescent="0.25">
      <c r="A83" s="14" t="s">
        <v>100</v>
      </c>
      <c r="B83" s="6">
        <v>17006883</v>
      </c>
      <c r="C83" s="6">
        <v>21542435</v>
      </c>
      <c r="D83" s="6">
        <v>27364057</v>
      </c>
      <c r="E83" s="6">
        <v>25707802</v>
      </c>
      <c r="F83" s="9">
        <v>21752039</v>
      </c>
    </row>
    <row r="84" spans="1:6" x14ac:dyDescent="0.25">
      <c r="A84" s="13" t="s">
        <v>93</v>
      </c>
      <c r="B84" s="7">
        <v>15459448</v>
      </c>
      <c r="C84" s="7">
        <v>18675855</v>
      </c>
      <c r="D84" s="7">
        <v>15534503</v>
      </c>
      <c r="E84" s="7">
        <v>15354370</v>
      </c>
      <c r="F84" s="8">
        <v>21297031</v>
      </c>
    </row>
    <row r="85" spans="1:6" x14ac:dyDescent="0.25">
      <c r="A85" s="14" t="s">
        <v>107</v>
      </c>
      <c r="B85" s="6">
        <v>10732039</v>
      </c>
      <c r="C85" s="6">
        <v>11705787</v>
      </c>
      <c r="D85" s="6">
        <v>14539859</v>
      </c>
      <c r="E85" s="6">
        <v>17285345</v>
      </c>
      <c r="F85" s="15">
        <v>21058044</v>
      </c>
    </row>
    <row r="86" spans="1:6" x14ac:dyDescent="0.25">
      <c r="A86" s="13" t="s">
        <v>109</v>
      </c>
      <c r="B86" s="7">
        <v>15415397</v>
      </c>
      <c r="C86" s="7">
        <v>19288258</v>
      </c>
      <c r="D86" s="7">
        <v>21127751</v>
      </c>
      <c r="E86" s="7">
        <v>18705398</v>
      </c>
      <c r="F86" s="16">
        <v>20203122</v>
      </c>
    </row>
    <row r="87" spans="1:6" x14ac:dyDescent="0.25">
      <c r="A87" s="14" t="s">
        <v>110</v>
      </c>
      <c r="B87" s="6">
        <v>18412051</v>
      </c>
      <c r="C87" s="6">
        <v>21811968</v>
      </c>
      <c r="D87" s="6">
        <v>26672667</v>
      </c>
      <c r="E87" s="6">
        <v>25930494</v>
      </c>
      <c r="F87" s="9">
        <v>20040234</v>
      </c>
    </row>
    <row r="88" spans="1:6" x14ac:dyDescent="0.25">
      <c r="A88" s="13" t="s">
        <v>137</v>
      </c>
      <c r="B88" s="7"/>
      <c r="C88" s="7">
        <v>17848192</v>
      </c>
      <c r="D88" s="7">
        <v>17962660</v>
      </c>
      <c r="E88" s="7">
        <v>16394368</v>
      </c>
      <c r="F88" s="8">
        <v>19984601</v>
      </c>
    </row>
    <row r="89" spans="1:6" ht="34.5" x14ac:dyDescent="0.25">
      <c r="A89" s="14" t="s">
        <v>144</v>
      </c>
      <c r="B89" s="6">
        <v>8477673</v>
      </c>
      <c r="C89" s="6">
        <v>10873264</v>
      </c>
      <c r="D89" s="6">
        <v>15654447</v>
      </c>
      <c r="E89" s="6">
        <v>15117482</v>
      </c>
      <c r="F89" s="9">
        <v>19382446</v>
      </c>
    </row>
    <row r="90" spans="1:6" x14ac:dyDescent="0.25">
      <c r="A90" s="13" t="s">
        <v>125</v>
      </c>
      <c r="B90" s="7">
        <v>15607090</v>
      </c>
      <c r="C90" s="7">
        <v>21501894</v>
      </c>
      <c r="D90" s="7">
        <v>17300557</v>
      </c>
      <c r="E90" s="7">
        <v>16298240</v>
      </c>
      <c r="F90" s="16">
        <v>18604913</v>
      </c>
    </row>
    <row r="91" spans="1:6" ht="23.25" x14ac:dyDescent="0.25">
      <c r="A91" s="14" t="s">
        <v>118</v>
      </c>
      <c r="B91" s="9">
        <v>12487628</v>
      </c>
      <c r="C91" s="9">
        <v>18010707</v>
      </c>
      <c r="D91" s="9">
        <v>19948111</v>
      </c>
      <c r="E91" s="9">
        <v>23270982</v>
      </c>
      <c r="F91" s="9">
        <v>18339326</v>
      </c>
    </row>
    <row r="92" spans="1:6" ht="23.25" x14ac:dyDescent="0.25">
      <c r="A92" s="13" t="s">
        <v>188</v>
      </c>
      <c r="B92" s="8">
        <v>14956197</v>
      </c>
      <c r="C92" s="8">
        <v>14244579</v>
      </c>
      <c r="D92" s="8">
        <v>16626738</v>
      </c>
      <c r="E92" s="8">
        <v>18202725</v>
      </c>
      <c r="F92" s="8">
        <v>17389904</v>
      </c>
    </row>
    <row r="93" spans="1:6" ht="23.25" x14ac:dyDescent="0.25">
      <c r="A93" s="14" t="s">
        <v>120</v>
      </c>
      <c r="B93" s="6">
        <v>10532202</v>
      </c>
      <c r="C93" s="6">
        <v>13998346</v>
      </c>
      <c r="D93" s="6">
        <v>17972135</v>
      </c>
      <c r="E93" s="6">
        <v>18834793</v>
      </c>
      <c r="F93" s="15">
        <v>17219303</v>
      </c>
    </row>
    <row r="94" spans="1:6" x14ac:dyDescent="0.25">
      <c r="A94" s="13" t="s">
        <v>82</v>
      </c>
      <c r="B94" s="7">
        <v>4547329</v>
      </c>
      <c r="C94" s="7">
        <v>5324762</v>
      </c>
      <c r="D94" s="7">
        <v>8635543</v>
      </c>
      <c r="E94" s="7">
        <v>12021705</v>
      </c>
      <c r="F94" s="16">
        <v>16807771</v>
      </c>
    </row>
    <row r="95" spans="1:6" x14ac:dyDescent="0.25">
      <c r="A95" s="14" t="s">
        <v>173</v>
      </c>
      <c r="B95" s="6">
        <v>32767433</v>
      </c>
      <c r="C95" s="6">
        <v>41810690</v>
      </c>
      <c r="D95" s="9">
        <v>12670093</v>
      </c>
      <c r="E95" s="9">
        <v>18041351</v>
      </c>
      <c r="F95" s="9">
        <v>16777544</v>
      </c>
    </row>
    <row r="96" spans="1:6" x14ac:dyDescent="0.25">
      <c r="A96" s="13" t="s">
        <v>132</v>
      </c>
      <c r="B96" s="7">
        <v>10217078</v>
      </c>
      <c r="C96" s="7">
        <v>13559729</v>
      </c>
      <c r="D96" s="7">
        <v>15879593</v>
      </c>
      <c r="E96" s="7">
        <v>16134396</v>
      </c>
      <c r="F96" s="16">
        <v>16563002</v>
      </c>
    </row>
    <row r="97" spans="1:6" x14ac:dyDescent="0.25">
      <c r="A97" s="14" t="s">
        <v>76</v>
      </c>
      <c r="B97" s="6">
        <v>9887885</v>
      </c>
      <c r="C97" s="6">
        <v>14617423</v>
      </c>
      <c r="D97" s="6">
        <v>17108010</v>
      </c>
      <c r="E97" s="6">
        <v>15648327</v>
      </c>
      <c r="F97" s="15">
        <v>15972638</v>
      </c>
    </row>
    <row r="98" spans="1:6" ht="34.5" x14ac:dyDescent="0.25">
      <c r="A98" s="13" t="s">
        <v>89</v>
      </c>
      <c r="B98" s="7">
        <v>9867992</v>
      </c>
      <c r="C98" s="7">
        <v>13030086</v>
      </c>
      <c r="D98" s="7">
        <v>15382424</v>
      </c>
      <c r="E98" s="7">
        <v>15348896</v>
      </c>
      <c r="F98" s="16">
        <v>15853280</v>
      </c>
    </row>
    <row r="99" spans="1:6" ht="45.75" x14ac:dyDescent="0.25">
      <c r="A99" s="14" t="s">
        <v>72</v>
      </c>
      <c r="B99" s="9">
        <v>6990079</v>
      </c>
      <c r="C99" s="9">
        <v>8405066</v>
      </c>
      <c r="D99" s="9">
        <v>11203420</v>
      </c>
      <c r="E99" s="9">
        <v>11598278</v>
      </c>
      <c r="F99" s="9">
        <v>15068273</v>
      </c>
    </row>
    <row r="100" spans="1:6" ht="23.25" x14ac:dyDescent="0.25">
      <c r="A100" s="13" t="s">
        <v>97</v>
      </c>
      <c r="B100" s="7">
        <v>11950497</v>
      </c>
      <c r="C100" s="7">
        <v>19346655</v>
      </c>
      <c r="D100" s="7">
        <v>17430546</v>
      </c>
      <c r="E100" s="7">
        <v>17560701</v>
      </c>
      <c r="F100" s="8">
        <v>14614151</v>
      </c>
    </row>
    <row r="101" spans="1:6" x14ac:dyDescent="0.25">
      <c r="A101" s="14" t="s">
        <v>69</v>
      </c>
      <c r="B101" s="6">
        <v>7971839</v>
      </c>
      <c r="C101" s="6">
        <v>11631003</v>
      </c>
      <c r="D101" s="6">
        <v>13826669</v>
      </c>
      <c r="E101" s="6">
        <v>14380540</v>
      </c>
      <c r="F101" s="15">
        <v>14508560</v>
      </c>
    </row>
    <row r="102" spans="1:6" x14ac:dyDescent="0.25">
      <c r="A102" s="13" t="s">
        <v>74</v>
      </c>
      <c r="B102" s="7">
        <v>8739614</v>
      </c>
      <c r="C102" s="7">
        <v>10412605</v>
      </c>
      <c r="D102" s="7">
        <v>12244599</v>
      </c>
      <c r="E102" s="7">
        <v>14136161</v>
      </c>
      <c r="F102" s="16">
        <v>13324465</v>
      </c>
    </row>
    <row r="103" spans="1:6" x14ac:dyDescent="0.25">
      <c r="A103" s="14" t="s">
        <v>115</v>
      </c>
      <c r="B103" s="6">
        <v>7820339</v>
      </c>
      <c r="C103" s="6">
        <v>8285456</v>
      </c>
      <c r="D103" s="6">
        <v>12129313</v>
      </c>
      <c r="E103" s="6">
        <v>11877493</v>
      </c>
      <c r="F103" s="9">
        <v>13278219</v>
      </c>
    </row>
    <row r="104" spans="1:6" x14ac:dyDescent="0.25">
      <c r="A104" s="13" t="s">
        <v>87</v>
      </c>
      <c r="B104" s="7">
        <v>6143458</v>
      </c>
      <c r="C104" s="7">
        <v>7697303</v>
      </c>
      <c r="D104" s="7">
        <v>10038186</v>
      </c>
      <c r="E104" s="7">
        <v>10982642</v>
      </c>
      <c r="F104" s="16">
        <v>13072085</v>
      </c>
    </row>
    <row r="105" spans="1:6" x14ac:dyDescent="0.25">
      <c r="A105" s="14" t="s">
        <v>61</v>
      </c>
      <c r="B105" s="6">
        <v>11354653</v>
      </c>
      <c r="C105" s="6">
        <v>13856704</v>
      </c>
      <c r="D105" s="6">
        <v>19053292</v>
      </c>
      <c r="E105" s="6">
        <v>18122412</v>
      </c>
      <c r="F105" s="9">
        <v>12852475</v>
      </c>
    </row>
    <row r="106" spans="1:6" x14ac:dyDescent="0.25">
      <c r="A106" s="13" t="s">
        <v>66</v>
      </c>
      <c r="B106" s="7">
        <v>7667928</v>
      </c>
      <c r="C106" s="7">
        <v>10320440</v>
      </c>
      <c r="D106" s="7">
        <v>12973465</v>
      </c>
      <c r="E106" s="7">
        <v>12486206</v>
      </c>
      <c r="F106" s="16">
        <v>12522742</v>
      </c>
    </row>
    <row r="107" spans="1:6" x14ac:dyDescent="0.25">
      <c r="A107" s="14" t="s">
        <v>162</v>
      </c>
      <c r="B107" s="6">
        <v>17968641</v>
      </c>
      <c r="C107" s="6">
        <v>14326568</v>
      </c>
      <c r="D107" s="6">
        <v>17403359</v>
      </c>
      <c r="E107" s="6">
        <v>16440463</v>
      </c>
      <c r="F107" s="15">
        <v>12452129</v>
      </c>
    </row>
    <row r="108" spans="1:6" ht="23.25" x14ac:dyDescent="0.25">
      <c r="A108" s="13" t="s">
        <v>95</v>
      </c>
      <c r="B108" s="7">
        <v>8709069</v>
      </c>
      <c r="C108" s="7">
        <v>11389534</v>
      </c>
      <c r="D108" s="7">
        <v>12755184</v>
      </c>
      <c r="E108" s="7">
        <v>12052389</v>
      </c>
      <c r="F108" s="16">
        <v>11966612</v>
      </c>
    </row>
    <row r="109" spans="1:6" x14ac:dyDescent="0.25">
      <c r="A109" s="14" t="s">
        <v>112</v>
      </c>
      <c r="B109" s="6">
        <v>9340310</v>
      </c>
      <c r="C109" s="6">
        <v>11359681</v>
      </c>
      <c r="D109" s="6">
        <v>17710712</v>
      </c>
      <c r="E109" s="6">
        <v>15749426</v>
      </c>
      <c r="F109" s="9">
        <v>11908935</v>
      </c>
    </row>
    <row r="110" spans="1:6" x14ac:dyDescent="0.25">
      <c r="A110" s="13" t="s">
        <v>117</v>
      </c>
      <c r="B110" s="7">
        <v>5298771</v>
      </c>
      <c r="C110" s="7">
        <v>6848642</v>
      </c>
      <c r="D110" s="7">
        <v>8746855</v>
      </c>
      <c r="E110" s="7">
        <v>9252491</v>
      </c>
      <c r="F110" s="16">
        <v>11608376</v>
      </c>
    </row>
    <row r="111" spans="1:6" x14ac:dyDescent="0.25">
      <c r="A111" s="14" t="s">
        <v>142</v>
      </c>
      <c r="B111" s="6">
        <v>5378310</v>
      </c>
      <c r="C111" s="6">
        <v>7111525</v>
      </c>
      <c r="D111" s="6">
        <v>9048377</v>
      </c>
      <c r="E111" s="6">
        <v>10226926</v>
      </c>
      <c r="F111" s="15">
        <v>11268015</v>
      </c>
    </row>
    <row r="112" spans="1:6" ht="45.75" x14ac:dyDescent="0.25">
      <c r="A112" s="13" t="s">
        <v>127</v>
      </c>
      <c r="B112" s="7">
        <v>6938042</v>
      </c>
      <c r="C112" s="7">
        <v>11971835</v>
      </c>
      <c r="D112" s="7">
        <v>26858595</v>
      </c>
      <c r="E112" s="7">
        <v>25675561</v>
      </c>
      <c r="F112" s="8">
        <v>10747193</v>
      </c>
    </row>
    <row r="113" spans="1:6" x14ac:dyDescent="0.25">
      <c r="A113" s="14" t="s">
        <v>99</v>
      </c>
      <c r="B113" s="6">
        <v>9745446</v>
      </c>
      <c r="C113" s="6">
        <v>15792669</v>
      </c>
      <c r="D113" s="6">
        <v>13716419</v>
      </c>
      <c r="E113" s="9">
        <v>10354328</v>
      </c>
      <c r="F113" s="9">
        <v>10356044</v>
      </c>
    </row>
    <row r="114" spans="1:6" x14ac:dyDescent="0.25">
      <c r="A114" s="13" t="s">
        <v>128</v>
      </c>
      <c r="B114" s="7">
        <v>2205287</v>
      </c>
      <c r="C114" s="7">
        <v>3482606</v>
      </c>
      <c r="D114" s="7">
        <v>3757894</v>
      </c>
      <c r="E114" s="7">
        <v>4187519</v>
      </c>
      <c r="F114" s="8">
        <v>9931781</v>
      </c>
    </row>
    <row r="115" spans="1:6" ht="45.75" x14ac:dyDescent="0.25">
      <c r="A115" s="14" t="s">
        <v>77</v>
      </c>
      <c r="B115" s="6">
        <v>7079997</v>
      </c>
      <c r="C115" s="6">
        <v>9559086</v>
      </c>
      <c r="D115" s="6">
        <v>13049406</v>
      </c>
      <c r="E115" s="6">
        <v>11495579</v>
      </c>
      <c r="F115" s="15">
        <v>9904187</v>
      </c>
    </row>
    <row r="116" spans="1:6" x14ac:dyDescent="0.25">
      <c r="A116" s="13" t="s">
        <v>103</v>
      </c>
      <c r="B116" s="7">
        <v>5710976</v>
      </c>
      <c r="C116" s="7">
        <v>7841938</v>
      </c>
      <c r="D116" s="7">
        <v>9764239</v>
      </c>
      <c r="E116" s="7">
        <v>9481315</v>
      </c>
      <c r="F116" s="16">
        <v>9835158</v>
      </c>
    </row>
    <row r="117" spans="1:6" ht="45.75" x14ac:dyDescent="0.25">
      <c r="A117" s="14" t="s">
        <v>148</v>
      </c>
      <c r="B117" s="6">
        <v>5023261</v>
      </c>
      <c r="C117" s="6">
        <v>5871286</v>
      </c>
      <c r="D117" s="9">
        <v>8284932</v>
      </c>
      <c r="E117" s="9">
        <v>9155771</v>
      </c>
      <c r="F117" s="9">
        <v>9241694</v>
      </c>
    </row>
    <row r="118" spans="1:6" ht="23.25" x14ac:dyDescent="0.25">
      <c r="A118" s="13" t="s">
        <v>121</v>
      </c>
      <c r="B118" s="7">
        <v>6437597</v>
      </c>
      <c r="C118" s="7">
        <v>8622697</v>
      </c>
      <c r="D118" s="7">
        <v>14512194</v>
      </c>
      <c r="E118" s="7">
        <v>10069934</v>
      </c>
      <c r="F118" s="16">
        <v>9212662</v>
      </c>
    </row>
    <row r="119" spans="1:6" ht="34.5" x14ac:dyDescent="0.25">
      <c r="A119" s="14" t="s">
        <v>113</v>
      </c>
      <c r="B119" s="6">
        <v>5415991</v>
      </c>
      <c r="C119" s="6">
        <v>7176764</v>
      </c>
      <c r="D119" s="6">
        <v>9218982</v>
      </c>
      <c r="E119" s="6">
        <v>8673672</v>
      </c>
      <c r="F119" s="15">
        <v>9065188</v>
      </c>
    </row>
    <row r="120" spans="1:6" x14ac:dyDescent="0.25">
      <c r="A120" s="13" t="s">
        <v>94</v>
      </c>
      <c r="B120" s="7">
        <v>6545027</v>
      </c>
      <c r="C120" s="7">
        <v>10163198</v>
      </c>
      <c r="D120" s="7">
        <v>11246827</v>
      </c>
      <c r="E120" s="7">
        <v>10916351</v>
      </c>
      <c r="F120" s="8">
        <v>8949467</v>
      </c>
    </row>
    <row r="121" spans="1:6" x14ac:dyDescent="0.25">
      <c r="A121" s="14" t="s">
        <v>129</v>
      </c>
      <c r="B121" s="6">
        <v>6612697</v>
      </c>
      <c r="C121" s="6">
        <v>6445781</v>
      </c>
      <c r="D121" s="6">
        <v>7957768</v>
      </c>
      <c r="E121" s="6">
        <v>7441108</v>
      </c>
      <c r="F121" s="15">
        <v>8824992</v>
      </c>
    </row>
    <row r="122" spans="1:6" x14ac:dyDescent="0.25">
      <c r="A122" s="13" t="s">
        <v>96</v>
      </c>
      <c r="B122" s="7">
        <v>5410943</v>
      </c>
      <c r="C122" s="7">
        <v>7734905</v>
      </c>
      <c r="D122" s="7">
        <v>8407345</v>
      </c>
      <c r="E122" s="7">
        <v>8668928</v>
      </c>
      <c r="F122" s="8">
        <v>8791972</v>
      </c>
    </row>
    <row r="123" spans="1:6" x14ac:dyDescent="0.25">
      <c r="A123" s="14" t="s">
        <v>90</v>
      </c>
      <c r="B123" s="6">
        <v>5731510</v>
      </c>
      <c r="C123" s="6">
        <v>7145956</v>
      </c>
      <c r="D123" s="6">
        <v>8570977</v>
      </c>
      <c r="E123" s="6">
        <v>8394209</v>
      </c>
      <c r="F123" s="15">
        <v>8718694</v>
      </c>
    </row>
    <row r="124" spans="1:6" x14ac:dyDescent="0.25">
      <c r="A124" s="13" t="s">
        <v>189</v>
      </c>
      <c r="B124" s="8">
        <v>11257790</v>
      </c>
      <c r="C124" s="8">
        <v>12862943</v>
      </c>
      <c r="D124" s="8">
        <v>13089406</v>
      </c>
      <c r="E124" s="8">
        <v>12218107</v>
      </c>
      <c r="F124" s="8">
        <v>8587654</v>
      </c>
    </row>
    <row r="125" spans="1:6" x14ac:dyDescent="0.25">
      <c r="A125" s="14" t="s">
        <v>172</v>
      </c>
      <c r="B125" s="6">
        <v>5605920</v>
      </c>
      <c r="C125" s="6">
        <v>6984923</v>
      </c>
      <c r="D125" s="9">
        <v>8635104</v>
      </c>
      <c r="E125" s="9">
        <v>9019715</v>
      </c>
      <c r="F125" s="9">
        <v>8122516</v>
      </c>
    </row>
    <row r="126" spans="1:6" x14ac:dyDescent="0.25">
      <c r="A126" s="13" t="s">
        <v>156</v>
      </c>
      <c r="B126" s="8">
        <v>5823207</v>
      </c>
      <c r="C126" s="8">
        <v>6875818</v>
      </c>
      <c r="D126" s="8">
        <v>10326257</v>
      </c>
      <c r="E126" s="8">
        <v>9331838</v>
      </c>
      <c r="F126" s="8">
        <v>8076312</v>
      </c>
    </row>
    <row r="127" spans="1:6" x14ac:dyDescent="0.25">
      <c r="A127" s="14" t="s">
        <v>182</v>
      </c>
      <c r="B127" s="6">
        <v>14134431</v>
      </c>
      <c r="C127" s="6">
        <v>15289980</v>
      </c>
      <c r="D127" s="6">
        <v>16544493</v>
      </c>
      <c r="E127" s="6">
        <v>17036379</v>
      </c>
      <c r="F127" s="9">
        <v>7849656</v>
      </c>
    </row>
    <row r="128" spans="1:6" ht="23.25" x14ac:dyDescent="0.25">
      <c r="A128" s="13" t="s">
        <v>71</v>
      </c>
      <c r="B128" s="7">
        <v>4864446</v>
      </c>
      <c r="C128" s="7">
        <v>5734482</v>
      </c>
      <c r="D128" s="7">
        <v>6202467</v>
      </c>
      <c r="E128" s="7">
        <v>9112531</v>
      </c>
      <c r="F128" s="16">
        <v>7669566</v>
      </c>
    </row>
    <row r="129" spans="1:6" x14ac:dyDescent="0.25">
      <c r="A129" s="14" t="s">
        <v>190</v>
      </c>
      <c r="B129" s="6"/>
      <c r="C129" s="6">
        <v>3971928</v>
      </c>
      <c r="D129" s="6">
        <v>5091386</v>
      </c>
      <c r="E129" s="6">
        <v>5294944</v>
      </c>
      <c r="F129" s="9">
        <v>7535658</v>
      </c>
    </row>
    <row r="130" spans="1:6" x14ac:dyDescent="0.25">
      <c r="A130" s="13" t="s">
        <v>158</v>
      </c>
      <c r="B130" s="8">
        <v>4948620</v>
      </c>
      <c r="C130" s="8">
        <v>5489697</v>
      </c>
      <c r="D130" s="8">
        <v>6432321</v>
      </c>
      <c r="E130" s="8">
        <v>6989461</v>
      </c>
      <c r="F130" s="8">
        <v>7449895</v>
      </c>
    </row>
    <row r="131" spans="1:6" ht="23.25" x14ac:dyDescent="0.25">
      <c r="A131" s="14" t="s">
        <v>140</v>
      </c>
      <c r="B131" s="6">
        <v>5321313</v>
      </c>
      <c r="C131" s="6">
        <v>7237001</v>
      </c>
      <c r="D131" s="6">
        <v>9188938</v>
      </c>
      <c r="E131" s="6">
        <v>7488773</v>
      </c>
      <c r="F131" s="15">
        <v>7294537</v>
      </c>
    </row>
    <row r="132" spans="1:6" x14ac:dyDescent="0.25">
      <c r="A132" s="13" t="s">
        <v>86</v>
      </c>
      <c r="B132" s="7">
        <v>2486490</v>
      </c>
      <c r="C132" s="7">
        <v>4146385</v>
      </c>
      <c r="D132" s="7">
        <v>8557370</v>
      </c>
      <c r="E132" s="7">
        <v>5230066</v>
      </c>
      <c r="F132" s="16">
        <v>7210548</v>
      </c>
    </row>
    <row r="133" spans="1:6" x14ac:dyDescent="0.25">
      <c r="A133" s="14" t="s">
        <v>122</v>
      </c>
      <c r="B133" s="6">
        <v>6519859</v>
      </c>
      <c r="C133" s="6">
        <v>8405634</v>
      </c>
      <c r="D133" s="6">
        <v>8096330</v>
      </c>
      <c r="E133" s="6">
        <v>6417468</v>
      </c>
      <c r="F133" s="15">
        <v>7099523</v>
      </c>
    </row>
    <row r="134" spans="1:6" ht="23.25" x14ac:dyDescent="0.25">
      <c r="A134" s="13" t="s">
        <v>124</v>
      </c>
      <c r="B134" s="7">
        <v>1334620</v>
      </c>
      <c r="C134" s="7">
        <v>1537820</v>
      </c>
      <c r="D134" s="7">
        <v>1795761</v>
      </c>
      <c r="E134" s="7">
        <v>1831973</v>
      </c>
      <c r="F134" s="8">
        <v>7067650</v>
      </c>
    </row>
    <row r="135" spans="1:6" x14ac:dyDescent="0.25">
      <c r="A135" s="14" t="s">
        <v>91</v>
      </c>
      <c r="B135" s="6">
        <v>4241133</v>
      </c>
      <c r="C135" s="6">
        <v>5179825</v>
      </c>
      <c r="D135" s="6">
        <v>6610753</v>
      </c>
      <c r="E135" s="6">
        <v>6304368</v>
      </c>
      <c r="F135" s="15">
        <v>6801692</v>
      </c>
    </row>
    <row r="136" spans="1:6" x14ac:dyDescent="0.25">
      <c r="A136" s="13" t="s">
        <v>67</v>
      </c>
      <c r="B136" s="7">
        <v>4765479</v>
      </c>
      <c r="C136" s="7">
        <v>5970850</v>
      </c>
      <c r="D136" s="7">
        <v>7731214</v>
      </c>
      <c r="E136" s="7">
        <v>7592061</v>
      </c>
      <c r="F136" s="8">
        <v>6596382</v>
      </c>
    </row>
    <row r="137" spans="1:6" x14ac:dyDescent="0.25">
      <c r="A137" s="14" t="s">
        <v>185</v>
      </c>
      <c r="B137" s="6">
        <v>5643095</v>
      </c>
      <c r="C137" s="6">
        <v>7577619</v>
      </c>
      <c r="D137" s="6">
        <v>8603710</v>
      </c>
      <c r="E137" s="6">
        <v>9201594</v>
      </c>
      <c r="F137" s="9">
        <v>6530844</v>
      </c>
    </row>
    <row r="138" spans="1:6" x14ac:dyDescent="0.25">
      <c r="A138" s="13" t="s">
        <v>184</v>
      </c>
      <c r="B138" s="7">
        <v>3139016</v>
      </c>
      <c r="C138" s="7">
        <v>4217793</v>
      </c>
      <c r="D138" s="7">
        <v>5182866</v>
      </c>
      <c r="E138" s="7">
        <v>5704363</v>
      </c>
      <c r="F138" s="8">
        <v>6465425</v>
      </c>
    </row>
    <row r="139" spans="1:6" ht="23.25" x14ac:dyDescent="0.25">
      <c r="A139" s="14" t="s">
        <v>191</v>
      </c>
      <c r="B139" s="6">
        <v>4185567</v>
      </c>
      <c r="C139" s="6">
        <v>4713617</v>
      </c>
      <c r="D139" s="6">
        <v>5631816</v>
      </c>
      <c r="E139" s="6">
        <v>5892915</v>
      </c>
      <c r="F139" s="15">
        <v>6430178</v>
      </c>
    </row>
    <row r="140" spans="1:6" x14ac:dyDescent="0.25">
      <c r="A140" s="13" t="s">
        <v>175</v>
      </c>
      <c r="B140" s="8">
        <v>8795009</v>
      </c>
      <c r="C140" s="8">
        <v>7325522</v>
      </c>
      <c r="D140" s="8">
        <v>7501550</v>
      </c>
      <c r="E140" s="8">
        <v>8711906</v>
      </c>
      <c r="F140" s="8">
        <v>6159337</v>
      </c>
    </row>
    <row r="141" spans="1:6" ht="34.5" x14ac:dyDescent="0.25">
      <c r="A141" s="14" t="s">
        <v>131</v>
      </c>
      <c r="B141" s="6">
        <v>4087226</v>
      </c>
      <c r="C141" s="6">
        <v>4502304</v>
      </c>
      <c r="D141" s="6">
        <v>5820621</v>
      </c>
      <c r="E141" s="6">
        <v>6175200</v>
      </c>
      <c r="F141" s="9">
        <v>5634228</v>
      </c>
    </row>
    <row r="142" spans="1:6" x14ac:dyDescent="0.25">
      <c r="A142" s="13" t="s">
        <v>192</v>
      </c>
      <c r="B142" s="7">
        <v>2859115</v>
      </c>
      <c r="C142" s="7">
        <v>3860465</v>
      </c>
      <c r="D142" s="7">
        <v>5119811</v>
      </c>
      <c r="E142" s="7">
        <v>4816929</v>
      </c>
      <c r="F142" s="16">
        <v>4817890</v>
      </c>
    </row>
    <row r="143" spans="1:6" ht="23.25" x14ac:dyDescent="0.25">
      <c r="A143" s="14" t="s">
        <v>126</v>
      </c>
      <c r="B143" s="6">
        <v>3227340</v>
      </c>
      <c r="C143" s="6">
        <v>4380344</v>
      </c>
      <c r="D143" s="6">
        <v>5478191</v>
      </c>
      <c r="E143" s="6">
        <v>4809848</v>
      </c>
      <c r="F143" s="15">
        <v>4803725</v>
      </c>
    </row>
    <row r="144" spans="1:6" x14ac:dyDescent="0.25">
      <c r="A144" s="13" t="s">
        <v>170</v>
      </c>
      <c r="B144" s="7">
        <v>5339900</v>
      </c>
      <c r="C144" s="7">
        <v>5765412</v>
      </c>
      <c r="D144" s="7">
        <v>6453532</v>
      </c>
      <c r="E144" s="7">
        <v>6416647</v>
      </c>
      <c r="F144" s="8">
        <v>4699356</v>
      </c>
    </row>
    <row r="145" spans="1:6" x14ac:dyDescent="0.25">
      <c r="A145" s="14" t="s">
        <v>161</v>
      </c>
      <c r="B145" s="6">
        <v>8250511</v>
      </c>
      <c r="C145" s="6">
        <v>9086037</v>
      </c>
      <c r="D145" s="6">
        <v>9747769</v>
      </c>
      <c r="E145" s="6">
        <v>11780107</v>
      </c>
      <c r="F145" s="9">
        <v>4539022</v>
      </c>
    </row>
    <row r="146" spans="1:6" ht="23.25" x14ac:dyDescent="0.25">
      <c r="A146" s="13" t="s">
        <v>106</v>
      </c>
      <c r="B146" s="7">
        <v>2102881</v>
      </c>
      <c r="C146" s="7">
        <v>2504294</v>
      </c>
      <c r="D146" s="7">
        <v>3722463</v>
      </c>
      <c r="E146" s="7">
        <v>4116053</v>
      </c>
      <c r="F146" s="16">
        <v>4398798</v>
      </c>
    </row>
    <row r="147" spans="1:6" x14ac:dyDescent="0.25">
      <c r="A147" s="14" t="s">
        <v>180</v>
      </c>
      <c r="B147" s="6">
        <v>1912607</v>
      </c>
      <c r="C147" s="6">
        <v>2351503</v>
      </c>
      <c r="D147" s="6">
        <v>3631494</v>
      </c>
      <c r="E147" s="9">
        <v>6336973</v>
      </c>
      <c r="F147" s="9">
        <v>4378398</v>
      </c>
    </row>
    <row r="148" spans="1:6" x14ac:dyDescent="0.25">
      <c r="A148" s="13" t="s">
        <v>181</v>
      </c>
      <c r="B148" s="7">
        <v>7230346</v>
      </c>
      <c r="C148" s="7">
        <v>8431207</v>
      </c>
      <c r="D148" s="7">
        <v>9833120</v>
      </c>
      <c r="E148" s="8">
        <v>4671629</v>
      </c>
      <c r="F148" s="8">
        <v>4251894</v>
      </c>
    </row>
    <row r="149" spans="1:6" ht="23.25" x14ac:dyDescent="0.25">
      <c r="A149" s="14" t="s">
        <v>133</v>
      </c>
      <c r="B149" s="9">
        <v>3376044</v>
      </c>
      <c r="C149" s="9">
        <v>4541758</v>
      </c>
      <c r="D149" s="9">
        <v>4939758</v>
      </c>
      <c r="E149" s="9">
        <v>5265519</v>
      </c>
      <c r="F149" s="9">
        <v>3947850</v>
      </c>
    </row>
    <row r="150" spans="1:6" x14ac:dyDescent="0.25">
      <c r="A150" s="13" t="s">
        <v>176</v>
      </c>
      <c r="B150" s="8">
        <v>4238119</v>
      </c>
      <c r="C150" s="8">
        <v>4598229</v>
      </c>
      <c r="D150" s="8">
        <v>4326183</v>
      </c>
      <c r="E150" s="8">
        <v>3962129</v>
      </c>
      <c r="F150" s="8">
        <v>3520958</v>
      </c>
    </row>
    <row r="151" spans="1:6" ht="23.25" x14ac:dyDescent="0.25">
      <c r="A151" s="14" t="s">
        <v>193</v>
      </c>
      <c r="B151" s="9">
        <v>4996010</v>
      </c>
      <c r="C151" s="9">
        <v>5385161</v>
      </c>
      <c r="D151" s="9">
        <v>5183675</v>
      </c>
      <c r="E151" s="9">
        <v>4416027</v>
      </c>
      <c r="F151" s="9">
        <v>3461997</v>
      </c>
    </row>
    <row r="152" spans="1:6" x14ac:dyDescent="0.25">
      <c r="A152" s="13" t="s">
        <v>135</v>
      </c>
      <c r="B152" s="7">
        <v>2652177</v>
      </c>
      <c r="C152" s="7">
        <v>3460378</v>
      </c>
      <c r="D152" s="7">
        <v>3925598</v>
      </c>
      <c r="E152" s="7">
        <v>4211327</v>
      </c>
      <c r="F152" s="16">
        <v>3366575</v>
      </c>
    </row>
    <row r="153" spans="1:6" x14ac:dyDescent="0.25">
      <c r="A153" s="14" t="s">
        <v>194</v>
      </c>
      <c r="B153" s="6">
        <v>2160154</v>
      </c>
      <c r="C153" s="6">
        <v>2493138</v>
      </c>
      <c r="D153" s="6">
        <v>2797558</v>
      </c>
      <c r="E153" s="6">
        <v>3049774</v>
      </c>
      <c r="F153" s="15">
        <v>3221584</v>
      </c>
    </row>
    <row r="154" spans="1:6" x14ac:dyDescent="0.25">
      <c r="A154" s="13" t="s">
        <v>174</v>
      </c>
      <c r="B154" s="7">
        <v>903957</v>
      </c>
      <c r="C154" s="7">
        <v>1055227</v>
      </c>
      <c r="D154" s="7">
        <v>1192258</v>
      </c>
      <c r="E154" s="7">
        <v>1180035</v>
      </c>
      <c r="F154" s="8">
        <v>3161567</v>
      </c>
    </row>
    <row r="155" spans="1:6" x14ac:dyDescent="0.25">
      <c r="A155" s="14" t="s">
        <v>186</v>
      </c>
      <c r="B155" s="9">
        <v>4420043</v>
      </c>
      <c r="C155" s="9">
        <v>5159980</v>
      </c>
      <c r="D155" s="9">
        <v>5824416</v>
      </c>
      <c r="E155" s="9">
        <v>5298254</v>
      </c>
      <c r="F155" s="9">
        <v>3100163</v>
      </c>
    </row>
    <row r="156" spans="1:6" x14ac:dyDescent="0.25">
      <c r="A156" s="13" t="s">
        <v>195</v>
      </c>
      <c r="B156" s="8">
        <v>8983163</v>
      </c>
      <c r="C156" s="8">
        <v>9009117</v>
      </c>
      <c r="D156" s="8">
        <v>10500347</v>
      </c>
      <c r="E156" s="8">
        <v>6730166</v>
      </c>
      <c r="F156" s="8">
        <v>3007222</v>
      </c>
    </row>
    <row r="157" spans="1:6" x14ac:dyDescent="0.25">
      <c r="A157" s="14" t="s">
        <v>196</v>
      </c>
      <c r="B157" s="9">
        <v>2242357</v>
      </c>
      <c r="C157" s="9">
        <v>2938864</v>
      </c>
      <c r="D157" s="9">
        <v>3985448</v>
      </c>
      <c r="E157" s="9">
        <v>5065977</v>
      </c>
      <c r="F157" s="9">
        <v>2956110</v>
      </c>
    </row>
    <row r="158" spans="1:6" x14ac:dyDescent="0.25">
      <c r="A158" s="13" t="s">
        <v>155</v>
      </c>
      <c r="B158" s="7">
        <v>1837143</v>
      </c>
      <c r="C158" s="7">
        <v>2580550</v>
      </c>
      <c r="D158" s="7">
        <v>3522703</v>
      </c>
      <c r="E158" s="7">
        <v>3394094</v>
      </c>
      <c r="F158" s="8">
        <v>2930447</v>
      </c>
    </row>
    <row r="159" spans="1:6" x14ac:dyDescent="0.25">
      <c r="A159" s="14" t="s">
        <v>178</v>
      </c>
      <c r="B159" s="6">
        <v>3477811</v>
      </c>
      <c r="C159" s="6">
        <v>3650384</v>
      </c>
      <c r="D159" s="6">
        <v>4096472</v>
      </c>
      <c r="E159" s="6">
        <v>4226842</v>
      </c>
      <c r="F159" s="9">
        <v>2715565</v>
      </c>
    </row>
    <row r="160" spans="1:6" x14ac:dyDescent="0.25">
      <c r="A160" s="13" t="s">
        <v>123</v>
      </c>
      <c r="B160" s="7">
        <v>1733489</v>
      </c>
      <c r="C160" s="7">
        <v>2117133</v>
      </c>
      <c r="D160" s="7">
        <v>3015746</v>
      </c>
      <c r="E160" s="7">
        <v>3132125</v>
      </c>
      <c r="F160" s="8">
        <v>2710891</v>
      </c>
    </row>
    <row r="161" spans="1:6" x14ac:dyDescent="0.25">
      <c r="A161" s="14" t="s">
        <v>119</v>
      </c>
      <c r="B161" s="6">
        <v>1003430</v>
      </c>
      <c r="C161" s="9">
        <v>1715157</v>
      </c>
      <c r="D161" s="9">
        <v>2343768</v>
      </c>
      <c r="E161" s="9">
        <v>2293825</v>
      </c>
      <c r="F161" s="9">
        <v>2707963</v>
      </c>
    </row>
    <row r="162" spans="1:6" x14ac:dyDescent="0.25">
      <c r="A162" s="13" t="s">
        <v>88</v>
      </c>
      <c r="B162" s="7">
        <v>1501237</v>
      </c>
      <c r="C162" s="7">
        <v>1673621</v>
      </c>
      <c r="D162" s="7">
        <v>2147541</v>
      </c>
      <c r="E162" s="7">
        <v>2118006</v>
      </c>
      <c r="F162" s="16">
        <v>2153549</v>
      </c>
    </row>
    <row r="163" spans="1:6" x14ac:dyDescent="0.25">
      <c r="A163" s="14" t="s">
        <v>141</v>
      </c>
      <c r="B163" s="6">
        <v>1605274</v>
      </c>
      <c r="C163" s="6">
        <v>2051495</v>
      </c>
      <c r="D163" s="6">
        <v>2123792</v>
      </c>
      <c r="E163" s="6">
        <v>2038539</v>
      </c>
      <c r="F163" s="9">
        <v>2123695</v>
      </c>
    </row>
    <row r="164" spans="1:6" ht="23.25" x14ac:dyDescent="0.25">
      <c r="A164" s="13" t="s">
        <v>197</v>
      </c>
      <c r="B164" s="8">
        <v>1211402</v>
      </c>
      <c r="C164" s="8">
        <v>1689962</v>
      </c>
      <c r="D164" s="8">
        <v>1849948</v>
      </c>
      <c r="E164" s="8">
        <v>2034786</v>
      </c>
      <c r="F164" s="8">
        <v>2033045</v>
      </c>
    </row>
    <row r="165" spans="1:6" ht="57" x14ac:dyDescent="0.25">
      <c r="A165" s="14" t="s">
        <v>198</v>
      </c>
      <c r="B165" s="9">
        <v>569503</v>
      </c>
      <c r="C165" s="9">
        <v>295048</v>
      </c>
      <c r="D165" s="9">
        <v>1300849</v>
      </c>
      <c r="E165" s="9">
        <v>2083553</v>
      </c>
      <c r="F165" s="9">
        <v>1966746</v>
      </c>
    </row>
    <row r="166" spans="1:6" x14ac:dyDescent="0.25">
      <c r="A166" s="13" t="s">
        <v>138</v>
      </c>
      <c r="B166" s="7">
        <v>1494812</v>
      </c>
      <c r="C166" s="7">
        <v>1563492</v>
      </c>
      <c r="D166" s="7">
        <v>1864441</v>
      </c>
      <c r="E166" s="7">
        <v>1994798</v>
      </c>
      <c r="F166" s="8">
        <v>1877488</v>
      </c>
    </row>
    <row r="167" spans="1:6" ht="23.25" x14ac:dyDescent="0.25">
      <c r="A167" s="14" t="s">
        <v>108</v>
      </c>
      <c r="B167" s="6">
        <v>1714131</v>
      </c>
      <c r="C167" s="6">
        <v>2003096</v>
      </c>
      <c r="D167" s="6">
        <v>2220195</v>
      </c>
      <c r="E167" s="6">
        <v>2302657</v>
      </c>
      <c r="F167" s="9">
        <v>1827168</v>
      </c>
    </row>
    <row r="168" spans="1:6" x14ac:dyDescent="0.25">
      <c r="A168" s="13" t="s">
        <v>199</v>
      </c>
      <c r="B168" s="7">
        <v>1533107</v>
      </c>
      <c r="C168" s="7">
        <v>1381166</v>
      </c>
      <c r="D168" s="7">
        <v>1803200</v>
      </c>
      <c r="E168" s="7">
        <v>1697155</v>
      </c>
      <c r="F168" s="16">
        <v>1750570</v>
      </c>
    </row>
    <row r="169" spans="1:6" ht="23.25" x14ac:dyDescent="0.25">
      <c r="A169" s="14" t="s">
        <v>116</v>
      </c>
      <c r="B169" s="9">
        <v>2160324</v>
      </c>
      <c r="C169" s="9">
        <v>2265708</v>
      </c>
      <c r="D169" s="9">
        <v>2836706</v>
      </c>
      <c r="E169" s="9">
        <v>2720816</v>
      </c>
      <c r="F169" s="9">
        <v>1748506</v>
      </c>
    </row>
    <row r="170" spans="1:6" x14ac:dyDescent="0.25">
      <c r="A170" s="13" t="s">
        <v>149</v>
      </c>
      <c r="B170" s="7">
        <v>1480789</v>
      </c>
      <c r="C170" s="7">
        <v>1832506</v>
      </c>
      <c r="D170" s="7">
        <v>1881396</v>
      </c>
      <c r="E170" s="7">
        <v>1734885</v>
      </c>
      <c r="F170" s="8">
        <v>1673439</v>
      </c>
    </row>
    <row r="171" spans="1:6" x14ac:dyDescent="0.25">
      <c r="A171" s="14" t="s">
        <v>136</v>
      </c>
      <c r="B171" s="9">
        <v>1166841</v>
      </c>
      <c r="C171" s="9">
        <v>1328900</v>
      </c>
      <c r="D171" s="9">
        <v>1440679</v>
      </c>
      <c r="E171" s="9">
        <v>1464480</v>
      </c>
      <c r="F171" s="9">
        <v>1635279</v>
      </c>
    </row>
    <row r="172" spans="1:6" x14ac:dyDescent="0.25">
      <c r="A172" s="13" t="s">
        <v>167</v>
      </c>
      <c r="B172" s="7">
        <v>532953</v>
      </c>
      <c r="C172" s="8">
        <v>1513366</v>
      </c>
      <c r="D172" s="8">
        <v>1346174</v>
      </c>
      <c r="E172" s="8">
        <v>1132883</v>
      </c>
      <c r="F172" s="8">
        <v>1632543</v>
      </c>
    </row>
    <row r="173" spans="1:6" x14ac:dyDescent="0.25">
      <c r="A173" s="14" t="s">
        <v>150</v>
      </c>
      <c r="B173" s="6">
        <v>3706645</v>
      </c>
      <c r="C173" s="6">
        <v>3736702</v>
      </c>
      <c r="D173" s="6">
        <v>3367604</v>
      </c>
      <c r="E173" s="9">
        <v>2289622</v>
      </c>
      <c r="F173" s="9">
        <v>1616708</v>
      </c>
    </row>
    <row r="174" spans="1:6" ht="57" x14ac:dyDescent="0.25">
      <c r="A174" s="13" t="s">
        <v>200</v>
      </c>
      <c r="B174" s="8">
        <v>1582024</v>
      </c>
      <c r="C174" s="8">
        <v>1094076</v>
      </c>
      <c r="D174" s="8">
        <v>2151796</v>
      </c>
      <c r="E174" s="8">
        <v>2476840</v>
      </c>
      <c r="F174" s="8">
        <v>1521030</v>
      </c>
    </row>
    <row r="175" spans="1:6" x14ac:dyDescent="0.25">
      <c r="A175" s="14" t="s">
        <v>111</v>
      </c>
      <c r="B175" s="6">
        <v>1065045</v>
      </c>
      <c r="C175" s="6">
        <v>1200014</v>
      </c>
      <c r="D175" s="6">
        <v>1407302</v>
      </c>
      <c r="E175" s="6">
        <v>1468137</v>
      </c>
      <c r="F175" s="15">
        <v>1507925</v>
      </c>
    </row>
    <row r="176" spans="1:6" ht="23.25" x14ac:dyDescent="0.25">
      <c r="A176" s="13" t="s">
        <v>179</v>
      </c>
      <c r="B176" s="7">
        <v>6063062</v>
      </c>
      <c r="C176" s="7">
        <v>7829705</v>
      </c>
      <c r="D176" s="7">
        <v>9088634</v>
      </c>
      <c r="E176" s="7">
        <v>8270534</v>
      </c>
      <c r="F176" s="8">
        <v>1496150</v>
      </c>
    </row>
    <row r="177" spans="1:6" x14ac:dyDescent="0.25">
      <c r="A177" s="14" t="s">
        <v>139</v>
      </c>
      <c r="B177" s="6">
        <v>891869</v>
      </c>
      <c r="C177" s="6">
        <v>1221291</v>
      </c>
      <c r="D177" s="6">
        <v>1568916</v>
      </c>
      <c r="E177" s="6">
        <v>1289872</v>
      </c>
      <c r="F177" s="9">
        <v>1461529</v>
      </c>
    </row>
    <row r="178" spans="1:6" x14ac:dyDescent="0.25">
      <c r="A178" s="13" t="s">
        <v>145</v>
      </c>
      <c r="B178" s="7">
        <v>787099</v>
      </c>
      <c r="C178" s="7">
        <v>1057442</v>
      </c>
      <c r="D178" s="7">
        <v>1378182</v>
      </c>
      <c r="E178" s="7">
        <v>1337483</v>
      </c>
      <c r="F178" s="16">
        <v>1440307</v>
      </c>
    </row>
    <row r="179" spans="1:6" x14ac:dyDescent="0.25">
      <c r="A179" s="14" t="s">
        <v>171</v>
      </c>
      <c r="B179" s="6">
        <v>2730273</v>
      </c>
      <c r="C179" s="6">
        <v>3308449</v>
      </c>
      <c r="D179" s="6">
        <v>3095448</v>
      </c>
      <c r="E179" s="6">
        <v>3329919</v>
      </c>
      <c r="F179" s="9">
        <v>1423048</v>
      </c>
    </row>
    <row r="180" spans="1:6" x14ac:dyDescent="0.25">
      <c r="A180" s="13" t="s">
        <v>114</v>
      </c>
      <c r="B180" s="7">
        <v>939715</v>
      </c>
      <c r="C180" s="7">
        <v>1169779</v>
      </c>
      <c r="D180" s="7">
        <v>1474134</v>
      </c>
      <c r="E180" s="7">
        <v>1536520</v>
      </c>
      <c r="F180" s="8">
        <v>1410705</v>
      </c>
    </row>
    <row r="181" spans="1:6" x14ac:dyDescent="0.25">
      <c r="A181" s="14" t="s">
        <v>163</v>
      </c>
      <c r="B181" s="6">
        <v>909131</v>
      </c>
      <c r="C181" s="6">
        <v>981086</v>
      </c>
      <c r="D181" s="6">
        <v>1203662</v>
      </c>
      <c r="E181" s="6">
        <v>1182293</v>
      </c>
      <c r="F181" s="15">
        <v>1267502</v>
      </c>
    </row>
    <row r="182" spans="1:6" ht="23.25" x14ac:dyDescent="0.25">
      <c r="A182" s="13" t="s">
        <v>201</v>
      </c>
      <c r="B182" s="7">
        <v>422167</v>
      </c>
      <c r="C182" s="7">
        <v>479796</v>
      </c>
      <c r="D182" s="7">
        <v>622972</v>
      </c>
      <c r="E182" s="7">
        <v>672522</v>
      </c>
      <c r="F182" s="8">
        <v>1227389</v>
      </c>
    </row>
    <row r="183" spans="1:6" ht="34.5" x14ac:dyDescent="0.25">
      <c r="A183" s="14" t="s">
        <v>202</v>
      </c>
      <c r="B183" s="9">
        <v>1123416</v>
      </c>
      <c r="C183" s="9">
        <v>2175265</v>
      </c>
      <c r="D183" s="9">
        <v>1242294</v>
      </c>
      <c r="E183" s="9">
        <v>1057030</v>
      </c>
      <c r="F183" s="9">
        <v>1110249</v>
      </c>
    </row>
    <row r="184" spans="1:6" x14ac:dyDescent="0.25">
      <c r="A184" s="13" t="s">
        <v>203</v>
      </c>
      <c r="B184" s="8">
        <v>1154594</v>
      </c>
      <c r="C184" s="8">
        <v>1294307</v>
      </c>
      <c r="D184" s="8">
        <v>1139354</v>
      </c>
      <c r="E184" s="8">
        <v>1416151</v>
      </c>
      <c r="F184" s="8">
        <v>1087189</v>
      </c>
    </row>
    <row r="185" spans="1:6" x14ac:dyDescent="0.25">
      <c r="A185" s="14" t="s">
        <v>204</v>
      </c>
      <c r="B185" s="6">
        <v>496896</v>
      </c>
      <c r="C185" s="6">
        <v>542320</v>
      </c>
      <c r="D185" s="6">
        <v>933462</v>
      </c>
      <c r="E185" s="6">
        <v>909825</v>
      </c>
      <c r="F185" s="9">
        <v>1056247</v>
      </c>
    </row>
    <row r="186" spans="1:6" ht="23.25" x14ac:dyDescent="0.25">
      <c r="A186" s="13" t="s">
        <v>157</v>
      </c>
      <c r="B186" s="8">
        <v>797694</v>
      </c>
      <c r="C186" s="8">
        <v>952785</v>
      </c>
      <c r="D186" s="8">
        <v>1062776</v>
      </c>
      <c r="E186" s="8">
        <v>1131380</v>
      </c>
      <c r="F186" s="8">
        <v>1039263</v>
      </c>
    </row>
    <row r="187" spans="1:6" x14ac:dyDescent="0.25">
      <c r="A187" s="14" t="s">
        <v>205</v>
      </c>
      <c r="B187" s="6">
        <v>674761</v>
      </c>
      <c r="C187" s="6">
        <v>708977</v>
      </c>
      <c r="D187" s="6">
        <v>920565</v>
      </c>
      <c r="E187" s="6">
        <v>2383632</v>
      </c>
      <c r="F187" s="15">
        <v>988450</v>
      </c>
    </row>
    <row r="188" spans="1:6" x14ac:dyDescent="0.25">
      <c r="A188" s="13" t="s">
        <v>104</v>
      </c>
      <c r="B188" s="7">
        <v>735266</v>
      </c>
      <c r="C188" s="7">
        <v>767192</v>
      </c>
      <c r="D188" s="7">
        <v>846564</v>
      </c>
      <c r="E188" s="7">
        <v>925276</v>
      </c>
      <c r="F188" s="16">
        <v>915655</v>
      </c>
    </row>
    <row r="189" spans="1:6" ht="23.25" x14ac:dyDescent="0.25">
      <c r="A189" s="14" t="s">
        <v>206</v>
      </c>
      <c r="B189" s="9">
        <v>319053</v>
      </c>
      <c r="C189" s="9">
        <v>464154</v>
      </c>
      <c r="D189" s="9">
        <v>684058</v>
      </c>
      <c r="E189" s="9">
        <v>732046</v>
      </c>
      <c r="F189" s="9">
        <v>892018</v>
      </c>
    </row>
    <row r="190" spans="1:6" x14ac:dyDescent="0.25">
      <c r="A190" s="13" t="s">
        <v>166</v>
      </c>
      <c r="B190" s="7">
        <v>3026110</v>
      </c>
      <c r="C190" s="7">
        <v>2784744</v>
      </c>
      <c r="D190" s="7">
        <v>3787226</v>
      </c>
      <c r="E190" s="7">
        <v>3136148</v>
      </c>
      <c r="F190" s="8">
        <v>875787</v>
      </c>
    </row>
    <row r="191" spans="1:6" ht="23.25" x14ac:dyDescent="0.25">
      <c r="A191" s="14" t="s">
        <v>146</v>
      </c>
      <c r="B191" s="9">
        <v>1280190</v>
      </c>
      <c r="C191" s="9">
        <v>1015295</v>
      </c>
      <c r="D191" s="9">
        <v>1734017</v>
      </c>
      <c r="E191" s="9">
        <v>1037187</v>
      </c>
      <c r="F191" s="9">
        <v>860779</v>
      </c>
    </row>
    <row r="192" spans="1:6" ht="45.75" x14ac:dyDescent="0.25">
      <c r="A192" s="13" t="s">
        <v>152</v>
      </c>
      <c r="B192" s="8">
        <v>312123</v>
      </c>
      <c r="C192" s="8">
        <v>572318</v>
      </c>
      <c r="D192" s="8">
        <v>839897</v>
      </c>
      <c r="E192" s="8">
        <v>697784</v>
      </c>
      <c r="F192" s="8">
        <v>662898</v>
      </c>
    </row>
    <row r="193" spans="1:6" ht="23.25" x14ac:dyDescent="0.25">
      <c r="A193" s="14" t="s">
        <v>159</v>
      </c>
      <c r="B193" s="9">
        <v>369488</v>
      </c>
      <c r="C193" s="9">
        <v>490173</v>
      </c>
      <c r="D193" s="9">
        <v>552231</v>
      </c>
      <c r="E193" s="9">
        <v>595939</v>
      </c>
      <c r="F193" s="9">
        <v>557376</v>
      </c>
    </row>
    <row r="194" spans="1:6" x14ac:dyDescent="0.25">
      <c r="A194" s="13" t="s">
        <v>187</v>
      </c>
      <c r="B194" s="7">
        <v>311893</v>
      </c>
      <c r="C194" s="7">
        <v>370236</v>
      </c>
      <c r="D194" s="7">
        <v>447050</v>
      </c>
      <c r="E194" s="7">
        <v>473580</v>
      </c>
      <c r="F194" s="8">
        <v>530853</v>
      </c>
    </row>
    <row r="195" spans="1:6" x14ac:dyDescent="0.25">
      <c r="A195" s="14" t="s">
        <v>151</v>
      </c>
      <c r="B195" s="9">
        <v>253761</v>
      </c>
      <c r="C195" s="9">
        <v>341944</v>
      </c>
      <c r="D195" s="9">
        <v>427909</v>
      </c>
      <c r="E195" s="9">
        <v>492381</v>
      </c>
      <c r="F195" s="9">
        <v>525871</v>
      </c>
    </row>
    <row r="196" spans="1:6" x14ac:dyDescent="0.25">
      <c r="A196" s="13" t="s">
        <v>177</v>
      </c>
      <c r="B196" s="7">
        <v>394552</v>
      </c>
      <c r="C196" s="7">
        <v>446676</v>
      </c>
      <c r="D196" s="7">
        <v>589270</v>
      </c>
      <c r="E196" s="7">
        <v>608759</v>
      </c>
      <c r="F196" s="8">
        <v>512167</v>
      </c>
    </row>
    <row r="197" spans="1:6" ht="34.5" x14ac:dyDescent="0.25">
      <c r="A197" s="14" t="s">
        <v>168</v>
      </c>
      <c r="B197" s="6">
        <v>321194</v>
      </c>
      <c r="C197" s="6">
        <v>372388</v>
      </c>
      <c r="D197" s="6">
        <v>437951</v>
      </c>
      <c r="E197" s="6">
        <v>456433</v>
      </c>
      <c r="F197" s="9">
        <v>490724</v>
      </c>
    </row>
    <row r="198" spans="1:6" ht="23.25" x14ac:dyDescent="0.25">
      <c r="A198" s="13" t="s">
        <v>207</v>
      </c>
      <c r="B198" s="8">
        <v>1035422</v>
      </c>
      <c r="C198" s="8">
        <v>1260753</v>
      </c>
      <c r="D198" s="8">
        <v>1492691</v>
      </c>
      <c r="E198" s="8">
        <v>1467602</v>
      </c>
      <c r="F198" s="8">
        <v>471273</v>
      </c>
    </row>
    <row r="199" spans="1:6" ht="23.25" x14ac:dyDescent="0.25">
      <c r="A199" s="14" t="s">
        <v>153</v>
      </c>
      <c r="B199" s="9">
        <v>331753</v>
      </c>
      <c r="C199" s="9">
        <v>411016</v>
      </c>
      <c r="D199" s="9">
        <v>423353</v>
      </c>
      <c r="E199" s="9">
        <v>577313</v>
      </c>
      <c r="F199" s="9">
        <v>425102</v>
      </c>
    </row>
    <row r="200" spans="1:6" ht="23.25" x14ac:dyDescent="0.25">
      <c r="A200" s="13" t="s">
        <v>208</v>
      </c>
      <c r="B200" s="8">
        <v>302375</v>
      </c>
      <c r="C200" s="8">
        <v>294142</v>
      </c>
      <c r="D200" s="8">
        <v>391380</v>
      </c>
      <c r="E200" s="8">
        <v>381256</v>
      </c>
      <c r="F200" s="8">
        <v>370784</v>
      </c>
    </row>
    <row r="201" spans="1:6" x14ac:dyDescent="0.25">
      <c r="A201" s="14" t="s">
        <v>209</v>
      </c>
      <c r="B201" s="6">
        <v>210872</v>
      </c>
      <c r="C201" s="6">
        <v>327702</v>
      </c>
      <c r="D201" s="6">
        <v>228797</v>
      </c>
      <c r="E201" s="6">
        <v>273142</v>
      </c>
      <c r="F201" s="9">
        <v>347297</v>
      </c>
    </row>
    <row r="202" spans="1:6" x14ac:dyDescent="0.25">
      <c r="A202" s="13" t="s">
        <v>210</v>
      </c>
      <c r="B202" s="8">
        <v>309997</v>
      </c>
      <c r="C202" s="8">
        <v>343768</v>
      </c>
      <c r="D202" s="8">
        <v>451845</v>
      </c>
      <c r="E202" s="8">
        <v>444145</v>
      </c>
      <c r="F202" s="8">
        <v>345988</v>
      </c>
    </row>
    <row r="203" spans="1:6" x14ac:dyDescent="0.25">
      <c r="A203" s="14" t="s">
        <v>147</v>
      </c>
      <c r="B203" s="9">
        <v>89130</v>
      </c>
      <c r="C203" s="9">
        <v>158318</v>
      </c>
      <c r="D203" s="9">
        <v>161064</v>
      </c>
      <c r="E203" s="9">
        <v>251496</v>
      </c>
      <c r="F203" s="9">
        <v>290919</v>
      </c>
    </row>
    <row r="204" spans="1:6" x14ac:dyDescent="0.25">
      <c r="A204" s="13" t="s">
        <v>183</v>
      </c>
      <c r="B204" s="7">
        <v>179967</v>
      </c>
      <c r="C204" s="7">
        <v>190371</v>
      </c>
      <c r="D204" s="7">
        <v>216719</v>
      </c>
      <c r="E204" s="7">
        <v>301309</v>
      </c>
      <c r="F204" s="8">
        <v>287257</v>
      </c>
    </row>
    <row r="205" spans="1:6" ht="34.5" x14ac:dyDescent="0.25">
      <c r="A205" s="14" t="s">
        <v>211</v>
      </c>
      <c r="B205" s="9">
        <v>115168</v>
      </c>
      <c r="C205" s="9">
        <v>140831</v>
      </c>
      <c r="D205" s="9">
        <v>113047</v>
      </c>
      <c r="E205" s="9">
        <v>177832</v>
      </c>
      <c r="F205" s="9">
        <v>243045</v>
      </c>
    </row>
    <row r="206" spans="1:6" ht="34.5" x14ac:dyDescent="0.25">
      <c r="A206" s="13" t="s">
        <v>212</v>
      </c>
      <c r="B206" s="7">
        <v>544916</v>
      </c>
      <c r="C206" s="7">
        <v>486656</v>
      </c>
      <c r="D206" s="7">
        <v>629525</v>
      </c>
      <c r="E206" s="7">
        <v>742649</v>
      </c>
      <c r="F206" s="8">
        <v>239373</v>
      </c>
    </row>
    <row r="207" spans="1:6" x14ac:dyDescent="0.25">
      <c r="A207" s="14" t="s">
        <v>213</v>
      </c>
      <c r="B207" s="6">
        <v>217833</v>
      </c>
      <c r="C207" s="6">
        <v>270970</v>
      </c>
      <c r="D207" s="6">
        <v>273574</v>
      </c>
      <c r="E207" s="6">
        <v>326484</v>
      </c>
      <c r="F207" s="9">
        <v>236221</v>
      </c>
    </row>
    <row r="208" spans="1:6" ht="34.5" x14ac:dyDescent="0.25">
      <c r="A208" s="13" t="s">
        <v>214</v>
      </c>
      <c r="B208" s="8">
        <v>129000</v>
      </c>
      <c r="C208" s="8">
        <v>147927</v>
      </c>
      <c r="D208" s="8">
        <v>165778</v>
      </c>
      <c r="E208" s="8">
        <v>197383</v>
      </c>
      <c r="F208" s="8">
        <v>231466</v>
      </c>
    </row>
    <row r="209" spans="1:6" x14ac:dyDescent="0.25">
      <c r="A209" s="14" t="s">
        <v>215</v>
      </c>
      <c r="B209" s="9">
        <v>96711</v>
      </c>
      <c r="C209" s="9">
        <v>128443</v>
      </c>
      <c r="D209" s="9">
        <v>183235</v>
      </c>
      <c r="E209" s="9">
        <v>211712</v>
      </c>
      <c r="F209" s="9">
        <v>203205</v>
      </c>
    </row>
    <row r="210" spans="1:6" ht="45.75" x14ac:dyDescent="0.25">
      <c r="A210" s="13" t="s">
        <v>216</v>
      </c>
      <c r="B210" s="8">
        <v>142319</v>
      </c>
      <c r="C210" s="8">
        <v>133483</v>
      </c>
      <c r="D210" s="8">
        <v>161577</v>
      </c>
      <c r="E210" s="8">
        <v>180574</v>
      </c>
      <c r="F210" s="8">
        <v>169111</v>
      </c>
    </row>
    <row r="211" spans="1:6" x14ac:dyDescent="0.25">
      <c r="A211" s="14" t="s">
        <v>217</v>
      </c>
      <c r="B211" s="6">
        <v>108947</v>
      </c>
      <c r="C211" s="6">
        <v>173779</v>
      </c>
      <c r="D211" s="9">
        <v>206722</v>
      </c>
      <c r="E211" s="9">
        <v>175870</v>
      </c>
      <c r="F211" s="9">
        <v>164703</v>
      </c>
    </row>
    <row r="212" spans="1:6" ht="34.5" x14ac:dyDescent="0.25">
      <c r="A212" s="13" t="s">
        <v>218</v>
      </c>
      <c r="B212" s="8">
        <v>112785</v>
      </c>
      <c r="C212" s="8">
        <v>65149</v>
      </c>
      <c r="D212" s="8">
        <v>154893</v>
      </c>
      <c r="E212" s="8">
        <v>163367</v>
      </c>
      <c r="F212" s="8">
        <v>151632</v>
      </c>
    </row>
    <row r="213" spans="1:6" x14ac:dyDescent="0.25">
      <c r="A213" s="14" t="s">
        <v>219</v>
      </c>
      <c r="B213" s="9">
        <v>67951</v>
      </c>
      <c r="C213" s="9">
        <v>127531</v>
      </c>
      <c r="D213" s="9">
        <v>166727</v>
      </c>
      <c r="E213" s="9">
        <v>133241</v>
      </c>
      <c r="F213" s="9">
        <v>142575</v>
      </c>
    </row>
    <row r="214" spans="1:6" ht="23.25" x14ac:dyDescent="0.25">
      <c r="A214" s="13" t="s">
        <v>220</v>
      </c>
      <c r="B214" s="7">
        <v>138291</v>
      </c>
      <c r="C214" s="7">
        <v>166275</v>
      </c>
      <c r="D214" s="7">
        <v>196299</v>
      </c>
      <c r="E214" s="7">
        <v>183563</v>
      </c>
      <c r="F214" s="8">
        <v>137407</v>
      </c>
    </row>
    <row r="215" spans="1:6" ht="45.75" x14ac:dyDescent="0.25">
      <c r="A215" s="14" t="s">
        <v>221</v>
      </c>
      <c r="B215" s="9">
        <v>44257</v>
      </c>
      <c r="C215" s="9">
        <v>64406</v>
      </c>
      <c r="D215" s="9">
        <v>56686</v>
      </c>
      <c r="E215" s="9">
        <v>114300</v>
      </c>
      <c r="F215" s="9">
        <v>135512</v>
      </c>
    </row>
    <row r="216" spans="1:6" x14ac:dyDescent="0.25">
      <c r="A216" s="13" t="s">
        <v>222</v>
      </c>
      <c r="B216" s="8">
        <v>14400</v>
      </c>
      <c r="C216" s="8">
        <v>41081</v>
      </c>
      <c r="D216" s="8">
        <v>55449</v>
      </c>
      <c r="E216" s="8">
        <v>122129</v>
      </c>
      <c r="F216" s="8">
        <v>119629</v>
      </c>
    </row>
    <row r="217" spans="1:6" ht="23.25" x14ac:dyDescent="0.25">
      <c r="A217" s="14" t="s">
        <v>223</v>
      </c>
      <c r="B217" s="9">
        <v>63859</v>
      </c>
      <c r="C217" s="9">
        <v>61033</v>
      </c>
      <c r="D217" s="9">
        <v>103674</v>
      </c>
      <c r="E217" s="9">
        <v>123897</v>
      </c>
      <c r="F217" s="9">
        <v>95733</v>
      </c>
    </row>
    <row r="218" spans="1:6" x14ac:dyDescent="0.25">
      <c r="A218" s="13" t="s">
        <v>224</v>
      </c>
      <c r="B218" s="8">
        <v>109465</v>
      </c>
      <c r="C218" s="8">
        <v>168645</v>
      </c>
      <c r="D218" s="8">
        <v>153908</v>
      </c>
      <c r="E218" s="8">
        <v>144059</v>
      </c>
      <c r="F218" s="8">
        <v>86300</v>
      </c>
    </row>
    <row r="219" spans="1:6" ht="23.25" x14ac:dyDescent="0.25">
      <c r="A219" s="14" t="s">
        <v>225</v>
      </c>
      <c r="B219" s="9">
        <v>74541</v>
      </c>
      <c r="C219" s="9">
        <v>76445</v>
      </c>
      <c r="D219" s="9">
        <v>70634</v>
      </c>
      <c r="E219" s="9">
        <v>63729</v>
      </c>
      <c r="F219" s="9">
        <v>72469</v>
      </c>
    </row>
    <row r="220" spans="1:6" ht="45.75" x14ac:dyDescent="0.25">
      <c r="A220" s="13" t="s">
        <v>226</v>
      </c>
      <c r="B220" s="8">
        <v>55233</v>
      </c>
      <c r="C220" s="8">
        <v>80139</v>
      </c>
      <c r="D220" s="8">
        <v>56692</v>
      </c>
      <c r="E220" s="8">
        <v>70718</v>
      </c>
      <c r="F220" s="8">
        <v>69674</v>
      </c>
    </row>
    <row r="221" spans="1:6" x14ac:dyDescent="0.25">
      <c r="A221" s="14" t="s">
        <v>227</v>
      </c>
      <c r="B221" s="9">
        <v>117912</v>
      </c>
      <c r="C221" s="9">
        <v>112147</v>
      </c>
      <c r="D221" s="9">
        <v>82595</v>
      </c>
      <c r="E221" s="9">
        <v>72184</v>
      </c>
      <c r="F221" s="9">
        <v>61313</v>
      </c>
    </row>
    <row r="222" spans="1:6" x14ac:dyDescent="0.25">
      <c r="A222" s="13" t="s">
        <v>228</v>
      </c>
      <c r="B222" s="8">
        <v>10859</v>
      </c>
      <c r="C222" s="8">
        <v>29360</v>
      </c>
      <c r="D222" s="8">
        <v>31710</v>
      </c>
      <c r="E222" s="8">
        <v>15756</v>
      </c>
      <c r="F222" s="8">
        <v>55821</v>
      </c>
    </row>
    <row r="223" spans="1:6" ht="23.25" x14ac:dyDescent="0.25">
      <c r="A223" s="14" t="s">
        <v>229</v>
      </c>
      <c r="B223" s="9">
        <v>53168</v>
      </c>
      <c r="C223" s="9">
        <v>51727</v>
      </c>
      <c r="D223" s="9">
        <v>45403</v>
      </c>
      <c r="E223" s="9">
        <v>67402</v>
      </c>
      <c r="F223" s="9">
        <v>54404</v>
      </c>
    </row>
    <row r="224" spans="1:6" ht="23.25" x14ac:dyDescent="0.25">
      <c r="A224" s="13" t="s">
        <v>230</v>
      </c>
      <c r="B224" s="8">
        <v>24588</v>
      </c>
      <c r="C224" s="8">
        <v>40938</v>
      </c>
      <c r="D224" s="8">
        <v>53839</v>
      </c>
      <c r="E224" s="8">
        <v>95385</v>
      </c>
      <c r="F224" s="8">
        <v>50453</v>
      </c>
    </row>
    <row r="225" spans="1:6" x14ac:dyDescent="0.25">
      <c r="A225" s="14" t="s">
        <v>231</v>
      </c>
      <c r="B225" s="9">
        <v>49119</v>
      </c>
      <c r="C225" s="9">
        <v>36614</v>
      </c>
      <c r="D225" s="9">
        <v>33390</v>
      </c>
      <c r="E225" s="9">
        <v>37502</v>
      </c>
      <c r="F225" s="9">
        <v>39812</v>
      </c>
    </row>
    <row r="226" spans="1:6" ht="23.25" x14ac:dyDescent="0.25">
      <c r="A226" s="13" t="s">
        <v>143</v>
      </c>
      <c r="B226" s="8">
        <v>40428</v>
      </c>
      <c r="C226" s="8">
        <v>50854</v>
      </c>
      <c r="D226" s="8">
        <v>60046</v>
      </c>
      <c r="E226" s="8">
        <v>54458</v>
      </c>
      <c r="F226" s="8">
        <v>38451</v>
      </c>
    </row>
    <row r="227" spans="1:6" x14ac:dyDescent="0.25">
      <c r="A227" s="14" t="s">
        <v>232</v>
      </c>
      <c r="B227" s="9">
        <v>15039</v>
      </c>
      <c r="C227" s="9">
        <v>9402</v>
      </c>
      <c r="D227" s="9">
        <v>9394</v>
      </c>
      <c r="E227" s="9">
        <v>14204</v>
      </c>
      <c r="F227" s="9">
        <v>37495</v>
      </c>
    </row>
    <row r="228" spans="1:6" x14ac:dyDescent="0.25">
      <c r="A228" s="13" t="s">
        <v>169</v>
      </c>
      <c r="B228" s="7">
        <v>30657</v>
      </c>
      <c r="C228" s="7">
        <v>36493</v>
      </c>
      <c r="D228" s="7">
        <v>39237</v>
      </c>
      <c r="E228" s="7">
        <v>47525</v>
      </c>
      <c r="F228" s="8">
        <v>24948</v>
      </c>
    </row>
    <row r="229" spans="1:6" ht="23.25" x14ac:dyDescent="0.25">
      <c r="A229" s="14" t="s">
        <v>233</v>
      </c>
      <c r="B229" s="9">
        <v>6966</v>
      </c>
      <c r="C229" s="9">
        <v>14582</v>
      </c>
      <c r="D229" s="9">
        <v>13127</v>
      </c>
      <c r="E229" s="9">
        <v>16666</v>
      </c>
      <c r="F229" s="9">
        <v>16172</v>
      </c>
    </row>
    <row r="230" spans="1:6" ht="23.25" x14ac:dyDescent="0.25">
      <c r="A230" s="13" t="s">
        <v>234</v>
      </c>
      <c r="B230" s="8">
        <v>41</v>
      </c>
      <c r="C230" s="8">
        <v>44</v>
      </c>
      <c r="D230" s="7"/>
      <c r="E230" s="8">
        <v>310</v>
      </c>
      <c r="F230" s="8">
        <v>14856</v>
      </c>
    </row>
    <row r="231" spans="1:6" x14ac:dyDescent="0.25">
      <c r="A231" s="14" t="s">
        <v>235</v>
      </c>
      <c r="B231" s="9">
        <v>2739</v>
      </c>
      <c r="C231" s="9">
        <v>4066</v>
      </c>
      <c r="D231" s="9">
        <v>1498268</v>
      </c>
      <c r="E231" s="9">
        <v>7240</v>
      </c>
      <c r="F231" s="9">
        <v>4360</v>
      </c>
    </row>
    <row r="232" spans="1:6" ht="23.25" x14ac:dyDescent="0.25">
      <c r="A232" s="13" t="s">
        <v>236</v>
      </c>
      <c r="B232" s="8">
        <v>9130</v>
      </c>
      <c r="C232" s="8">
        <v>37200</v>
      </c>
      <c r="D232" s="8">
        <v>155638</v>
      </c>
      <c r="E232" s="8">
        <v>2020</v>
      </c>
      <c r="F232" s="8">
        <v>1509</v>
      </c>
    </row>
    <row r="233" spans="1:6" ht="23.25" x14ac:dyDescent="0.25">
      <c r="A233" s="14" t="s">
        <v>237</v>
      </c>
      <c r="B233" s="9">
        <v>1281</v>
      </c>
      <c r="C233" s="9">
        <v>3332</v>
      </c>
      <c r="D233" s="9">
        <v>1133</v>
      </c>
      <c r="E233" s="9">
        <v>1268</v>
      </c>
      <c r="F233" s="9">
        <v>329</v>
      </c>
    </row>
    <row r="234" spans="1:6" ht="23.25" x14ac:dyDescent="0.25">
      <c r="A234" s="13" t="s">
        <v>238</v>
      </c>
      <c r="B234" s="8">
        <v>85330</v>
      </c>
      <c r="C234" s="8">
        <v>1742310</v>
      </c>
      <c r="D234" s="8">
        <v>2040765</v>
      </c>
      <c r="E234" s="8">
        <v>2488257</v>
      </c>
      <c r="F234" s="8">
        <v>180</v>
      </c>
    </row>
    <row r="235" spans="1:6" ht="57" x14ac:dyDescent="0.25">
      <c r="A235" s="14" t="s">
        <v>239</v>
      </c>
      <c r="B235" s="6"/>
      <c r="C235" s="9">
        <v>71532</v>
      </c>
      <c r="D235" s="9">
        <v>36472</v>
      </c>
      <c r="E235" s="9">
        <v>142392</v>
      </c>
      <c r="F235" s="15"/>
    </row>
    <row r="236" spans="1:6" ht="34.5" x14ac:dyDescent="0.25">
      <c r="A236" s="17" t="s">
        <v>240</v>
      </c>
      <c r="B236" s="8">
        <v>3</v>
      </c>
      <c r="C236" s="8">
        <v>2</v>
      </c>
      <c r="D236" s="8">
        <v>493</v>
      </c>
      <c r="E236" s="18"/>
      <c r="F236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7BA0-BAFE-4E5D-8573-615A54100017}">
  <dimension ref="A1:Z183"/>
  <sheetViews>
    <sheetView tabSelected="1" topLeftCell="F1" workbookViewId="0">
      <selection activeCell="AA4" sqref="AA4"/>
    </sheetView>
  </sheetViews>
  <sheetFormatPr baseColWidth="10" defaultRowHeight="15" x14ac:dyDescent="0.25"/>
  <cols>
    <col min="1" max="1" width="33.7109375" bestFit="1" customWidth="1"/>
    <col min="2" max="26" width="12.71093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  <c r="N1" t="s">
        <v>248</v>
      </c>
      <c r="O1" t="s">
        <v>249</v>
      </c>
      <c r="P1" t="s">
        <v>250</v>
      </c>
      <c r="Q1" t="s">
        <v>251</v>
      </c>
      <c r="R1" t="s">
        <v>252</v>
      </c>
      <c r="S1" t="s">
        <v>253</v>
      </c>
      <c r="T1" t="s">
        <v>254</v>
      </c>
      <c r="U1" t="s">
        <v>255</v>
      </c>
      <c r="V1" t="s">
        <v>256</v>
      </c>
      <c r="W1" t="s">
        <v>257</v>
      </c>
      <c r="X1" t="s">
        <v>258</v>
      </c>
      <c r="Y1" t="s">
        <v>259</v>
      </c>
      <c r="Z1" t="s">
        <v>260</v>
      </c>
    </row>
    <row r="2" spans="1:26" x14ac:dyDescent="0.25">
      <c r="A2" t="s">
        <v>18</v>
      </c>
      <c r="B2">
        <v>5833</v>
      </c>
      <c r="C2">
        <v>4196</v>
      </c>
      <c r="D2">
        <v>4300</v>
      </c>
      <c r="E2">
        <v>2898</v>
      </c>
      <c r="F2">
        <v>5037</v>
      </c>
      <c r="G2">
        <v>69260696</v>
      </c>
      <c r="H2">
        <v>92158602</v>
      </c>
      <c r="I2">
        <v>107757786</v>
      </c>
      <c r="J2">
        <v>83163005</v>
      </c>
      <c r="K2">
        <v>91537567</v>
      </c>
      <c r="L2">
        <v>8.421803904482854E-5</v>
      </c>
      <c r="M2">
        <v>4.553020454889279E-5</v>
      </c>
      <c r="N2">
        <v>3.9904309095585908E-5</v>
      </c>
      <c r="O2">
        <v>3.4847225638371296E-5</v>
      </c>
      <c r="P2">
        <v>5.5026588154784585E-5</v>
      </c>
      <c r="Q2">
        <v>4.8749276500705845</v>
      </c>
      <c r="R2">
        <v>4.3536997176847603</v>
      </c>
      <c r="S2">
        <v>4.3853034687541319</v>
      </c>
      <c r="T2">
        <v>3.9149427894319939</v>
      </c>
      <c r="U2">
        <v>4.3174603662398461</v>
      </c>
      <c r="V2">
        <v>0.65957027573335802</v>
      </c>
      <c r="W2">
        <v>0.62642656378477046</v>
      </c>
      <c r="X2">
        <v>0.62861888626998919</v>
      </c>
      <c r="Y2">
        <v>0.59307766424049579</v>
      </c>
      <c r="Z2">
        <v>0.62388060046524296</v>
      </c>
    </row>
    <row r="3" spans="1:26" x14ac:dyDescent="0.25">
      <c r="A3" t="s">
        <v>143</v>
      </c>
      <c r="C3">
        <v>1</v>
      </c>
      <c r="F3">
        <v>2</v>
      </c>
      <c r="G3">
        <v>40428</v>
      </c>
      <c r="H3">
        <v>50854</v>
      </c>
      <c r="I3">
        <v>60046</v>
      </c>
      <c r="J3">
        <v>54458</v>
      </c>
      <c r="K3">
        <v>38451</v>
      </c>
      <c r="L3">
        <v>0</v>
      </c>
      <c r="M3">
        <v>1.9664136547764188E-5</v>
      </c>
      <c r="N3">
        <v>0</v>
      </c>
      <c r="O3">
        <v>0</v>
      </c>
      <c r="P3">
        <v>5.2014251905021975E-5</v>
      </c>
      <c r="Q3">
        <v>0</v>
      </c>
      <c r="R3">
        <v>1.8803285991078957</v>
      </c>
      <c r="S3">
        <v>0</v>
      </c>
      <c r="T3">
        <v>0</v>
      </c>
      <c r="U3">
        <v>4.0811083988681096</v>
      </c>
      <c r="V3">
        <v>-1</v>
      </c>
      <c r="W3">
        <v>0.30563478048322468</v>
      </c>
      <c r="X3">
        <v>-1</v>
      </c>
      <c r="Y3">
        <v>-1</v>
      </c>
      <c r="Z3">
        <v>0.60638509494394399</v>
      </c>
    </row>
    <row r="4" spans="1:26" x14ac:dyDescent="0.25">
      <c r="A4" t="s">
        <v>67</v>
      </c>
      <c r="B4">
        <v>162</v>
      </c>
      <c r="C4">
        <v>134</v>
      </c>
      <c r="D4">
        <v>182</v>
      </c>
      <c r="E4">
        <v>210</v>
      </c>
      <c r="F4">
        <v>334</v>
      </c>
      <c r="G4">
        <v>4765479</v>
      </c>
      <c r="H4">
        <v>5970850</v>
      </c>
      <c r="I4">
        <v>7731214</v>
      </c>
      <c r="J4">
        <v>7592061</v>
      </c>
      <c r="K4">
        <v>6596382</v>
      </c>
      <c r="L4">
        <v>3.3994484080194244E-5</v>
      </c>
      <c r="M4">
        <v>2.244236582731102E-5</v>
      </c>
      <c r="N4">
        <v>2.3540934192223885E-5</v>
      </c>
      <c r="O4">
        <v>2.7660473223278895E-5</v>
      </c>
      <c r="P4">
        <v>5.0633817144004095E-5</v>
      </c>
      <c r="Q4">
        <v>1.9677571725959035</v>
      </c>
      <c r="R4">
        <v>2.1459890798781434</v>
      </c>
      <c r="S4">
        <v>2.5870424199949773</v>
      </c>
      <c r="T4">
        <v>3.1075406496209581</v>
      </c>
      <c r="U4">
        <v>3.9727976245909611</v>
      </c>
      <c r="V4">
        <v>0.32609041653815779</v>
      </c>
      <c r="W4">
        <v>0.36426988485367917</v>
      </c>
      <c r="X4">
        <v>0.44243759459002985</v>
      </c>
      <c r="Y4">
        <v>0.51309063729300908</v>
      </c>
      <c r="Z4">
        <v>0.59781190569473242</v>
      </c>
    </row>
    <row r="5" spans="1:26" x14ac:dyDescent="0.25">
      <c r="A5" t="s">
        <v>104</v>
      </c>
      <c r="B5">
        <v>21</v>
      </c>
      <c r="C5">
        <v>19</v>
      </c>
      <c r="D5">
        <v>37</v>
      </c>
      <c r="E5">
        <v>27</v>
      </c>
      <c r="F5">
        <v>43</v>
      </c>
      <c r="G5">
        <v>735266</v>
      </c>
      <c r="H5">
        <v>767192</v>
      </c>
      <c r="I5">
        <v>846564</v>
      </c>
      <c r="J5">
        <v>925276</v>
      </c>
      <c r="K5">
        <v>915655</v>
      </c>
      <c r="L5">
        <v>2.8561092176164816E-5</v>
      </c>
      <c r="M5">
        <v>2.4765638849205935E-5</v>
      </c>
      <c r="N5">
        <v>4.3706087194825197E-5</v>
      </c>
      <c r="O5">
        <v>2.9180482364181067E-5</v>
      </c>
      <c r="P5">
        <v>4.6960918686623239E-5</v>
      </c>
      <c r="Q5">
        <v>1.6532474460927287</v>
      </c>
      <c r="R5">
        <v>2.3681456284758258</v>
      </c>
      <c r="S5">
        <v>4.8031017232256463</v>
      </c>
      <c r="T5">
        <v>3.2783074385699509</v>
      </c>
      <c r="U5">
        <v>3.6846170549659756</v>
      </c>
      <c r="V5">
        <v>0.24620675582095644</v>
      </c>
      <c r="W5">
        <v>0.40620144714317102</v>
      </c>
      <c r="X5">
        <v>0.65535672207925688</v>
      </c>
      <c r="Y5">
        <v>0.53252541367889361</v>
      </c>
      <c r="Z5">
        <v>0.5730707597796324</v>
      </c>
    </row>
    <row r="6" spans="1:26" x14ac:dyDescent="0.25">
      <c r="A6" t="s">
        <v>22</v>
      </c>
      <c r="B6">
        <v>4158</v>
      </c>
      <c r="C6">
        <v>3093</v>
      </c>
      <c r="D6">
        <v>2709</v>
      </c>
      <c r="E6">
        <v>2182</v>
      </c>
      <c r="F6">
        <v>3484</v>
      </c>
      <c r="G6">
        <v>61395860</v>
      </c>
      <c r="H6">
        <v>95168654</v>
      </c>
      <c r="I6">
        <v>109265861</v>
      </c>
      <c r="J6">
        <v>80492407</v>
      </c>
      <c r="K6">
        <v>79688269</v>
      </c>
      <c r="L6">
        <v>6.7724436142762724E-5</v>
      </c>
      <c r="M6">
        <v>3.2500196966114497E-5</v>
      </c>
      <c r="N6">
        <v>2.4792739243595949E-5</v>
      </c>
      <c r="O6">
        <v>2.710814698335459E-5</v>
      </c>
      <c r="P6">
        <v>4.3720362403655677E-5</v>
      </c>
      <c r="Q6">
        <v>3.9202020147020606</v>
      </c>
      <c r="R6">
        <v>3.107741328157787</v>
      </c>
      <c r="S6">
        <v>2.7246101453460496</v>
      </c>
      <c r="T6">
        <v>3.0454890632810478</v>
      </c>
      <c r="U6">
        <v>3.4303586358009222</v>
      </c>
      <c r="V6">
        <v>0.59351262528981574</v>
      </c>
      <c r="W6">
        <v>0.51311442463760326</v>
      </c>
      <c r="X6">
        <v>0.46303104970622849</v>
      </c>
      <c r="Y6">
        <v>0.50562219580494361</v>
      </c>
      <c r="Z6">
        <v>0.54856927747601203</v>
      </c>
    </row>
    <row r="7" spans="1:26" x14ac:dyDescent="0.25">
      <c r="A7" t="s">
        <v>71</v>
      </c>
      <c r="B7">
        <v>167</v>
      </c>
      <c r="C7">
        <v>189</v>
      </c>
      <c r="D7">
        <v>211</v>
      </c>
      <c r="E7">
        <v>261</v>
      </c>
      <c r="F7">
        <v>308</v>
      </c>
      <c r="G7">
        <v>4864446</v>
      </c>
      <c r="H7">
        <v>5734482</v>
      </c>
      <c r="I7">
        <v>6202467</v>
      </c>
      <c r="J7">
        <v>9112531</v>
      </c>
      <c r="K7">
        <v>7669566</v>
      </c>
      <c r="L7">
        <v>3.433073365394538E-5</v>
      </c>
      <c r="M7">
        <v>3.2958513079298183E-5</v>
      </c>
      <c r="N7">
        <v>3.4018721905332183E-5</v>
      </c>
      <c r="O7">
        <v>2.8641877871252236E-5</v>
      </c>
      <c r="P7">
        <v>4.0158726060900968E-5</v>
      </c>
      <c r="Q7">
        <v>1.9872208452602758</v>
      </c>
      <c r="R7">
        <v>3.1515665372107233</v>
      </c>
      <c r="S7">
        <v>3.7385040000739544</v>
      </c>
      <c r="T7">
        <v>3.2177974341917097</v>
      </c>
      <c r="U7">
        <v>3.1509078418402243</v>
      </c>
      <c r="V7">
        <v>0.33048137261986049</v>
      </c>
      <c r="W7">
        <v>0.51825413802864828</v>
      </c>
      <c r="X7">
        <v>0.57792586015147707</v>
      </c>
      <c r="Y7">
        <v>0.52581885896488634</v>
      </c>
      <c r="Z7">
        <v>0.51817769119312973</v>
      </c>
    </row>
    <row r="8" spans="1:26" x14ac:dyDescent="0.25">
      <c r="A8" t="s">
        <v>31</v>
      </c>
      <c r="B8">
        <v>638</v>
      </c>
      <c r="C8">
        <v>910</v>
      </c>
      <c r="D8">
        <v>1251</v>
      </c>
      <c r="E8">
        <v>1539</v>
      </c>
      <c r="F8">
        <v>1689</v>
      </c>
      <c r="G8">
        <v>26154982</v>
      </c>
      <c r="H8">
        <v>33793017</v>
      </c>
      <c r="I8">
        <v>39756632</v>
      </c>
      <c r="J8">
        <v>39644484</v>
      </c>
      <c r="K8">
        <v>42112733</v>
      </c>
      <c r="L8">
        <v>2.4393058270886978E-5</v>
      </c>
      <c r="M8">
        <v>2.692864031642987E-5</v>
      </c>
      <c r="N8">
        <v>3.1466448163918912E-5</v>
      </c>
      <c r="O8">
        <v>3.8820028531585885E-5</v>
      </c>
      <c r="P8">
        <v>4.0106634732065477E-5</v>
      </c>
      <c r="Q8">
        <v>1.4119824634153828</v>
      </c>
      <c r="R8">
        <v>2.5749766535174992</v>
      </c>
      <c r="S8">
        <v>3.458020635116565</v>
      </c>
      <c r="T8">
        <v>4.3612708903267414</v>
      </c>
      <c r="U8">
        <v>3.1468206858813743</v>
      </c>
      <c r="V8">
        <v>0.17080657494997414</v>
      </c>
      <c r="W8">
        <v>0.44055578711761506</v>
      </c>
      <c r="X8">
        <v>0.55137040321310549</v>
      </c>
      <c r="Y8">
        <v>0.62695412320825472</v>
      </c>
      <c r="Z8">
        <v>0.51770280137518998</v>
      </c>
    </row>
    <row r="9" spans="1:26" x14ac:dyDescent="0.25">
      <c r="A9" t="s">
        <v>8</v>
      </c>
      <c r="B9">
        <v>28612</v>
      </c>
      <c r="C9">
        <v>21152</v>
      </c>
      <c r="D9">
        <v>23293</v>
      </c>
      <c r="E9">
        <v>19678</v>
      </c>
      <c r="F9">
        <v>21769</v>
      </c>
      <c r="G9">
        <v>405666523</v>
      </c>
      <c r="H9">
        <v>491713789</v>
      </c>
      <c r="I9">
        <v>570189759</v>
      </c>
      <c r="J9">
        <v>559231481</v>
      </c>
      <c r="K9">
        <v>554263254</v>
      </c>
      <c r="L9">
        <v>7.0530838454224633E-5</v>
      </c>
      <c r="M9">
        <v>4.3016894122527851E-5</v>
      </c>
      <c r="N9">
        <v>4.0851312448773742E-5</v>
      </c>
      <c r="O9">
        <v>3.5187575572126995E-5</v>
      </c>
      <c r="P9">
        <v>3.9275560562418233E-5</v>
      </c>
      <c r="Q9">
        <v>4.082649494844472</v>
      </c>
      <c r="R9">
        <v>4.1133713685782043</v>
      </c>
      <c r="S9">
        <v>4.4893748631418573</v>
      </c>
      <c r="T9">
        <v>3.9531797077126081</v>
      </c>
      <c r="U9">
        <v>3.0816134849776113</v>
      </c>
      <c r="V9">
        <v>0.60650444182140095</v>
      </c>
      <c r="W9">
        <v>0.60886861996958597</v>
      </c>
      <c r="X9">
        <v>0.63565978825222824</v>
      </c>
      <c r="Y9">
        <v>0.59621897083891484</v>
      </c>
      <c r="Z9">
        <v>0.50999769886075574</v>
      </c>
    </row>
    <row r="10" spans="1:26" x14ac:dyDescent="0.25">
      <c r="A10" t="s">
        <v>88</v>
      </c>
      <c r="B10">
        <v>18</v>
      </c>
      <c r="C10">
        <v>30</v>
      </c>
      <c r="D10">
        <v>54</v>
      </c>
      <c r="E10">
        <v>58</v>
      </c>
      <c r="F10">
        <v>84</v>
      </c>
      <c r="G10">
        <v>1501237</v>
      </c>
      <c r="H10">
        <v>1673621</v>
      </c>
      <c r="I10">
        <v>2147541</v>
      </c>
      <c r="J10">
        <v>2118006</v>
      </c>
      <c r="K10">
        <v>2153549</v>
      </c>
      <c r="L10">
        <v>1.1990112154176856E-5</v>
      </c>
      <c r="M10">
        <v>1.7925205288413566E-5</v>
      </c>
      <c r="N10">
        <v>2.5145037975992076E-5</v>
      </c>
      <c r="O10">
        <v>2.738424725897849E-5</v>
      </c>
      <c r="P10">
        <v>3.9005381349576907E-5</v>
      </c>
      <c r="Q10">
        <v>0.69404286695313822</v>
      </c>
      <c r="R10">
        <v>1.7140481132651824</v>
      </c>
      <c r="S10">
        <v>2.763326186000048</v>
      </c>
      <c r="T10">
        <v>3.07650779614751</v>
      </c>
      <c r="U10">
        <v>3.0604148593251708</v>
      </c>
      <c r="V10">
        <v>-0.18060766879952003</v>
      </c>
      <c r="W10">
        <v>0.26309338798203341</v>
      </c>
      <c r="X10">
        <v>0.46855523514273062</v>
      </c>
      <c r="Y10">
        <v>0.50938398746836855</v>
      </c>
      <c r="Z10">
        <v>0.50743949342841432</v>
      </c>
    </row>
    <row r="11" spans="1:26" x14ac:dyDescent="0.25">
      <c r="A11" t="s">
        <v>7</v>
      </c>
      <c r="B11">
        <v>101167</v>
      </c>
      <c r="C11">
        <v>68774</v>
      </c>
      <c r="D11">
        <v>74887</v>
      </c>
      <c r="E11">
        <v>75117</v>
      </c>
      <c r="F11">
        <v>110760</v>
      </c>
      <c r="G11">
        <v>2406931650</v>
      </c>
      <c r="H11">
        <v>2935314152</v>
      </c>
      <c r="I11">
        <v>3375948186</v>
      </c>
      <c r="J11">
        <v>3172533052</v>
      </c>
      <c r="K11">
        <v>3359310385</v>
      </c>
      <c r="L11">
        <v>4.2031521750939624E-5</v>
      </c>
      <c r="M11">
        <v>2.342986012353747E-5</v>
      </c>
      <c r="N11">
        <v>2.2182508698017085E-5</v>
      </c>
      <c r="O11">
        <v>2.3677294694422619E-5</v>
      </c>
      <c r="P11">
        <v>3.297105277754797E-5</v>
      </c>
      <c r="Q11">
        <v>2.4329778973971585</v>
      </c>
      <c r="R11">
        <v>2.2404154871673887</v>
      </c>
      <c r="S11">
        <v>2.4377575891883696</v>
      </c>
      <c r="T11">
        <v>2.6600468886428876</v>
      </c>
      <c r="U11">
        <v>2.586953296101969</v>
      </c>
      <c r="V11">
        <v>0.4174154160688377</v>
      </c>
      <c r="W11">
        <v>0.38279519773919446</v>
      </c>
      <c r="X11">
        <v>0.41822541348176157</v>
      </c>
      <c r="Y11">
        <v>0.45355891308223595</v>
      </c>
      <c r="Z11">
        <v>0.44242374101345294</v>
      </c>
    </row>
    <row r="12" spans="1:26" x14ac:dyDescent="0.25">
      <c r="A12" t="s">
        <v>61</v>
      </c>
      <c r="B12">
        <v>284</v>
      </c>
      <c r="C12">
        <v>277</v>
      </c>
      <c r="D12">
        <v>279</v>
      </c>
      <c r="E12">
        <v>461</v>
      </c>
      <c r="F12">
        <v>422</v>
      </c>
      <c r="G12">
        <v>11354653</v>
      </c>
      <c r="H12">
        <v>13856704</v>
      </c>
      <c r="I12">
        <v>19053292</v>
      </c>
      <c r="J12">
        <v>18122412</v>
      </c>
      <c r="K12">
        <v>12852475</v>
      </c>
      <c r="L12">
        <v>2.5011772706748503E-5</v>
      </c>
      <c r="M12">
        <v>1.9990323817265635E-5</v>
      </c>
      <c r="N12">
        <v>1.4643138833961082E-5</v>
      </c>
      <c r="O12">
        <v>2.5438114970567937E-5</v>
      </c>
      <c r="P12">
        <v>3.2834142840192261E-5</v>
      </c>
      <c r="Q12">
        <v>1.4477965021306949</v>
      </c>
      <c r="R12">
        <v>1.9115193534041082</v>
      </c>
      <c r="S12">
        <v>1.6092148687050214</v>
      </c>
      <c r="T12">
        <v>2.8578678203611969</v>
      </c>
      <c r="U12">
        <v>2.5762111576540079</v>
      </c>
      <c r="V12">
        <v>0.18293861509357848</v>
      </c>
      <c r="W12">
        <v>0.31307343100377211</v>
      </c>
      <c r="X12">
        <v>0.2334858949379591</v>
      </c>
      <c r="Y12">
        <v>0.48157892049999063</v>
      </c>
      <c r="Z12">
        <v>0.44074890664118427</v>
      </c>
    </row>
    <row r="13" spans="1:26" x14ac:dyDescent="0.25">
      <c r="A13" t="s">
        <v>66</v>
      </c>
      <c r="B13">
        <v>429</v>
      </c>
      <c r="C13">
        <v>239</v>
      </c>
      <c r="D13">
        <v>291</v>
      </c>
      <c r="E13">
        <v>274</v>
      </c>
      <c r="F13">
        <v>357</v>
      </c>
      <c r="G13">
        <v>7667928</v>
      </c>
      <c r="H13">
        <v>10320440</v>
      </c>
      <c r="I13">
        <v>12973465</v>
      </c>
      <c r="J13">
        <v>12486206</v>
      </c>
      <c r="K13">
        <v>12522742</v>
      </c>
      <c r="L13">
        <v>5.5947317189206783E-5</v>
      </c>
      <c r="M13">
        <v>2.315792737518943E-5</v>
      </c>
      <c r="N13">
        <v>2.2430399280377293E-5</v>
      </c>
      <c r="O13">
        <v>2.194421588110912E-5</v>
      </c>
      <c r="P13">
        <v>2.8508133442340344E-5</v>
      </c>
      <c r="Q13">
        <v>3.2384881743418026</v>
      </c>
      <c r="R13">
        <v>2.2144126712028624</v>
      </c>
      <c r="S13">
        <v>2.4649996453806406</v>
      </c>
      <c r="T13">
        <v>2.4653425964243421</v>
      </c>
      <c r="U13">
        <v>2.2367866222517931</v>
      </c>
      <c r="V13">
        <v>0.52813363686909864</v>
      </c>
      <c r="W13">
        <v>0.37780235315847549</v>
      </c>
      <c r="X13">
        <v>0.42279936372683408</v>
      </c>
      <c r="Y13">
        <v>0.42285648695639277</v>
      </c>
      <c r="Z13">
        <v>0.38210322971224336</v>
      </c>
    </row>
    <row r="14" spans="1:26" x14ac:dyDescent="0.25">
      <c r="A14" t="s">
        <v>10</v>
      </c>
      <c r="B14">
        <v>15356</v>
      </c>
      <c r="C14">
        <v>10767</v>
      </c>
      <c r="D14">
        <v>10537</v>
      </c>
      <c r="E14">
        <v>9894</v>
      </c>
      <c r="F14">
        <v>17658</v>
      </c>
      <c r="G14">
        <v>484088531</v>
      </c>
      <c r="H14">
        <v>623369107</v>
      </c>
      <c r="I14">
        <v>710771872</v>
      </c>
      <c r="J14">
        <v>664131324</v>
      </c>
      <c r="K14">
        <v>636885898</v>
      </c>
      <c r="L14">
        <v>3.1721470385341562E-5</v>
      </c>
      <c r="M14">
        <v>1.7272270760764537E-5</v>
      </c>
      <c r="N14">
        <v>1.4824728460835883E-5</v>
      </c>
      <c r="O14">
        <v>1.4897655994313559E-5</v>
      </c>
      <c r="P14">
        <v>2.7725531457755719E-5</v>
      </c>
      <c r="Q14">
        <v>1.8361846801026001</v>
      </c>
      <c r="R14">
        <v>1.6516130573093151</v>
      </c>
      <c r="S14">
        <v>1.6291707491267657</v>
      </c>
      <c r="T14">
        <v>1.6736905118252661</v>
      </c>
      <c r="U14">
        <v>2.1753826144023445</v>
      </c>
      <c r="V14">
        <v>0.29482730302046151</v>
      </c>
      <c r="W14">
        <v>0.24574213628685695</v>
      </c>
      <c r="X14">
        <v>0.23930387531343641</v>
      </c>
      <c r="Y14">
        <v>0.25197026688229268</v>
      </c>
      <c r="Z14">
        <v>0.37015464185992891</v>
      </c>
    </row>
    <row r="15" spans="1:26" x14ac:dyDescent="0.25">
      <c r="A15" t="s">
        <v>50</v>
      </c>
      <c r="B15">
        <v>449</v>
      </c>
      <c r="C15">
        <v>508</v>
      </c>
      <c r="D15">
        <v>362</v>
      </c>
      <c r="E15">
        <v>444</v>
      </c>
      <c r="F15">
        <v>630</v>
      </c>
      <c r="G15">
        <v>14456986</v>
      </c>
      <c r="H15">
        <v>18430776</v>
      </c>
      <c r="I15">
        <v>21143801</v>
      </c>
      <c r="J15">
        <v>22515896</v>
      </c>
      <c r="K15">
        <v>23683764</v>
      </c>
      <c r="L15">
        <v>3.1057649222320615E-5</v>
      </c>
      <c r="M15">
        <v>2.7562594217411138E-5</v>
      </c>
      <c r="N15">
        <v>1.7120857314160305E-5</v>
      </c>
      <c r="O15">
        <v>1.9719401795069582E-5</v>
      </c>
      <c r="P15">
        <v>2.6600501508121767E-5</v>
      </c>
      <c r="Q15">
        <v>1.7977596564495286</v>
      </c>
      <c r="R15">
        <v>2.6355967396136073</v>
      </c>
      <c r="S15">
        <v>1.8815049469466163</v>
      </c>
      <c r="T15">
        <v>2.2153938643687159</v>
      </c>
      <c r="U15">
        <v>2.0871112463009034</v>
      </c>
      <c r="V15">
        <v>0.28514231185316263</v>
      </c>
      <c r="W15">
        <v>0.44988398239883975</v>
      </c>
      <c r="X15">
        <v>0.30591824868484163</v>
      </c>
      <c r="Y15">
        <v>0.37799221981389713</v>
      </c>
      <c r="Z15">
        <v>0.35214514786388806</v>
      </c>
    </row>
    <row r="16" spans="1:26" x14ac:dyDescent="0.25">
      <c r="A16" t="s">
        <v>77</v>
      </c>
      <c r="B16">
        <v>0</v>
      </c>
      <c r="C16">
        <v>2</v>
      </c>
      <c r="D16">
        <v>2</v>
      </c>
      <c r="E16">
        <v>148</v>
      </c>
      <c r="F16">
        <v>252</v>
      </c>
      <c r="G16">
        <v>7079997</v>
      </c>
      <c r="H16">
        <v>9559086</v>
      </c>
      <c r="I16">
        <v>13049406</v>
      </c>
      <c r="J16">
        <v>11495579</v>
      </c>
      <c r="K16">
        <v>9904187</v>
      </c>
      <c r="L16">
        <v>0</v>
      </c>
      <c r="M16">
        <v>2.0922502423348842E-7</v>
      </c>
      <c r="N16">
        <v>1.5326368112081117E-7</v>
      </c>
      <c r="O16">
        <v>1.2874514628623752E-5</v>
      </c>
      <c r="P16">
        <v>2.5443784532743576E-5</v>
      </c>
      <c r="Q16">
        <v>0</v>
      </c>
      <c r="R16">
        <v>2.0006563510158382E-2</v>
      </c>
      <c r="S16">
        <v>1.6842986827391705E-2</v>
      </c>
      <c r="T16">
        <v>1.4463988822475176</v>
      </c>
      <c r="U16">
        <v>1.996353671397217</v>
      </c>
      <c r="V16">
        <v>-1</v>
      </c>
      <c r="W16">
        <v>-0.96077169652456051</v>
      </c>
      <c r="X16">
        <v>-0.96687200079937075</v>
      </c>
      <c r="Y16">
        <v>0.18247183052888288</v>
      </c>
      <c r="Z16">
        <v>0.33252205202218721</v>
      </c>
    </row>
    <row r="17" spans="1:26" x14ac:dyDescent="0.25">
      <c r="A17" t="s">
        <v>36</v>
      </c>
      <c r="B17">
        <v>884</v>
      </c>
      <c r="C17">
        <v>847</v>
      </c>
      <c r="D17">
        <v>619</v>
      </c>
      <c r="E17">
        <v>815</v>
      </c>
      <c r="F17">
        <v>1296</v>
      </c>
      <c r="G17">
        <v>34978940</v>
      </c>
      <c r="H17">
        <v>46309122</v>
      </c>
      <c r="I17">
        <v>58148475</v>
      </c>
      <c r="J17">
        <v>53657409</v>
      </c>
      <c r="K17">
        <v>53813484</v>
      </c>
      <c r="L17">
        <v>2.5272349590925281E-5</v>
      </c>
      <c r="M17">
        <v>1.8290132989349269E-5</v>
      </c>
      <c r="N17">
        <v>1.0645163093271148E-5</v>
      </c>
      <c r="O17">
        <v>1.5188955545729016E-5</v>
      </c>
      <c r="P17">
        <v>2.4083183315170599E-5</v>
      </c>
      <c r="Q17">
        <v>1.4628798912958885</v>
      </c>
      <c r="R17">
        <v>1.7489433140287325</v>
      </c>
      <c r="S17">
        <v>1.1698553789404984</v>
      </c>
      <c r="T17">
        <v>1.7064168209499433</v>
      </c>
      <c r="U17">
        <v>1.8895990637045676</v>
      </c>
      <c r="V17">
        <v>0.18794253545686951</v>
      </c>
      <c r="W17">
        <v>0.27244771116473609</v>
      </c>
      <c r="X17">
        <v>7.8279585169144184E-2</v>
      </c>
      <c r="Y17">
        <v>0.26101553001063349</v>
      </c>
      <c r="Z17">
        <v>0.30786245568756188</v>
      </c>
    </row>
    <row r="18" spans="1:26" x14ac:dyDescent="0.25">
      <c r="A18" t="s">
        <v>33</v>
      </c>
      <c r="B18">
        <v>1872</v>
      </c>
      <c r="C18">
        <v>1280</v>
      </c>
      <c r="D18">
        <v>1426</v>
      </c>
      <c r="E18">
        <v>1373</v>
      </c>
      <c r="F18">
        <v>1459</v>
      </c>
      <c r="G18">
        <v>42355637</v>
      </c>
      <c r="H18">
        <v>63183753</v>
      </c>
      <c r="I18">
        <v>76162545</v>
      </c>
      <c r="J18">
        <v>73713616</v>
      </c>
      <c r="K18">
        <v>60821974</v>
      </c>
      <c r="L18">
        <v>4.4197186787675981E-5</v>
      </c>
      <c r="M18">
        <v>2.0258372433179143E-5</v>
      </c>
      <c r="N18">
        <v>1.8723113835022189E-5</v>
      </c>
      <c r="O18">
        <v>1.8626138215767357E-5</v>
      </c>
      <c r="P18">
        <v>2.398804090113879E-5</v>
      </c>
      <c r="Q18">
        <v>2.5583365555672635</v>
      </c>
      <c r="R18">
        <v>1.9371507599613804</v>
      </c>
      <c r="S18">
        <v>2.0575857070955692</v>
      </c>
      <c r="T18">
        <v>2.0925701879258787</v>
      </c>
      <c r="U18">
        <v>1.8821340615028093</v>
      </c>
      <c r="V18">
        <v>0.43793961904169471</v>
      </c>
      <c r="W18">
        <v>0.31906798000852454</v>
      </c>
      <c r="X18">
        <v>0.34588914536108956</v>
      </c>
      <c r="Y18">
        <v>0.35328872799444605</v>
      </c>
      <c r="Z18">
        <v>0.30606975341141657</v>
      </c>
    </row>
    <row r="19" spans="1:26" x14ac:dyDescent="0.25">
      <c r="A19" t="s">
        <v>11</v>
      </c>
      <c r="B19">
        <v>10834</v>
      </c>
      <c r="C19">
        <v>8561</v>
      </c>
      <c r="D19">
        <v>9898</v>
      </c>
      <c r="E19">
        <v>7474</v>
      </c>
      <c r="F19">
        <v>14727</v>
      </c>
      <c r="G19">
        <v>426475840</v>
      </c>
      <c r="H19">
        <v>568202425</v>
      </c>
      <c r="I19">
        <v>695235843</v>
      </c>
      <c r="J19">
        <v>639928812</v>
      </c>
      <c r="K19">
        <v>615599099</v>
      </c>
      <c r="L19">
        <v>2.5403549237396426E-5</v>
      </c>
      <c r="M19">
        <v>1.5066813556805922E-5</v>
      </c>
      <c r="N19">
        <v>1.4236895435783797E-5</v>
      </c>
      <c r="O19">
        <v>1.1679424116943807E-5</v>
      </c>
      <c r="P19">
        <v>2.3923036963379312E-5</v>
      </c>
      <c r="Q19">
        <v>1.4704743305812917</v>
      </c>
      <c r="R19">
        <v>1.4407223200201951</v>
      </c>
      <c r="S19">
        <v>1.5645705527511242</v>
      </c>
      <c r="T19">
        <v>1.3121353678440029</v>
      </c>
      <c r="U19">
        <v>1.877033764821928</v>
      </c>
      <c r="V19">
        <v>0.19043886623610101</v>
      </c>
      <c r="W19">
        <v>0.18057044687350932</v>
      </c>
      <c r="X19">
        <v>0.22014233616832468</v>
      </c>
      <c r="Y19">
        <v>0.13499874280071231</v>
      </c>
      <c r="Z19">
        <v>0.30483958010698264</v>
      </c>
    </row>
    <row r="20" spans="1:26" x14ac:dyDescent="0.25">
      <c r="A20" t="s">
        <v>111</v>
      </c>
      <c r="B20">
        <v>10</v>
      </c>
      <c r="C20">
        <v>20</v>
      </c>
      <c r="D20">
        <v>21</v>
      </c>
      <c r="E20">
        <v>26</v>
      </c>
      <c r="F20">
        <v>36</v>
      </c>
      <c r="G20">
        <v>1065045</v>
      </c>
      <c r="H20">
        <v>1200014</v>
      </c>
      <c r="I20">
        <v>1407302</v>
      </c>
      <c r="J20">
        <v>1468137</v>
      </c>
      <c r="K20">
        <v>1507925</v>
      </c>
      <c r="L20">
        <v>9.3892746315883373E-6</v>
      </c>
      <c r="M20">
        <v>1.6666472224490715E-5</v>
      </c>
      <c r="N20">
        <v>1.4922170223590956E-5</v>
      </c>
      <c r="O20">
        <v>1.7709518934540849E-5</v>
      </c>
      <c r="P20">
        <v>2.3873866405822571E-5</v>
      </c>
      <c r="Q20">
        <v>0.54349442274798421</v>
      </c>
      <c r="R20">
        <v>1.5936852499892991</v>
      </c>
      <c r="S20">
        <v>1.6398791590678516</v>
      </c>
      <c r="T20">
        <v>1.9895917734336603</v>
      </c>
      <c r="U20">
        <v>1.8731757765192554</v>
      </c>
      <c r="V20">
        <v>-0.295761079874373</v>
      </c>
      <c r="W20">
        <v>0.22889641292895829</v>
      </c>
      <c r="X20">
        <v>0.24238956426088634</v>
      </c>
      <c r="Y20">
        <v>0.33101234162719029</v>
      </c>
      <c r="Z20">
        <v>0.30390614582483882</v>
      </c>
    </row>
    <row r="21" spans="1:26" x14ac:dyDescent="0.25">
      <c r="A21" t="s">
        <v>19</v>
      </c>
      <c r="B21">
        <v>4291</v>
      </c>
      <c r="C21">
        <v>3459</v>
      </c>
      <c r="D21">
        <v>4605</v>
      </c>
      <c r="E21">
        <v>3652</v>
      </c>
      <c r="F21">
        <v>4866</v>
      </c>
      <c r="G21">
        <v>172259029</v>
      </c>
      <c r="H21">
        <v>219819100</v>
      </c>
      <c r="I21">
        <v>233952070</v>
      </c>
      <c r="J21">
        <v>226369849</v>
      </c>
      <c r="K21">
        <v>211991694</v>
      </c>
      <c r="L21">
        <v>2.4910160151895435E-5</v>
      </c>
      <c r="M21">
        <v>1.573566628195639E-5</v>
      </c>
      <c r="N21">
        <v>1.9683518936165003E-5</v>
      </c>
      <c r="O21">
        <v>1.6132890559996794E-5</v>
      </c>
      <c r="P21">
        <v>2.2953729498477425E-5</v>
      </c>
      <c r="Q21">
        <v>1.4419146998604728</v>
      </c>
      <c r="R21">
        <v>1.5046795095279477</v>
      </c>
      <c r="S21">
        <v>2.1631298930971914</v>
      </c>
      <c r="T21">
        <v>1.812464045947128</v>
      </c>
      <c r="U21">
        <v>1.8009805930235521</v>
      </c>
      <c r="V21">
        <v>0.18097057193919311</v>
      </c>
      <c r="W21">
        <v>0.20149464536605075</v>
      </c>
      <c r="X21">
        <v>0.36771486862915642</v>
      </c>
      <c r="Y21">
        <v>0.28887979816770309</v>
      </c>
      <c r="Z21">
        <v>0.28596434942054488</v>
      </c>
    </row>
    <row r="22" spans="1:26" x14ac:dyDescent="0.25">
      <c r="A22" t="s">
        <v>51</v>
      </c>
      <c r="B22">
        <v>380</v>
      </c>
      <c r="C22">
        <v>429</v>
      </c>
      <c r="D22">
        <v>420</v>
      </c>
      <c r="E22">
        <v>460</v>
      </c>
      <c r="F22">
        <v>609</v>
      </c>
      <c r="G22">
        <v>14739520</v>
      </c>
      <c r="H22">
        <v>20595840</v>
      </c>
      <c r="I22">
        <v>29249346</v>
      </c>
      <c r="J22">
        <v>34284541</v>
      </c>
      <c r="K22">
        <v>26686634</v>
      </c>
      <c r="L22">
        <v>2.5781029504352923E-5</v>
      </c>
      <c r="M22">
        <v>2.0829449053789504E-5</v>
      </c>
      <c r="N22">
        <v>1.4359295418092425E-5</v>
      </c>
      <c r="O22">
        <v>1.3417125811892888E-5</v>
      </c>
      <c r="P22">
        <v>2.2820412645521351E-5</v>
      </c>
      <c r="Q22">
        <v>1.4923246255016323</v>
      </c>
      <c r="R22">
        <v>1.9917583802556793</v>
      </c>
      <c r="S22">
        <v>1.5780217583767555</v>
      </c>
      <c r="T22">
        <v>1.5073590218422619</v>
      </c>
      <c r="U22">
        <v>1.790520372826534</v>
      </c>
      <c r="V22">
        <v>0.19753631628245125</v>
      </c>
      <c r="W22">
        <v>0.33149681698925249</v>
      </c>
      <c r="X22">
        <v>0.22421135760339947</v>
      </c>
      <c r="Y22">
        <v>0.20234797546842093</v>
      </c>
      <c r="Z22">
        <v>0.28328779840650703</v>
      </c>
    </row>
    <row r="23" spans="1:26" x14ac:dyDescent="0.25">
      <c r="A23" t="s">
        <v>47</v>
      </c>
      <c r="B23">
        <v>345</v>
      </c>
      <c r="C23">
        <v>347</v>
      </c>
      <c r="D23">
        <v>499</v>
      </c>
      <c r="E23">
        <v>491</v>
      </c>
      <c r="F23">
        <v>726</v>
      </c>
      <c r="G23">
        <v>18537603</v>
      </c>
      <c r="H23">
        <v>26942694</v>
      </c>
      <c r="I23">
        <v>29990014</v>
      </c>
      <c r="J23">
        <v>31356398</v>
      </c>
      <c r="K23">
        <v>32702358</v>
      </c>
      <c r="L23">
        <v>1.8610820395711356E-5</v>
      </c>
      <c r="M23">
        <v>1.2879187211197218E-5</v>
      </c>
      <c r="N23">
        <v>1.6638871859146181E-5</v>
      </c>
      <c r="O23">
        <v>1.5658686307017789E-5</v>
      </c>
      <c r="P23">
        <v>2.2200234001474757E-5</v>
      </c>
      <c r="Q23">
        <v>1.0772799268011688</v>
      </c>
      <c r="R23">
        <v>1.2315366091796325</v>
      </c>
      <c r="S23">
        <v>1.8285369207943658</v>
      </c>
      <c r="T23">
        <v>1.7591891442323151</v>
      </c>
      <c r="U23">
        <v>1.7418603194696418</v>
      </c>
      <c r="V23">
        <v>3.7202461644239342E-2</v>
      </c>
      <c r="W23">
        <v>0.10375658110522822</v>
      </c>
      <c r="X23">
        <v>0.292920666760001</v>
      </c>
      <c r="Y23">
        <v>0.27514936618944369</v>
      </c>
      <c r="Z23">
        <v>0.27056823945471442</v>
      </c>
    </row>
    <row r="24" spans="1:26" x14ac:dyDescent="0.25">
      <c r="A24" t="s">
        <v>69</v>
      </c>
      <c r="B24">
        <v>95</v>
      </c>
      <c r="C24">
        <v>191</v>
      </c>
      <c r="D24">
        <v>322</v>
      </c>
      <c r="E24">
        <v>313</v>
      </c>
      <c r="F24">
        <v>315</v>
      </c>
      <c r="G24">
        <v>7971839</v>
      </c>
      <c r="H24">
        <v>11631003</v>
      </c>
      <c r="I24">
        <v>13826669</v>
      </c>
      <c r="J24">
        <v>14380540</v>
      </c>
      <c r="K24">
        <v>14508560</v>
      </c>
      <c r="L24">
        <v>1.1916949150628857E-5</v>
      </c>
      <c r="M24">
        <v>1.6421627610275742E-5</v>
      </c>
      <c r="N24">
        <v>2.3288327796087401E-5</v>
      </c>
      <c r="O24">
        <v>2.1765524799485972E-5</v>
      </c>
      <c r="P24">
        <v>2.1711320765120729E-5</v>
      </c>
      <c r="Q24">
        <v>0.68980785563010671</v>
      </c>
      <c r="R24">
        <v>1.5702726618328005</v>
      </c>
      <c r="S24">
        <v>2.5592821171526627</v>
      </c>
      <c r="T24">
        <v>2.4452673867420529</v>
      </c>
      <c r="U24">
        <v>1.7034995271459217</v>
      </c>
      <c r="V24">
        <v>-0.18356651813186581</v>
      </c>
      <c r="W24">
        <v>0.22187243801058545</v>
      </c>
      <c r="X24">
        <v>0.43808893642857671</v>
      </c>
      <c r="Y24">
        <v>0.41949353257853833</v>
      </c>
      <c r="Z24">
        <v>0.26021810622937469</v>
      </c>
    </row>
    <row r="25" spans="1:26" x14ac:dyDescent="0.25">
      <c r="A25" t="s">
        <v>74</v>
      </c>
      <c r="B25">
        <v>163</v>
      </c>
      <c r="C25">
        <v>114</v>
      </c>
      <c r="D25">
        <v>192</v>
      </c>
      <c r="E25">
        <v>197</v>
      </c>
      <c r="F25">
        <v>287</v>
      </c>
      <c r="G25">
        <v>8739614</v>
      </c>
      <c r="H25">
        <v>10412605</v>
      </c>
      <c r="I25">
        <v>12244599</v>
      </c>
      <c r="J25">
        <v>14136161</v>
      </c>
      <c r="K25">
        <v>13324465</v>
      </c>
      <c r="L25">
        <v>1.8650709287618425E-5</v>
      </c>
      <c r="M25">
        <v>1.0948268949028605E-5</v>
      </c>
      <c r="N25">
        <v>1.5680382836546954E-5</v>
      </c>
      <c r="O25">
        <v>1.3935891081036782E-5</v>
      </c>
      <c r="P25">
        <v>2.1539326344434842E-5</v>
      </c>
      <c r="Q25">
        <v>1.079588879423361</v>
      </c>
      <c r="R25">
        <v>1.0468978978852799</v>
      </c>
      <c r="S25">
        <v>1.7232033031768115</v>
      </c>
      <c r="T25">
        <v>1.5656401708473153</v>
      </c>
      <c r="U25">
        <v>1.6900046127885771</v>
      </c>
      <c r="V25">
        <v>3.8271448847826989E-2</v>
      </c>
      <c r="W25">
        <v>2.2911693804430446E-2</v>
      </c>
      <c r="X25">
        <v>0.26557080858896692</v>
      </c>
      <c r="Y25">
        <v>0.22046745965179906</v>
      </c>
      <c r="Z25">
        <v>0.25650685114375615</v>
      </c>
    </row>
    <row r="26" spans="1:26" x14ac:dyDescent="0.25">
      <c r="A26" t="s">
        <v>29</v>
      </c>
      <c r="B26">
        <v>1522</v>
      </c>
      <c r="C26">
        <v>1832</v>
      </c>
      <c r="D26">
        <v>407</v>
      </c>
      <c r="E26">
        <v>371</v>
      </c>
      <c r="F26">
        <v>1796</v>
      </c>
      <c r="G26">
        <v>42128767</v>
      </c>
      <c r="H26">
        <v>57733941</v>
      </c>
      <c r="I26">
        <v>69930680</v>
      </c>
      <c r="J26">
        <v>71694473</v>
      </c>
      <c r="K26">
        <v>84328690</v>
      </c>
      <c r="L26">
        <v>3.6127333135574561E-5</v>
      </c>
      <c r="M26">
        <v>3.1731767626949288E-5</v>
      </c>
      <c r="N26">
        <v>5.820049225890553E-6</v>
      </c>
      <c r="O26">
        <v>5.1747364123870468E-6</v>
      </c>
      <c r="P26">
        <v>2.1297615319294062E-5</v>
      </c>
      <c r="Q26">
        <v>2.0912162907542586</v>
      </c>
      <c r="R26">
        <v>3.0342624007044372</v>
      </c>
      <c r="S26">
        <v>0.63959714219036268</v>
      </c>
      <c r="T26">
        <v>0.58136039910673121</v>
      </c>
      <c r="U26">
        <v>1.6710396395615792</v>
      </c>
      <c r="V26">
        <v>0.35300548008175808</v>
      </c>
      <c r="W26">
        <v>0.50424642689311128</v>
      </c>
      <c r="X26">
        <v>-0.21981183580752628</v>
      </c>
      <c r="Y26">
        <v>-0.26473383368506459</v>
      </c>
      <c r="Z26">
        <v>0.25122788506116023</v>
      </c>
    </row>
    <row r="27" spans="1:26" x14ac:dyDescent="0.25">
      <c r="A27" t="s">
        <v>27</v>
      </c>
      <c r="B27">
        <v>1393</v>
      </c>
      <c r="C27">
        <v>1309</v>
      </c>
      <c r="D27">
        <v>1380</v>
      </c>
      <c r="E27">
        <v>1153</v>
      </c>
      <c r="F27">
        <v>1871</v>
      </c>
      <c r="G27">
        <v>55533638</v>
      </c>
      <c r="H27">
        <v>77285028</v>
      </c>
      <c r="I27">
        <v>97970296</v>
      </c>
      <c r="J27">
        <v>88606156</v>
      </c>
      <c r="K27">
        <v>89273160</v>
      </c>
      <c r="L27">
        <v>2.508389599831367E-5</v>
      </c>
      <c r="M27">
        <v>1.6937303820346679E-5</v>
      </c>
      <c r="N27">
        <v>1.4085902118740154E-5</v>
      </c>
      <c r="O27">
        <v>1.3012639889264578E-5</v>
      </c>
      <c r="P27">
        <v>2.0958146883116941E-5</v>
      </c>
      <c r="Q27">
        <v>1.4519713301396682</v>
      </c>
      <c r="R27">
        <v>1.6195827712963256</v>
      </c>
      <c r="S27">
        <v>1.5479770686889374</v>
      </c>
      <c r="T27">
        <v>1.4619166884222732</v>
      </c>
      <c r="U27">
        <v>1.6444044879388504</v>
      </c>
      <c r="V27">
        <v>0.18432977767073777</v>
      </c>
      <c r="W27">
        <v>0.23651963896132935</v>
      </c>
      <c r="X27">
        <v>0.21506357942652096</v>
      </c>
      <c r="Y27">
        <v>0.18762482524065177</v>
      </c>
      <c r="Z27">
        <v>0.24368605138812324</v>
      </c>
    </row>
    <row r="28" spans="1:26" x14ac:dyDescent="0.25">
      <c r="A28" t="s">
        <v>72</v>
      </c>
      <c r="B28">
        <v>76</v>
      </c>
      <c r="C28">
        <v>139</v>
      </c>
      <c r="D28">
        <v>71</v>
      </c>
      <c r="E28">
        <v>345</v>
      </c>
      <c r="F28">
        <v>307</v>
      </c>
      <c r="G28">
        <v>6990079</v>
      </c>
      <c r="H28">
        <v>8405066</v>
      </c>
      <c r="I28">
        <v>11203420</v>
      </c>
      <c r="J28">
        <v>11598278</v>
      </c>
      <c r="K28">
        <v>15068273</v>
      </c>
      <c r="L28">
        <v>1.08725523702951E-5</v>
      </c>
      <c r="M28">
        <v>1.653764527250589E-5</v>
      </c>
      <c r="N28">
        <v>6.3373505590257257E-6</v>
      </c>
      <c r="O28">
        <v>2.974579502233004E-5</v>
      </c>
      <c r="P28">
        <v>2.0373934026812494E-5</v>
      </c>
      <c r="Q28">
        <v>0.6293533639340505</v>
      </c>
      <c r="R28">
        <v>1.581366529481812</v>
      </c>
      <c r="S28">
        <v>0.69644622395631528</v>
      </c>
      <c r="T28">
        <v>3.3418179957018785</v>
      </c>
      <c r="U28">
        <v>1.5985663588248449</v>
      </c>
      <c r="V28">
        <v>-0.22748081801668146</v>
      </c>
      <c r="W28">
        <v>0.22521657534566256</v>
      </c>
      <c r="X28">
        <v>-0.17893510077540864</v>
      </c>
      <c r="Y28">
        <v>0.53936346434146432</v>
      </c>
      <c r="Z28">
        <v>0.23034484256755167</v>
      </c>
    </row>
    <row r="29" spans="1:26" x14ac:dyDescent="0.25">
      <c r="A29" t="s">
        <v>108</v>
      </c>
      <c r="B29">
        <v>110</v>
      </c>
      <c r="C29">
        <v>112</v>
      </c>
      <c r="D29">
        <v>81</v>
      </c>
      <c r="E29">
        <v>83</v>
      </c>
      <c r="F29">
        <v>37</v>
      </c>
      <c r="G29">
        <v>1714131</v>
      </c>
      <c r="H29">
        <v>2003096</v>
      </c>
      <c r="I29">
        <v>2220195</v>
      </c>
      <c r="J29">
        <v>2302657</v>
      </c>
      <c r="K29">
        <v>1827168</v>
      </c>
      <c r="L29">
        <v>6.417245823102201E-5</v>
      </c>
      <c r="M29">
        <v>5.5913445985614268E-5</v>
      </c>
      <c r="N29">
        <v>3.6483281873889453E-5</v>
      </c>
      <c r="O29">
        <v>3.6045316345421834E-5</v>
      </c>
      <c r="P29">
        <v>2.0249916811152558E-5</v>
      </c>
      <c r="Q29">
        <v>3.7145971878648099</v>
      </c>
      <c r="R29">
        <v>5.3465684245047109</v>
      </c>
      <c r="S29">
        <v>4.0093480172746512</v>
      </c>
      <c r="T29">
        <v>4.0495433634727629</v>
      </c>
      <c r="U29">
        <v>1.5888358007201511</v>
      </c>
      <c r="V29">
        <v>0.57578560366770626</v>
      </c>
      <c r="W29">
        <v>0.68486907156349131</v>
      </c>
      <c r="X29">
        <v>0.60074644582428005</v>
      </c>
      <c r="Y29">
        <v>0.60392458168246643</v>
      </c>
      <c r="Z29">
        <v>0.22745196916558064</v>
      </c>
    </row>
    <row r="30" spans="1:26" x14ac:dyDescent="0.25">
      <c r="A30" t="s">
        <v>17</v>
      </c>
      <c r="B30">
        <v>6340</v>
      </c>
      <c r="C30">
        <v>6152</v>
      </c>
      <c r="D30">
        <v>4638</v>
      </c>
      <c r="E30">
        <v>4283</v>
      </c>
      <c r="F30">
        <v>5289</v>
      </c>
      <c r="G30">
        <v>202277035</v>
      </c>
      <c r="H30">
        <v>248893435</v>
      </c>
      <c r="I30">
        <v>290113770</v>
      </c>
      <c r="J30">
        <v>276027533</v>
      </c>
      <c r="K30">
        <v>284464732</v>
      </c>
      <c r="L30">
        <v>3.1343152721217218E-5</v>
      </c>
      <c r="M30">
        <v>2.4717405663994313E-5</v>
      </c>
      <c r="N30">
        <v>1.5986831648839007E-5</v>
      </c>
      <c r="O30">
        <v>1.5516568051926907E-5</v>
      </c>
      <c r="P30">
        <v>1.8592814521555524E-5</v>
      </c>
      <c r="Q30">
        <v>1.8142859127806943</v>
      </c>
      <c r="R30">
        <v>2.3635334637179586</v>
      </c>
      <c r="S30">
        <v>1.756880644546658</v>
      </c>
      <c r="T30">
        <v>1.7432227415181185</v>
      </c>
      <c r="U30">
        <v>1.4588173187816444</v>
      </c>
      <c r="V30">
        <v>0.28934015164654248</v>
      </c>
      <c r="W30">
        <v>0.40538721508979597</v>
      </c>
      <c r="X30">
        <v>0.2745424057598691</v>
      </c>
      <c r="Y30">
        <v>0.27093051186460126</v>
      </c>
      <c r="Z30">
        <v>0.18660081628552649</v>
      </c>
    </row>
    <row r="31" spans="1:26" x14ac:dyDescent="0.25">
      <c r="A31" t="s">
        <v>114</v>
      </c>
      <c r="B31">
        <v>44</v>
      </c>
      <c r="C31">
        <v>65</v>
      </c>
      <c r="D31">
        <v>72</v>
      </c>
      <c r="E31">
        <v>65</v>
      </c>
      <c r="F31">
        <v>26</v>
      </c>
      <c r="G31">
        <v>939715</v>
      </c>
      <c r="H31">
        <v>1169779</v>
      </c>
      <c r="I31">
        <v>1474134</v>
      </c>
      <c r="J31">
        <v>1536520</v>
      </c>
      <c r="K31">
        <v>1410705</v>
      </c>
      <c r="L31">
        <v>4.6822706884534143E-5</v>
      </c>
      <c r="M31">
        <v>5.5566051365257882E-5</v>
      </c>
      <c r="N31">
        <v>4.884223550911925E-5</v>
      </c>
      <c r="O31">
        <v>4.2303386874235282E-5</v>
      </c>
      <c r="P31">
        <v>1.8430501061525975E-5</v>
      </c>
      <c r="Q31">
        <v>2.7103137407541205</v>
      </c>
      <c r="R31">
        <v>5.3133497760150767</v>
      </c>
      <c r="S31">
        <v>5.3675412418940924</v>
      </c>
      <c r="T31">
        <v>4.7526119046181856</v>
      </c>
      <c r="U31">
        <v>1.4460819856620695</v>
      </c>
      <c r="V31">
        <v>0.46096202646369727</v>
      </c>
      <c r="W31">
        <v>0.6832109623328394</v>
      </c>
      <c r="X31">
        <v>0.68590702061867148</v>
      </c>
      <c r="Y31">
        <v>0.65233183931730143</v>
      </c>
      <c r="Z31">
        <v>0.18236591752722078</v>
      </c>
    </row>
    <row r="32" spans="1:26" x14ac:dyDescent="0.25">
      <c r="A32" t="s">
        <v>42</v>
      </c>
      <c r="B32">
        <v>1396</v>
      </c>
      <c r="C32">
        <v>867</v>
      </c>
      <c r="D32">
        <v>872</v>
      </c>
      <c r="E32">
        <v>641</v>
      </c>
      <c r="F32">
        <v>850</v>
      </c>
      <c r="G32">
        <v>37055600</v>
      </c>
      <c r="H32">
        <v>49589283</v>
      </c>
      <c r="I32">
        <v>54676139</v>
      </c>
      <c r="J32">
        <v>49958477</v>
      </c>
      <c r="K32">
        <v>46889500</v>
      </c>
      <c r="L32">
        <v>3.7673118233141549E-5</v>
      </c>
      <c r="M32">
        <v>1.7483616369286887E-5</v>
      </c>
      <c r="N32">
        <v>1.5948456053197174E-5</v>
      </c>
      <c r="O32">
        <v>1.2830655346038671E-5</v>
      </c>
      <c r="P32">
        <v>1.8127725823478605E-5</v>
      </c>
      <c r="Q32">
        <v>2.1806934455142408</v>
      </c>
      <c r="R32">
        <v>1.6718223958193053</v>
      </c>
      <c r="S32">
        <v>1.7526633397869009</v>
      </c>
      <c r="T32">
        <v>1.4414714718450936</v>
      </c>
      <c r="U32">
        <v>1.4223258318828953</v>
      </c>
      <c r="V32">
        <v>0.37120630005365118</v>
      </c>
      <c r="W32">
        <v>0.25144725071192214</v>
      </c>
      <c r="X32">
        <v>0.27343094555295994</v>
      </c>
      <c r="Y32">
        <v>0.18082188423502663</v>
      </c>
      <c r="Z32">
        <v>0.17434724359712486</v>
      </c>
    </row>
    <row r="33" spans="1:26" x14ac:dyDescent="0.25">
      <c r="A33" t="s">
        <v>86</v>
      </c>
      <c r="B33">
        <v>25</v>
      </c>
      <c r="C33">
        <v>54</v>
      </c>
      <c r="D33">
        <v>47</v>
      </c>
      <c r="E33">
        <v>122</v>
      </c>
      <c r="F33">
        <v>129</v>
      </c>
      <c r="G33">
        <v>2486490</v>
      </c>
      <c r="H33">
        <v>4146385</v>
      </c>
      <c r="I33">
        <v>8557370</v>
      </c>
      <c r="J33">
        <v>5230066</v>
      </c>
      <c r="K33">
        <v>7210548</v>
      </c>
      <c r="L33">
        <v>1.0054333618876408E-5</v>
      </c>
      <c r="M33">
        <v>1.3023392666141712E-5</v>
      </c>
      <c r="N33">
        <v>5.4923416890937283E-6</v>
      </c>
      <c r="O33">
        <v>2.3326665476114451E-5</v>
      </c>
      <c r="P33">
        <v>1.7890457146946389E-5</v>
      </c>
      <c r="Q33">
        <v>0.58199109736579158</v>
      </c>
      <c r="R33">
        <v>1.2453258564430891</v>
      </c>
      <c r="S33">
        <v>0.60358356294483317</v>
      </c>
      <c r="T33">
        <v>2.6206551349284046</v>
      </c>
      <c r="U33">
        <v>1.4037094113227746</v>
      </c>
      <c r="V33">
        <v>-0.26422961755615709</v>
      </c>
      <c r="W33">
        <v>0.10926069182302103</v>
      </c>
      <c r="X33">
        <v>-0.24720659790699315</v>
      </c>
      <c r="Y33">
        <v>0.44761378107900124</v>
      </c>
      <c r="Z33">
        <v>0.16795266907933395</v>
      </c>
    </row>
    <row r="34" spans="1:26" x14ac:dyDescent="0.25">
      <c r="A34" t="s">
        <v>63</v>
      </c>
      <c r="B34">
        <v>277</v>
      </c>
      <c r="C34">
        <v>314</v>
      </c>
      <c r="D34">
        <v>264</v>
      </c>
      <c r="E34">
        <v>324</v>
      </c>
      <c r="F34">
        <v>393</v>
      </c>
      <c r="G34">
        <v>17764140</v>
      </c>
      <c r="H34">
        <v>24203349</v>
      </c>
      <c r="I34">
        <v>27535703</v>
      </c>
      <c r="J34">
        <v>23437466</v>
      </c>
      <c r="K34">
        <v>22671636</v>
      </c>
      <c r="L34">
        <v>1.5593211942711551E-5</v>
      </c>
      <c r="M34">
        <v>1.297341124156E-5</v>
      </c>
      <c r="N34">
        <v>9.5875525676609744E-6</v>
      </c>
      <c r="O34">
        <v>1.3824020054045091E-5</v>
      </c>
      <c r="P34">
        <v>1.7334434974167721E-5</v>
      </c>
      <c r="Q34">
        <v>0.90260686326919637</v>
      </c>
      <c r="R34">
        <v>1.2405465211370683</v>
      </c>
      <c r="S34">
        <v>1.0536287555089401</v>
      </c>
      <c r="T34">
        <v>1.5530719200771532</v>
      </c>
      <c r="U34">
        <v>1.3600831612821616</v>
      </c>
      <c r="V34">
        <v>-5.1189312206861126E-2</v>
      </c>
      <c r="W34">
        <v>0.10736064565844941</v>
      </c>
      <c r="X34">
        <v>2.6114143252561513E-2</v>
      </c>
      <c r="Y34">
        <v>0.21662998042782888</v>
      </c>
      <c r="Z34">
        <v>0.15257223439810458</v>
      </c>
    </row>
    <row r="35" spans="1:26" x14ac:dyDescent="0.25">
      <c r="A35" t="s">
        <v>14</v>
      </c>
      <c r="B35">
        <v>7821</v>
      </c>
      <c r="C35">
        <v>5868</v>
      </c>
      <c r="D35">
        <v>6212</v>
      </c>
      <c r="E35">
        <v>5681</v>
      </c>
      <c r="F35">
        <v>7294</v>
      </c>
      <c r="G35">
        <v>329738801</v>
      </c>
      <c r="H35">
        <v>426059817</v>
      </c>
      <c r="I35">
        <v>499055069</v>
      </c>
      <c r="J35">
        <v>469043091</v>
      </c>
      <c r="K35">
        <v>451303134</v>
      </c>
      <c r="L35">
        <v>2.3718773696881368E-5</v>
      </c>
      <c r="M35">
        <v>1.3772713984900389E-5</v>
      </c>
      <c r="N35">
        <v>1.2447524102795959E-5</v>
      </c>
      <c r="O35">
        <v>1.2111893574400822E-5</v>
      </c>
      <c r="P35">
        <v>1.6162085858681407E-5</v>
      </c>
      <c r="Q35">
        <v>1.372951769384543</v>
      </c>
      <c r="R35">
        <v>1.3169776323632163</v>
      </c>
      <c r="S35">
        <v>1.3679267192582452</v>
      </c>
      <c r="T35">
        <v>1.3607215365591556</v>
      </c>
      <c r="U35">
        <v>1.2680990675696679</v>
      </c>
      <c r="V35">
        <v>0.15716786754636528</v>
      </c>
      <c r="W35">
        <v>0.13680651376850492</v>
      </c>
      <c r="X35">
        <v>0.15537926755330439</v>
      </c>
      <c r="Y35">
        <v>0.15280139185112085</v>
      </c>
      <c r="Z35">
        <v>0.11820430218550534</v>
      </c>
    </row>
    <row r="36" spans="1:26" x14ac:dyDescent="0.25">
      <c r="A36" t="s">
        <v>76</v>
      </c>
      <c r="B36">
        <v>157</v>
      </c>
      <c r="C36">
        <v>173</v>
      </c>
      <c r="D36">
        <v>189</v>
      </c>
      <c r="E36">
        <v>150</v>
      </c>
      <c r="F36">
        <v>258</v>
      </c>
      <c r="G36">
        <v>9887885</v>
      </c>
      <c r="H36">
        <v>14617423</v>
      </c>
      <c r="I36">
        <v>17108010</v>
      </c>
      <c r="J36">
        <v>15648327</v>
      </c>
      <c r="K36">
        <v>15972638</v>
      </c>
      <c r="L36">
        <v>1.5878016380651677E-5</v>
      </c>
      <c r="M36">
        <v>1.1835191469796009E-5</v>
      </c>
      <c r="N36">
        <v>1.1047456717642788E-5</v>
      </c>
      <c r="O36">
        <v>9.5856892561102544E-6</v>
      </c>
      <c r="P36">
        <v>1.6152623004415425E-5</v>
      </c>
      <c r="Q36">
        <v>0.91909265473529889</v>
      </c>
      <c r="R36">
        <v>1.1317074076718376</v>
      </c>
      <c r="S36">
        <v>1.2140656325797421</v>
      </c>
      <c r="T36">
        <v>1.0769128487985578</v>
      </c>
      <c r="U36">
        <v>1.2673565992536249</v>
      </c>
      <c r="V36">
        <v>-4.2159165720875885E-2</v>
      </c>
      <c r="W36">
        <v>6.1784936899798554E-2</v>
      </c>
      <c r="X36">
        <v>9.6684411441914322E-2</v>
      </c>
      <c r="Y36">
        <v>3.7032294755675432E-2</v>
      </c>
      <c r="Z36">
        <v>0.11791554947361792</v>
      </c>
    </row>
    <row r="37" spans="1:26" x14ac:dyDescent="0.25">
      <c r="A37" t="s">
        <v>23</v>
      </c>
      <c r="B37">
        <v>2780</v>
      </c>
      <c r="C37">
        <v>3245</v>
      </c>
      <c r="D37">
        <v>2079</v>
      </c>
      <c r="E37">
        <v>3535</v>
      </c>
      <c r="F37">
        <v>3253</v>
      </c>
      <c r="G37">
        <v>231667985</v>
      </c>
      <c r="H37">
        <v>293501672</v>
      </c>
      <c r="I37">
        <v>199386103</v>
      </c>
      <c r="J37">
        <v>218843240</v>
      </c>
      <c r="K37">
        <v>204294595</v>
      </c>
      <c r="L37">
        <v>1.1999931712618815E-5</v>
      </c>
      <c r="M37">
        <v>1.1056155073624249E-5</v>
      </c>
      <c r="N37">
        <v>1.0427005537091017E-5</v>
      </c>
      <c r="O37">
        <v>1.61531148963066E-5</v>
      </c>
      <c r="P37">
        <v>1.5923084015022522E-5</v>
      </c>
      <c r="Q37">
        <v>0.69461126818288788</v>
      </c>
      <c r="R37">
        <v>1.0572142097676427</v>
      </c>
      <c r="S37">
        <v>1.1458808481308052</v>
      </c>
      <c r="T37">
        <v>1.8147361671320048</v>
      </c>
      <c r="U37">
        <v>1.2493466603778409</v>
      </c>
      <c r="V37">
        <v>-0.18021167305501096</v>
      </c>
      <c r="W37">
        <v>2.7811498431223113E-2</v>
      </c>
      <c r="X37">
        <v>6.7981802558085364E-2</v>
      </c>
      <c r="Y37">
        <v>0.28945383110707562</v>
      </c>
      <c r="Z37">
        <v>0.11085292666091591</v>
      </c>
    </row>
    <row r="38" spans="1:26" x14ac:dyDescent="0.25">
      <c r="A38" t="s">
        <v>12</v>
      </c>
      <c r="B38">
        <v>21137</v>
      </c>
      <c r="C38">
        <v>18870</v>
      </c>
      <c r="D38">
        <v>15991</v>
      </c>
      <c r="E38">
        <v>10157</v>
      </c>
      <c r="F38">
        <v>11634</v>
      </c>
      <c r="G38">
        <v>571097349</v>
      </c>
      <c r="H38">
        <v>707758694</v>
      </c>
      <c r="I38">
        <v>815172598</v>
      </c>
      <c r="J38">
        <v>777352604</v>
      </c>
      <c r="K38">
        <v>740387893</v>
      </c>
      <c r="L38">
        <v>3.7011203146033166E-5</v>
      </c>
      <c r="M38">
        <v>2.6661629394269227E-5</v>
      </c>
      <c r="N38">
        <v>1.9616704535006954E-5</v>
      </c>
      <c r="O38">
        <v>1.3066142633002616E-5</v>
      </c>
      <c r="P38">
        <v>1.5713384983727711E-5</v>
      </c>
      <c r="Q38">
        <v>2.1423787543062689</v>
      </c>
      <c r="R38">
        <v>2.5494444735515343</v>
      </c>
      <c r="S38">
        <v>2.1557872919645851</v>
      </c>
      <c r="T38">
        <v>1.4679275021090137</v>
      </c>
      <c r="U38">
        <v>1.2328933913889017</v>
      </c>
      <c r="V38">
        <v>0.36353948509254974</v>
      </c>
      <c r="W38">
        <v>0.43653154320264026</v>
      </c>
      <c r="X38">
        <v>0.36624372463489707</v>
      </c>
      <c r="Y38">
        <v>0.18960342299728719</v>
      </c>
      <c r="Z38">
        <v>0.10430116918570738</v>
      </c>
    </row>
    <row r="39" spans="1:26" x14ac:dyDescent="0.25">
      <c r="A39" t="s">
        <v>64</v>
      </c>
      <c r="B39">
        <v>296</v>
      </c>
      <c r="C39">
        <v>340</v>
      </c>
      <c r="D39">
        <v>335</v>
      </c>
      <c r="E39">
        <v>361</v>
      </c>
      <c r="F39">
        <v>390</v>
      </c>
      <c r="G39">
        <v>21118675</v>
      </c>
      <c r="H39">
        <v>26211169</v>
      </c>
      <c r="I39">
        <v>27042857</v>
      </c>
      <c r="J39">
        <v>26308584</v>
      </c>
      <c r="K39">
        <v>25101182</v>
      </c>
      <c r="L39">
        <v>1.4016030835267837E-5</v>
      </c>
      <c r="M39">
        <v>1.2971569486275106E-5</v>
      </c>
      <c r="N39">
        <v>1.2387744386623056E-5</v>
      </c>
      <c r="O39">
        <v>1.3721757126875395E-5</v>
      </c>
      <c r="P39">
        <v>1.5537116937361755E-5</v>
      </c>
      <c r="Q39">
        <v>0.81131236298103704</v>
      </c>
      <c r="R39">
        <v>1.2403704083885458</v>
      </c>
      <c r="S39">
        <v>1.3613571982557335</v>
      </c>
      <c r="T39">
        <v>1.5415830998908953</v>
      </c>
      <c r="U39">
        <v>1.219063162593345</v>
      </c>
      <c r="V39">
        <v>-0.10417178222558092</v>
      </c>
      <c r="W39">
        <v>0.10729047638217984</v>
      </c>
      <c r="X39">
        <v>0.1530294520975724</v>
      </c>
      <c r="Y39">
        <v>0.2130888814590183</v>
      </c>
      <c r="Z39">
        <v>9.8718759468447576E-2</v>
      </c>
    </row>
    <row r="40" spans="1:26" x14ac:dyDescent="0.25">
      <c r="A40" t="s">
        <v>65</v>
      </c>
      <c r="B40">
        <v>358</v>
      </c>
      <c r="C40">
        <v>290</v>
      </c>
      <c r="D40">
        <v>511</v>
      </c>
      <c r="E40">
        <v>318</v>
      </c>
      <c r="F40">
        <v>365</v>
      </c>
      <c r="G40">
        <v>27735027</v>
      </c>
      <c r="H40">
        <v>31888107</v>
      </c>
      <c r="I40">
        <v>35033785</v>
      </c>
      <c r="J40">
        <v>37493120</v>
      </c>
      <c r="K40">
        <v>24490601</v>
      </c>
      <c r="L40">
        <v>1.2907865566527121E-5</v>
      </c>
      <c r="M40">
        <v>9.0942996396744411E-6</v>
      </c>
      <c r="N40">
        <v>1.4585920419389455E-5</v>
      </c>
      <c r="O40">
        <v>8.4815560828226612E-6</v>
      </c>
      <c r="P40">
        <v>1.4903676720714204E-5</v>
      </c>
      <c r="Q40">
        <v>0.74716665772949997</v>
      </c>
      <c r="R40">
        <v>0.86961721709976547</v>
      </c>
      <c r="S40">
        <v>1.6029268231885205</v>
      </c>
      <c r="T40">
        <v>0.95286801807966204</v>
      </c>
      <c r="U40">
        <v>1.1693625883533922</v>
      </c>
      <c r="V40">
        <v>-0.14471048949564158</v>
      </c>
      <c r="W40">
        <v>-6.9737688392969649E-2</v>
      </c>
      <c r="X40">
        <v>0.23163418111383946</v>
      </c>
      <c r="Y40">
        <v>-2.4134750266781899E-2</v>
      </c>
      <c r="Z40">
        <v>7.8070207932341665E-2</v>
      </c>
    </row>
    <row r="41" spans="1:26" x14ac:dyDescent="0.25">
      <c r="A41" t="s">
        <v>41</v>
      </c>
      <c r="B41">
        <v>155</v>
      </c>
      <c r="C41">
        <v>98</v>
      </c>
      <c r="D41">
        <v>183</v>
      </c>
      <c r="E41">
        <v>713</v>
      </c>
      <c r="F41">
        <v>921</v>
      </c>
      <c r="G41">
        <v>43488662</v>
      </c>
      <c r="H41">
        <v>61101362</v>
      </c>
      <c r="I41">
        <v>77413351</v>
      </c>
      <c r="J41">
        <v>62796636</v>
      </c>
      <c r="K41">
        <v>64104684</v>
      </c>
      <c r="L41">
        <v>3.5641473632828712E-6</v>
      </c>
      <c r="M41">
        <v>1.603892234022541E-6</v>
      </c>
      <c r="N41">
        <v>2.3639333220441523E-6</v>
      </c>
      <c r="O41">
        <v>1.1354111389024088E-5</v>
      </c>
      <c r="P41">
        <v>1.4367124873433586E-5</v>
      </c>
      <c r="Q41">
        <v>0.20630925069325462</v>
      </c>
      <c r="R41">
        <v>0.15336775302562367</v>
      </c>
      <c r="S41">
        <v>0.25978560290899555</v>
      </c>
      <c r="T41">
        <v>1.2755878179272204</v>
      </c>
      <c r="U41">
        <v>1.1272640063269974</v>
      </c>
      <c r="V41">
        <v>-0.65794965001770367</v>
      </c>
      <c r="W41">
        <v>-0.73405229576898634</v>
      </c>
      <c r="X41">
        <v>-0.58757172282470993</v>
      </c>
      <c r="Y41">
        <v>0.12110621078040702</v>
      </c>
      <c r="Z41">
        <v>5.9825205497993431E-2</v>
      </c>
    </row>
    <row r="42" spans="1:26" x14ac:dyDescent="0.25">
      <c r="A42" t="s">
        <v>59</v>
      </c>
      <c r="B42">
        <v>283</v>
      </c>
      <c r="C42">
        <v>290</v>
      </c>
      <c r="D42">
        <v>268</v>
      </c>
      <c r="E42">
        <v>301</v>
      </c>
      <c r="F42">
        <v>461</v>
      </c>
      <c r="G42">
        <v>18206520</v>
      </c>
      <c r="H42">
        <v>26605961</v>
      </c>
      <c r="I42">
        <v>32123685</v>
      </c>
      <c r="J42">
        <v>30318004</v>
      </c>
      <c r="K42">
        <v>32488859</v>
      </c>
      <c r="L42">
        <v>1.5543882081803663E-5</v>
      </c>
      <c r="M42">
        <v>1.0899813015586996E-5</v>
      </c>
      <c r="N42">
        <v>8.3427539524185967E-6</v>
      </c>
      <c r="O42">
        <v>9.9280942109513542E-6</v>
      </c>
      <c r="P42">
        <v>1.418947953820108E-5</v>
      </c>
      <c r="Q42">
        <v>0.8997514239162806</v>
      </c>
      <c r="R42">
        <v>1.0422644334448039</v>
      </c>
      <c r="S42">
        <v>0.91683100586624355</v>
      </c>
      <c r="T42">
        <v>1.1153806402644268</v>
      </c>
      <c r="U42">
        <v>1.113325713588289</v>
      </c>
      <c r="V42">
        <v>-5.2769312248788829E-2</v>
      </c>
      <c r="W42">
        <v>2.0694887866951721E-2</v>
      </c>
      <c r="X42">
        <v>-4.3388798427835933E-2</v>
      </c>
      <c r="Y42">
        <v>5.454367789335731E-2</v>
      </c>
      <c r="Z42">
        <v>5.3624348040449174E-2</v>
      </c>
    </row>
    <row r="43" spans="1:26" x14ac:dyDescent="0.25">
      <c r="A43" t="s">
        <v>9</v>
      </c>
      <c r="B43">
        <v>21949</v>
      </c>
      <c r="C43">
        <v>18466</v>
      </c>
      <c r="D43">
        <v>11206</v>
      </c>
      <c r="E43">
        <v>11458</v>
      </c>
      <c r="F43">
        <v>20097</v>
      </c>
      <c r="G43">
        <v>1172923865</v>
      </c>
      <c r="H43">
        <v>1422827856</v>
      </c>
      <c r="I43">
        <v>1505324953</v>
      </c>
      <c r="J43">
        <v>1433191152</v>
      </c>
      <c r="K43">
        <v>1425209578</v>
      </c>
      <c r="L43">
        <v>1.8713064551721778E-5</v>
      </c>
      <c r="M43">
        <v>1.2978379585506231E-5</v>
      </c>
      <c r="N43">
        <v>7.4442398484574913E-6</v>
      </c>
      <c r="O43">
        <v>7.9947465374807171E-6</v>
      </c>
      <c r="P43">
        <v>1.410108401615022E-5</v>
      </c>
      <c r="Q43">
        <v>1.0831982890528478</v>
      </c>
      <c r="R43">
        <v>1.2410216052674907</v>
      </c>
      <c r="S43">
        <v>0.81808836112111738</v>
      </c>
      <c r="T43">
        <v>0.89817696349927834</v>
      </c>
      <c r="U43">
        <v>1.106390081636438</v>
      </c>
      <c r="V43">
        <v>3.9937767561567514E-2</v>
      </c>
      <c r="W43">
        <v>0.1075498802425522</v>
      </c>
      <c r="X43">
        <v>-0.10005654442818582</v>
      </c>
      <c r="Y43">
        <v>-5.3642541479911057E-2</v>
      </c>
      <c r="Z43">
        <v>5.05082522767029E-2</v>
      </c>
    </row>
    <row r="44" spans="1:26" x14ac:dyDescent="0.25">
      <c r="A44" t="s">
        <v>16</v>
      </c>
      <c r="B44">
        <v>7658</v>
      </c>
      <c r="C44">
        <v>4874</v>
      </c>
      <c r="D44">
        <v>4264</v>
      </c>
      <c r="E44">
        <v>4211</v>
      </c>
      <c r="F44">
        <v>6570</v>
      </c>
      <c r="G44">
        <v>395854450</v>
      </c>
      <c r="H44">
        <v>532547499</v>
      </c>
      <c r="I44">
        <v>624289390</v>
      </c>
      <c r="J44">
        <v>550854780</v>
      </c>
      <c r="K44">
        <v>519085769</v>
      </c>
      <c r="L44">
        <v>1.9345494284578588E-5</v>
      </c>
      <c r="M44">
        <v>9.1522352638069572E-6</v>
      </c>
      <c r="N44">
        <v>6.8301657345161673E-6</v>
      </c>
      <c r="O44">
        <v>7.6444829978601623E-6</v>
      </c>
      <c r="P44">
        <v>1.2656867886509137E-5</v>
      </c>
      <c r="Q44">
        <v>1.1198062322725817</v>
      </c>
      <c r="R44">
        <v>0.87515715070930511</v>
      </c>
      <c r="S44">
        <v>0.75060438751093683</v>
      </c>
      <c r="T44">
        <v>0.85882629228462415</v>
      </c>
      <c r="U44">
        <v>0.99307493510272515</v>
      </c>
      <c r="V44">
        <v>5.6517539409317127E-2</v>
      </c>
      <c r="W44">
        <v>-6.6577272866688145E-2</v>
      </c>
      <c r="X44">
        <v>-0.14246257707811502</v>
      </c>
      <c r="Y44">
        <v>-7.5947767847561354E-2</v>
      </c>
      <c r="Z44">
        <v>-3.4745632365889554E-3</v>
      </c>
    </row>
    <row r="45" spans="1:26" x14ac:dyDescent="0.25">
      <c r="A45" t="s">
        <v>32</v>
      </c>
      <c r="B45">
        <v>2374</v>
      </c>
      <c r="C45">
        <v>1689</v>
      </c>
      <c r="D45">
        <v>1730</v>
      </c>
      <c r="E45">
        <v>1332</v>
      </c>
      <c r="F45">
        <v>1536</v>
      </c>
      <c r="G45">
        <v>95778398</v>
      </c>
      <c r="H45">
        <v>120259539</v>
      </c>
      <c r="I45">
        <v>127078114</v>
      </c>
      <c r="J45">
        <v>126396956</v>
      </c>
      <c r="K45">
        <v>121792392</v>
      </c>
      <c r="L45">
        <v>2.4786382415792754E-5</v>
      </c>
      <c r="M45">
        <v>1.4044623936235112E-5</v>
      </c>
      <c r="N45">
        <v>1.3613673869915948E-5</v>
      </c>
      <c r="O45">
        <v>1.053822846809697E-5</v>
      </c>
      <c r="P45">
        <v>1.2611625199051843E-5</v>
      </c>
      <c r="Q45">
        <v>1.4347498749009542</v>
      </c>
      <c r="R45">
        <v>1.342978268426479</v>
      </c>
      <c r="S45">
        <v>1.4960813154595813</v>
      </c>
      <c r="T45">
        <v>1.1839267200983252</v>
      </c>
      <c r="U45">
        <v>0.98952513278880394</v>
      </c>
      <c r="V45">
        <v>0.17856038494247373</v>
      </c>
      <c r="W45">
        <v>0.14638559522654893</v>
      </c>
      <c r="X45">
        <v>0.19874405228190345</v>
      </c>
      <c r="Y45">
        <v>8.421835696485476E-2</v>
      </c>
      <c r="Z45">
        <v>-5.2650087393030223E-3</v>
      </c>
    </row>
    <row r="46" spans="1:26" x14ac:dyDescent="0.25">
      <c r="A46" t="s">
        <v>116</v>
      </c>
      <c r="B46">
        <v>14</v>
      </c>
      <c r="C46">
        <v>44</v>
      </c>
      <c r="D46">
        <v>36</v>
      </c>
      <c r="E46">
        <v>24</v>
      </c>
      <c r="F46">
        <v>22</v>
      </c>
      <c r="G46">
        <v>2160324</v>
      </c>
      <c r="H46">
        <v>2265708</v>
      </c>
      <c r="I46">
        <v>2836706</v>
      </c>
      <c r="J46">
        <v>2720816</v>
      </c>
      <c r="K46">
        <v>1748506</v>
      </c>
      <c r="L46">
        <v>6.4805094050707206E-6</v>
      </c>
      <c r="M46">
        <v>1.9419978214315348E-5</v>
      </c>
      <c r="N46">
        <v>1.2690775850581626E-5</v>
      </c>
      <c r="O46">
        <v>8.8208831468206599E-6</v>
      </c>
      <c r="P46">
        <v>1.258217014983077E-5</v>
      </c>
      <c r="Q46">
        <v>0.37512170603385303</v>
      </c>
      <c r="R46">
        <v>1.8569816346490584</v>
      </c>
      <c r="S46">
        <v>1.3946589884673115</v>
      </c>
      <c r="T46">
        <v>0.99099002114079826</v>
      </c>
      <c r="U46">
        <v>0.98721404987666861</v>
      </c>
      <c r="V46">
        <v>-0.4544167190614935</v>
      </c>
      <c r="W46">
        <v>0.29996049826002014</v>
      </c>
      <c r="X46">
        <v>0.16480801248444601</v>
      </c>
      <c r="Y46">
        <v>-4.5253762015538372E-3</v>
      </c>
      <c r="Z46">
        <v>-6.434108154642384E-3</v>
      </c>
    </row>
    <row r="47" spans="1:26" x14ac:dyDescent="0.25">
      <c r="A47" t="s">
        <v>44</v>
      </c>
      <c r="B47">
        <v>508</v>
      </c>
      <c r="C47">
        <v>389</v>
      </c>
      <c r="D47">
        <v>419</v>
      </c>
      <c r="E47">
        <v>236</v>
      </c>
      <c r="F47">
        <v>774</v>
      </c>
      <c r="G47">
        <v>44518195</v>
      </c>
      <c r="H47">
        <v>58667257</v>
      </c>
      <c r="I47">
        <v>72832659</v>
      </c>
      <c r="J47">
        <v>70671817</v>
      </c>
      <c r="K47">
        <v>62338226</v>
      </c>
      <c r="L47">
        <v>1.1411064622004553E-5</v>
      </c>
      <c r="M47">
        <v>6.6306150976173986E-6</v>
      </c>
      <c r="N47">
        <v>5.7529136757179224E-6</v>
      </c>
      <c r="O47">
        <v>3.3393792606181328E-6</v>
      </c>
      <c r="P47">
        <v>1.2416137732247947E-5</v>
      </c>
      <c r="Q47">
        <v>0.66052493116043542</v>
      </c>
      <c r="R47">
        <v>0.63403420574518787</v>
      </c>
      <c r="S47">
        <v>0.63221924823050157</v>
      </c>
      <c r="T47">
        <v>0.37516555530722401</v>
      </c>
      <c r="U47">
        <v>0.97418692232864734</v>
      </c>
      <c r="V47">
        <v>-0.20443840527123372</v>
      </c>
      <c r="W47">
        <v>-0.22396458591141699</v>
      </c>
      <c r="X47">
        <v>-0.22532558182254725</v>
      </c>
      <c r="Y47">
        <v>-0.45437034274261079</v>
      </c>
      <c r="Z47">
        <v>-1.3075295646728784E-2</v>
      </c>
    </row>
    <row r="48" spans="1:26" x14ac:dyDescent="0.25">
      <c r="A48" t="s">
        <v>55</v>
      </c>
      <c r="B48">
        <v>270</v>
      </c>
      <c r="C48">
        <v>327</v>
      </c>
      <c r="D48">
        <v>294</v>
      </c>
      <c r="E48">
        <v>1403</v>
      </c>
      <c r="F48">
        <v>545</v>
      </c>
      <c r="G48">
        <v>26794587</v>
      </c>
      <c r="H48">
        <v>34594841</v>
      </c>
      <c r="I48">
        <v>44790266</v>
      </c>
      <c r="J48">
        <v>43463068</v>
      </c>
      <c r="K48">
        <v>45864363</v>
      </c>
      <c r="L48">
        <v>1.0076662125824145E-5</v>
      </c>
      <c r="M48">
        <v>9.4522764246842478E-6</v>
      </c>
      <c r="N48">
        <v>6.5639261887839651E-6</v>
      </c>
      <c r="O48">
        <v>3.2280279891884303E-5</v>
      </c>
      <c r="P48">
        <v>1.1882864262172353E-5</v>
      </c>
      <c r="Q48">
        <v>0.58328357409807896</v>
      </c>
      <c r="R48">
        <v>0.9038477557779141</v>
      </c>
      <c r="S48">
        <v>0.72134586305879689</v>
      </c>
      <c r="T48">
        <v>3.6265569694140396</v>
      </c>
      <c r="U48">
        <v>0.93234556620200226</v>
      </c>
      <c r="V48">
        <v>-0.26319759310286817</v>
      </c>
      <c r="W48">
        <v>-5.0504166591197837E-2</v>
      </c>
      <c r="X48">
        <v>-0.16188155031554224</v>
      </c>
      <c r="Y48">
        <v>0.56771309351167398</v>
      </c>
      <c r="Z48">
        <v>-3.5011560551755534E-2</v>
      </c>
    </row>
    <row r="49" spans="1:26" x14ac:dyDescent="0.25">
      <c r="A49" t="s">
        <v>34</v>
      </c>
      <c r="B49">
        <v>1217</v>
      </c>
      <c r="C49">
        <v>1133</v>
      </c>
      <c r="D49">
        <v>1326</v>
      </c>
      <c r="E49">
        <v>1157</v>
      </c>
      <c r="F49">
        <v>1325</v>
      </c>
      <c r="G49">
        <v>77834420</v>
      </c>
      <c r="H49">
        <v>98337110</v>
      </c>
      <c r="I49">
        <v>115291040</v>
      </c>
      <c r="J49">
        <v>113486253</v>
      </c>
      <c r="K49">
        <v>115997232</v>
      </c>
      <c r="L49">
        <v>1.5635756006147409E-5</v>
      </c>
      <c r="M49">
        <v>1.1521591391083183E-5</v>
      </c>
      <c r="N49">
        <v>1.1501327423189173E-5</v>
      </c>
      <c r="O49">
        <v>1.0195067414905309E-5</v>
      </c>
      <c r="P49">
        <v>1.1422686362033191E-5</v>
      </c>
      <c r="Q49">
        <v>0.90506950943790399</v>
      </c>
      <c r="R49">
        <v>1.1017202686355569</v>
      </c>
      <c r="S49">
        <v>1.2639439746563028</v>
      </c>
      <c r="T49">
        <v>1.1453739840857555</v>
      </c>
      <c r="U49">
        <v>0.89623938713668161</v>
      </c>
      <c r="V49">
        <v>-4.9830460301737503E-2</v>
      </c>
      <c r="W49">
        <v>4.8398576229934757E-2</v>
      </c>
      <c r="X49">
        <v>0.11658591273062448</v>
      </c>
      <c r="Y49">
        <v>6.7761604813021084E-2</v>
      </c>
      <c r="Z49">
        <v>-5.4719152849154108E-2</v>
      </c>
    </row>
    <row r="50" spans="1:26" x14ac:dyDescent="0.25">
      <c r="A50" t="s">
        <v>82</v>
      </c>
      <c r="B50">
        <v>51</v>
      </c>
      <c r="C50">
        <v>47</v>
      </c>
      <c r="D50">
        <v>64</v>
      </c>
      <c r="E50">
        <v>102</v>
      </c>
      <c r="F50">
        <v>183</v>
      </c>
      <c r="G50">
        <v>4547329</v>
      </c>
      <c r="H50">
        <v>5324762</v>
      </c>
      <c r="I50">
        <v>8635543</v>
      </c>
      <c r="J50">
        <v>12021705</v>
      </c>
      <c r="K50">
        <v>16807771</v>
      </c>
      <c r="L50">
        <v>1.1215375003655992E-5</v>
      </c>
      <c r="M50">
        <v>8.8266855870741264E-6</v>
      </c>
      <c r="N50">
        <v>7.4112305387165576E-6</v>
      </c>
      <c r="O50">
        <v>8.48465338319315E-6</v>
      </c>
      <c r="P50">
        <v>1.0887820877616668E-5</v>
      </c>
      <c r="Q50">
        <v>0.64919751553619642</v>
      </c>
      <c r="R50">
        <v>0.84402736445582871</v>
      </c>
      <c r="S50">
        <v>0.81446078696211233</v>
      </c>
      <c r="T50">
        <v>0.95321598706514132</v>
      </c>
      <c r="U50">
        <v>0.85427311941638817</v>
      </c>
      <c r="V50">
        <v>-0.21271101924365238</v>
      </c>
      <c r="W50">
        <v>-8.4582603572262452E-2</v>
      </c>
      <c r="X50">
        <v>-0.102255840617272</v>
      </c>
      <c r="Y50">
        <v>-2.3952298795769784E-2</v>
      </c>
      <c r="Z50">
        <v>-7.858976062246846E-2</v>
      </c>
    </row>
    <row r="51" spans="1:26" x14ac:dyDescent="0.25">
      <c r="A51" t="s">
        <v>26</v>
      </c>
      <c r="B51">
        <v>1980</v>
      </c>
      <c r="C51">
        <v>1668</v>
      </c>
      <c r="D51">
        <v>1646</v>
      </c>
      <c r="E51">
        <v>1605</v>
      </c>
      <c r="F51">
        <v>2014</v>
      </c>
      <c r="G51">
        <v>149436257</v>
      </c>
      <c r="H51">
        <v>187319607</v>
      </c>
      <c r="I51">
        <v>202997376</v>
      </c>
      <c r="J51">
        <v>193241453</v>
      </c>
      <c r="K51">
        <v>188975538</v>
      </c>
      <c r="L51">
        <v>1.3249796533648457E-5</v>
      </c>
      <c r="M51">
        <v>8.9045670483389395E-6</v>
      </c>
      <c r="N51">
        <v>8.1084791953172828E-6</v>
      </c>
      <c r="O51">
        <v>8.3056713509600869E-6</v>
      </c>
      <c r="P51">
        <v>1.0657464036429943E-5</v>
      </c>
      <c r="Q51">
        <v>0.7669591955864774</v>
      </c>
      <c r="R51">
        <v>0.85147456350272477</v>
      </c>
      <c r="S51">
        <v>0.89108526741737093</v>
      </c>
      <c r="T51">
        <v>0.93310809027587294</v>
      </c>
      <c r="U51">
        <v>0.83619901078515158</v>
      </c>
      <c r="V51">
        <v>-0.13188805094968434</v>
      </c>
      <c r="W51">
        <v>-8.0220079403244063E-2</v>
      </c>
      <c r="X51">
        <v>-5.7593771396343446E-2</v>
      </c>
      <c r="Y51">
        <v>-3.460329510833559E-2</v>
      </c>
      <c r="Z51">
        <v>-8.9206555636258483E-2</v>
      </c>
    </row>
    <row r="52" spans="1:26" x14ac:dyDescent="0.25">
      <c r="A52" t="s">
        <v>73</v>
      </c>
      <c r="B52">
        <v>49</v>
      </c>
      <c r="C52">
        <v>72</v>
      </c>
      <c r="D52">
        <v>0</v>
      </c>
      <c r="E52">
        <v>38</v>
      </c>
      <c r="F52">
        <v>302</v>
      </c>
      <c r="G52">
        <v>17803362</v>
      </c>
      <c r="H52">
        <v>25719892</v>
      </c>
      <c r="I52">
        <v>33048924</v>
      </c>
      <c r="J52">
        <v>30895681</v>
      </c>
      <c r="K52">
        <v>29489612</v>
      </c>
      <c r="L52">
        <v>2.7522891462859656E-6</v>
      </c>
      <c r="M52">
        <v>2.799389670843097E-6</v>
      </c>
      <c r="N52">
        <v>0</v>
      </c>
      <c r="O52">
        <v>1.22994537650748E-6</v>
      </c>
      <c r="P52">
        <v>1.0240894318989344E-5</v>
      </c>
      <c r="Q52">
        <v>0.15931516112690242</v>
      </c>
      <c r="R52">
        <v>0.26768388458592174</v>
      </c>
      <c r="S52">
        <v>0</v>
      </c>
      <c r="T52">
        <v>0.13817931542449849</v>
      </c>
      <c r="U52">
        <v>0.80351438858458124</v>
      </c>
      <c r="V52">
        <v>-0.72515642601957964</v>
      </c>
      <c r="W52">
        <v>-0.57768038571641478</v>
      </c>
      <c r="X52">
        <v>-1</v>
      </c>
      <c r="Y52">
        <v>-0.75719236230722964</v>
      </c>
      <c r="Z52">
        <v>-0.10894596275975536</v>
      </c>
    </row>
    <row r="53" spans="1:26" x14ac:dyDescent="0.25">
      <c r="A53" t="s">
        <v>91</v>
      </c>
      <c r="B53">
        <v>43</v>
      </c>
      <c r="C53">
        <v>91</v>
      </c>
      <c r="D53">
        <v>52</v>
      </c>
      <c r="E53">
        <v>109</v>
      </c>
      <c r="F53">
        <v>69</v>
      </c>
      <c r="G53">
        <v>4241133</v>
      </c>
      <c r="H53">
        <v>5179825</v>
      </c>
      <c r="I53">
        <v>6610753</v>
      </c>
      <c r="J53">
        <v>6304368</v>
      </c>
      <c r="K53">
        <v>6801692</v>
      </c>
      <c r="L53">
        <v>1.0138800174387364E-5</v>
      </c>
      <c r="M53">
        <v>1.7568161086523195E-5</v>
      </c>
      <c r="N53">
        <v>7.8659723030039096E-6</v>
      </c>
      <c r="O53">
        <v>1.7289599845694288E-5</v>
      </c>
      <c r="P53">
        <v>1.0144534624619873E-5</v>
      </c>
      <c r="Q53">
        <v>0.58688041029253157</v>
      </c>
      <c r="R53">
        <v>1.6799067502651146</v>
      </c>
      <c r="S53">
        <v>0.86443485446293999</v>
      </c>
      <c r="T53">
        <v>1.9424155871258906</v>
      </c>
      <c r="U53">
        <v>0.79595387692478281</v>
      </c>
      <c r="V53">
        <v>-0.26033441904504473</v>
      </c>
      <c r="W53">
        <v>0.25370537620305389</v>
      </c>
      <c r="X53">
        <v>-7.2711119518364842E-2</v>
      </c>
      <c r="Y53">
        <v>0.3202863630988404</v>
      </c>
      <c r="Z53">
        <v>-0.11361434483195412</v>
      </c>
    </row>
    <row r="54" spans="1:26" x14ac:dyDescent="0.25">
      <c r="A54" t="s">
        <v>70</v>
      </c>
      <c r="B54">
        <v>292</v>
      </c>
      <c r="C54">
        <v>241</v>
      </c>
      <c r="D54">
        <v>809</v>
      </c>
      <c r="E54">
        <v>654</v>
      </c>
      <c r="F54">
        <v>311</v>
      </c>
      <c r="G54">
        <v>25834886</v>
      </c>
      <c r="H54">
        <v>27985403</v>
      </c>
      <c r="I54">
        <v>33479012</v>
      </c>
      <c r="J54">
        <v>31431141</v>
      </c>
      <c r="K54">
        <v>31124259</v>
      </c>
      <c r="L54">
        <v>1.130254648694792E-5</v>
      </c>
      <c r="M54">
        <v>8.6116322855883118E-6</v>
      </c>
      <c r="N54">
        <v>2.4164392903828824E-5</v>
      </c>
      <c r="O54">
        <v>2.0807389715823552E-5</v>
      </c>
      <c r="P54">
        <v>9.9922057582158026E-6</v>
      </c>
      <c r="Q54">
        <v>0.65424340213029397</v>
      </c>
      <c r="R54">
        <v>0.82346348807436986</v>
      </c>
      <c r="S54">
        <v>2.6555577185327124</v>
      </c>
      <c r="T54">
        <v>2.3376248422246602</v>
      </c>
      <c r="U54">
        <v>0.78400194849549609</v>
      </c>
      <c r="V54">
        <v>-0.20901192498301591</v>
      </c>
      <c r="W54">
        <v>-9.6813845234739404E-2</v>
      </c>
      <c r="X54">
        <v>0.45288786171791839</v>
      </c>
      <c r="Y54">
        <v>0.40077147835856824</v>
      </c>
      <c r="Z54">
        <v>-0.12107500873901048</v>
      </c>
    </row>
    <row r="55" spans="1:26" x14ac:dyDescent="0.25">
      <c r="A55" t="s">
        <v>25</v>
      </c>
      <c r="B55">
        <v>2921</v>
      </c>
      <c r="C55">
        <v>1945</v>
      </c>
      <c r="D55">
        <v>1845</v>
      </c>
      <c r="E55">
        <v>1814</v>
      </c>
      <c r="F55">
        <v>2619</v>
      </c>
      <c r="G55">
        <v>158786825</v>
      </c>
      <c r="H55">
        <v>219408049</v>
      </c>
      <c r="I55">
        <v>272701734</v>
      </c>
      <c r="J55">
        <v>240792839</v>
      </c>
      <c r="K55">
        <v>262869606</v>
      </c>
      <c r="L55">
        <v>1.839573276939066E-5</v>
      </c>
      <c r="M55">
        <v>8.8647613834805129E-6</v>
      </c>
      <c r="N55">
        <v>6.7656335474566506E-6</v>
      </c>
      <c r="O55">
        <v>7.5334466238009679E-6</v>
      </c>
      <c r="P55">
        <v>9.9631145641082604E-6</v>
      </c>
      <c r="Q55">
        <v>1.0648296652107667</v>
      </c>
      <c r="R55">
        <v>0.8476682570392805</v>
      </c>
      <c r="S55">
        <v>0.74351259140740034</v>
      </c>
      <c r="T55">
        <v>0.84635181134605963</v>
      </c>
      <c r="U55">
        <v>0.78171941414659907</v>
      </c>
      <c r="V55">
        <v>3.1397100837443292E-2</v>
      </c>
      <c r="W55">
        <v>-8.2445396991783132E-2</v>
      </c>
      <c r="X55">
        <v>-0.14710958203379396</v>
      </c>
      <c r="Y55">
        <v>-8.3217178714128745E-2</v>
      </c>
      <c r="Z55">
        <v>-0.12251120132624929</v>
      </c>
    </row>
    <row r="56" spans="1:26" x14ac:dyDescent="0.25">
      <c r="A56" t="s">
        <v>21</v>
      </c>
      <c r="B56">
        <v>4893</v>
      </c>
      <c r="C56">
        <v>3822</v>
      </c>
      <c r="D56">
        <v>3533</v>
      </c>
      <c r="E56">
        <v>2099</v>
      </c>
      <c r="F56">
        <v>3651</v>
      </c>
      <c r="G56">
        <v>291035118</v>
      </c>
      <c r="H56">
        <v>324497583</v>
      </c>
      <c r="I56">
        <v>356763182</v>
      </c>
      <c r="J56">
        <v>366266257</v>
      </c>
      <c r="K56">
        <v>369659595</v>
      </c>
      <c r="L56">
        <v>1.681240406183559E-5</v>
      </c>
      <c r="M56">
        <v>1.1778207913493149E-5</v>
      </c>
      <c r="N56">
        <v>9.9029277073776076E-6</v>
      </c>
      <c r="O56">
        <v>5.7308036432086615E-6</v>
      </c>
      <c r="P56">
        <v>9.8766542229209543E-6</v>
      </c>
      <c r="Q56">
        <v>0.97317931353845832</v>
      </c>
      <c r="R56">
        <v>1.1262585129118321</v>
      </c>
      <c r="S56">
        <v>1.0882870599753907</v>
      </c>
      <c r="T56">
        <v>0.64383227042114</v>
      </c>
      <c r="U56">
        <v>0.77493561909687259</v>
      </c>
      <c r="V56">
        <v>-1.3592624997393034E-2</v>
      </c>
      <c r="W56">
        <v>5.9380603132271885E-2</v>
      </c>
      <c r="X56">
        <v>4.2277262387686809E-2</v>
      </c>
      <c r="Y56">
        <v>-0.21666914318917221</v>
      </c>
      <c r="Z56">
        <v>-0.12680143351770992</v>
      </c>
    </row>
    <row r="57" spans="1:26" x14ac:dyDescent="0.25">
      <c r="A57" t="s">
        <v>24</v>
      </c>
      <c r="B57">
        <v>1910</v>
      </c>
      <c r="C57">
        <v>1557</v>
      </c>
      <c r="D57">
        <v>2496</v>
      </c>
      <c r="E57">
        <v>2218</v>
      </c>
      <c r="F57">
        <v>3007</v>
      </c>
      <c r="G57">
        <v>246961071</v>
      </c>
      <c r="H57">
        <v>347528998</v>
      </c>
      <c r="I57">
        <v>420493198</v>
      </c>
      <c r="J57">
        <v>470536020</v>
      </c>
      <c r="K57">
        <v>313364827</v>
      </c>
      <c r="L57">
        <v>7.7340124589919688E-6</v>
      </c>
      <c r="M57">
        <v>4.4802016780193982E-6</v>
      </c>
      <c r="N57">
        <v>5.9358867441180344E-6</v>
      </c>
      <c r="O57">
        <v>4.7137730284708068E-6</v>
      </c>
      <c r="P57">
        <v>9.5958440160228962E-6</v>
      </c>
      <c r="Q57">
        <v>0.44768023109943805</v>
      </c>
      <c r="R57">
        <v>0.42840687789614113</v>
      </c>
      <c r="S57">
        <v>0.65232716263196555</v>
      </c>
      <c r="T57">
        <v>0.52957305469134375</v>
      </c>
      <c r="U57">
        <v>0.75290287130397571</v>
      </c>
      <c r="V57">
        <v>-0.38152055753438291</v>
      </c>
      <c r="W57">
        <v>-0.4001612782386918</v>
      </c>
      <c r="X57">
        <v>-0.21041404222528906</v>
      </c>
      <c r="Y57">
        <v>-0.30755441452489818</v>
      </c>
      <c r="Z57">
        <v>-0.14096452960466085</v>
      </c>
    </row>
    <row r="58" spans="1:26" x14ac:dyDescent="0.25">
      <c r="A58" t="s">
        <v>87</v>
      </c>
      <c r="B58">
        <v>51</v>
      </c>
      <c r="C58">
        <v>48</v>
      </c>
      <c r="D58">
        <v>90</v>
      </c>
      <c r="E58">
        <v>72</v>
      </c>
      <c r="F58">
        <v>123</v>
      </c>
      <c r="G58">
        <v>6143458</v>
      </c>
      <c r="H58">
        <v>7697303</v>
      </c>
      <c r="I58">
        <v>10038186</v>
      </c>
      <c r="J58">
        <v>10982642</v>
      </c>
      <c r="K58">
        <v>13072085</v>
      </c>
      <c r="L58">
        <v>8.3015135775323937E-6</v>
      </c>
      <c r="M58">
        <v>6.235950436146271E-6</v>
      </c>
      <c r="N58">
        <v>8.9657633361246745E-6</v>
      </c>
      <c r="O58">
        <v>6.5557995972189573E-6</v>
      </c>
      <c r="P58">
        <v>9.409363540705251E-6</v>
      </c>
      <c r="Q58">
        <v>0.48052980733744693</v>
      </c>
      <c r="R58">
        <v>0.59629549048459973</v>
      </c>
      <c r="S58">
        <v>0.98529692529585355</v>
      </c>
      <c r="T58">
        <v>0.73651718011755885</v>
      </c>
      <c r="U58">
        <v>0.7382713615509674</v>
      </c>
      <c r="V58">
        <v>-0.35086777050220774</v>
      </c>
      <c r="W58">
        <v>-0.25290086448395882</v>
      </c>
      <c r="X58">
        <v>-7.405982710599E-3</v>
      </c>
      <c r="Y58">
        <v>-0.15173061510661467</v>
      </c>
      <c r="Z58">
        <v>-0.15056834291713003</v>
      </c>
    </row>
    <row r="59" spans="1:26" x14ac:dyDescent="0.25">
      <c r="A59" t="s">
        <v>79</v>
      </c>
      <c r="B59">
        <v>626</v>
      </c>
      <c r="C59">
        <v>171</v>
      </c>
      <c r="D59">
        <v>676</v>
      </c>
      <c r="E59">
        <v>803</v>
      </c>
      <c r="F59">
        <v>217</v>
      </c>
      <c r="G59">
        <v>38911684</v>
      </c>
      <c r="H59">
        <v>48986643</v>
      </c>
      <c r="I59">
        <v>58922123</v>
      </c>
      <c r="J59">
        <v>65555454</v>
      </c>
      <c r="K59">
        <v>23150950</v>
      </c>
      <c r="L59">
        <v>1.6087712883359146E-5</v>
      </c>
      <c r="M59">
        <v>3.4907474676311253E-6</v>
      </c>
      <c r="N59">
        <v>1.1472770592464906E-5</v>
      </c>
      <c r="O59">
        <v>1.2249171518208081E-5</v>
      </c>
      <c r="P59">
        <v>9.3732654599487276E-6</v>
      </c>
      <c r="Q59">
        <v>0.93123085328237754</v>
      </c>
      <c r="R59">
        <v>0.33379305924299874</v>
      </c>
      <c r="S59">
        <v>1.2608057078457742</v>
      </c>
      <c r="T59">
        <v>1.3761441501650002</v>
      </c>
      <c r="U59">
        <v>0.73543905741964055</v>
      </c>
      <c r="V59">
        <v>-3.5608972692591556E-2</v>
      </c>
      <c r="W59">
        <v>-0.49948298661496299</v>
      </c>
      <c r="X59">
        <v>0.11535962906528789</v>
      </c>
      <c r="Y59">
        <v>0.15830022355288531</v>
      </c>
      <c r="Z59">
        <v>-0.15244611526360669</v>
      </c>
    </row>
    <row r="60" spans="1:26" x14ac:dyDescent="0.25">
      <c r="A60" t="s">
        <v>62</v>
      </c>
      <c r="B60">
        <v>412</v>
      </c>
      <c r="C60">
        <v>355</v>
      </c>
      <c r="D60">
        <v>322</v>
      </c>
      <c r="E60">
        <v>382</v>
      </c>
      <c r="F60">
        <v>418</v>
      </c>
      <c r="G60">
        <v>33313761</v>
      </c>
      <c r="H60">
        <v>44476453</v>
      </c>
      <c r="I60">
        <v>55110148</v>
      </c>
      <c r="J60">
        <v>48418283</v>
      </c>
      <c r="K60">
        <v>44757934</v>
      </c>
      <c r="L60">
        <v>1.2367261685043608E-5</v>
      </c>
      <c r="M60">
        <v>7.9817516023591182E-6</v>
      </c>
      <c r="N60">
        <v>5.8428440438955086E-6</v>
      </c>
      <c r="O60">
        <v>7.8895817102808039E-6</v>
      </c>
      <c r="P60">
        <v>9.3391263323280299E-6</v>
      </c>
      <c r="Q60">
        <v>0.71587401734664025</v>
      </c>
      <c r="R60">
        <v>0.76323289214534917</v>
      </c>
      <c r="S60">
        <v>0.64210218980883682</v>
      </c>
      <c r="T60">
        <v>0.88636212675385861</v>
      </c>
      <c r="U60">
        <v>0.7327604553950019</v>
      </c>
      <c r="V60">
        <v>-0.16558673875878191</v>
      </c>
      <c r="W60">
        <v>-0.13428011064753512</v>
      </c>
      <c r="X60">
        <v>-0.21795099745456609</v>
      </c>
      <c r="Y60">
        <v>-6.0241812340504748E-2</v>
      </c>
      <c r="Z60">
        <v>-0.1542276335848615</v>
      </c>
    </row>
    <row r="61" spans="1:26" x14ac:dyDescent="0.25">
      <c r="A61" t="s">
        <v>15</v>
      </c>
      <c r="B61">
        <v>11990</v>
      </c>
      <c r="C61">
        <v>5929</v>
      </c>
      <c r="D61">
        <v>5430</v>
      </c>
      <c r="E61">
        <v>5332</v>
      </c>
      <c r="F61">
        <v>7135</v>
      </c>
      <c r="G61">
        <v>630863707</v>
      </c>
      <c r="H61">
        <v>695578289</v>
      </c>
      <c r="I61">
        <v>816299884</v>
      </c>
      <c r="J61">
        <v>791855405</v>
      </c>
      <c r="K61">
        <v>815579239</v>
      </c>
      <c r="L61">
        <v>1.9005689924717764E-5</v>
      </c>
      <c r="M61">
        <v>8.5238428136160536E-6</v>
      </c>
      <c r="N61">
        <v>6.6519671341763908E-6</v>
      </c>
      <c r="O61">
        <v>6.7335525732756728E-6</v>
      </c>
      <c r="P61">
        <v>8.7483835522203628E-6</v>
      </c>
      <c r="Q61">
        <v>1.1001367922299523</v>
      </c>
      <c r="R61">
        <v>0.81506886294302705</v>
      </c>
      <c r="S61">
        <v>0.73102116560060948</v>
      </c>
      <c r="T61">
        <v>0.75648699748939141</v>
      </c>
      <c r="U61">
        <v>0.68640997964711692</v>
      </c>
      <c r="V61">
        <v>4.7681080870749265E-2</v>
      </c>
      <c r="W61">
        <v>-0.10188656796035718</v>
      </c>
      <c r="X61">
        <v>-0.15538737465758451</v>
      </c>
      <c r="Y61">
        <v>-0.13863638208462134</v>
      </c>
      <c r="Z61">
        <v>-0.185951236139211</v>
      </c>
    </row>
    <row r="62" spans="1:26" x14ac:dyDescent="0.25">
      <c r="A62" t="s">
        <v>106</v>
      </c>
      <c r="B62">
        <v>15</v>
      </c>
      <c r="C62">
        <v>18</v>
      </c>
      <c r="D62">
        <v>21</v>
      </c>
      <c r="E62">
        <v>34</v>
      </c>
      <c r="F62">
        <v>37</v>
      </c>
      <c r="G62">
        <v>2102881</v>
      </c>
      <c r="H62">
        <v>2504294</v>
      </c>
      <c r="I62">
        <v>3722463</v>
      </c>
      <c r="J62">
        <v>4116053</v>
      </c>
      <c r="K62">
        <v>4398798</v>
      </c>
      <c r="L62">
        <v>7.1330712484443961E-6</v>
      </c>
      <c r="M62">
        <v>7.187654484657153E-6</v>
      </c>
      <c r="N62">
        <v>5.6414261202864875E-6</v>
      </c>
      <c r="O62">
        <v>8.2603406710263454E-6</v>
      </c>
      <c r="P62">
        <v>8.4113887475624015E-6</v>
      </c>
      <c r="Q62">
        <v>0.41289498845319361</v>
      </c>
      <c r="R62">
        <v>0.68729955445430635</v>
      </c>
      <c r="S62">
        <v>0.61996726906741739</v>
      </c>
      <c r="T62">
        <v>0.92801537441985837</v>
      </c>
      <c r="U62">
        <v>0.65996891249160261</v>
      </c>
      <c r="V62">
        <v>-0.41553336684246861</v>
      </c>
      <c r="W62">
        <v>-0.18532598122259616</v>
      </c>
      <c r="X62">
        <v>-0.23459284529332486</v>
      </c>
      <c r="Y62">
        <v>-3.7336126327209326E-2</v>
      </c>
      <c r="Z62">
        <v>-0.20484184068122874</v>
      </c>
    </row>
    <row r="63" spans="1:26" x14ac:dyDescent="0.25">
      <c r="A63" t="s">
        <v>90</v>
      </c>
      <c r="B63">
        <v>137</v>
      </c>
      <c r="C63">
        <v>143</v>
      </c>
      <c r="D63">
        <v>91</v>
      </c>
      <c r="E63">
        <v>101</v>
      </c>
      <c r="F63">
        <v>72</v>
      </c>
      <c r="G63">
        <v>5731510</v>
      </c>
      <c r="H63">
        <v>7145956</v>
      </c>
      <c r="I63">
        <v>8570977</v>
      </c>
      <c r="J63">
        <v>8394209</v>
      </c>
      <c r="K63">
        <v>8718694</v>
      </c>
      <c r="L63">
        <v>2.3902950531360845E-5</v>
      </c>
      <c r="M63">
        <v>2.0011318289673208E-5</v>
      </c>
      <c r="N63">
        <v>1.0617226017524022E-5</v>
      </c>
      <c r="O63">
        <v>1.2032104513957182E-5</v>
      </c>
      <c r="P63">
        <v>8.2581175575149222E-6</v>
      </c>
      <c r="Q63">
        <v>1.3836127720995144</v>
      </c>
      <c r="R63">
        <v>1.9135268916855503</v>
      </c>
      <c r="S63">
        <v>1.1667852204048061</v>
      </c>
      <c r="T63">
        <v>1.3517575630680947</v>
      </c>
      <c r="U63">
        <v>0.6479430480775672</v>
      </c>
      <c r="V63">
        <v>0.16093753842476005</v>
      </c>
      <c r="W63">
        <v>0.3135467512905129</v>
      </c>
      <c r="X63">
        <v>7.6973582261026657E-2</v>
      </c>
      <c r="Y63">
        <v>0.14957220446192296</v>
      </c>
      <c r="Z63">
        <v>-0.21363417402872639</v>
      </c>
    </row>
    <row r="64" spans="1:26" x14ac:dyDescent="0.25">
      <c r="A64" t="s">
        <v>20</v>
      </c>
      <c r="B64">
        <v>0</v>
      </c>
      <c r="C64">
        <v>202</v>
      </c>
      <c r="D64">
        <v>0</v>
      </c>
      <c r="E64">
        <v>477</v>
      </c>
      <c r="F64">
        <v>4285</v>
      </c>
      <c r="G64">
        <v>382979896</v>
      </c>
      <c r="H64">
        <v>505715616</v>
      </c>
      <c r="I64">
        <v>604614616</v>
      </c>
      <c r="J64">
        <v>598475395</v>
      </c>
      <c r="K64">
        <v>571784647</v>
      </c>
      <c r="L64">
        <v>0</v>
      </c>
      <c r="M64">
        <v>3.9943397753412463E-7</v>
      </c>
      <c r="N64">
        <v>0</v>
      </c>
      <c r="O64">
        <v>7.9702524779652803E-7</v>
      </c>
      <c r="P64">
        <v>7.494080196945197E-6</v>
      </c>
      <c r="Q64">
        <v>0</v>
      </c>
      <c r="R64">
        <v>3.8194767900868322E-2</v>
      </c>
      <c r="S64">
        <v>0</v>
      </c>
      <c r="T64">
        <v>8.9542515643495108E-2</v>
      </c>
      <c r="U64">
        <v>0.58799564568170437</v>
      </c>
      <c r="V64">
        <v>-1</v>
      </c>
      <c r="W64">
        <v>-0.92642080449298647</v>
      </c>
      <c r="X64">
        <v>-1</v>
      </c>
      <c r="Y64">
        <v>-0.83563281954057511</v>
      </c>
      <c r="Z64">
        <v>-0.25944929725637117</v>
      </c>
    </row>
    <row r="65" spans="1:26" x14ac:dyDescent="0.25">
      <c r="A65" t="s">
        <v>46</v>
      </c>
      <c r="B65">
        <v>858</v>
      </c>
      <c r="C65">
        <v>400</v>
      </c>
      <c r="D65">
        <v>627</v>
      </c>
      <c r="E65">
        <v>547</v>
      </c>
      <c r="F65">
        <v>741</v>
      </c>
      <c r="G65">
        <v>68704670</v>
      </c>
      <c r="H65">
        <v>93614253</v>
      </c>
      <c r="I65">
        <v>111878211</v>
      </c>
      <c r="J65">
        <v>107264215</v>
      </c>
      <c r="K65">
        <v>101243957</v>
      </c>
      <c r="L65">
        <v>1.2488234060363E-5</v>
      </c>
      <c r="M65">
        <v>4.2728536219799777E-6</v>
      </c>
      <c r="N65">
        <v>5.6043084206986467E-6</v>
      </c>
      <c r="O65">
        <v>5.0995572008800884E-6</v>
      </c>
      <c r="P65">
        <v>7.3189553426877617E-6</v>
      </c>
      <c r="Q65">
        <v>0.72287645511445986</v>
      </c>
      <c r="R65">
        <v>0.40857979427142543</v>
      </c>
      <c r="S65">
        <v>0.61588820140670864</v>
      </c>
      <c r="T65">
        <v>0.57291432322514757</v>
      </c>
      <c r="U65">
        <v>0.57425511328174561</v>
      </c>
      <c r="V65">
        <v>-0.16084934242550164</v>
      </c>
      <c r="W65">
        <v>-0.41986986334308524</v>
      </c>
      <c r="X65">
        <v>-0.23770938995587906</v>
      </c>
      <c r="Y65">
        <v>-0.27152507321514119</v>
      </c>
      <c r="Z65">
        <v>-0.27044211775226962</v>
      </c>
    </row>
    <row r="66" spans="1:26" x14ac:dyDescent="0.25">
      <c r="A66" t="s">
        <v>94</v>
      </c>
      <c r="B66">
        <v>74</v>
      </c>
      <c r="C66">
        <v>73</v>
      </c>
      <c r="D66">
        <v>71</v>
      </c>
      <c r="E66">
        <v>72</v>
      </c>
      <c r="F66">
        <v>63</v>
      </c>
      <c r="G66">
        <v>6545027</v>
      </c>
      <c r="H66">
        <v>10163198</v>
      </c>
      <c r="I66">
        <v>11246827</v>
      </c>
      <c r="J66">
        <v>10916351</v>
      </c>
      <c r="K66">
        <v>8949467</v>
      </c>
      <c r="L66">
        <v>1.1306294076403352E-5</v>
      </c>
      <c r="M66">
        <v>7.1827784915732237E-6</v>
      </c>
      <c r="N66">
        <v>6.312891627122921E-6</v>
      </c>
      <c r="O66">
        <v>6.595610566204769E-6</v>
      </c>
      <c r="P66">
        <v>7.0395253706170436E-6</v>
      </c>
      <c r="Q66">
        <v>0.65446032985343505</v>
      </c>
      <c r="R66">
        <v>0.68683330111933316</v>
      </c>
      <c r="S66">
        <v>0.69375829773114339</v>
      </c>
      <c r="T66">
        <v>0.74098977910115438</v>
      </c>
      <c r="U66">
        <v>0.55233066057605962</v>
      </c>
      <c r="V66">
        <v>-0.20885340307747091</v>
      </c>
      <c r="W66">
        <v>-0.18565361418514717</v>
      </c>
      <c r="X66">
        <v>-0.18080602331458953</v>
      </c>
      <c r="Y66">
        <v>-0.14877182164307048</v>
      </c>
      <c r="Z66">
        <v>-0.28838529753565084</v>
      </c>
    </row>
    <row r="67" spans="1:26" x14ac:dyDescent="0.25">
      <c r="A67" t="s">
        <v>39</v>
      </c>
      <c r="B67">
        <v>677</v>
      </c>
      <c r="C67">
        <v>657</v>
      </c>
      <c r="D67">
        <v>509</v>
      </c>
      <c r="E67">
        <v>669</v>
      </c>
      <c r="F67">
        <v>1056</v>
      </c>
      <c r="G67">
        <v>113422659</v>
      </c>
      <c r="H67">
        <v>139132012</v>
      </c>
      <c r="I67">
        <v>159334562</v>
      </c>
      <c r="J67">
        <v>148897654</v>
      </c>
      <c r="K67">
        <v>151630797</v>
      </c>
      <c r="L67">
        <v>5.9688249770268567E-6</v>
      </c>
      <c r="M67">
        <v>4.7221339687087976E-6</v>
      </c>
      <c r="N67">
        <v>3.1945360354396931E-6</v>
      </c>
      <c r="O67">
        <v>4.4930190773858664E-6</v>
      </c>
      <c r="P67">
        <v>6.9642844388663343E-6</v>
      </c>
      <c r="Q67">
        <v>0.34550305669610459</v>
      </c>
      <c r="R67">
        <v>0.45154098318095653</v>
      </c>
      <c r="S67">
        <v>0.35106509233669186</v>
      </c>
      <c r="T67">
        <v>0.50477225424865446</v>
      </c>
      <c r="U67">
        <v>0.54642715553157328</v>
      </c>
      <c r="V67">
        <v>-0.48643289217864638</v>
      </c>
      <c r="W67">
        <v>-0.37784604304945746</v>
      </c>
      <c r="X67">
        <v>-0.48031357729845819</v>
      </c>
      <c r="Y67">
        <v>-0.32910478270256049</v>
      </c>
      <c r="Z67">
        <v>-0.29330372455372089</v>
      </c>
    </row>
    <row r="68" spans="1:26" x14ac:dyDescent="0.25">
      <c r="A68" t="s">
        <v>147</v>
      </c>
      <c r="B68">
        <v>2</v>
      </c>
      <c r="C68">
        <v>3</v>
      </c>
      <c r="F68">
        <v>2</v>
      </c>
      <c r="G68">
        <v>89130</v>
      </c>
      <c r="H68">
        <v>158318</v>
      </c>
      <c r="I68">
        <v>161064</v>
      </c>
      <c r="J68">
        <v>251496</v>
      </c>
      <c r="K68">
        <v>290919</v>
      </c>
      <c r="L68">
        <v>2.2439133849433412E-5</v>
      </c>
      <c r="M68">
        <v>1.8949203501812807E-5</v>
      </c>
      <c r="N68">
        <v>0</v>
      </c>
      <c r="O68">
        <v>0</v>
      </c>
      <c r="P68">
        <v>6.8747658282889737E-6</v>
      </c>
      <c r="Q68">
        <v>1.2988803264347062</v>
      </c>
      <c r="R68">
        <v>1.8119651065393625</v>
      </c>
      <c r="S68">
        <v>0</v>
      </c>
      <c r="T68">
        <v>0</v>
      </c>
      <c r="U68">
        <v>0.53940340453829994</v>
      </c>
      <c r="V68">
        <v>0.13001125939349548</v>
      </c>
      <c r="W68">
        <v>0.28875362096460511</v>
      </c>
      <c r="X68">
        <v>-1</v>
      </c>
      <c r="Y68">
        <v>-1</v>
      </c>
      <c r="Z68">
        <v>-0.29920461011312555</v>
      </c>
    </row>
    <row r="69" spans="1:26" x14ac:dyDescent="0.25">
      <c r="A69" t="s">
        <v>57</v>
      </c>
      <c r="B69">
        <v>518</v>
      </c>
      <c r="C69">
        <v>481</v>
      </c>
      <c r="D69">
        <v>400</v>
      </c>
      <c r="E69">
        <v>431</v>
      </c>
      <c r="F69">
        <v>517</v>
      </c>
      <c r="G69">
        <v>68266522</v>
      </c>
      <c r="H69">
        <v>86263574</v>
      </c>
      <c r="I69">
        <v>97374453</v>
      </c>
      <c r="J69">
        <v>83093615</v>
      </c>
      <c r="K69">
        <v>80413668</v>
      </c>
      <c r="L69">
        <v>7.5879067048413565E-6</v>
      </c>
      <c r="M69">
        <v>5.5759340553174856E-6</v>
      </c>
      <c r="N69">
        <v>4.107853627686104E-6</v>
      </c>
      <c r="O69">
        <v>5.1869208001120179E-6</v>
      </c>
      <c r="P69">
        <v>6.429255285307965E-6</v>
      </c>
      <c r="Q69">
        <v>0.43922295770740261</v>
      </c>
      <c r="R69">
        <v>0.53318325193105076</v>
      </c>
      <c r="S69">
        <v>0.45143457363151768</v>
      </c>
      <c r="T69">
        <v>0.58272926506359501</v>
      </c>
      <c r="U69">
        <v>0.50444804610953542</v>
      </c>
      <c r="V69">
        <v>-0.38963875561426714</v>
      </c>
      <c r="W69">
        <v>-0.30447550707392057</v>
      </c>
      <c r="X69">
        <v>-0.37794705757625768</v>
      </c>
      <c r="Y69">
        <v>-0.26363999462639542</v>
      </c>
      <c r="Z69">
        <v>-0.32939120441676228</v>
      </c>
    </row>
    <row r="70" spans="1:26" x14ac:dyDescent="0.25">
      <c r="A70" t="s">
        <v>84</v>
      </c>
      <c r="B70">
        <v>231</v>
      </c>
      <c r="C70">
        <v>176</v>
      </c>
      <c r="D70">
        <v>173</v>
      </c>
      <c r="E70">
        <v>180</v>
      </c>
      <c r="F70">
        <v>150</v>
      </c>
      <c r="G70">
        <v>17315082</v>
      </c>
      <c r="H70">
        <v>23085528</v>
      </c>
      <c r="I70">
        <v>27901013</v>
      </c>
      <c r="J70">
        <v>25307970</v>
      </c>
      <c r="K70">
        <v>23466752</v>
      </c>
      <c r="L70">
        <v>1.334097060585679E-5</v>
      </c>
      <c r="M70">
        <v>7.6238238952126194E-6</v>
      </c>
      <c r="N70">
        <v>6.2004917169136472E-6</v>
      </c>
      <c r="O70">
        <v>7.1123839644191142E-6</v>
      </c>
      <c r="P70">
        <v>6.3920222108283244E-6</v>
      </c>
      <c r="Q70">
        <v>0.77223677044596029</v>
      </c>
      <c r="R70">
        <v>0.72900704640196201</v>
      </c>
      <c r="S70">
        <v>0.68140605489572226</v>
      </c>
      <c r="T70">
        <v>0.79904714958179845</v>
      </c>
      <c r="U70">
        <v>0.50152668883899343</v>
      </c>
      <c r="V70">
        <v>-0.12851738173603411</v>
      </c>
      <c r="W70">
        <v>-0.15673328466877581</v>
      </c>
      <c r="X70">
        <v>-0.18948066957213164</v>
      </c>
      <c r="Y70">
        <v>-0.11169960190588363</v>
      </c>
      <c r="Z70">
        <v>-0.33197765638547178</v>
      </c>
    </row>
    <row r="71" spans="1:26" x14ac:dyDescent="0.25">
      <c r="A71" t="s">
        <v>96</v>
      </c>
      <c r="B71">
        <v>12</v>
      </c>
      <c r="C71">
        <v>3</v>
      </c>
      <c r="D71">
        <v>13</v>
      </c>
      <c r="E71">
        <v>27</v>
      </c>
      <c r="F71">
        <v>55</v>
      </c>
      <c r="G71">
        <v>5410943</v>
      </c>
      <c r="H71">
        <v>7734905</v>
      </c>
      <c r="I71">
        <v>8407345</v>
      </c>
      <c r="J71">
        <v>8668928</v>
      </c>
      <c r="K71">
        <v>8791972</v>
      </c>
      <c r="L71">
        <v>2.2177280374234215E-6</v>
      </c>
      <c r="M71">
        <v>3.8785221020814087E-7</v>
      </c>
      <c r="N71">
        <v>1.5462669844047081E-6</v>
      </c>
      <c r="O71">
        <v>3.1145719516876826E-6</v>
      </c>
      <c r="P71">
        <v>6.2557069108045381E-6</v>
      </c>
      <c r="Q71">
        <v>0.12837230423065854</v>
      </c>
      <c r="R71">
        <v>3.7087293475110396E-2</v>
      </c>
      <c r="S71">
        <v>0.1699277627909121</v>
      </c>
      <c r="T71">
        <v>0.34990937674534262</v>
      </c>
      <c r="U71">
        <v>0.49083120643857098</v>
      </c>
      <c r="V71">
        <v>-0.77246463113398589</v>
      </c>
      <c r="W71">
        <v>-0.92847797151031153</v>
      </c>
      <c r="X71">
        <v>-0.7095072564385646</v>
      </c>
      <c r="Y71">
        <v>-0.48158093754562864</v>
      </c>
      <c r="Z71">
        <v>-0.34153349578573444</v>
      </c>
    </row>
    <row r="72" spans="1:26" x14ac:dyDescent="0.25">
      <c r="A72" t="s">
        <v>60</v>
      </c>
      <c r="B72">
        <v>420</v>
      </c>
      <c r="C72">
        <v>571</v>
      </c>
      <c r="D72">
        <v>263</v>
      </c>
      <c r="E72">
        <v>193</v>
      </c>
      <c r="F72">
        <v>434</v>
      </c>
      <c r="G72">
        <v>54335684</v>
      </c>
      <c r="H72">
        <v>72842535</v>
      </c>
      <c r="I72">
        <v>55224068</v>
      </c>
      <c r="J72">
        <v>63561928</v>
      </c>
      <c r="K72">
        <v>70495616</v>
      </c>
      <c r="L72">
        <v>7.7297269323047444E-6</v>
      </c>
      <c r="M72">
        <v>7.838826586691416E-6</v>
      </c>
      <c r="N72">
        <v>4.7624162711084598E-6</v>
      </c>
      <c r="O72">
        <v>3.0364088389515182E-6</v>
      </c>
      <c r="P72">
        <v>6.156411201513581E-6</v>
      </c>
      <c r="Q72">
        <v>0.44743216509386952</v>
      </c>
      <c r="R72">
        <v>0.74956608334166019</v>
      </c>
      <c r="S72">
        <v>0.52336805389404029</v>
      </c>
      <c r="T72">
        <v>0.3411280718064193</v>
      </c>
      <c r="U72">
        <v>0.48304033108581473</v>
      </c>
      <c r="V72">
        <v>-0.38175732737726958</v>
      </c>
      <c r="W72">
        <v>-0.14314058728208345</v>
      </c>
      <c r="X72">
        <v>-0.31288036065059321</v>
      </c>
      <c r="Y72">
        <v>-0.49128188578300319</v>
      </c>
      <c r="Z72">
        <v>-0.34858099141220994</v>
      </c>
    </row>
    <row r="73" spans="1:26" x14ac:dyDescent="0.25">
      <c r="A73" t="s">
        <v>52</v>
      </c>
      <c r="B73">
        <v>542</v>
      </c>
      <c r="C73">
        <v>552</v>
      </c>
      <c r="D73">
        <v>529</v>
      </c>
      <c r="E73">
        <v>669</v>
      </c>
      <c r="F73">
        <v>598</v>
      </c>
      <c r="G73">
        <v>81320407</v>
      </c>
      <c r="H73">
        <v>98636184</v>
      </c>
      <c r="I73">
        <v>107268574</v>
      </c>
      <c r="J73">
        <v>96972068</v>
      </c>
      <c r="K73">
        <v>98730037</v>
      </c>
      <c r="L73">
        <v>6.6649936958628354E-6</v>
      </c>
      <c r="M73">
        <v>5.5963235560694444E-6</v>
      </c>
      <c r="N73">
        <v>4.9315468666526691E-6</v>
      </c>
      <c r="O73">
        <v>6.8988938134226445E-6</v>
      </c>
      <c r="P73">
        <v>6.0569206512097229E-6</v>
      </c>
      <c r="Q73">
        <v>0.38580050573503616</v>
      </c>
      <c r="R73">
        <v>0.53513294147334589</v>
      </c>
      <c r="S73">
        <v>0.54195474300412738</v>
      </c>
      <c r="T73">
        <v>0.77506240726882503</v>
      </c>
      <c r="U73">
        <v>0.47523416824424392</v>
      </c>
      <c r="V73">
        <v>-0.44320917168318463</v>
      </c>
      <c r="W73">
        <v>-0.30281876309715389</v>
      </c>
      <c r="X73">
        <v>-0.29705492918909004</v>
      </c>
      <c r="Y73">
        <v>-0.12672094897061792</v>
      </c>
      <c r="Z73">
        <v>-0.3557169722962073</v>
      </c>
    </row>
    <row r="74" spans="1:26" x14ac:dyDescent="0.25">
      <c r="A74" t="s">
        <v>43</v>
      </c>
      <c r="B74">
        <v>2376</v>
      </c>
      <c r="C74">
        <v>785</v>
      </c>
      <c r="D74">
        <v>592</v>
      </c>
      <c r="E74">
        <v>931</v>
      </c>
      <c r="F74">
        <v>806</v>
      </c>
      <c r="G74">
        <v>99441600</v>
      </c>
      <c r="H74">
        <v>122740451</v>
      </c>
      <c r="I74">
        <v>148503449</v>
      </c>
      <c r="J74">
        <v>150611380</v>
      </c>
      <c r="K74">
        <v>144552207</v>
      </c>
      <c r="L74">
        <v>2.3893420862093934E-5</v>
      </c>
      <c r="M74">
        <v>6.3956095452183079E-6</v>
      </c>
      <c r="N74">
        <v>3.9864393991280298E-6</v>
      </c>
      <c r="O74">
        <v>6.1814718117581821E-6</v>
      </c>
      <c r="P74">
        <v>5.5758401530320461E-6</v>
      </c>
      <c r="Q74">
        <v>1.3830611509892132</v>
      </c>
      <c r="R74">
        <v>0.61156245062632897</v>
      </c>
      <c r="S74">
        <v>0.43809169789405189</v>
      </c>
      <c r="T74">
        <v>0.6944629896410569</v>
      </c>
      <c r="U74">
        <v>0.43748794312829625</v>
      </c>
      <c r="V74">
        <v>0.16074331572658293</v>
      </c>
      <c r="W74">
        <v>-0.24103164554541834</v>
      </c>
      <c r="X74">
        <v>-0.39073190042666212</v>
      </c>
      <c r="Y74">
        <v>-0.18031495065210359</v>
      </c>
      <c r="Z74">
        <v>-0.39131601733476196</v>
      </c>
    </row>
    <row r="75" spans="1:26" x14ac:dyDescent="0.25">
      <c r="A75" t="s">
        <v>89</v>
      </c>
      <c r="B75">
        <v>31</v>
      </c>
      <c r="C75">
        <v>38</v>
      </c>
      <c r="D75">
        <v>35</v>
      </c>
      <c r="E75">
        <v>52</v>
      </c>
      <c r="F75">
        <v>84</v>
      </c>
      <c r="G75">
        <v>9867992</v>
      </c>
      <c r="H75">
        <v>13030086</v>
      </c>
      <c r="I75">
        <v>15382424</v>
      </c>
      <c r="J75">
        <v>15348896</v>
      </c>
      <c r="K75">
        <v>15853280</v>
      </c>
      <c r="L75">
        <v>3.1414699160680308E-6</v>
      </c>
      <c r="M75">
        <v>2.9163276435781008E-6</v>
      </c>
      <c r="N75">
        <v>2.2753240971643999E-6</v>
      </c>
      <c r="O75">
        <v>3.3878658113261047E-6</v>
      </c>
      <c r="P75">
        <v>5.298588052440883E-6</v>
      </c>
      <c r="Q75">
        <v>0.18184273499354714</v>
      </c>
      <c r="R75">
        <v>0.27886575437823291</v>
      </c>
      <c r="S75">
        <v>0.25004784901635202</v>
      </c>
      <c r="T75">
        <v>0.38061282029320859</v>
      </c>
      <c r="U75">
        <v>0.41573436915798262</v>
      </c>
      <c r="V75">
        <v>-0.69227253405328915</v>
      </c>
      <c r="W75">
        <v>-0.56388580517770825</v>
      </c>
      <c r="X75">
        <v>-0.59993875560345677</v>
      </c>
      <c r="Y75">
        <v>-0.44863206440111758</v>
      </c>
      <c r="Z75">
        <v>-0.41269438926563118</v>
      </c>
    </row>
    <row r="76" spans="1:26" x14ac:dyDescent="0.25">
      <c r="A76" t="s">
        <v>37</v>
      </c>
      <c r="B76">
        <v>847</v>
      </c>
      <c r="C76">
        <v>719</v>
      </c>
      <c r="D76">
        <v>577</v>
      </c>
      <c r="E76">
        <v>762</v>
      </c>
      <c r="F76">
        <v>1129</v>
      </c>
      <c r="G76">
        <v>171440208</v>
      </c>
      <c r="H76">
        <v>212480637</v>
      </c>
      <c r="I76">
        <v>236320011</v>
      </c>
      <c r="J76">
        <v>228913299</v>
      </c>
      <c r="K76">
        <v>229396962</v>
      </c>
      <c r="L76">
        <v>4.9404979723309716E-6</v>
      </c>
      <c r="M76">
        <v>3.383837747060218E-6</v>
      </c>
      <c r="N76">
        <v>2.4416044902773809E-6</v>
      </c>
      <c r="O76">
        <v>3.328771213069626E-6</v>
      </c>
      <c r="P76">
        <v>4.9215996156043254E-6</v>
      </c>
      <c r="Q76">
        <v>0.28597875756301927</v>
      </c>
      <c r="R76">
        <v>0.32357011329142749</v>
      </c>
      <c r="S76">
        <v>0.26832131374311802</v>
      </c>
      <c r="T76">
        <v>0.37397378469997522</v>
      </c>
      <c r="U76">
        <v>0.3861553476494316</v>
      </c>
      <c r="V76">
        <v>-0.55523564307553519</v>
      </c>
      <c r="W76">
        <v>-0.5110646424513472</v>
      </c>
      <c r="X76">
        <v>-0.5768874797960496</v>
      </c>
      <c r="Y76">
        <v>-0.45563184849027211</v>
      </c>
      <c r="Z76">
        <v>-0.4428397245600888</v>
      </c>
    </row>
    <row r="77" spans="1:26" x14ac:dyDescent="0.25">
      <c r="A77" t="s">
        <v>28</v>
      </c>
      <c r="B77">
        <v>1439</v>
      </c>
      <c r="C77">
        <v>1899</v>
      </c>
      <c r="D77">
        <v>1301</v>
      </c>
      <c r="E77">
        <v>1328</v>
      </c>
      <c r="F77">
        <v>1851</v>
      </c>
      <c r="G77">
        <v>254660433</v>
      </c>
      <c r="H77">
        <v>335451322</v>
      </c>
      <c r="I77">
        <v>386969092</v>
      </c>
      <c r="J77">
        <v>371400902</v>
      </c>
      <c r="K77">
        <v>379496070</v>
      </c>
      <c r="L77">
        <v>5.6506618756907552E-6</v>
      </c>
      <c r="M77">
        <v>5.6610300078054248E-6</v>
      </c>
      <c r="N77">
        <v>3.3620256162474081E-6</v>
      </c>
      <c r="O77">
        <v>3.5756509821292786E-6</v>
      </c>
      <c r="P77">
        <v>4.8775208660263592E-6</v>
      </c>
      <c r="Q77">
        <v>0.32708631228449492</v>
      </c>
      <c r="R77">
        <v>0.54132031672119496</v>
      </c>
      <c r="S77">
        <v>0.36947144133366011</v>
      </c>
      <c r="T77">
        <v>0.40170971357324708</v>
      </c>
      <c r="U77">
        <v>0.38269686947228276</v>
      </c>
      <c r="V77">
        <v>-0.50706098125383181</v>
      </c>
      <c r="W77">
        <v>-0.29758881285269811</v>
      </c>
      <c r="X77">
        <v>-0.46041745715580562</v>
      </c>
      <c r="Y77">
        <v>-0.42682895084003353</v>
      </c>
      <c r="Z77">
        <v>-0.44644863538551</v>
      </c>
    </row>
    <row r="78" spans="1:26" x14ac:dyDescent="0.25">
      <c r="A78" t="s">
        <v>99</v>
      </c>
      <c r="B78">
        <v>31</v>
      </c>
      <c r="C78">
        <v>39</v>
      </c>
      <c r="D78">
        <v>56</v>
      </c>
      <c r="E78">
        <v>43</v>
      </c>
      <c r="F78">
        <v>50</v>
      </c>
      <c r="G78">
        <v>9745446</v>
      </c>
      <c r="H78">
        <v>15792669</v>
      </c>
      <c r="I78">
        <v>13716419</v>
      </c>
      <c r="J78">
        <v>10354328</v>
      </c>
      <c r="K78">
        <v>10356044</v>
      </c>
      <c r="L78">
        <v>3.1809729385397036E-6</v>
      </c>
      <c r="M78">
        <v>2.4695002472349669E-6</v>
      </c>
      <c r="N78">
        <v>4.082698261113196E-6</v>
      </c>
      <c r="O78">
        <v>4.1528527974002759E-6</v>
      </c>
      <c r="P78">
        <v>4.8280984514936398E-6</v>
      </c>
      <c r="Q78">
        <v>0.18412935171714492</v>
      </c>
      <c r="R78">
        <v>0.23613912205608084</v>
      </c>
      <c r="S78">
        <v>0.44867011237933285</v>
      </c>
      <c r="T78">
        <v>0.46655596871540722</v>
      </c>
      <c r="U78">
        <v>0.37881912013138819</v>
      </c>
      <c r="V78">
        <v>-0.68900466583294651</v>
      </c>
      <c r="W78">
        <v>-0.61794086467660914</v>
      </c>
      <c r="X78">
        <v>-0.38057655977671057</v>
      </c>
      <c r="Y78">
        <v>-0.36373929305394975</v>
      </c>
      <c r="Z78">
        <v>-0.45051658393699912</v>
      </c>
    </row>
    <row r="79" spans="1:26" x14ac:dyDescent="0.25">
      <c r="A79" t="s">
        <v>103</v>
      </c>
      <c r="B79">
        <v>73</v>
      </c>
      <c r="C79">
        <v>71</v>
      </c>
      <c r="D79">
        <v>66</v>
      </c>
      <c r="E79">
        <v>48</v>
      </c>
      <c r="F79">
        <v>47</v>
      </c>
      <c r="G79">
        <v>5710976</v>
      </c>
      <c r="H79">
        <v>7841938</v>
      </c>
      <c r="I79">
        <v>9764239</v>
      </c>
      <c r="J79">
        <v>9481315</v>
      </c>
      <c r="K79">
        <v>9835158</v>
      </c>
      <c r="L79">
        <v>1.278240356814667E-5</v>
      </c>
      <c r="M79">
        <v>9.0538843841917657E-6</v>
      </c>
      <c r="N79">
        <v>6.7593593315362311E-6</v>
      </c>
      <c r="O79">
        <v>5.0625888919416771E-6</v>
      </c>
      <c r="P79">
        <v>4.7787742708353032E-6</v>
      </c>
      <c r="Q79">
        <v>0.73990433991879423</v>
      </c>
      <c r="R79">
        <v>0.86575262022109056</v>
      </c>
      <c r="S79">
        <v>0.74282308339528014</v>
      </c>
      <c r="T79">
        <v>0.56876108543176174</v>
      </c>
      <c r="U79">
        <v>0.37494907835284652</v>
      </c>
      <c r="V79">
        <v>-0.14948848285150271</v>
      </c>
      <c r="W79">
        <v>-7.1953472461424819E-2</v>
      </c>
      <c r="X79">
        <v>-0.14756340965125431</v>
      </c>
      <c r="Y79">
        <v>-0.27489138950023784</v>
      </c>
      <c r="Z79">
        <v>-0.45459932406802178</v>
      </c>
    </row>
    <row r="80" spans="1:26" x14ac:dyDescent="0.25">
      <c r="A80" t="s">
        <v>95</v>
      </c>
      <c r="B80">
        <v>68</v>
      </c>
      <c r="C80">
        <v>107</v>
      </c>
      <c r="D80">
        <v>98</v>
      </c>
      <c r="E80">
        <v>50</v>
      </c>
      <c r="F80">
        <v>56</v>
      </c>
      <c r="G80">
        <v>8709069</v>
      </c>
      <c r="H80">
        <v>11389534</v>
      </c>
      <c r="I80">
        <v>12755184</v>
      </c>
      <c r="J80">
        <v>12052389</v>
      </c>
      <c r="K80">
        <v>11966612</v>
      </c>
      <c r="L80">
        <v>7.8079528362905374E-6</v>
      </c>
      <c r="M80">
        <v>9.3945898049911443E-6</v>
      </c>
      <c r="N80">
        <v>7.6831506311473047E-6</v>
      </c>
      <c r="O80">
        <v>4.1485551121856419E-6</v>
      </c>
      <c r="P80">
        <v>4.6796871161194161E-6</v>
      </c>
      <c r="Q80">
        <v>0.45196024039243027</v>
      </c>
      <c r="R80">
        <v>0.89833163252829518</v>
      </c>
      <c r="S80">
        <v>0.84434357785830672</v>
      </c>
      <c r="T80">
        <v>0.46607314141899964</v>
      </c>
      <c r="U80">
        <v>0.36717456647349933</v>
      </c>
      <c r="V80">
        <v>-0.37744818650092482</v>
      </c>
      <c r="W80">
        <v>-5.3556694588867852E-2</v>
      </c>
      <c r="X80">
        <v>-8.4396651475559137E-2</v>
      </c>
      <c r="Y80">
        <v>-0.36418841836514187</v>
      </c>
      <c r="Z80">
        <v>-0.46287098154467243</v>
      </c>
    </row>
    <row r="81" spans="1:26" x14ac:dyDescent="0.25">
      <c r="A81" t="s">
        <v>119</v>
      </c>
      <c r="B81">
        <v>40</v>
      </c>
      <c r="C81">
        <v>19</v>
      </c>
      <c r="D81">
        <v>11</v>
      </c>
      <c r="E81">
        <v>9</v>
      </c>
      <c r="F81">
        <v>12</v>
      </c>
      <c r="G81">
        <v>1003430</v>
      </c>
      <c r="H81">
        <v>1715157</v>
      </c>
      <c r="I81">
        <v>2343768</v>
      </c>
      <c r="J81">
        <v>2293825</v>
      </c>
      <c r="K81">
        <v>2707963</v>
      </c>
      <c r="L81">
        <v>3.9863268987373311E-5</v>
      </c>
      <c r="M81">
        <v>1.1077703090737467E-5</v>
      </c>
      <c r="N81">
        <v>4.6932972888101556E-6</v>
      </c>
      <c r="O81">
        <v>3.9235774307107128E-6</v>
      </c>
      <c r="P81">
        <v>4.4313751701925026E-6</v>
      </c>
      <c r="Q81">
        <v>2.3074694496900703</v>
      </c>
      <c r="R81">
        <v>1.0592746792285637</v>
      </c>
      <c r="S81">
        <v>0.51577218969542826</v>
      </c>
      <c r="T81">
        <v>0.44079782220094532</v>
      </c>
      <c r="U81">
        <v>0.34769167609353085</v>
      </c>
      <c r="V81">
        <v>0.39530809568402453</v>
      </c>
      <c r="W81">
        <v>2.8784250992086636E-2</v>
      </c>
      <c r="X81">
        <v>-0.31945948975476984</v>
      </c>
      <c r="Y81">
        <v>-0.38811981055386674</v>
      </c>
      <c r="Z81">
        <v>-0.4840189603287261</v>
      </c>
    </row>
    <row r="82" spans="1:26" x14ac:dyDescent="0.25">
      <c r="A82" t="s">
        <v>35</v>
      </c>
      <c r="B82">
        <v>1772</v>
      </c>
      <c r="C82">
        <v>681</v>
      </c>
      <c r="D82">
        <v>1010</v>
      </c>
      <c r="E82">
        <v>865</v>
      </c>
      <c r="F82">
        <v>1298</v>
      </c>
      <c r="G82">
        <v>208615061</v>
      </c>
      <c r="H82">
        <v>269102030</v>
      </c>
      <c r="I82">
        <v>306260910</v>
      </c>
      <c r="J82">
        <v>292053342</v>
      </c>
      <c r="K82">
        <v>310155165</v>
      </c>
      <c r="L82">
        <v>8.4941134715100934E-6</v>
      </c>
      <c r="M82">
        <v>2.5306386577611475E-6</v>
      </c>
      <c r="N82">
        <v>3.2978416997454883E-6</v>
      </c>
      <c r="O82">
        <v>2.9617877134239404E-6</v>
      </c>
      <c r="P82">
        <v>4.1850020456696247E-6</v>
      </c>
      <c r="Q82">
        <v>0.49167837549696886</v>
      </c>
      <c r="R82">
        <v>0.24198531324465083</v>
      </c>
      <c r="S82">
        <v>0.36241791859254768</v>
      </c>
      <c r="T82">
        <v>0.33274469459426587</v>
      </c>
      <c r="U82">
        <v>0.32836090825740599</v>
      </c>
      <c r="V82">
        <v>-0.34077159852483496</v>
      </c>
      <c r="W82">
        <v>-0.61032500036176573</v>
      </c>
      <c r="X82">
        <v>-0.46797834402098115</v>
      </c>
      <c r="Y82">
        <v>-0.50066251106620996</v>
      </c>
      <c r="Z82">
        <v>-0.50561491802982639</v>
      </c>
    </row>
    <row r="83" spans="1:26" x14ac:dyDescent="0.25">
      <c r="A83" t="s">
        <v>83</v>
      </c>
      <c r="B83">
        <v>91</v>
      </c>
      <c r="C83">
        <v>7</v>
      </c>
      <c r="D83">
        <v>36</v>
      </c>
      <c r="E83">
        <v>35</v>
      </c>
      <c r="F83">
        <v>167</v>
      </c>
      <c r="G83">
        <v>34900772</v>
      </c>
      <c r="H83">
        <v>37496398</v>
      </c>
      <c r="I83">
        <v>36055268</v>
      </c>
      <c r="J83">
        <v>41626798</v>
      </c>
      <c r="K83">
        <v>42622122</v>
      </c>
      <c r="L83">
        <v>2.607392180321971E-6</v>
      </c>
      <c r="M83">
        <v>1.8668459834461967E-7</v>
      </c>
      <c r="N83">
        <v>9.9846713107221945E-7</v>
      </c>
      <c r="O83">
        <v>8.4080452212538666E-7</v>
      </c>
      <c r="P83">
        <v>3.9181531130711886E-6</v>
      </c>
      <c r="Q83">
        <v>0.15092785795764643</v>
      </c>
      <c r="R83">
        <v>1.7851197708463371E-2</v>
      </c>
      <c r="S83">
        <v>0.10972703130480553</v>
      </c>
      <c r="T83">
        <v>9.4460937446681756E-2</v>
      </c>
      <c r="U83">
        <v>0.30742358088711036</v>
      </c>
      <c r="V83">
        <v>-0.73772837817050996</v>
      </c>
      <c r="W83">
        <v>-0.96492375752241066</v>
      </c>
      <c r="X83">
        <v>-0.80224500582672187</v>
      </c>
      <c r="Y83">
        <v>-0.82738362930146414</v>
      </c>
      <c r="Z83">
        <v>-0.5297261187862039</v>
      </c>
    </row>
    <row r="84" spans="1:26" x14ac:dyDescent="0.25">
      <c r="A84" t="s">
        <v>56</v>
      </c>
      <c r="B84">
        <v>396</v>
      </c>
      <c r="C84">
        <v>580</v>
      </c>
      <c r="D84">
        <v>501</v>
      </c>
      <c r="E84">
        <v>417</v>
      </c>
      <c r="F84">
        <v>534</v>
      </c>
      <c r="G84">
        <v>91852185</v>
      </c>
      <c r="H84">
        <v>116381979</v>
      </c>
      <c r="I84">
        <v>132869619</v>
      </c>
      <c r="J84">
        <v>131998810</v>
      </c>
      <c r="K84">
        <v>136432938</v>
      </c>
      <c r="L84">
        <v>4.3112746855178244E-6</v>
      </c>
      <c r="M84">
        <v>4.9835894266757574E-6</v>
      </c>
      <c r="N84">
        <v>3.7706136569865532E-6</v>
      </c>
      <c r="O84">
        <v>3.1591193890308556E-6</v>
      </c>
      <c r="P84">
        <v>3.9140108527165188E-6</v>
      </c>
      <c r="Q84">
        <v>0.2495564181955478</v>
      </c>
      <c r="R84">
        <v>0.47654193726881977</v>
      </c>
      <c r="S84">
        <v>0.41437342292298746</v>
      </c>
      <c r="T84">
        <v>0.35491409851069006</v>
      </c>
      <c r="U84">
        <v>0.30709857354960968</v>
      </c>
      <c r="V84">
        <v>-0.6005679862683978</v>
      </c>
      <c r="W84">
        <v>-0.35451621760193813</v>
      </c>
      <c r="X84">
        <v>-0.41405371989155365</v>
      </c>
      <c r="Y84">
        <v>-0.47610833941309116</v>
      </c>
      <c r="Z84">
        <v>-0.53010648199907318</v>
      </c>
    </row>
    <row r="85" spans="1:26" x14ac:dyDescent="0.25">
      <c r="A85" t="s">
        <v>151</v>
      </c>
      <c r="B85">
        <v>1</v>
      </c>
      <c r="C85">
        <v>3</v>
      </c>
      <c r="D85">
        <v>1</v>
      </c>
      <c r="E85">
        <v>2</v>
      </c>
      <c r="F85">
        <v>2</v>
      </c>
      <c r="G85">
        <v>253761</v>
      </c>
      <c r="H85">
        <v>341944</v>
      </c>
      <c r="I85">
        <v>427909</v>
      </c>
      <c r="J85">
        <v>492381</v>
      </c>
      <c r="K85">
        <v>525871</v>
      </c>
      <c r="L85">
        <v>3.9407158704450248E-6</v>
      </c>
      <c r="M85">
        <v>8.7733663991764737E-6</v>
      </c>
      <c r="N85">
        <v>2.3369454720513008E-6</v>
      </c>
      <c r="O85">
        <v>4.0618951584240658E-6</v>
      </c>
      <c r="P85">
        <v>3.8032140962327263E-6</v>
      </c>
      <c r="Q85">
        <v>0.22810676876101008</v>
      </c>
      <c r="R85">
        <v>0.83892886477639261</v>
      </c>
      <c r="S85">
        <v>0.25681975999953993</v>
      </c>
      <c r="T85">
        <v>0.45633725126142527</v>
      </c>
      <c r="U85">
        <v>0.29840531051318225</v>
      </c>
      <c r="V85">
        <v>-0.62852290279103618</v>
      </c>
      <c r="W85">
        <v>-8.75896497732081E-2</v>
      </c>
      <c r="X85">
        <v>-0.59131807412125048</v>
      </c>
      <c r="Y85">
        <v>-0.37330827613430495</v>
      </c>
      <c r="Z85">
        <v>-0.54035106280450984</v>
      </c>
    </row>
    <row r="86" spans="1:26" x14ac:dyDescent="0.25">
      <c r="A86" t="s">
        <v>123</v>
      </c>
      <c r="B86">
        <v>13</v>
      </c>
      <c r="C86">
        <v>6</v>
      </c>
      <c r="D86">
        <v>12</v>
      </c>
      <c r="E86">
        <v>23</v>
      </c>
      <c r="F86">
        <v>10</v>
      </c>
      <c r="G86">
        <v>1733489</v>
      </c>
      <c r="H86">
        <v>2117133</v>
      </c>
      <c r="I86">
        <v>3015746</v>
      </c>
      <c r="J86">
        <v>3132125</v>
      </c>
      <c r="K86">
        <v>2710891</v>
      </c>
      <c r="L86">
        <v>7.4993265027929221E-6</v>
      </c>
      <c r="M86">
        <v>2.8340212920019669E-6</v>
      </c>
      <c r="N86">
        <v>3.9791149519886622E-6</v>
      </c>
      <c r="O86">
        <v>7.3432573731891288E-6</v>
      </c>
      <c r="P86">
        <v>3.6888240803484908E-6</v>
      </c>
      <c r="Q86">
        <v>0.43409552798911033</v>
      </c>
      <c r="R86">
        <v>0.27099543744970089</v>
      </c>
      <c r="S86">
        <v>0.4372867742109971</v>
      </c>
      <c r="T86">
        <v>0.82498482956572494</v>
      </c>
      <c r="U86">
        <v>0.28943011549501196</v>
      </c>
      <c r="V86">
        <v>-0.39460723568701261</v>
      </c>
      <c r="W86">
        <v>-0.5735697714329121</v>
      </c>
      <c r="X86">
        <v>-0.39151075198469421</v>
      </c>
      <c r="Y86">
        <v>-9.5899520696794957E-2</v>
      </c>
      <c r="Z86">
        <v>-0.5510728157859105</v>
      </c>
    </row>
    <row r="87" spans="1:26" x14ac:dyDescent="0.25">
      <c r="A87" t="s">
        <v>97</v>
      </c>
      <c r="B87">
        <v>133</v>
      </c>
      <c r="C87">
        <v>146</v>
      </c>
      <c r="D87">
        <v>123</v>
      </c>
      <c r="E87">
        <v>84</v>
      </c>
      <c r="F87">
        <v>51</v>
      </c>
      <c r="G87">
        <v>11950497</v>
      </c>
      <c r="H87">
        <v>19346655</v>
      </c>
      <c r="I87">
        <v>17430546</v>
      </c>
      <c r="J87">
        <v>17560701</v>
      </c>
      <c r="K87">
        <v>14614151</v>
      </c>
      <c r="L87">
        <v>1.1129244248168089E-5</v>
      </c>
      <c r="M87">
        <v>7.5465241924249956E-6</v>
      </c>
      <c r="N87">
        <v>7.0565775736457137E-6</v>
      </c>
      <c r="O87">
        <v>4.7834081338780271E-6</v>
      </c>
      <c r="P87">
        <v>3.4897682390171004E-6</v>
      </c>
      <c r="Q87">
        <v>0.64421187105656252</v>
      </c>
      <c r="R87">
        <v>0.72161547639831314</v>
      </c>
      <c r="S87">
        <v>0.77548602676256417</v>
      </c>
      <c r="T87">
        <v>0.537396273005319</v>
      </c>
      <c r="U87">
        <v>0.27381192555382661</v>
      </c>
      <c r="V87">
        <v>-0.21638824971796961</v>
      </c>
      <c r="W87">
        <v>-0.16169959402553594</v>
      </c>
      <c r="X87">
        <v>-0.12645212063246505</v>
      </c>
      <c r="Y87">
        <v>-0.300900773026058</v>
      </c>
      <c r="Z87">
        <v>-0.57009049756732499</v>
      </c>
    </row>
    <row r="88" spans="1:26" x14ac:dyDescent="0.25">
      <c r="A88" t="s">
        <v>13</v>
      </c>
      <c r="B88">
        <v>4585</v>
      </c>
      <c r="C88">
        <v>6888</v>
      </c>
      <c r="D88">
        <v>6982</v>
      </c>
      <c r="E88">
        <v>3656</v>
      </c>
      <c r="F88">
        <v>8471</v>
      </c>
      <c r="G88">
        <v>2057021048</v>
      </c>
      <c r="H88">
        <v>2675680064</v>
      </c>
      <c r="I88">
        <v>2715998754</v>
      </c>
      <c r="J88">
        <v>2559319988</v>
      </c>
      <c r="K88">
        <v>2587295232</v>
      </c>
      <c r="L88">
        <v>2.2289514268499598E-6</v>
      </c>
      <c r="M88">
        <v>2.5742988082449606E-6</v>
      </c>
      <c r="N88">
        <v>2.5706933737422471E-6</v>
      </c>
      <c r="O88">
        <v>1.4285044531914935E-6</v>
      </c>
      <c r="P88">
        <v>3.2740755269169065E-6</v>
      </c>
      <c r="Q88">
        <v>0.12902196565787152</v>
      </c>
      <c r="R88">
        <v>0.24616019422132929</v>
      </c>
      <c r="S88">
        <v>0.28250759941667941</v>
      </c>
      <c r="T88">
        <v>0.16048661281475021</v>
      </c>
      <c r="U88">
        <v>0.25688838428029048</v>
      </c>
      <c r="V88">
        <v>-0.77144472015176158</v>
      </c>
      <c r="W88">
        <v>-0.60493009588523405</v>
      </c>
      <c r="X88">
        <v>-0.55944495058715926</v>
      </c>
      <c r="Y88">
        <v>-0.72341496913007675</v>
      </c>
      <c r="Z88">
        <v>-0.59123119046503425</v>
      </c>
    </row>
    <row r="89" spans="1:26" x14ac:dyDescent="0.25">
      <c r="A89" t="s">
        <v>93</v>
      </c>
      <c r="B89">
        <v>265</v>
      </c>
      <c r="C89">
        <v>200</v>
      </c>
      <c r="D89">
        <v>152</v>
      </c>
      <c r="E89">
        <v>162</v>
      </c>
      <c r="F89">
        <v>67</v>
      </c>
      <c r="G89">
        <v>15459448</v>
      </c>
      <c r="H89">
        <v>18675855</v>
      </c>
      <c r="I89">
        <v>15534503</v>
      </c>
      <c r="J89">
        <v>15354370</v>
      </c>
      <c r="K89">
        <v>21297031</v>
      </c>
      <c r="L89">
        <v>1.7141621097984869E-5</v>
      </c>
      <c r="M89">
        <v>1.070901439318307E-5</v>
      </c>
      <c r="N89">
        <v>9.7846709354010225E-6</v>
      </c>
      <c r="O89">
        <v>1.0550742231690391E-5</v>
      </c>
      <c r="P89">
        <v>3.145978423001779E-6</v>
      </c>
      <c r="Q89">
        <v>0.99223591056447225</v>
      </c>
      <c r="R89">
        <v>1.0240198435791339</v>
      </c>
      <c r="S89">
        <v>1.0752911744656237</v>
      </c>
      <c r="T89">
        <v>1.1853325900822695</v>
      </c>
      <c r="U89">
        <v>0.24683771263719351</v>
      </c>
      <c r="V89">
        <v>-3.8971737204194397E-3</v>
      </c>
      <c r="W89">
        <v>1.1867395300166079E-2</v>
      </c>
      <c r="X89">
        <v>3.6279812390668888E-2</v>
      </c>
      <c r="Y89">
        <v>8.480749837501507E-2</v>
      </c>
      <c r="Z89">
        <v>-0.60405799385855019</v>
      </c>
    </row>
    <row r="90" spans="1:26" x14ac:dyDescent="0.25">
      <c r="A90" t="s">
        <v>113</v>
      </c>
      <c r="B90">
        <v>53</v>
      </c>
      <c r="C90">
        <v>28</v>
      </c>
      <c r="D90">
        <v>66</v>
      </c>
      <c r="E90">
        <v>67</v>
      </c>
      <c r="F90">
        <v>27</v>
      </c>
      <c r="G90">
        <v>5415991</v>
      </c>
      <c r="H90">
        <v>7176764</v>
      </c>
      <c r="I90">
        <v>9218982</v>
      </c>
      <c r="J90">
        <v>8673672</v>
      </c>
      <c r="K90">
        <v>9065188</v>
      </c>
      <c r="L90">
        <v>9.7858360547497217E-6</v>
      </c>
      <c r="M90">
        <v>3.9014798313000123E-6</v>
      </c>
      <c r="N90">
        <v>7.1591418662060516E-6</v>
      </c>
      <c r="O90">
        <v>7.7245254374387226E-6</v>
      </c>
      <c r="P90">
        <v>2.9784269228613903E-6</v>
      </c>
      <c r="Q90">
        <v>0.56644922279612764</v>
      </c>
      <c r="R90">
        <v>0.37306820402801627</v>
      </c>
      <c r="S90">
        <v>0.78675737960964098</v>
      </c>
      <c r="T90">
        <v>0.86781873188163983</v>
      </c>
      <c r="U90">
        <v>0.23369139582166953</v>
      </c>
      <c r="V90">
        <v>-0.27677295305492239</v>
      </c>
      <c r="W90">
        <v>-0.45659188242275534</v>
      </c>
      <c r="X90">
        <v>-0.11934615344191099</v>
      </c>
      <c r="Y90">
        <v>-7.0767717371160957E-2</v>
      </c>
      <c r="Z90">
        <v>-0.62115096755453147</v>
      </c>
    </row>
    <row r="91" spans="1:26" x14ac:dyDescent="0.25">
      <c r="A91" t="s">
        <v>48</v>
      </c>
      <c r="B91">
        <v>969</v>
      </c>
      <c r="C91">
        <v>624</v>
      </c>
      <c r="D91">
        <v>512</v>
      </c>
      <c r="E91">
        <v>474</v>
      </c>
      <c r="F91">
        <v>690</v>
      </c>
      <c r="G91">
        <v>131328602</v>
      </c>
      <c r="H91">
        <v>152849564</v>
      </c>
      <c r="I91">
        <v>189877037</v>
      </c>
      <c r="J91">
        <v>211114487</v>
      </c>
      <c r="K91">
        <v>232028140</v>
      </c>
      <c r="L91">
        <v>7.3784383998848932E-6</v>
      </c>
      <c r="M91">
        <v>4.0824454036388354E-6</v>
      </c>
      <c r="N91">
        <v>2.6964819342530607E-6</v>
      </c>
      <c r="O91">
        <v>2.2452272543475428E-6</v>
      </c>
      <c r="P91">
        <v>2.9737772323650054E-6</v>
      </c>
      <c r="Q91">
        <v>0.42709796829626068</v>
      </c>
      <c r="R91">
        <v>0.39037253571306585</v>
      </c>
      <c r="S91">
        <v>0.29633119449299855</v>
      </c>
      <c r="T91">
        <v>0.25224206774054492</v>
      </c>
      <c r="U91">
        <v>0.23332657483046151</v>
      </c>
      <c r="V91">
        <v>-0.40144548197184932</v>
      </c>
      <c r="W91">
        <v>-0.4384633964121572</v>
      </c>
      <c r="X91">
        <v>-0.54281560799916551</v>
      </c>
      <c r="Y91">
        <v>-0.5971352915883551</v>
      </c>
      <c r="Z91">
        <v>-0.62163050794144181</v>
      </c>
    </row>
    <row r="92" spans="1:26" x14ac:dyDescent="0.25">
      <c r="A92" t="s">
        <v>38</v>
      </c>
      <c r="B92">
        <v>2409</v>
      </c>
      <c r="C92">
        <v>1721</v>
      </c>
      <c r="D92">
        <v>1470</v>
      </c>
      <c r="E92">
        <v>3789</v>
      </c>
      <c r="F92">
        <v>1111</v>
      </c>
      <c r="G92">
        <v>287160021</v>
      </c>
      <c r="H92">
        <v>382921158</v>
      </c>
      <c r="I92">
        <v>427241617</v>
      </c>
      <c r="J92">
        <v>351666960</v>
      </c>
      <c r="K92">
        <v>394062784</v>
      </c>
      <c r="L92">
        <v>8.3890507864254552E-6</v>
      </c>
      <c r="M92">
        <v>4.4943977736534478E-6</v>
      </c>
      <c r="N92">
        <v>3.4406760519305872E-6</v>
      </c>
      <c r="O92">
        <v>1.0774398595762308E-5</v>
      </c>
      <c r="P92">
        <v>2.8193476905446619E-6</v>
      </c>
      <c r="Q92">
        <v>0.48559686381231498</v>
      </c>
      <c r="R92">
        <v>0.42976434022618221</v>
      </c>
      <c r="S92">
        <v>0.37811476924078635</v>
      </c>
      <c r="T92">
        <v>1.2104594647127074</v>
      </c>
      <c r="U92">
        <v>0.22120982457310545</v>
      </c>
      <c r="V92">
        <v>-0.34626024644911541</v>
      </c>
      <c r="W92">
        <v>-0.39883192196807005</v>
      </c>
      <c r="X92">
        <v>-0.45125793920764296</v>
      </c>
      <c r="Y92">
        <v>9.5210732461932165E-2</v>
      </c>
      <c r="Z92">
        <v>-0.63772020152158038</v>
      </c>
    </row>
    <row r="93" spans="1:26" x14ac:dyDescent="0.25">
      <c r="A93" t="s">
        <v>80</v>
      </c>
      <c r="B93">
        <v>190</v>
      </c>
      <c r="C93">
        <v>149</v>
      </c>
      <c r="D93">
        <v>101</v>
      </c>
      <c r="E93">
        <v>88</v>
      </c>
      <c r="F93">
        <v>214</v>
      </c>
      <c r="G93">
        <v>70436789</v>
      </c>
      <c r="H93">
        <v>89206205</v>
      </c>
      <c r="I93">
        <v>96188946</v>
      </c>
      <c r="J93">
        <v>83158878</v>
      </c>
      <c r="K93">
        <v>77643169</v>
      </c>
      <c r="L93">
        <v>2.6974540250550038E-6</v>
      </c>
      <c r="M93">
        <v>1.6702873976087201E-6</v>
      </c>
      <c r="N93">
        <v>1.050016703582551E-6</v>
      </c>
      <c r="O93">
        <v>1.0582153357095558E-6</v>
      </c>
      <c r="P93">
        <v>2.7561986811743865E-6</v>
      </c>
      <c r="Q93">
        <v>0.15614105197266887</v>
      </c>
      <c r="R93">
        <v>0.15971660666739387</v>
      </c>
      <c r="S93">
        <v>0.11539209666405906</v>
      </c>
      <c r="T93">
        <v>0.11888615011120617</v>
      </c>
      <c r="U93">
        <v>0.2162550680769085</v>
      </c>
      <c r="V93">
        <v>-0.72989272942734307</v>
      </c>
      <c r="W93">
        <v>-0.72455924878688838</v>
      </c>
      <c r="X93">
        <v>-0.79309142137697319</v>
      </c>
      <c r="Y93">
        <v>-0.78749196225301377</v>
      </c>
      <c r="Z93">
        <v>-0.6443919145696273</v>
      </c>
    </row>
    <row r="94" spans="1:26" x14ac:dyDescent="0.25">
      <c r="A94" t="s">
        <v>112</v>
      </c>
      <c r="B94">
        <v>14</v>
      </c>
      <c r="C94">
        <v>22</v>
      </c>
      <c r="D94">
        <v>28</v>
      </c>
      <c r="E94">
        <v>24</v>
      </c>
      <c r="F94">
        <v>32</v>
      </c>
      <c r="G94">
        <v>9340310</v>
      </c>
      <c r="H94">
        <v>11359681</v>
      </c>
      <c r="I94">
        <v>17710712</v>
      </c>
      <c r="J94">
        <v>15749426</v>
      </c>
      <c r="K94">
        <v>11908935</v>
      </c>
      <c r="L94">
        <v>1.4988795875083374E-6</v>
      </c>
      <c r="M94">
        <v>1.9366741020280409E-6</v>
      </c>
      <c r="N94">
        <v>1.580964108049411E-6</v>
      </c>
      <c r="O94">
        <v>1.523865060225052E-6</v>
      </c>
      <c r="P94">
        <v>2.6870580786611061E-6</v>
      </c>
      <c r="Q94">
        <v>8.6762047990471144E-2</v>
      </c>
      <c r="R94">
        <v>0.18518909754056687</v>
      </c>
      <c r="S94">
        <v>0.17374082008029987</v>
      </c>
      <c r="T94">
        <v>0.17119998566044389</v>
      </c>
      <c r="U94">
        <v>0.21083020309692199</v>
      </c>
      <c r="V94">
        <v>-0.84032926407229136</v>
      </c>
      <c r="W94">
        <v>-0.68749442949676109</v>
      </c>
      <c r="X94">
        <v>-0.70395368873954023</v>
      </c>
      <c r="Y94">
        <v>-0.70765029413161473</v>
      </c>
      <c r="Z94">
        <v>-0.65175925979103455</v>
      </c>
    </row>
    <row r="95" spans="1:26" x14ac:dyDescent="0.25">
      <c r="A95" t="s">
        <v>136</v>
      </c>
      <c r="B95">
        <v>4</v>
      </c>
      <c r="C95">
        <v>3</v>
      </c>
      <c r="D95">
        <v>4</v>
      </c>
      <c r="E95">
        <v>6</v>
      </c>
      <c r="F95">
        <v>4</v>
      </c>
      <c r="G95">
        <v>1166841</v>
      </c>
      <c r="H95">
        <v>1328900</v>
      </c>
      <c r="I95">
        <v>1440679</v>
      </c>
      <c r="J95">
        <v>1464480</v>
      </c>
      <c r="K95">
        <v>1635279</v>
      </c>
      <c r="L95">
        <v>3.4280591785855998E-6</v>
      </c>
      <c r="M95">
        <v>2.2575062081420725E-6</v>
      </c>
      <c r="N95">
        <v>2.7764685957107726E-6</v>
      </c>
      <c r="O95">
        <v>4.0970173713536544E-6</v>
      </c>
      <c r="P95">
        <v>2.4460657783778791E-6</v>
      </c>
      <c r="Q95">
        <v>0.19843184031950431</v>
      </c>
      <c r="R95">
        <v>0.21586777916855956</v>
      </c>
      <c r="S95">
        <v>0.30512136758193364</v>
      </c>
      <c r="T95">
        <v>0.46028308774449328</v>
      </c>
      <c r="U95">
        <v>0.19192162199218318</v>
      </c>
      <c r="V95">
        <v>-0.66884751615644333</v>
      </c>
      <c r="W95">
        <v>-0.64491570075789773</v>
      </c>
      <c r="X95">
        <v>-0.53242453129512723</v>
      </c>
      <c r="Y95">
        <v>-0.36959745462034788</v>
      </c>
      <c r="Z95">
        <v>-0.67796268068129428</v>
      </c>
    </row>
    <row r="96" spans="1:26" x14ac:dyDescent="0.25">
      <c r="A96" t="s">
        <v>85</v>
      </c>
      <c r="B96">
        <v>69</v>
      </c>
      <c r="C96">
        <v>105</v>
      </c>
      <c r="D96">
        <v>101</v>
      </c>
      <c r="E96">
        <v>115</v>
      </c>
      <c r="F96">
        <v>146</v>
      </c>
      <c r="G96">
        <v>38081411</v>
      </c>
      <c r="H96">
        <v>41415435</v>
      </c>
      <c r="I96">
        <v>30952133</v>
      </c>
      <c r="J96">
        <v>61160501</v>
      </c>
      <c r="K96">
        <v>59787311</v>
      </c>
      <c r="L96">
        <v>1.8119076522663512E-6</v>
      </c>
      <c r="M96">
        <v>2.5352866630520723E-6</v>
      </c>
      <c r="N96">
        <v>3.2631030630425375E-6</v>
      </c>
      <c r="O96">
        <v>1.8802985279666038E-6</v>
      </c>
      <c r="P96">
        <v>2.4419897392608944E-6</v>
      </c>
      <c r="Q96">
        <v>0.10488155285479903</v>
      </c>
      <c r="R96">
        <v>0.24242976587831222</v>
      </c>
      <c r="S96">
        <v>0.35860029920542008</v>
      </c>
      <c r="T96">
        <v>0.21124382297845681</v>
      </c>
      <c r="U96">
        <v>0.19160181046235833</v>
      </c>
      <c r="V96">
        <v>-0.810148784575495</v>
      </c>
      <c r="W96">
        <v>-0.60974894108894584</v>
      </c>
      <c r="X96">
        <v>-0.47210331189364807</v>
      </c>
      <c r="Y96">
        <v>-0.65119521111941481</v>
      </c>
      <c r="Z96">
        <v>-0.67841302559281258</v>
      </c>
    </row>
    <row r="97" spans="1:26" x14ac:dyDescent="0.25">
      <c r="A97" t="s">
        <v>30</v>
      </c>
      <c r="B97">
        <v>1578</v>
      </c>
      <c r="C97">
        <v>1529</v>
      </c>
      <c r="D97">
        <v>1383</v>
      </c>
      <c r="E97">
        <v>1152</v>
      </c>
      <c r="F97">
        <v>1776</v>
      </c>
      <c r="G97">
        <v>634678167</v>
      </c>
      <c r="H97">
        <v>773720906</v>
      </c>
      <c r="I97">
        <v>905098532</v>
      </c>
      <c r="J97">
        <v>786365263</v>
      </c>
      <c r="K97">
        <v>743267456</v>
      </c>
      <c r="L97">
        <v>2.4862994853894195E-6</v>
      </c>
      <c r="M97">
        <v>1.9761647748471203E-6</v>
      </c>
      <c r="N97">
        <v>1.528010433233141E-6</v>
      </c>
      <c r="O97">
        <v>1.4649680678990012E-6</v>
      </c>
      <c r="P97">
        <v>2.3894494312421504E-6</v>
      </c>
      <c r="Q97">
        <v>0.14391845553693658</v>
      </c>
      <c r="R97">
        <v>0.18896528376259403</v>
      </c>
      <c r="S97">
        <v>0.16792145021478441</v>
      </c>
      <c r="T97">
        <v>0.16458315028253054</v>
      </c>
      <c r="U97">
        <v>0.18747942699088305</v>
      </c>
      <c r="V97">
        <v>-0.74837637273824098</v>
      </c>
      <c r="W97">
        <v>-0.68213490108879327</v>
      </c>
      <c r="X97">
        <v>-0.71244393159505182</v>
      </c>
      <c r="Y97">
        <v>-0.7173526849626799</v>
      </c>
      <c r="Z97">
        <v>-0.68423970516110266</v>
      </c>
    </row>
    <row r="98" spans="1:26" x14ac:dyDescent="0.25">
      <c r="A98" t="s">
        <v>75</v>
      </c>
      <c r="B98">
        <v>263</v>
      </c>
      <c r="C98">
        <v>252</v>
      </c>
      <c r="D98">
        <v>243</v>
      </c>
      <c r="E98">
        <v>213</v>
      </c>
      <c r="F98">
        <v>267</v>
      </c>
      <c r="G98">
        <v>84112732</v>
      </c>
      <c r="H98">
        <v>104037546</v>
      </c>
      <c r="I98">
        <v>112651398</v>
      </c>
      <c r="J98">
        <v>113612391</v>
      </c>
      <c r="K98">
        <v>112964408</v>
      </c>
      <c r="L98">
        <v>3.1267561253390273E-6</v>
      </c>
      <c r="M98">
        <v>2.4222024614075383E-6</v>
      </c>
      <c r="N98">
        <v>2.1570970650537331E-6</v>
      </c>
      <c r="O98">
        <v>1.8747955053599743E-6</v>
      </c>
      <c r="P98">
        <v>2.3635763221987584E-6</v>
      </c>
      <c r="Q98">
        <v>0.18099103307700179</v>
      </c>
      <c r="R98">
        <v>0.23161640227381272</v>
      </c>
      <c r="S98">
        <v>0.23705523178362403</v>
      </c>
      <c r="T98">
        <v>0.21062558097269488</v>
      </c>
      <c r="U98">
        <v>0.18544938793899729</v>
      </c>
      <c r="V98">
        <v>-0.69349295971292779</v>
      </c>
      <c r="W98">
        <v>-0.62388223825827249</v>
      </c>
      <c r="X98">
        <v>-0.61674268748400085</v>
      </c>
      <c r="Y98">
        <v>-0.65203844312712322</v>
      </c>
      <c r="Z98">
        <v>-0.68712390452802619</v>
      </c>
    </row>
    <row r="99" spans="1:26" x14ac:dyDescent="0.25">
      <c r="A99" t="s">
        <v>153</v>
      </c>
      <c r="E99">
        <v>1</v>
      </c>
      <c r="F99">
        <v>1</v>
      </c>
      <c r="G99">
        <v>331753</v>
      </c>
      <c r="H99">
        <v>411016</v>
      </c>
      <c r="I99">
        <v>423353</v>
      </c>
      <c r="J99">
        <v>577313</v>
      </c>
      <c r="K99">
        <v>425102</v>
      </c>
      <c r="L99">
        <v>0</v>
      </c>
      <c r="M99">
        <v>0</v>
      </c>
      <c r="N99">
        <v>0</v>
      </c>
      <c r="O99">
        <v>1.7321626223556372E-6</v>
      </c>
      <c r="P99">
        <v>2.3523766060851278E-6</v>
      </c>
      <c r="Q99">
        <v>0</v>
      </c>
      <c r="R99">
        <v>0</v>
      </c>
      <c r="S99">
        <v>0</v>
      </c>
      <c r="T99">
        <v>0.19460136192442559</v>
      </c>
      <c r="U99">
        <v>0.18457064309845364</v>
      </c>
      <c r="V99">
        <v>-1</v>
      </c>
      <c r="W99">
        <v>-1</v>
      </c>
      <c r="X99">
        <v>-1</v>
      </c>
      <c r="Y99">
        <v>-0.67419866052900634</v>
      </c>
      <c r="Z99">
        <v>-0.68837545624855845</v>
      </c>
    </row>
    <row r="100" spans="1:26" x14ac:dyDescent="0.25">
      <c r="A100" t="s">
        <v>146</v>
      </c>
      <c r="B100">
        <v>1</v>
      </c>
      <c r="D100">
        <v>1</v>
      </c>
      <c r="E100">
        <v>1</v>
      </c>
      <c r="F100">
        <v>2</v>
      </c>
      <c r="G100">
        <v>1280190</v>
      </c>
      <c r="H100">
        <v>1015295</v>
      </c>
      <c r="I100">
        <v>1734017</v>
      </c>
      <c r="J100">
        <v>1037187</v>
      </c>
      <c r="K100">
        <v>860779</v>
      </c>
      <c r="L100">
        <v>7.8113405041439158E-7</v>
      </c>
      <c r="M100">
        <v>0</v>
      </c>
      <c r="N100">
        <v>5.7669561486421416E-7</v>
      </c>
      <c r="O100">
        <v>9.6414629184515434E-7</v>
      </c>
      <c r="P100">
        <v>2.3234767576811239E-6</v>
      </c>
      <c r="Q100">
        <v>4.5215633419697608E-2</v>
      </c>
      <c r="R100">
        <v>0</v>
      </c>
      <c r="S100">
        <v>6.3376245262672243E-2</v>
      </c>
      <c r="T100">
        <v>0.10831787908706524</v>
      </c>
      <c r="U100">
        <v>0.18230312199168158</v>
      </c>
      <c r="V100">
        <v>-0.9134807555991814</v>
      </c>
      <c r="W100">
        <v>-1</v>
      </c>
      <c r="X100">
        <v>-0.88080184122033445</v>
      </c>
      <c r="Y100">
        <v>-0.80453644007567948</v>
      </c>
      <c r="Z100">
        <v>-0.69161356575870703</v>
      </c>
    </row>
    <row r="101" spans="1:26" x14ac:dyDescent="0.25">
      <c r="A101" t="s">
        <v>100</v>
      </c>
      <c r="B101">
        <v>70</v>
      </c>
      <c r="C101">
        <v>73</v>
      </c>
      <c r="D101">
        <v>149</v>
      </c>
      <c r="E101">
        <v>35</v>
      </c>
      <c r="F101">
        <v>49</v>
      </c>
      <c r="G101">
        <v>17006883</v>
      </c>
      <c r="H101">
        <v>21542435</v>
      </c>
      <c r="I101">
        <v>27364057</v>
      </c>
      <c r="J101">
        <v>25707802</v>
      </c>
      <c r="K101">
        <v>21752039</v>
      </c>
      <c r="L101">
        <v>4.1159805709253129E-6</v>
      </c>
      <c r="M101">
        <v>3.3886605669229129E-6</v>
      </c>
      <c r="N101">
        <v>5.4450990216838092E-6</v>
      </c>
      <c r="O101">
        <v>1.3614543942729915E-6</v>
      </c>
      <c r="P101">
        <v>2.2526623825931905E-6</v>
      </c>
      <c r="Q101">
        <v>0.23825189614871742</v>
      </c>
      <c r="R101">
        <v>0.3240312820843792</v>
      </c>
      <c r="S101">
        <v>0.59839180701768113</v>
      </c>
      <c r="T101">
        <v>0.15295381386489817</v>
      </c>
      <c r="U101">
        <v>0.17674693055669416</v>
      </c>
      <c r="V101">
        <v>-0.61518024419790152</v>
      </c>
      <c r="W101">
        <v>-0.51053832871038018</v>
      </c>
      <c r="X101">
        <v>-0.25125766487232526</v>
      </c>
      <c r="Y101">
        <v>-0.7346748637706989</v>
      </c>
      <c r="Z101">
        <v>-0.69960077911895813</v>
      </c>
    </row>
    <row r="102" spans="1:26" x14ac:dyDescent="0.25">
      <c r="A102" t="s">
        <v>139</v>
      </c>
      <c r="B102">
        <v>1</v>
      </c>
      <c r="C102">
        <v>3</v>
      </c>
      <c r="D102">
        <v>1</v>
      </c>
      <c r="E102">
        <v>0</v>
      </c>
      <c r="F102">
        <v>3</v>
      </c>
      <c r="G102">
        <v>891869</v>
      </c>
      <c r="H102">
        <v>1221291</v>
      </c>
      <c r="I102">
        <v>1568916</v>
      </c>
      <c r="J102">
        <v>1289872</v>
      </c>
      <c r="K102">
        <v>1461529</v>
      </c>
      <c r="L102">
        <v>1.1212408997285476E-6</v>
      </c>
      <c r="M102">
        <v>2.4564170210048219E-6</v>
      </c>
      <c r="N102">
        <v>6.3738275344250424E-7</v>
      </c>
      <c r="O102">
        <v>0</v>
      </c>
      <c r="P102">
        <v>2.0526448671220344E-6</v>
      </c>
      <c r="Q102">
        <v>6.4902582943865847E-2</v>
      </c>
      <c r="R102">
        <v>0.23488807478078425</v>
      </c>
      <c r="S102">
        <v>7.0045487892049757E-2</v>
      </c>
      <c r="T102">
        <v>0</v>
      </c>
      <c r="U102">
        <v>0.16105328636470198</v>
      </c>
      <c r="V102">
        <v>-0.87810606531830138</v>
      </c>
      <c r="W102">
        <v>-0.61957997720160796</v>
      </c>
      <c r="X102">
        <v>-0.8690794201094445</v>
      </c>
      <c r="Y102">
        <v>-1</v>
      </c>
      <c r="Z102">
        <v>-0.72257382455035224</v>
      </c>
    </row>
    <row r="103" spans="1:26" x14ac:dyDescent="0.25">
      <c r="A103" t="s">
        <v>49</v>
      </c>
      <c r="B103">
        <v>47</v>
      </c>
      <c r="C103">
        <v>322</v>
      </c>
      <c r="D103">
        <v>574</v>
      </c>
      <c r="E103">
        <v>298</v>
      </c>
      <c r="F103">
        <v>685</v>
      </c>
      <c r="G103">
        <v>219514373</v>
      </c>
      <c r="H103">
        <v>271422758</v>
      </c>
      <c r="I103">
        <v>363710987</v>
      </c>
      <c r="J103">
        <v>361966913</v>
      </c>
      <c r="K103">
        <v>344017272</v>
      </c>
      <c r="L103">
        <v>2.1410898684069312E-7</v>
      </c>
      <c r="M103">
        <v>1.1863411984045937E-6</v>
      </c>
      <c r="N103">
        <v>1.5781761357679306E-6</v>
      </c>
      <c r="O103">
        <v>8.2327966810601831E-7</v>
      </c>
      <c r="P103">
        <v>1.9911790940543243E-6</v>
      </c>
      <c r="Q103">
        <v>1.239361343384766E-2</v>
      </c>
      <c r="R103">
        <v>0.11344059161925031</v>
      </c>
      <c r="S103">
        <v>0.17343443450957163</v>
      </c>
      <c r="T103">
        <v>9.2492092018613387E-2</v>
      </c>
      <c r="U103">
        <v>0.15623059886036947</v>
      </c>
      <c r="V103">
        <v>-0.97551621569043512</v>
      </c>
      <c r="W103">
        <v>-0.79623413683117783</v>
      </c>
      <c r="X103">
        <v>-0.70439859371937164</v>
      </c>
      <c r="Y103">
        <v>-0.83067686678131569</v>
      </c>
      <c r="Z103">
        <v>-0.72975875398150325</v>
      </c>
    </row>
    <row r="104" spans="1:26" x14ac:dyDescent="0.25">
      <c r="A104" t="s">
        <v>54</v>
      </c>
      <c r="B104">
        <v>589</v>
      </c>
      <c r="C104">
        <v>965</v>
      </c>
      <c r="D104">
        <v>419</v>
      </c>
      <c r="E104">
        <v>340</v>
      </c>
      <c r="F104">
        <v>562</v>
      </c>
      <c r="G104">
        <v>189559672</v>
      </c>
      <c r="H104">
        <v>238321107</v>
      </c>
      <c r="I104">
        <v>295092902</v>
      </c>
      <c r="J104">
        <v>265972626</v>
      </c>
      <c r="K104">
        <v>300081375</v>
      </c>
      <c r="L104">
        <v>3.1072009873492503E-6</v>
      </c>
      <c r="M104">
        <v>4.0491587679642659E-6</v>
      </c>
      <c r="N104">
        <v>1.4198918278285122E-6</v>
      </c>
      <c r="O104">
        <v>1.2783270410692564E-6</v>
      </c>
      <c r="P104">
        <v>1.8728253294627165E-6</v>
      </c>
      <c r="Q104">
        <v>0.1798590917023449</v>
      </c>
      <c r="R104">
        <v>0.38718959336139191</v>
      </c>
      <c r="S104">
        <v>0.15603970345450219</v>
      </c>
      <c r="T104">
        <v>0.14361479688240478</v>
      </c>
      <c r="U104">
        <v>0.14694440276945087</v>
      </c>
      <c r="V104">
        <v>-0.69511767469988739</v>
      </c>
      <c r="W104">
        <v>-0.44176398782928167</v>
      </c>
      <c r="X104">
        <v>-0.73004438690432327</v>
      </c>
      <c r="Y104">
        <v>-0.74884061088766696</v>
      </c>
      <c r="Z104">
        <v>-0.74376368651412583</v>
      </c>
    </row>
    <row r="105" spans="1:26" x14ac:dyDescent="0.25">
      <c r="A105" t="s">
        <v>78</v>
      </c>
      <c r="B105">
        <v>209</v>
      </c>
      <c r="C105">
        <v>191</v>
      </c>
      <c r="D105">
        <v>360</v>
      </c>
      <c r="E105">
        <v>208</v>
      </c>
      <c r="F105">
        <v>250</v>
      </c>
      <c r="G105">
        <v>90758564</v>
      </c>
      <c r="H105">
        <v>124386497</v>
      </c>
      <c r="I105">
        <v>145889817</v>
      </c>
      <c r="J105">
        <v>133758994</v>
      </c>
      <c r="K105">
        <v>134882435</v>
      </c>
      <c r="L105">
        <v>2.3028129885351646E-6</v>
      </c>
      <c r="M105">
        <v>1.5355364497482392E-6</v>
      </c>
      <c r="N105">
        <v>2.4676156801265984E-6</v>
      </c>
      <c r="O105">
        <v>1.5550356187636997E-6</v>
      </c>
      <c r="P105">
        <v>1.8534659461033603E-6</v>
      </c>
      <c r="Q105">
        <v>0.13329741274047263</v>
      </c>
      <c r="R105">
        <v>0.14683142046033573</v>
      </c>
      <c r="S105">
        <v>0.27117982611076635</v>
      </c>
      <c r="T105">
        <v>0.17470186999005533</v>
      </c>
      <c r="U105">
        <v>0.14542543942515354</v>
      </c>
      <c r="V105">
        <v>-0.76476181584472025</v>
      </c>
      <c r="W105">
        <v>-0.74393547675664851</v>
      </c>
      <c r="X105">
        <v>-0.57334152015226114</v>
      </c>
      <c r="Y105">
        <v>-0.70255964606315935</v>
      </c>
      <c r="Z105">
        <v>-0.74607611387060313</v>
      </c>
    </row>
    <row r="106" spans="1:26" x14ac:dyDescent="0.25">
      <c r="A106" t="s">
        <v>115</v>
      </c>
      <c r="B106">
        <v>4</v>
      </c>
      <c r="C106">
        <v>8</v>
      </c>
      <c r="D106">
        <v>16</v>
      </c>
      <c r="E106">
        <v>14</v>
      </c>
      <c r="F106">
        <v>24</v>
      </c>
      <c r="G106">
        <v>7820339</v>
      </c>
      <c r="H106">
        <v>8285456</v>
      </c>
      <c r="I106">
        <v>12129313</v>
      </c>
      <c r="J106">
        <v>11877493</v>
      </c>
      <c r="K106">
        <v>13278219</v>
      </c>
      <c r="L106">
        <v>5.1148677825858952E-7</v>
      </c>
      <c r="M106">
        <v>9.6554733982052399E-7</v>
      </c>
      <c r="N106">
        <v>1.3191184034907831E-6</v>
      </c>
      <c r="O106">
        <v>1.1786999158829224E-6</v>
      </c>
      <c r="P106">
        <v>1.8074713182543532E-6</v>
      </c>
      <c r="Q106">
        <v>2.9607208458642356E-2</v>
      </c>
      <c r="R106">
        <v>9.2327790363290002E-2</v>
      </c>
      <c r="S106">
        <v>0.14496515894233172</v>
      </c>
      <c r="T106">
        <v>0.13242209823179546</v>
      </c>
      <c r="U106">
        <v>0.14181663885333809</v>
      </c>
      <c r="V106">
        <v>-0.94248834270893389</v>
      </c>
      <c r="W106">
        <v>-0.83095222665243496</v>
      </c>
      <c r="X106">
        <v>-0.74677804331400932</v>
      </c>
      <c r="Y106">
        <v>-0.76612590227872801</v>
      </c>
      <c r="Z106">
        <v>-0.75159472365763291</v>
      </c>
    </row>
    <row r="107" spans="1:26" x14ac:dyDescent="0.25">
      <c r="A107" t="s">
        <v>110</v>
      </c>
      <c r="B107">
        <v>6</v>
      </c>
      <c r="C107">
        <v>78</v>
      </c>
      <c r="D107">
        <v>12</v>
      </c>
      <c r="E107">
        <v>5</v>
      </c>
      <c r="F107">
        <v>36</v>
      </c>
      <c r="G107">
        <v>18412051</v>
      </c>
      <c r="H107">
        <v>21811968</v>
      </c>
      <c r="I107">
        <v>26672667</v>
      </c>
      <c r="J107">
        <v>25930494</v>
      </c>
      <c r="K107">
        <v>20040234</v>
      </c>
      <c r="L107">
        <v>3.2587352707202472E-7</v>
      </c>
      <c r="M107">
        <v>3.5760184500545756E-6</v>
      </c>
      <c r="N107">
        <v>4.4989876715365585E-7</v>
      </c>
      <c r="O107">
        <v>1.9282316796587061E-7</v>
      </c>
      <c r="P107">
        <v>1.7963862098616213E-6</v>
      </c>
      <c r="Q107">
        <v>1.8863059334637736E-2</v>
      </c>
      <c r="R107">
        <v>0.34194686078599457</v>
      </c>
      <c r="S107">
        <v>4.9441843973822251E-2</v>
      </c>
      <c r="T107">
        <v>2.1662891585612663E-2</v>
      </c>
      <c r="U107">
        <v>0.14094688628924185</v>
      </c>
      <c r="V107">
        <v>-0.96297233634722978</v>
      </c>
      <c r="W107">
        <v>-0.49037198002652332</v>
      </c>
      <c r="X107">
        <v>-0.90577497122354966</v>
      </c>
      <c r="Y107">
        <v>-0.95759287772115897</v>
      </c>
      <c r="Z107">
        <v>-0.75292997775268866</v>
      </c>
    </row>
    <row r="108" spans="1:26" x14ac:dyDescent="0.25">
      <c r="A108" t="s">
        <v>159</v>
      </c>
      <c r="F108">
        <v>1</v>
      </c>
      <c r="G108">
        <v>369488</v>
      </c>
      <c r="H108">
        <v>490173</v>
      </c>
      <c r="I108">
        <v>552231</v>
      </c>
      <c r="J108">
        <v>595939</v>
      </c>
      <c r="K108">
        <v>557376</v>
      </c>
      <c r="L108">
        <v>0</v>
      </c>
      <c r="M108">
        <v>0</v>
      </c>
      <c r="N108">
        <v>0</v>
      </c>
      <c r="O108">
        <v>0</v>
      </c>
      <c r="P108">
        <v>1.7941210242278103E-6</v>
      </c>
      <c r="Q108">
        <v>0</v>
      </c>
      <c r="R108">
        <v>0</v>
      </c>
      <c r="S108">
        <v>0</v>
      </c>
      <c r="T108">
        <v>0</v>
      </c>
      <c r="U108">
        <v>0.14076915676749419</v>
      </c>
      <c r="V108">
        <v>-1</v>
      </c>
      <c r="W108">
        <v>-1</v>
      </c>
      <c r="X108">
        <v>-1</v>
      </c>
      <c r="Y108">
        <v>-1</v>
      </c>
      <c r="Z108">
        <v>-0.75320308068920716</v>
      </c>
    </row>
    <row r="109" spans="1:26" x14ac:dyDescent="0.25">
      <c r="A109" t="s">
        <v>109</v>
      </c>
      <c r="B109">
        <v>5</v>
      </c>
      <c r="C109">
        <v>18</v>
      </c>
      <c r="D109">
        <v>29</v>
      </c>
      <c r="E109">
        <v>17</v>
      </c>
      <c r="F109">
        <v>36</v>
      </c>
      <c r="G109">
        <v>15415397</v>
      </c>
      <c r="H109">
        <v>19288258</v>
      </c>
      <c r="I109">
        <v>21127751</v>
      </c>
      <c r="J109">
        <v>18705398</v>
      </c>
      <c r="K109">
        <v>20203122</v>
      </c>
      <c r="L109">
        <v>3.2435103682376783E-7</v>
      </c>
      <c r="M109">
        <v>9.3321024635817299E-7</v>
      </c>
      <c r="N109">
        <v>1.3726023181549233E-6</v>
      </c>
      <c r="O109">
        <v>9.0882856381885062E-7</v>
      </c>
      <c r="P109">
        <v>1.7819028168022743E-6</v>
      </c>
      <c r="Q109">
        <v>1.8774930592952838E-2</v>
      </c>
      <c r="R109">
        <v>8.9235645355977347E-2</v>
      </c>
      <c r="S109">
        <v>0.15084279977398687</v>
      </c>
      <c r="T109">
        <v>0.10210315936413066</v>
      </c>
      <c r="U109">
        <v>0.13981049972414156</v>
      </c>
      <c r="V109">
        <v>-0.96314214252990038</v>
      </c>
      <c r="W109">
        <v>-0.83614997225542709</v>
      </c>
      <c r="X109">
        <v>-0.73785681275737958</v>
      </c>
      <c r="Y109">
        <v>-0.81471215557890231</v>
      </c>
      <c r="Z109">
        <v>-0.75467764201509158</v>
      </c>
    </row>
    <row r="110" spans="1:26" x14ac:dyDescent="0.25">
      <c r="A110" t="s">
        <v>107</v>
      </c>
      <c r="B110">
        <v>31</v>
      </c>
      <c r="C110">
        <v>28</v>
      </c>
      <c r="D110">
        <v>22</v>
      </c>
      <c r="E110">
        <v>51</v>
      </c>
      <c r="F110">
        <v>37</v>
      </c>
      <c r="G110">
        <v>10732039</v>
      </c>
      <c r="H110">
        <v>11705787</v>
      </c>
      <c r="I110">
        <v>14539859</v>
      </c>
      <c r="J110">
        <v>17285345</v>
      </c>
      <c r="K110">
        <v>21058044</v>
      </c>
      <c r="L110">
        <v>2.8885470878367104E-6</v>
      </c>
      <c r="M110">
        <v>2.3919792834091377E-6</v>
      </c>
      <c r="N110">
        <v>1.5130820732168036E-6</v>
      </c>
      <c r="O110">
        <v>2.9504762560423294E-6</v>
      </c>
      <c r="P110">
        <v>1.7570482804575772E-6</v>
      </c>
      <c r="Q110">
        <v>0.16720239780850993</v>
      </c>
      <c r="R110">
        <v>0.22872639457841851</v>
      </c>
      <c r="S110">
        <v>0.16628089082543024</v>
      </c>
      <c r="T110">
        <v>0.33147389877902189</v>
      </c>
      <c r="U110">
        <v>0.13786037926078212</v>
      </c>
      <c r="V110">
        <v>-0.71349887881923113</v>
      </c>
      <c r="W110">
        <v>-0.62770166639596681</v>
      </c>
      <c r="X110">
        <v>-0.71485275608392129</v>
      </c>
      <c r="Y110">
        <v>-0.5020947852106038</v>
      </c>
      <c r="Z110">
        <v>-0.75768489390527161</v>
      </c>
    </row>
    <row r="111" spans="1:26" x14ac:dyDescent="0.25">
      <c r="A111" t="s">
        <v>126</v>
      </c>
      <c r="B111">
        <v>6</v>
      </c>
      <c r="C111">
        <v>7</v>
      </c>
      <c r="D111">
        <v>8</v>
      </c>
      <c r="E111">
        <v>10</v>
      </c>
      <c r="F111">
        <v>8</v>
      </c>
      <c r="G111">
        <v>3227340</v>
      </c>
      <c r="H111">
        <v>4380344</v>
      </c>
      <c r="I111">
        <v>5478191</v>
      </c>
      <c r="J111">
        <v>4809848</v>
      </c>
      <c r="K111">
        <v>4803725</v>
      </c>
      <c r="L111">
        <v>1.8591161761698489E-6</v>
      </c>
      <c r="M111">
        <v>1.5980480071884764E-6</v>
      </c>
      <c r="N111">
        <v>1.4603360853975337E-6</v>
      </c>
      <c r="O111">
        <v>2.0790677792728584E-6</v>
      </c>
      <c r="P111">
        <v>1.6653742668450005E-6</v>
      </c>
      <c r="Q111">
        <v>0.10761419946004329</v>
      </c>
      <c r="R111">
        <v>0.15280891501974056</v>
      </c>
      <c r="S111">
        <v>0.16048434482352752</v>
      </c>
      <c r="T111">
        <v>0.23357473262497258</v>
      </c>
      <c r="U111">
        <v>0.13066751243660091</v>
      </c>
      <c r="V111">
        <v>-0.80568288215787653</v>
      </c>
      <c r="W111">
        <v>-0.73489289850413086</v>
      </c>
      <c r="X111">
        <v>-0.72341833728410687</v>
      </c>
      <c r="Y111">
        <v>-0.62130428510327917</v>
      </c>
      <c r="Z111">
        <v>-0.76886660136716756</v>
      </c>
    </row>
    <row r="112" spans="1:26" x14ac:dyDescent="0.25">
      <c r="A112" t="s">
        <v>45</v>
      </c>
      <c r="B112">
        <v>887</v>
      </c>
      <c r="C112">
        <v>840</v>
      </c>
      <c r="D112">
        <v>543</v>
      </c>
      <c r="E112">
        <v>581</v>
      </c>
      <c r="F112">
        <v>749</v>
      </c>
      <c r="G112">
        <v>328822696</v>
      </c>
      <c r="H112">
        <v>406912769</v>
      </c>
      <c r="I112">
        <v>475516057</v>
      </c>
      <c r="J112">
        <v>422530066</v>
      </c>
      <c r="K112">
        <v>457612578</v>
      </c>
      <c r="L112">
        <v>2.6975023646178001E-6</v>
      </c>
      <c r="M112">
        <v>2.0643245039086007E-6</v>
      </c>
      <c r="N112">
        <v>1.1419172749407281E-6</v>
      </c>
      <c r="O112">
        <v>1.375050077501467E-6</v>
      </c>
      <c r="P112">
        <v>1.6367557099796327E-6</v>
      </c>
      <c r="Q112">
        <v>0.15614385008900997</v>
      </c>
      <c r="R112">
        <v>0.19739531370269597</v>
      </c>
      <c r="S112">
        <v>0.12549155467978701</v>
      </c>
      <c r="T112">
        <v>0.15448123307970399</v>
      </c>
      <c r="U112">
        <v>0.1284220618435595</v>
      </c>
      <c r="V112">
        <v>-0.72988854271553028</v>
      </c>
      <c r="W112">
        <v>-0.67029215590915903</v>
      </c>
      <c r="X112">
        <v>-0.77700133926728476</v>
      </c>
      <c r="Y112">
        <v>-0.73237982800706336</v>
      </c>
      <c r="Z112">
        <v>-0.77238647455412213</v>
      </c>
    </row>
    <row r="113" spans="1:26" x14ac:dyDescent="0.25">
      <c r="A113" t="s">
        <v>138</v>
      </c>
      <c r="B113">
        <v>12</v>
      </c>
      <c r="C113">
        <v>9</v>
      </c>
      <c r="D113">
        <v>9</v>
      </c>
      <c r="E113">
        <v>12</v>
      </c>
      <c r="F113">
        <v>3</v>
      </c>
      <c r="G113">
        <v>1494812</v>
      </c>
      <c r="H113">
        <v>1563492</v>
      </c>
      <c r="I113">
        <v>1864441</v>
      </c>
      <c r="J113">
        <v>1994798</v>
      </c>
      <c r="K113">
        <v>1877488</v>
      </c>
      <c r="L113">
        <v>8.0277653644739274E-6</v>
      </c>
      <c r="M113">
        <v>5.7563454114251944E-6</v>
      </c>
      <c r="N113">
        <v>4.8271841265022596E-6</v>
      </c>
      <c r="O113">
        <v>6.0156466970590508E-6</v>
      </c>
      <c r="P113">
        <v>1.5978797201366932E-6</v>
      </c>
      <c r="Q113">
        <v>0.46468400104545066</v>
      </c>
      <c r="R113">
        <v>0.55043458822385816</v>
      </c>
      <c r="S113">
        <v>0.53048574888386824</v>
      </c>
      <c r="T113">
        <v>0.67583321854148193</v>
      </c>
      <c r="U113">
        <v>0.12537179921646183</v>
      </c>
      <c r="V113">
        <v>-0.36548224639065874</v>
      </c>
      <c r="W113">
        <v>-0.28996090205337427</v>
      </c>
      <c r="X113">
        <v>-0.30677466383370944</v>
      </c>
      <c r="Y113">
        <v>-0.19343618319050165</v>
      </c>
      <c r="Z113">
        <v>-0.77719043732257787</v>
      </c>
    </row>
    <row r="114" spans="1:26" x14ac:dyDescent="0.25">
      <c r="A114" t="s">
        <v>152</v>
      </c>
      <c r="F114">
        <v>1</v>
      </c>
      <c r="G114">
        <v>312123</v>
      </c>
      <c r="H114">
        <v>572318</v>
      </c>
      <c r="I114">
        <v>839897</v>
      </c>
      <c r="J114">
        <v>697784</v>
      </c>
      <c r="K114">
        <v>662898</v>
      </c>
      <c r="L114">
        <v>0</v>
      </c>
      <c r="M114">
        <v>0</v>
      </c>
      <c r="N114">
        <v>0</v>
      </c>
      <c r="O114">
        <v>0</v>
      </c>
      <c r="P114">
        <v>1.5085277071283969E-6</v>
      </c>
      <c r="Q114">
        <v>0</v>
      </c>
      <c r="R114">
        <v>0</v>
      </c>
      <c r="S114">
        <v>0</v>
      </c>
      <c r="T114">
        <v>0</v>
      </c>
      <c r="U114">
        <v>0.1183611196932844</v>
      </c>
      <c r="V114">
        <v>-1</v>
      </c>
      <c r="W114">
        <v>-1</v>
      </c>
      <c r="X114">
        <v>-1</v>
      </c>
      <c r="Y114">
        <v>-1</v>
      </c>
      <c r="Z114">
        <v>-0.78833112559251795</v>
      </c>
    </row>
    <row r="115" spans="1:26" x14ac:dyDescent="0.25">
      <c r="A115" t="s">
        <v>105</v>
      </c>
      <c r="B115">
        <v>179</v>
      </c>
      <c r="C115">
        <v>90</v>
      </c>
      <c r="D115">
        <v>99</v>
      </c>
      <c r="E115">
        <v>100</v>
      </c>
      <c r="F115">
        <v>42</v>
      </c>
      <c r="G115">
        <v>28507456</v>
      </c>
      <c r="H115">
        <v>30994759</v>
      </c>
      <c r="I115">
        <v>38573002</v>
      </c>
      <c r="J115">
        <v>38775377</v>
      </c>
      <c r="K115">
        <v>28248929</v>
      </c>
      <c r="L115">
        <v>6.2790590644075714E-6</v>
      </c>
      <c r="M115">
        <v>2.9037167219141792E-6</v>
      </c>
      <c r="N115">
        <v>2.5665619699498629E-6</v>
      </c>
      <c r="O115">
        <v>2.5789562278143679E-6</v>
      </c>
      <c r="P115">
        <v>1.4867820298603178E-6</v>
      </c>
      <c r="Q115">
        <v>0.36346083329265583</v>
      </c>
      <c r="R115">
        <v>0.27765986991907127</v>
      </c>
      <c r="S115">
        <v>0.28205357678623694</v>
      </c>
      <c r="T115">
        <v>0.28973514830475</v>
      </c>
      <c r="U115">
        <v>0.1166549245085515</v>
      </c>
      <c r="V115">
        <v>-0.46685548360795204</v>
      </c>
      <c r="W115">
        <v>-0.56536183618781322</v>
      </c>
      <c r="X115">
        <v>-0.55999720777150475</v>
      </c>
      <c r="Y115">
        <v>-0.55070597450091541</v>
      </c>
      <c r="Z115">
        <v>-0.79106360980785129</v>
      </c>
    </row>
    <row r="116" spans="1:26" x14ac:dyDescent="0.25">
      <c r="A116" t="s">
        <v>40</v>
      </c>
      <c r="B116">
        <v>1794</v>
      </c>
      <c r="C116">
        <v>1681</v>
      </c>
      <c r="D116">
        <v>1511</v>
      </c>
      <c r="E116">
        <v>799</v>
      </c>
      <c r="F116">
        <v>1025</v>
      </c>
      <c r="G116">
        <v>573061310</v>
      </c>
      <c r="H116">
        <v>713969246</v>
      </c>
      <c r="I116">
        <v>669093235</v>
      </c>
      <c r="J116">
        <v>655539567</v>
      </c>
      <c r="K116">
        <v>698906913</v>
      </c>
      <c r="L116">
        <v>3.1305550884250063E-6</v>
      </c>
      <c r="M116">
        <v>2.3544431492221445E-6</v>
      </c>
      <c r="N116">
        <v>2.2582801931931054E-6</v>
      </c>
      <c r="O116">
        <v>1.2188432860834471E-6</v>
      </c>
      <c r="P116">
        <v>1.46657584999449E-6</v>
      </c>
      <c r="Q116">
        <v>0.18121093454228737</v>
      </c>
      <c r="R116">
        <v>0.22513710570014434</v>
      </c>
      <c r="S116">
        <v>0.24817480089447141</v>
      </c>
      <c r="T116">
        <v>0.13693204112770826</v>
      </c>
      <c r="U116">
        <v>0.11506952036758551</v>
      </c>
      <c r="V116">
        <v>-0.69317768868689711</v>
      </c>
      <c r="W116">
        <v>-0.63247035021197495</v>
      </c>
      <c r="X116">
        <v>-0.60233967114762532</v>
      </c>
      <c r="Y116">
        <v>-0.7591200948266229</v>
      </c>
      <c r="Z116">
        <v>-0.79361014131270924</v>
      </c>
    </row>
    <row r="117" spans="1:26" x14ac:dyDescent="0.25">
      <c r="A117" t="s">
        <v>141</v>
      </c>
      <c r="B117">
        <v>2</v>
      </c>
      <c r="C117">
        <v>2</v>
      </c>
      <c r="D117">
        <v>2</v>
      </c>
      <c r="E117">
        <v>1</v>
      </c>
      <c r="F117">
        <v>3</v>
      </c>
      <c r="G117">
        <v>1605274</v>
      </c>
      <c r="H117">
        <v>2051495</v>
      </c>
      <c r="I117">
        <v>2123792</v>
      </c>
      <c r="J117">
        <v>2038539</v>
      </c>
      <c r="K117">
        <v>2123695</v>
      </c>
      <c r="L117">
        <v>1.2458932244588773E-6</v>
      </c>
      <c r="M117">
        <v>9.7489879331901859E-7</v>
      </c>
      <c r="N117">
        <v>9.4171180605257011E-7</v>
      </c>
      <c r="O117">
        <v>4.9054739693476554E-7</v>
      </c>
      <c r="P117">
        <v>1.412632228262533E-6</v>
      </c>
      <c r="Q117">
        <v>7.2118033117788832E-2</v>
      </c>
      <c r="R117">
        <v>9.3221997205972157E-2</v>
      </c>
      <c r="S117">
        <v>0.10348987723999632</v>
      </c>
      <c r="T117">
        <v>5.511098686690611E-2</v>
      </c>
      <c r="U117">
        <v>0.11083703100836821</v>
      </c>
      <c r="V117">
        <v>-0.86546624365963709</v>
      </c>
      <c r="W117">
        <v>-0.82945458938033356</v>
      </c>
      <c r="X117">
        <v>-0.81243166906280828</v>
      </c>
      <c r="Y117">
        <v>-0.8955351852973209</v>
      </c>
      <c r="Z117">
        <v>-0.80044411931828507</v>
      </c>
    </row>
    <row r="118" spans="1:26" x14ac:dyDescent="0.25">
      <c r="A118" t="s">
        <v>122</v>
      </c>
      <c r="B118">
        <v>3</v>
      </c>
      <c r="C118">
        <v>3</v>
      </c>
      <c r="D118">
        <v>8</v>
      </c>
      <c r="E118">
        <v>8</v>
      </c>
      <c r="F118">
        <v>10</v>
      </c>
      <c r="G118">
        <v>6519859</v>
      </c>
      <c r="H118">
        <v>8405634</v>
      </c>
      <c r="I118">
        <v>8096330</v>
      </c>
      <c r="J118">
        <v>6417468</v>
      </c>
      <c r="K118">
        <v>7099523</v>
      </c>
      <c r="L118">
        <v>4.6013265010792413E-7</v>
      </c>
      <c r="M118">
        <v>3.569034768822911E-7</v>
      </c>
      <c r="N118">
        <v>9.8810201659270307E-7</v>
      </c>
      <c r="O118">
        <v>1.2465975677634854E-6</v>
      </c>
      <c r="P118">
        <v>1.4085453346654416E-6</v>
      </c>
      <c r="Q118">
        <v>2.6634595202547795E-2</v>
      </c>
      <c r="R118">
        <v>3.4127906560896988E-2</v>
      </c>
      <c r="S118">
        <v>0.10858795200456813</v>
      </c>
      <c r="T118">
        <v>0.14005012077246154</v>
      </c>
      <c r="U118">
        <v>0.1105163678213858</v>
      </c>
      <c r="V118">
        <v>-0.94811280405509246</v>
      </c>
      <c r="W118">
        <v>-0.93399673996924992</v>
      </c>
      <c r="X118">
        <v>-0.80409682099067104</v>
      </c>
      <c r="Y118">
        <v>-0.75430883568949036</v>
      </c>
      <c r="Z118">
        <v>-0.80096400012870195</v>
      </c>
    </row>
    <row r="119" spans="1:26" x14ac:dyDescent="0.25">
      <c r="A119" t="s">
        <v>145</v>
      </c>
      <c r="B119">
        <v>1</v>
      </c>
      <c r="C119">
        <v>3</v>
      </c>
      <c r="D119">
        <v>6</v>
      </c>
      <c r="E119">
        <v>2</v>
      </c>
      <c r="F119">
        <v>2</v>
      </c>
      <c r="G119">
        <v>787099</v>
      </c>
      <c r="H119">
        <v>1057442</v>
      </c>
      <c r="I119">
        <v>1378182</v>
      </c>
      <c r="J119">
        <v>1337483</v>
      </c>
      <c r="K119">
        <v>1440307</v>
      </c>
      <c r="L119">
        <v>1.2704882105046505E-6</v>
      </c>
      <c r="M119">
        <v>2.8370350335999518E-6</v>
      </c>
      <c r="N119">
        <v>4.3535614309285711E-6</v>
      </c>
      <c r="O119">
        <v>1.4953461090720405E-6</v>
      </c>
      <c r="P119">
        <v>1.3885928486079704E-6</v>
      </c>
      <c r="Q119">
        <v>7.3541704090035284E-2</v>
      </c>
      <c r="R119">
        <v>0.27128361814368901</v>
      </c>
      <c r="S119">
        <v>0.478436752250326</v>
      </c>
      <c r="T119">
        <v>0.16799599853856223</v>
      </c>
      <c r="U119">
        <v>0.10895086883898897</v>
      </c>
      <c r="V119">
        <v>-0.8629923666498428</v>
      </c>
      <c r="W119">
        <v>-0.57321306705766617</v>
      </c>
      <c r="X119">
        <v>-0.35278022340543386</v>
      </c>
      <c r="Y119">
        <v>-0.71233463342551739</v>
      </c>
      <c r="Z119">
        <v>-0.80350640970586096</v>
      </c>
    </row>
    <row r="120" spans="1:26" x14ac:dyDescent="0.25">
      <c r="A120" t="s">
        <v>124</v>
      </c>
      <c r="B120">
        <v>45</v>
      </c>
      <c r="C120">
        <v>20</v>
      </c>
      <c r="D120">
        <v>29</v>
      </c>
      <c r="E120">
        <v>34</v>
      </c>
      <c r="F120">
        <v>9</v>
      </c>
      <c r="G120">
        <v>1334620</v>
      </c>
      <c r="H120">
        <v>1537820</v>
      </c>
      <c r="I120">
        <v>1795761</v>
      </c>
      <c r="J120">
        <v>1831973</v>
      </c>
      <c r="K120">
        <v>7067650</v>
      </c>
      <c r="L120">
        <v>3.3717462648544152E-5</v>
      </c>
      <c r="M120">
        <v>1.3005423261500045E-5</v>
      </c>
      <c r="N120">
        <v>1.6149142341324932E-5</v>
      </c>
      <c r="O120">
        <v>1.8559225490768696E-5</v>
      </c>
      <c r="P120">
        <v>1.273407709776234E-6</v>
      </c>
      <c r="Q120">
        <v>1.9517218973492982</v>
      </c>
      <c r="R120">
        <v>1.2436075818890757</v>
      </c>
      <c r="S120">
        <v>1.7747178570910334</v>
      </c>
      <c r="T120">
        <v>2.0850528178783101</v>
      </c>
      <c r="U120">
        <v>9.9913287401321452E-2</v>
      </c>
      <c r="V120">
        <v>0.32242939221474842</v>
      </c>
      <c r="W120">
        <v>0.10857851607185366</v>
      </c>
      <c r="X120">
        <v>0.27920599390355105</v>
      </c>
      <c r="Y120">
        <v>0.35171288205838103</v>
      </c>
      <c r="Z120">
        <v>-0.81832515609047918</v>
      </c>
    </row>
    <row r="121" spans="1:26" x14ac:dyDescent="0.25">
      <c r="A121" t="s">
        <v>133</v>
      </c>
      <c r="F121">
        <v>5</v>
      </c>
      <c r="G121">
        <v>3376044</v>
      </c>
      <c r="H121">
        <v>4541758</v>
      </c>
      <c r="I121">
        <v>4939758</v>
      </c>
      <c r="J121">
        <v>5265519</v>
      </c>
      <c r="K121">
        <v>3947850</v>
      </c>
      <c r="L121">
        <v>0</v>
      </c>
      <c r="M121">
        <v>0</v>
      </c>
      <c r="N121">
        <v>0</v>
      </c>
      <c r="O121">
        <v>0</v>
      </c>
      <c r="P121">
        <v>1.2665121521841002E-6</v>
      </c>
      <c r="Q121">
        <v>0</v>
      </c>
      <c r="R121">
        <v>0</v>
      </c>
      <c r="S121">
        <v>0</v>
      </c>
      <c r="T121">
        <v>0</v>
      </c>
      <c r="U121">
        <v>9.9372252646932932E-2</v>
      </c>
      <c r="V121">
        <v>-1</v>
      </c>
      <c r="W121">
        <v>-1</v>
      </c>
      <c r="X121">
        <v>-1</v>
      </c>
      <c r="Y121">
        <v>-1</v>
      </c>
      <c r="Z121">
        <v>-0.81922000958696806</v>
      </c>
    </row>
    <row r="122" spans="1:26" x14ac:dyDescent="0.25">
      <c r="A122" t="s">
        <v>150</v>
      </c>
      <c r="B122">
        <v>4</v>
      </c>
      <c r="C122">
        <v>3</v>
      </c>
      <c r="D122">
        <v>3</v>
      </c>
      <c r="E122">
        <v>2</v>
      </c>
      <c r="F122">
        <v>2</v>
      </c>
      <c r="G122">
        <v>3706645</v>
      </c>
      <c r="H122">
        <v>3736702</v>
      </c>
      <c r="I122">
        <v>3367604</v>
      </c>
      <c r="J122">
        <v>2289622</v>
      </c>
      <c r="K122">
        <v>1616708</v>
      </c>
      <c r="L122">
        <v>1.0791429985876715E-6</v>
      </c>
      <c r="M122">
        <v>8.0284700251719302E-7</v>
      </c>
      <c r="N122">
        <v>8.9084108464059309E-7</v>
      </c>
      <c r="O122">
        <v>8.7350663122559092E-7</v>
      </c>
      <c r="P122">
        <v>1.237081773579397E-6</v>
      </c>
      <c r="Q122">
        <v>6.2465762701917962E-2</v>
      </c>
      <c r="R122">
        <v>7.6770021194384461E-2</v>
      </c>
      <c r="S122">
        <v>9.7899414552580818E-2</v>
      </c>
      <c r="T122">
        <v>9.8134885196487387E-2</v>
      </c>
      <c r="U122">
        <v>9.7063105424651616E-2</v>
      </c>
      <c r="V122">
        <v>-0.88241359882870274</v>
      </c>
      <c r="W122">
        <v>-0.8574068377029499</v>
      </c>
      <c r="X122">
        <v>-0.82166050322109507</v>
      </c>
      <c r="Y122">
        <v>-0.82126988857306304</v>
      </c>
      <c r="Z122">
        <v>-0.82304918478307521</v>
      </c>
    </row>
    <row r="123" spans="1:26" x14ac:dyDescent="0.25">
      <c r="A123" t="s">
        <v>92</v>
      </c>
      <c r="B123">
        <v>6</v>
      </c>
      <c r="C123">
        <v>0</v>
      </c>
      <c r="D123">
        <v>0</v>
      </c>
      <c r="E123">
        <v>97</v>
      </c>
      <c r="F123">
        <v>68</v>
      </c>
      <c r="G123">
        <v>36064092</v>
      </c>
      <c r="H123">
        <v>51177743</v>
      </c>
      <c r="I123">
        <v>60318941</v>
      </c>
      <c r="J123">
        <v>52273093</v>
      </c>
      <c r="K123">
        <v>55026567</v>
      </c>
      <c r="L123">
        <v>1.6637047177009198E-7</v>
      </c>
      <c r="M123">
        <v>0</v>
      </c>
      <c r="N123">
        <v>0</v>
      </c>
      <c r="O123">
        <v>1.8556391908931045E-6</v>
      </c>
      <c r="P123">
        <v>1.2357667161027873E-6</v>
      </c>
      <c r="Q123">
        <v>9.6302885009658945E-3</v>
      </c>
      <c r="R123">
        <v>0</v>
      </c>
      <c r="S123">
        <v>0</v>
      </c>
      <c r="T123">
        <v>0.20847344765877093</v>
      </c>
      <c r="U123">
        <v>9.6959924240337239E-2</v>
      </c>
      <c r="V123">
        <v>-0.98092313867630831</v>
      </c>
      <c r="W123">
        <v>-1</v>
      </c>
      <c r="X123">
        <v>-1</v>
      </c>
      <c r="Y123">
        <v>-0.65498050774279604</v>
      </c>
      <c r="Z123">
        <v>-0.82322066267373706</v>
      </c>
    </row>
    <row r="124" spans="1:26" x14ac:dyDescent="0.25">
      <c r="A124" t="s">
        <v>149</v>
      </c>
      <c r="B124">
        <v>0</v>
      </c>
      <c r="C124">
        <v>1</v>
      </c>
      <c r="D124">
        <v>1</v>
      </c>
      <c r="E124">
        <v>1</v>
      </c>
      <c r="F124">
        <v>2</v>
      </c>
      <c r="G124">
        <v>1480789</v>
      </c>
      <c r="H124">
        <v>1832506</v>
      </c>
      <c r="I124">
        <v>1881396</v>
      </c>
      <c r="J124">
        <v>1734885</v>
      </c>
      <c r="K124">
        <v>1673439</v>
      </c>
      <c r="L124">
        <v>0</v>
      </c>
      <c r="M124">
        <v>5.4570080534524849E-7</v>
      </c>
      <c r="N124">
        <v>5.3152021158756585E-7</v>
      </c>
      <c r="O124">
        <v>5.7640708173740619E-7</v>
      </c>
      <c r="P124">
        <v>1.1951436532792651E-6</v>
      </c>
      <c r="Q124">
        <v>0</v>
      </c>
      <c r="R124">
        <v>5.2181128235887317E-2</v>
      </c>
      <c r="S124">
        <v>5.8411672333545488E-2</v>
      </c>
      <c r="T124">
        <v>6.4756970091202543E-2</v>
      </c>
      <c r="U124">
        <v>9.3772583909468882E-2</v>
      </c>
      <c r="V124">
        <v>-1</v>
      </c>
      <c r="W124">
        <v>-0.9008134116159725</v>
      </c>
      <c r="X124">
        <v>-0.88962390748249842</v>
      </c>
      <c r="Y124">
        <v>-0.87836290926434468</v>
      </c>
      <c r="Z124">
        <v>-0.82853367274155332</v>
      </c>
    </row>
    <row r="125" spans="1:26" x14ac:dyDescent="0.25">
      <c r="A125" t="s">
        <v>135</v>
      </c>
      <c r="B125">
        <v>2</v>
      </c>
      <c r="C125">
        <v>12</v>
      </c>
      <c r="D125">
        <v>8</v>
      </c>
      <c r="E125">
        <v>2</v>
      </c>
      <c r="F125">
        <v>4</v>
      </c>
      <c r="G125">
        <v>2652177</v>
      </c>
      <c r="H125">
        <v>3460378</v>
      </c>
      <c r="I125">
        <v>3925598</v>
      </c>
      <c r="J125">
        <v>4211327</v>
      </c>
      <c r="K125">
        <v>3366575</v>
      </c>
      <c r="L125">
        <v>7.5409748293571654E-7</v>
      </c>
      <c r="M125">
        <v>3.4678292371527041E-6</v>
      </c>
      <c r="N125">
        <v>2.0379060718901936E-6</v>
      </c>
      <c r="O125">
        <v>4.74909689986078E-7</v>
      </c>
      <c r="P125">
        <v>1.1881511625316531E-6</v>
      </c>
      <c r="Q125">
        <v>4.3650632478573398E-2</v>
      </c>
      <c r="R125">
        <v>0.33160156692372772</v>
      </c>
      <c r="S125">
        <v>0.22395667958184845</v>
      </c>
      <c r="T125">
        <v>5.3354154667484104E-2</v>
      </c>
      <c r="U125">
        <v>9.3223943648888072E-2</v>
      </c>
      <c r="V125">
        <v>-0.91635010583013354</v>
      </c>
      <c r="W125">
        <v>-0.50195077092047091</v>
      </c>
      <c r="X125">
        <v>-0.63404476103131235</v>
      </c>
      <c r="Y125">
        <v>-0.89869664550888573</v>
      </c>
      <c r="Z125">
        <v>-0.82945133210725053</v>
      </c>
    </row>
    <row r="126" spans="1:26" x14ac:dyDescent="0.25">
      <c r="A126" t="s">
        <v>117</v>
      </c>
      <c r="B126">
        <v>14</v>
      </c>
      <c r="C126">
        <v>21</v>
      </c>
      <c r="D126">
        <v>37</v>
      </c>
      <c r="E126">
        <v>26</v>
      </c>
      <c r="F126">
        <v>13</v>
      </c>
      <c r="G126">
        <v>5298771</v>
      </c>
      <c r="H126">
        <v>6848642</v>
      </c>
      <c r="I126">
        <v>8746855</v>
      </c>
      <c r="J126">
        <v>9252491</v>
      </c>
      <c r="K126">
        <v>11608376</v>
      </c>
      <c r="L126">
        <v>2.6421221071829675E-6</v>
      </c>
      <c r="M126">
        <v>3.0663013192980446E-6</v>
      </c>
      <c r="N126">
        <v>4.230091844440087E-6</v>
      </c>
      <c r="O126">
        <v>2.8100540708442734E-6</v>
      </c>
      <c r="P126">
        <v>1.1198810238400273E-6</v>
      </c>
      <c r="Q126">
        <v>0.15293818594271719</v>
      </c>
      <c r="R126">
        <v>0.29320657177871051</v>
      </c>
      <c r="S126">
        <v>0.46486800195279282</v>
      </c>
      <c r="T126">
        <v>0.31569804255670975</v>
      </c>
      <c r="U126">
        <v>8.7867376435059041E-2</v>
      </c>
      <c r="V126">
        <v>-0.73469837705537522</v>
      </c>
      <c r="W126">
        <v>-0.54654333162655311</v>
      </c>
      <c r="X126">
        <v>-0.36531072924920943</v>
      </c>
      <c r="Y126">
        <v>-0.52010562857837128</v>
      </c>
      <c r="Z126">
        <v>-0.83845939617566179</v>
      </c>
    </row>
    <row r="127" spans="1:26" x14ac:dyDescent="0.25">
      <c r="A127" t="s">
        <v>121</v>
      </c>
      <c r="B127">
        <v>7</v>
      </c>
      <c r="C127">
        <v>11</v>
      </c>
      <c r="D127">
        <v>9</v>
      </c>
      <c r="E127">
        <v>15</v>
      </c>
      <c r="F127">
        <v>10</v>
      </c>
      <c r="G127">
        <v>6437597</v>
      </c>
      <c r="H127">
        <v>8622697</v>
      </c>
      <c r="I127">
        <v>14512194</v>
      </c>
      <c r="J127">
        <v>10069934</v>
      </c>
      <c r="K127">
        <v>9212662</v>
      </c>
      <c r="L127">
        <v>1.0873622564444465E-6</v>
      </c>
      <c r="M127">
        <v>1.2757029500166828E-6</v>
      </c>
      <c r="N127">
        <v>6.2016811517266096E-7</v>
      </c>
      <c r="O127">
        <v>1.4895827519822871E-6</v>
      </c>
      <c r="P127">
        <v>1.0854625948504351E-6</v>
      </c>
      <c r="Q127">
        <v>6.2941531169617912E-2</v>
      </c>
      <c r="R127">
        <v>0.12198556163684776</v>
      </c>
      <c r="S127">
        <v>6.8153676841336885E-2</v>
      </c>
      <c r="T127">
        <v>0.16734850902201928</v>
      </c>
      <c r="U127">
        <v>8.5166860048093415E-2</v>
      </c>
      <c r="V127">
        <v>-0.88157103787193336</v>
      </c>
      <c r="W127">
        <v>-0.78255413294466136</v>
      </c>
      <c r="X127">
        <v>-0.87238975379858119</v>
      </c>
      <c r="Y127">
        <v>-0.71328440867719889</v>
      </c>
      <c r="Z127">
        <v>-0.84303453563939668</v>
      </c>
    </row>
    <row r="128" spans="1:26" x14ac:dyDescent="0.25">
      <c r="A128" t="s">
        <v>98</v>
      </c>
      <c r="B128">
        <v>2</v>
      </c>
      <c r="C128">
        <v>6</v>
      </c>
      <c r="D128">
        <v>12</v>
      </c>
      <c r="E128">
        <v>16</v>
      </c>
      <c r="F128">
        <v>51</v>
      </c>
      <c r="G128">
        <v>19663868</v>
      </c>
      <c r="H128">
        <v>23839731</v>
      </c>
      <c r="I128">
        <v>51612558</v>
      </c>
      <c r="J128">
        <v>50655550</v>
      </c>
      <c r="K128">
        <v>50326161</v>
      </c>
      <c r="L128">
        <v>1.0170938901746085E-7</v>
      </c>
      <c r="M128">
        <v>2.5168069220244136E-7</v>
      </c>
      <c r="N128">
        <v>2.3250155514477696E-7</v>
      </c>
      <c r="O128">
        <v>3.1585877559319758E-7</v>
      </c>
      <c r="P128">
        <v>1.0133894377518682E-6</v>
      </c>
      <c r="Q128">
        <v>5.8874074772636469E-3</v>
      </c>
      <c r="R128">
        <v>2.4066269182072463E-2</v>
      </c>
      <c r="S128">
        <v>2.5550871556874154E-2</v>
      </c>
      <c r="T128">
        <v>3.5485437171382299E-2</v>
      </c>
      <c r="U128">
        <v>7.9511902877797108E-2</v>
      </c>
      <c r="V128">
        <v>-0.9882941024343288</v>
      </c>
      <c r="W128">
        <v>-0.95299860974564787</v>
      </c>
      <c r="X128">
        <v>-0.95017142052039649</v>
      </c>
      <c r="Y128">
        <v>-0.93146125305573158</v>
      </c>
      <c r="Z128">
        <v>-0.85268915948803947</v>
      </c>
    </row>
    <row r="129" spans="1:26" x14ac:dyDescent="0.25">
      <c r="A129" t="s">
        <v>157</v>
      </c>
      <c r="B129">
        <v>2</v>
      </c>
      <c r="C129">
        <v>3</v>
      </c>
      <c r="D129">
        <v>2</v>
      </c>
      <c r="E129">
        <v>2</v>
      </c>
      <c r="F129">
        <v>1</v>
      </c>
      <c r="G129">
        <v>797694</v>
      </c>
      <c r="H129">
        <v>952785</v>
      </c>
      <c r="I129">
        <v>1062776</v>
      </c>
      <c r="J129">
        <v>1131380</v>
      </c>
      <c r="K129">
        <v>1039263</v>
      </c>
      <c r="L129">
        <v>2.5072270820640498E-6</v>
      </c>
      <c r="M129">
        <v>3.1486641792219652E-6</v>
      </c>
      <c r="N129">
        <v>1.8818640993022049E-6</v>
      </c>
      <c r="O129">
        <v>1.7677526560483656E-6</v>
      </c>
      <c r="P129">
        <v>9.6222034268515285E-7</v>
      </c>
      <c r="Q129">
        <v>0.14512984113598118</v>
      </c>
      <c r="R129">
        <v>0.30108229216150423</v>
      </c>
      <c r="S129">
        <v>0.2068083710615278</v>
      </c>
      <c r="T129">
        <v>0.19859975615032247</v>
      </c>
      <c r="U129">
        <v>7.5497106625020655E-2</v>
      </c>
      <c r="V129">
        <v>-0.74652683752960136</v>
      </c>
      <c r="W129">
        <v>-0.53718178477194944</v>
      </c>
      <c r="X129">
        <v>-0.65726394343848327</v>
      </c>
      <c r="Y129">
        <v>-0.66861372175114131</v>
      </c>
      <c r="Z129">
        <v>-0.85960518878207781</v>
      </c>
    </row>
    <row r="130" spans="1:26" x14ac:dyDescent="0.25">
      <c r="A130" t="s">
        <v>102</v>
      </c>
      <c r="B130">
        <v>26</v>
      </c>
      <c r="C130">
        <v>12</v>
      </c>
      <c r="D130">
        <v>61</v>
      </c>
      <c r="E130">
        <v>36</v>
      </c>
      <c r="F130">
        <v>47</v>
      </c>
      <c r="G130">
        <v>52438672</v>
      </c>
      <c r="H130">
        <v>61032085</v>
      </c>
      <c r="I130">
        <v>76263662</v>
      </c>
      <c r="J130">
        <v>85112409</v>
      </c>
      <c r="K130">
        <v>50646896</v>
      </c>
      <c r="L130">
        <v>4.9581728538052987E-7</v>
      </c>
      <c r="M130">
        <v>1.9661789368657487E-7</v>
      </c>
      <c r="N130">
        <v>7.9985668666159781E-7</v>
      </c>
      <c r="O130">
        <v>4.2297005128829101E-7</v>
      </c>
      <c r="P130">
        <v>9.2799369185428464E-7</v>
      </c>
      <c r="Q130">
        <v>2.8700186103809606E-2</v>
      </c>
      <c r="R130">
        <v>1.8801041566061445E-2</v>
      </c>
      <c r="S130">
        <v>8.7900639856242829E-2</v>
      </c>
      <c r="T130">
        <v>4.7518949417121224E-2</v>
      </c>
      <c r="U130">
        <v>7.2811637411197436E-2</v>
      </c>
      <c r="V130">
        <v>-0.94420106753842192</v>
      </c>
      <c r="W130">
        <v>-0.96309182892635981</v>
      </c>
      <c r="X130">
        <v>-0.83840318382778378</v>
      </c>
      <c r="Y130">
        <v>-0.90927333688128009</v>
      </c>
      <c r="Z130">
        <v>-0.86426016483769841</v>
      </c>
    </row>
    <row r="131" spans="1:26" x14ac:dyDescent="0.25">
      <c r="A131" t="s">
        <v>53</v>
      </c>
      <c r="B131">
        <v>593</v>
      </c>
      <c r="C131">
        <v>983</v>
      </c>
      <c r="D131">
        <v>1307</v>
      </c>
      <c r="E131">
        <v>259</v>
      </c>
      <c r="F131">
        <v>573</v>
      </c>
      <c r="G131">
        <v>467540264</v>
      </c>
      <c r="H131">
        <v>615034495</v>
      </c>
      <c r="I131">
        <v>731366344</v>
      </c>
      <c r="J131">
        <v>642571069</v>
      </c>
      <c r="K131">
        <v>632098015</v>
      </c>
      <c r="L131">
        <v>1.2683399605557823E-6</v>
      </c>
      <c r="M131">
        <v>1.5982843368809746E-6</v>
      </c>
      <c r="N131">
        <v>1.7870660999407433E-6</v>
      </c>
      <c r="O131">
        <v>4.0306825578541569E-7</v>
      </c>
      <c r="P131">
        <v>9.0650498245908899E-7</v>
      </c>
      <c r="Q131">
        <v>7.341735349729081E-2</v>
      </c>
      <c r="R131">
        <v>0.15283151339208928</v>
      </c>
      <c r="S131">
        <v>0.19639049878525391</v>
      </c>
      <c r="T131">
        <v>4.5283064368213971E-2</v>
      </c>
      <c r="U131">
        <v>7.1125604272554863E-2</v>
      </c>
      <c r="V131">
        <v>-0.86320818597148541</v>
      </c>
      <c r="W131">
        <v>-0.73485889027721307</v>
      </c>
      <c r="X131">
        <v>-0.6716949875736099</v>
      </c>
      <c r="Y131">
        <v>-0.91335731743518911</v>
      </c>
      <c r="Z131">
        <v>-0.86719465207657109</v>
      </c>
    </row>
    <row r="132" spans="1:26" x14ac:dyDescent="0.25">
      <c r="A132" t="s">
        <v>131</v>
      </c>
      <c r="B132">
        <v>7</v>
      </c>
      <c r="C132">
        <v>5</v>
      </c>
      <c r="D132">
        <v>5</v>
      </c>
      <c r="E132">
        <v>7</v>
      </c>
      <c r="F132">
        <v>5</v>
      </c>
      <c r="G132">
        <v>4087226</v>
      </c>
      <c r="H132">
        <v>4502304</v>
      </c>
      <c r="I132">
        <v>5820621</v>
      </c>
      <c r="J132">
        <v>6175200</v>
      </c>
      <c r="K132">
        <v>5634228</v>
      </c>
      <c r="L132">
        <v>1.7126530316649972E-6</v>
      </c>
      <c r="M132">
        <v>1.1105425133442788E-6</v>
      </c>
      <c r="N132">
        <v>8.5901487143725726E-7</v>
      </c>
      <c r="O132">
        <v>1.1335665241611607E-6</v>
      </c>
      <c r="P132">
        <v>8.8743302542957087E-7</v>
      </c>
      <c r="Q132">
        <v>9.9136238669684226E-2</v>
      </c>
      <c r="R132">
        <v>0.10619255227882539</v>
      </c>
      <c r="S132">
        <v>9.4401857363366495E-2</v>
      </c>
      <c r="T132">
        <v>0.12735154689673717</v>
      </c>
      <c r="U132">
        <v>6.9629192785984909E-2</v>
      </c>
      <c r="V132">
        <v>-0.8196106448283943</v>
      </c>
      <c r="W132">
        <v>-0.80800349440056862</v>
      </c>
      <c r="X132">
        <v>-0.82748227860139145</v>
      </c>
      <c r="Y132">
        <v>-0.77406950432223542</v>
      </c>
      <c r="Z132">
        <v>-0.86980685782401501</v>
      </c>
    </row>
    <row r="133" spans="1:26" x14ac:dyDescent="0.25">
      <c r="A133" t="s">
        <v>101</v>
      </c>
      <c r="B133">
        <v>6</v>
      </c>
      <c r="C133">
        <v>16</v>
      </c>
      <c r="D133">
        <v>9</v>
      </c>
      <c r="E133">
        <v>18</v>
      </c>
      <c r="F133">
        <v>49</v>
      </c>
      <c r="G133">
        <v>19955151</v>
      </c>
      <c r="H133">
        <v>23724275</v>
      </c>
      <c r="I133">
        <v>28264000</v>
      </c>
      <c r="J133">
        <v>36660334</v>
      </c>
      <c r="K133">
        <v>55524325</v>
      </c>
      <c r="L133">
        <v>3.0067424696510691E-7</v>
      </c>
      <c r="M133">
        <v>6.7441470814176615E-7</v>
      </c>
      <c r="N133">
        <v>3.1842626662892724E-7</v>
      </c>
      <c r="O133">
        <v>4.9099389001747779E-7</v>
      </c>
      <c r="P133">
        <v>8.8249609517990539E-7</v>
      </c>
      <c r="Q133">
        <v>1.740440904132352E-2</v>
      </c>
      <c r="R133">
        <v>6.4489038727823161E-2</v>
      </c>
      <c r="S133">
        <v>3.4993609543404622E-2</v>
      </c>
      <c r="T133">
        <v>5.5161148532366526E-2</v>
      </c>
      <c r="U133">
        <v>6.9241834576098005E-2</v>
      </c>
      <c r="V133">
        <v>-0.96578664514001211</v>
      </c>
      <c r="W133">
        <v>-0.8788356922774998</v>
      </c>
      <c r="X133">
        <v>-0.93237908095134547</v>
      </c>
      <c r="Y133">
        <v>-0.89544507280411023</v>
      </c>
      <c r="Z133">
        <v>-0.87048423969765654</v>
      </c>
    </row>
    <row r="134" spans="1:26" x14ac:dyDescent="0.25">
      <c r="A134" t="s">
        <v>68</v>
      </c>
      <c r="B134">
        <v>161</v>
      </c>
      <c r="C134">
        <v>226</v>
      </c>
      <c r="D134">
        <v>151</v>
      </c>
      <c r="E134">
        <v>119</v>
      </c>
      <c r="F134">
        <v>326</v>
      </c>
      <c r="G134">
        <v>261309452</v>
      </c>
      <c r="H134">
        <v>330752261</v>
      </c>
      <c r="I134">
        <v>358788815</v>
      </c>
      <c r="J134">
        <v>325443689</v>
      </c>
      <c r="K134">
        <v>381228376</v>
      </c>
      <c r="L134">
        <v>6.1612773195819948E-7</v>
      </c>
      <c r="M134">
        <v>6.8329086947647499E-7</v>
      </c>
      <c r="N134">
        <v>4.2086038830391077E-7</v>
      </c>
      <c r="O134">
        <v>3.6565465554318983E-7</v>
      </c>
      <c r="P134">
        <v>8.5513046909183909E-7</v>
      </c>
      <c r="Q134">
        <v>3.5664308390029424E-2</v>
      </c>
      <c r="R134">
        <v>6.5337797073627385E-2</v>
      </c>
      <c r="S134">
        <v>4.6250657197683585E-2</v>
      </c>
      <c r="T134">
        <v>4.1079799924294842E-2</v>
      </c>
      <c r="U134">
        <v>6.7094690622701875E-2</v>
      </c>
      <c r="V134">
        <v>-0.93112766733176189</v>
      </c>
      <c r="W134">
        <v>-0.87733881731577812</v>
      </c>
      <c r="X134">
        <v>-0.9115878076070929</v>
      </c>
      <c r="Y134">
        <v>-0.92108232255148526</v>
      </c>
      <c r="Z134">
        <v>-0.87424791593040563</v>
      </c>
    </row>
    <row r="135" spans="1:26" x14ac:dyDescent="0.25">
      <c r="A135" t="s">
        <v>81</v>
      </c>
      <c r="B135">
        <v>142</v>
      </c>
      <c r="C135">
        <v>147</v>
      </c>
      <c r="D135">
        <v>302</v>
      </c>
      <c r="E135">
        <v>188</v>
      </c>
      <c r="F135">
        <v>189</v>
      </c>
      <c r="G135">
        <v>141622127</v>
      </c>
      <c r="H135">
        <v>195694490</v>
      </c>
      <c r="I135">
        <v>237447057</v>
      </c>
      <c r="J135">
        <v>221739634</v>
      </c>
      <c r="K135">
        <v>233658658</v>
      </c>
      <c r="L135">
        <v>1.0026681776923177E-6</v>
      </c>
      <c r="M135">
        <v>7.5117086842864102E-7</v>
      </c>
      <c r="N135">
        <v>1.271862468272243E-6</v>
      </c>
      <c r="O135">
        <v>8.478412118241342E-7</v>
      </c>
      <c r="P135">
        <v>8.0887223104739388E-7</v>
      </c>
      <c r="Q135">
        <v>5.8039048150674226E-2</v>
      </c>
      <c r="R135">
        <v>7.182863398513592E-2</v>
      </c>
      <c r="S135">
        <v>0.13977194494289405</v>
      </c>
      <c r="T135">
        <v>9.5251480656160334E-2</v>
      </c>
      <c r="U135">
        <v>6.346520683920448E-2</v>
      </c>
      <c r="V135">
        <v>-0.89028940235784393</v>
      </c>
      <c r="W135">
        <v>-0.86596992894643632</v>
      </c>
      <c r="X135">
        <v>-0.75473699705795616</v>
      </c>
      <c r="Y135">
        <v>-0.82606463932996355</v>
      </c>
      <c r="Z135">
        <v>-0.8806445073500172</v>
      </c>
    </row>
    <row r="136" spans="1:26" x14ac:dyDescent="0.25">
      <c r="A136" t="s">
        <v>58</v>
      </c>
      <c r="B136">
        <v>231</v>
      </c>
      <c r="C136">
        <v>31</v>
      </c>
      <c r="D136">
        <v>98</v>
      </c>
      <c r="E136">
        <v>233</v>
      </c>
      <c r="F136">
        <v>499</v>
      </c>
      <c r="G136">
        <v>367980363</v>
      </c>
      <c r="H136">
        <v>570402004</v>
      </c>
      <c r="I136">
        <v>732565993</v>
      </c>
      <c r="J136">
        <v>673791035</v>
      </c>
      <c r="K136">
        <v>702773476</v>
      </c>
      <c r="L136">
        <v>6.27750888978823E-7</v>
      </c>
      <c r="M136">
        <v>5.4347635146106537E-8</v>
      </c>
      <c r="N136">
        <v>1.3377634361468373E-7</v>
      </c>
      <c r="O136">
        <v>3.4580454161133205E-7</v>
      </c>
      <c r="P136">
        <v>7.1004387194601519E-7</v>
      </c>
      <c r="Q136">
        <v>3.6337110205217606E-2</v>
      </c>
      <c r="R136">
        <v>5.1968420993661535E-3</v>
      </c>
      <c r="S136">
        <v>1.4701416388026392E-2</v>
      </c>
      <c r="T136">
        <v>3.8849721087793172E-2</v>
      </c>
      <c r="U136">
        <v>5.5711000413022099E-2</v>
      </c>
      <c r="V136">
        <v>-0.92987395733030909</v>
      </c>
      <c r="W136">
        <v>-0.98966005088413833</v>
      </c>
      <c r="X136">
        <v>-0.97102316770117825</v>
      </c>
      <c r="Y136">
        <v>-0.92520627324785121</v>
      </c>
      <c r="Z136">
        <v>-0.89445785751739537</v>
      </c>
    </row>
    <row r="137" spans="1:26" x14ac:dyDescent="0.25">
      <c r="A137" t="s">
        <v>129</v>
      </c>
      <c r="B137">
        <v>3</v>
      </c>
      <c r="C137">
        <v>3</v>
      </c>
      <c r="D137">
        <v>5</v>
      </c>
      <c r="E137">
        <v>5</v>
      </c>
      <c r="F137">
        <v>6</v>
      </c>
      <c r="G137">
        <v>6612697</v>
      </c>
      <c r="H137">
        <v>6445781</v>
      </c>
      <c r="I137">
        <v>7957768</v>
      </c>
      <c r="J137">
        <v>7441108</v>
      </c>
      <c r="K137">
        <v>8824992</v>
      </c>
      <c r="L137">
        <v>4.5367268453401087E-7</v>
      </c>
      <c r="M137">
        <v>4.6542071472797478E-7</v>
      </c>
      <c r="N137">
        <v>6.2831688483504418E-7</v>
      </c>
      <c r="O137">
        <v>6.7194294183070585E-7</v>
      </c>
      <c r="P137">
        <v>6.7988730188084019E-7</v>
      </c>
      <c r="Q137">
        <v>2.6260662667998858E-2</v>
      </c>
      <c r="R137">
        <v>4.4504566899976714E-2</v>
      </c>
      <c r="S137">
        <v>6.9049189849241105E-2</v>
      </c>
      <c r="T137">
        <v>7.5490031898929513E-2</v>
      </c>
      <c r="U137">
        <v>5.3344875228740492E-2</v>
      </c>
      <c r="V137">
        <v>-0.94882262640813242</v>
      </c>
      <c r="W137">
        <v>-0.91478339432815803</v>
      </c>
      <c r="X137">
        <v>-0.87082130456695162</v>
      </c>
      <c r="Y137">
        <v>-0.85961742152897269</v>
      </c>
      <c r="Z137">
        <v>-0.89871337207169433</v>
      </c>
    </row>
    <row r="138" spans="1:26" x14ac:dyDescent="0.25">
      <c r="A138" t="s">
        <v>118</v>
      </c>
      <c r="B138">
        <v>14</v>
      </c>
      <c r="C138">
        <v>15</v>
      </c>
      <c r="E138">
        <v>17</v>
      </c>
      <c r="F138">
        <v>12</v>
      </c>
      <c r="G138">
        <v>12487628</v>
      </c>
      <c r="H138">
        <v>18010707</v>
      </c>
      <c r="I138">
        <v>19948111</v>
      </c>
      <c r="J138">
        <v>23270982</v>
      </c>
      <c r="K138">
        <v>18339326</v>
      </c>
      <c r="L138">
        <v>1.1211096294668611E-6</v>
      </c>
      <c r="M138">
        <v>8.3283793356918195E-7</v>
      </c>
      <c r="N138">
        <v>0</v>
      </c>
      <c r="O138">
        <v>7.3052353355780175E-7</v>
      </c>
      <c r="P138">
        <v>6.5433157140017033E-7</v>
      </c>
      <c r="Q138">
        <v>6.4894984417046817E-2</v>
      </c>
      <c r="R138">
        <v>7.9637820918717628E-2</v>
      </c>
      <c r="S138">
        <v>0</v>
      </c>
      <c r="T138">
        <v>8.2071320968040401E-2</v>
      </c>
      <c r="U138">
        <v>5.133973812719541E-2</v>
      </c>
      <c r="V138">
        <v>-0.87811946648885364</v>
      </c>
      <c r="W138">
        <v>-0.85247308055408832</v>
      </c>
      <c r="X138">
        <v>-1</v>
      </c>
      <c r="Y138">
        <v>-0.84830700273135806</v>
      </c>
      <c r="Z138">
        <v>-0.90233463786187806</v>
      </c>
    </row>
    <row r="139" spans="1:26" x14ac:dyDescent="0.25">
      <c r="A139" t="s">
        <v>127</v>
      </c>
      <c r="B139">
        <v>0</v>
      </c>
      <c r="C139">
        <v>0</v>
      </c>
      <c r="D139">
        <v>0</v>
      </c>
      <c r="E139">
        <v>0</v>
      </c>
      <c r="F139">
        <v>7</v>
      </c>
      <c r="G139">
        <v>6938042</v>
      </c>
      <c r="H139">
        <v>11971835</v>
      </c>
      <c r="I139">
        <v>26858595</v>
      </c>
      <c r="J139">
        <v>25675561</v>
      </c>
      <c r="K139">
        <v>10747193</v>
      </c>
      <c r="L139">
        <v>0</v>
      </c>
      <c r="M139">
        <v>0</v>
      </c>
      <c r="N139">
        <v>0</v>
      </c>
      <c r="O139">
        <v>0</v>
      </c>
      <c r="P139">
        <v>6.5133286431163931E-7</v>
      </c>
      <c r="Q139">
        <v>0</v>
      </c>
      <c r="R139">
        <v>0</v>
      </c>
      <c r="S139">
        <v>0</v>
      </c>
      <c r="T139">
        <v>0</v>
      </c>
      <c r="U139">
        <v>5.1104455522206764E-2</v>
      </c>
      <c r="V139">
        <v>-1</v>
      </c>
      <c r="W139">
        <v>-1</v>
      </c>
      <c r="X139">
        <v>-1</v>
      </c>
      <c r="Y139">
        <v>-1</v>
      </c>
      <c r="Z139">
        <v>-0.90276046257112064</v>
      </c>
    </row>
    <row r="140" spans="1:26" x14ac:dyDescent="0.25">
      <c r="A140" t="s">
        <v>120</v>
      </c>
      <c r="B140">
        <v>15</v>
      </c>
      <c r="C140">
        <v>17</v>
      </c>
      <c r="D140">
        <v>20</v>
      </c>
      <c r="E140">
        <v>23</v>
      </c>
      <c r="F140">
        <v>11</v>
      </c>
      <c r="G140">
        <v>10532202</v>
      </c>
      <c r="H140">
        <v>13998346</v>
      </c>
      <c r="I140">
        <v>17972135</v>
      </c>
      <c r="J140">
        <v>18834793</v>
      </c>
      <c r="K140">
        <v>17219303</v>
      </c>
      <c r="L140">
        <v>1.4242035995891458E-6</v>
      </c>
      <c r="M140">
        <v>1.2144291904200682E-6</v>
      </c>
      <c r="N140">
        <v>1.1128338397190986E-6</v>
      </c>
      <c r="O140">
        <v>1.2211442939670216E-6</v>
      </c>
      <c r="P140">
        <v>6.3881795912412946E-7</v>
      </c>
      <c r="Q140">
        <v>8.243945816966293E-2</v>
      </c>
      <c r="R140">
        <v>0.11612642806825604</v>
      </c>
      <c r="S140">
        <v>0.12229541641173199</v>
      </c>
      <c r="T140">
        <v>0.13719054992022192</v>
      </c>
      <c r="U140">
        <v>5.0122519172049365E-2</v>
      </c>
      <c r="V140">
        <v>-0.84767839430195402</v>
      </c>
      <c r="W140">
        <v>-0.79191169539952078</v>
      </c>
      <c r="X140">
        <v>-0.782061987203437</v>
      </c>
      <c r="Y140">
        <v>-0.75872020756794656</v>
      </c>
      <c r="Z140">
        <v>-0.90453967369147059</v>
      </c>
    </row>
    <row r="141" spans="1:26" x14ac:dyDescent="0.25">
      <c r="A141" t="s">
        <v>128</v>
      </c>
      <c r="B141">
        <v>54</v>
      </c>
      <c r="C141">
        <v>111</v>
      </c>
      <c r="D141">
        <v>98</v>
      </c>
      <c r="E141">
        <v>93</v>
      </c>
      <c r="F141">
        <v>6</v>
      </c>
      <c r="G141">
        <v>2205287</v>
      </c>
      <c r="H141">
        <v>3482606</v>
      </c>
      <c r="I141">
        <v>3757894</v>
      </c>
      <c r="J141">
        <v>4187519</v>
      </c>
      <c r="K141">
        <v>9931781</v>
      </c>
      <c r="L141">
        <v>2.4486608772463628E-5</v>
      </c>
      <c r="M141">
        <v>3.1872683846521831E-5</v>
      </c>
      <c r="N141">
        <v>2.6078436485967938E-5</v>
      </c>
      <c r="O141">
        <v>2.220885445534695E-5</v>
      </c>
      <c r="P141">
        <v>6.0412125478803857E-7</v>
      </c>
      <c r="Q141">
        <v>1.4173975969424317</v>
      </c>
      <c r="R141">
        <v>3.0477371239447288</v>
      </c>
      <c r="S141">
        <v>2.8659024695217661</v>
      </c>
      <c r="T141">
        <v>2.4950736541782521</v>
      </c>
      <c r="U141">
        <v>4.7400168925858618E-2</v>
      </c>
      <c r="V141">
        <v>0.17266402410193663</v>
      </c>
      <c r="W141">
        <v>0.50589676682093998</v>
      </c>
      <c r="X141">
        <v>0.48265637434784764</v>
      </c>
      <c r="Y141">
        <v>0.42776599354091949</v>
      </c>
      <c r="Z141">
        <v>-0.90948985816095695</v>
      </c>
    </row>
    <row r="142" spans="1:26" x14ac:dyDescent="0.25">
      <c r="A142" t="s">
        <v>125</v>
      </c>
      <c r="B142">
        <v>98</v>
      </c>
      <c r="C142">
        <v>140</v>
      </c>
      <c r="D142">
        <v>7</v>
      </c>
      <c r="E142">
        <v>4</v>
      </c>
      <c r="F142">
        <v>8</v>
      </c>
      <c r="G142">
        <v>15607090</v>
      </c>
      <c r="H142">
        <v>21501894</v>
      </c>
      <c r="I142">
        <v>17300557</v>
      </c>
      <c r="J142">
        <v>16298240</v>
      </c>
      <c r="K142">
        <v>18604913</v>
      </c>
      <c r="L142">
        <v>6.2791974673049236E-6</v>
      </c>
      <c r="M142">
        <v>6.511054328516362E-6</v>
      </c>
      <c r="N142">
        <v>4.0461125037766124E-7</v>
      </c>
      <c r="O142">
        <v>2.4542527291290347E-7</v>
      </c>
      <c r="P142">
        <v>4.2999394837266911E-7</v>
      </c>
      <c r="Q142">
        <v>0.36346884468924973</v>
      </c>
      <c r="R142">
        <v>0.622601538314002</v>
      </c>
      <c r="S142">
        <v>4.4464950277121246E-2</v>
      </c>
      <c r="T142">
        <v>2.7572522200354374E-2</v>
      </c>
      <c r="U142">
        <v>3.3737905475801515E-2</v>
      </c>
      <c r="V142">
        <v>-0.46684686473772929</v>
      </c>
      <c r="W142">
        <v>-0.23258850233689643</v>
      </c>
      <c r="X142">
        <v>-0.91485602218566808</v>
      </c>
      <c r="Y142">
        <v>-0.94633464479701546</v>
      </c>
      <c r="Z142">
        <v>-0.93472638413066056</v>
      </c>
    </row>
    <row r="143" spans="1:26" x14ac:dyDescent="0.25">
      <c r="A143" t="s">
        <v>140</v>
      </c>
      <c r="B143">
        <v>3</v>
      </c>
      <c r="C143">
        <v>2</v>
      </c>
      <c r="D143">
        <v>0</v>
      </c>
      <c r="E143">
        <v>2</v>
      </c>
      <c r="F143">
        <v>3</v>
      </c>
      <c r="G143">
        <v>5321313</v>
      </c>
      <c r="H143">
        <v>7237001</v>
      </c>
      <c r="I143">
        <v>9188938</v>
      </c>
      <c r="J143">
        <v>7488773</v>
      </c>
      <c r="K143">
        <v>7294537</v>
      </c>
      <c r="L143">
        <v>5.6377063330046555E-7</v>
      </c>
      <c r="M143">
        <v>2.7635756855636749E-7</v>
      </c>
      <c r="N143">
        <v>0</v>
      </c>
      <c r="O143">
        <v>2.6706644733389567E-7</v>
      </c>
      <c r="P143">
        <v>4.1126667806332325E-7</v>
      </c>
      <c r="Q143">
        <v>3.2633638585568649E-2</v>
      </c>
      <c r="R143">
        <v>2.6425927142757873E-2</v>
      </c>
      <c r="S143">
        <v>0</v>
      </c>
      <c r="T143">
        <v>3.0003819332399557E-2</v>
      </c>
      <c r="U143">
        <v>3.2268538574458737E-2</v>
      </c>
      <c r="V143">
        <v>-0.93679532146508815</v>
      </c>
      <c r="W143">
        <v>-0.94850884716772665</v>
      </c>
      <c r="X143">
        <v>-1</v>
      </c>
      <c r="Y143">
        <v>-0.94174037266804189</v>
      </c>
      <c r="Z143">
        <v>-0.93748034088296262</v>
      </c>
    </row>
    <row r="144" spans="1:26" x14ac:dyDescent="0.25">
      <c r="A144" t="s">
        <v>155</v>
      </c>
      <c r="B144">
        <v>65</v>
      </c>
      <c r="C144">
        <v>160</v>
      </c>
      <c r="D144">
        <v>121</v>
      </c>
      <c r="E144">
        <v>110</v>
      </c>
      <c r="F144">
        <v>1</v>
      </c>
      <c r="G144">
        <v>1837143</v>
      </c>
      <c r="H144">
        <v>2580550</v>
      </c>
      <c r="I144">
        <v>3522703</v>
      </c>
      <c r="J144">
        <v>3394094</v>
      </c>
      <c r="K144">
        <v>2930447</v>
      </c>
      <c r="L144">
        <v>3.53810236873232E-5</v>
      </c>
      <c r="M144">
        <v>6.2002286334308579E-5</v>
      </c>
      <c r="N144">
        <v>3.4348623769872171E-5</v>
      </c>
      <c r="O144">
        <v>3.240923792917933E-5</v>
      </c>
      <c r="P144">
        <v>3.4124486810373981E-7</v>
      </c>
      <c r="Q144">
        <v>2.0480164655617852</v>
      </c>
      <c r="R144">
        <v>5.9287969202864774</v>
      </c>
      <c r="S144">
        <v>3.7747587260347579</v>
      </c>
      <c r="T144">
        <v>3.6410448756676597</v>
      </c>
      <c r="U144">
        <v>2.677453286902607E-2</v>
      </c>
      <c r="V144">
        <v>0.34383556565486711</v>
      </c>
      <c r="W144">
        <v>0.71134960036939454</v>
      </c>
      <c r="X144">
        <v>0.58113066758853416</v>
      </c>
      <c r="Y144">
        <v>0.56906255949264428</v>
      </c>
      <c r="Z144">
        <v>-0.94784729848292526</v>
      </c>
    </row>
    <row r="145" spans="1:26" x14ac:dyDescent="0.25">
      <c r="A145" t="s">
        <v>132</v>
      </c>
      <c r="B145">
        <v>19</v>
      </c>
      <c r="C145">
        <v>32</v>
      </c>
      <c r="D145">
        <v>13</v>
      </c>
      <c r="E145">
        <v>5</v>
      </c>
      <c r="F145">
        <v>5</v>
      </c>
      <c r="G145">
        <v>10217078</v>
      </c>
      <c r="H145">
        <v>13559729</v>
      </c>
      <c r="I145">
        <v>15879593</v>
      </c>
      <c r="J145">
        <v>16134396</v>
      </c>
      <c r="K145">
        <v>16563002</v>
      </c>
      <c r="L145">
        <v>1.859631491508629E-6</v>
      </c>
      <c r="M145">
        <v>2.3599291696758835E-6</v>
      </c>
      <c r="N145">
        <v>8.1866078053763725E-7</v>
      </c>
      <c r="O145">
        <v>3.09896943151761E-7</v>
      </c>
      <c r="P145">
        <v>3.0187764271235373E-7</v>
      </c>
      <c r="Q145">
        <v>0.10764402828320299</v>
      </c>
      <c r="R145">
        <v>0.22566169121293306</v>
      </c>
      <c r="S145">
        <v>8.9967124904357487E-2</v>
      </c>
      <c r="T145">
        <v>3.4815649763609346E-2</v>
      </c>
      <c r="U145">
        <v>2.3685727237863899E-2</v>
      </c>
      <c r="V145">
        <v>-0.80563425516761689</v>
      </c>
      <c r="W145">
        <v>-0.63177164982677259</v>
      </c>
      <c r="X145">
        <v>-0.83491772761081784</v>
      </c>
      <c r="Y145">
        <v>-0.93271139691101002</v>
      </c>
      <c r="Z145">
        <v>-0.95372461174822987</v>
      </c>
    </row>
    <row r="146" spans="1:26" x14ac:dyDescent="0.25">
      <c r="A146" t="s">
        <v>142</v>
      </c>
      <c r="B146">
        <v>1</v>
      </c>
      <c r="C146">
        <v>0</v>
      </c>
      <c r="D146">
        <v>1</v>
      </c>
      <c r="E146">
        <v>3</v>
      </c>
      <c r="F146">
        <v>3</v>
      </c>
      <c r="G146">
        <v>5378310</v>
      </c>
      <c r="H146">
        <v>7111525</v>
      </c>
      <c r="I146">
        <v>9048377</v>
      </c>
      <c r="J146">
        <v>10226926</v>
      </c>
      <c r="K146">
        <v>11268015</v>
      </c>
      <c r="L146">
        <v>1.8593201210045535E-7</v>
      </c>
      <c r="M146">
        <v>0</v>
      </c>
      <c r="N146">
        <v>1.1051705736840982E-7</v>
      </c>
      <c r="O146">
        <v>2.933432783223424E-7</v>
      </c>
      <c r="P146">
        <v>2.66240327156114E-7</v>
      </c>
      <c r="Q146">
        <v>1.0762600472557863E-2</v>
      </c>
      <c r="R146">
        <v>0</v>
      </c>
      <c r="S146">
        <v>1.2145325806124473E-2</v>
      </c>
      <c r="T146">
        <v>3.2955913455326433E-2</v>
      </c>
      <c r="U146">
        <v>2.0889575365964325E-2</v>
      </c>
      <c r="V146">
        <v>-0.97870399940099473</v>
      </c>
      <c r="W146">
        <v>-1</v>
      </c>
      <c r="X146">
        <v>-0.97600082617295836</v>
      </c>
      <c r="Y146">
        <v>-0.93619105515338785</v>
      </c>
      <c r="Z146">
        <v>-0.95907573968815196</v>
      </c>
    </row>
    <row r="147" spans="1:26" x14ac:dyDescent="0.25">
      <c r="A147" t="s">
        <v>161</v>
      </c>
      <c r="B147">
        <v>2</v>
      </c>
      <c r="C147">
        <v>1</v>
      </c>
      <c r="D147">
        <v>1</v>
      </c>
      <c r="E147">
        <v>2</v>
      </c>
      <c r="F147">
        <v>1</v>
      </c>
      <c r="G147">
        <v>8250511</v>
      </c>
      <c r="H147">
        <v>9086037</v>
      </c>
      <c r="I147">
        <v>9747769</v>
      </c>
      <c r="J147">
        <v>11780107</v>
      </c>
      <c r="K147">
        <v>4539022</v>
      </c>
      <c r="L147">
        <v>2.4240922774359065E-7</v>
      </c>
      <c r="M147">
        <v>1.1005898391124756E-7</v>
      </c>
      <c r="N147">
        <v>1.0258757670601345E-7</v>
      </c>
      <c r="O147">
        <v>1.6977774480316691E-7</v>
      </c>
      <c r="P147">
        <v>2.2031177641350934E-7</v>
      </c>
      <c r="Q147">
        <v>1.4031761607871968E-2</v>
      </c>
      <c r="R147">
        <v>1.0524085536855389E-2</v>
      </c>
      <c r="S147">
        <v>1.1273911669597745E-2</v>
      </c>
      <c r="T147">
        <v>1.907383287039344E-2</v>
      </c>
      <c r="U147">
        <v>1.7285959293089754E-2</v>
      </c>
      <c r="V147">
        <v>-0.97232480847419822</v>
      </c>
      <c r="W147">
        <v>-0.9791710347383471</v>
      </c>
      <c r="X147">
        <v>-0.97770354492585554</v>
      </c>
      <c r="Y147">
        <v>-0.96256633767806843</v>
      </c>
      <c r="Z147">
        <v>-0.96601553548404073</v>
      </c>
    </row>
    <row r="148" spans="1:26" x14ac:dyDescent="0.25">
      <c r="A148" t="s">
        <v>148</v>
      </c>
      <c r="B148">
        <v>0</v>
      </c>
      <c r="C148">
        <v>0</v>
      </c>
      <c r="E148">
        <v>1</v>
      </c>
      <c r="F148">
        <v>2</v>
      </c>
      <c r="G148">
        <v>5023261</v>
      </c>
      <c r="H148">
        <v>5871286</v>
      </c>
      <c r="I148">
        <v>8284932</v>
      </c>
      <c r="J148">
        <v>9155771</v>
      </c>
      <c r="K148">
        <v>9241694</v>
      </c>
      <c r="L148">
        <v>0</v>
      </c>
      <c r="M148">
        <v>0</v>
      </c>
      <c r="N148">
        <v>0</v>
      </c>
      <c r="O148">
        <v>1.092207308374139E-7</v>
      </c>
      <c r="P148">
        <v>2.1641054118433265E-7</v>
      </c>
      <c r="Q148">
        <v>0</v>
      </c>
      <c r="R148">
        <v>0</v>
      </c>
      <c r="S148">
        <v>0</v>
      </c>
      <c r="T148">
        <v>1.227050087389428E-2</v>
      </c>
      <c r="U148">
        <v>1.697986311220407E-2</v>
      </c>
      <c r="V148">
        <v>-1</v>
      </c>
      <c r="W148">
        <v>-1</v>
      </c>
      <c r="X148">
        <v>-1</v>
      </c>
      <c r="Y148">
        <v>-0.97575647840512758</v>
      </c>
      <c r="Z148">
        <v>-0.96660727763037202</v>
      </c>
    </row>
    <row r="149" spans="1:26" x14ac:dyDescent="0.25">
      <c r="A149" t="s">
        <v>137</v>
      </c>
      <c r="C149">
        <v>23</v>
      </c>
      <c r="D149">
        <v>11</v>
      </c>
      <c r="E149">
        <v>11</v>
      </c>
      <c r="F149">
        <v>3</v>
      </c>
      <c r="G149">
        <v>0</v>
      </c>
      <c r="H149">
        <v>17848192</v>
      </c>
      <c r="I149">
        <v>17962660</v>
      </c>
      <c r="J149">
        <v>16394368</v>
      </c>
      <c r="K149">
        <v>19984601</v>
      </c>
      <c r="L149" t="e">
        <v>#DIV/0!</v>
      </c>
      <c r="M149">
        <v>1.28864593119572E-6</v>
      </c>
      <c r="N149">
        <v>6.1238146243373756E-7</v>
      </c>
      <c r="O149">
        <v>6.7096212552993806E-7</v>
      </c>
      <c r="P149">
        <v>1.5011558149196974E-7</v>
      </c>
      <c r="Q149" t="e">
        <v>#DIV/0!</v>
      </c>
      <c r="R149">
        <v>0.12322319836752973</v>
      </c>
      <c r="S149">
        <v>6.7297958848971953E-2</v>
      </c>
      <c r="T149">
        <v>7.5379841212752763E-2</v>
      </c>
      <c r="U149">
        <v>1.1778271108205588E-2</v>
      </c>
      <c r="V149" t="e">
        <v>#DIV/0!</v>
      </c>
      <c r="W149">
        <v>-0.78059000464623607</v>
      </c>
      <c r="X149">
        <v>-0.87389096307923331</v>
      </c>
      <c r="Y149">
        <v>-0.85980797049767355</v>
      </c>
      <c r="Z149">
        <v>-0.97671768322261998</v>
      </c>
    </row>
    <row r="150" spans="1:26" x14ac:dyDescent="0.25">
      <c r="A150" t="s">
        <v>134</v>
      </c>
      <c r="B150">
        <v>0</v>
      </c>
      <c r="C150">
        <v>1</v>
      </c>
      <c r="D150">
        <v>8</v>
      </c>
      <c r="E150">
        <v>3</v>
      </c>
      <c r="F150">
        <v>4</v>
      </c>
      <c r="G150">
        <v>3684109</v>
      </c>
      <c r="H150">
        <v>5570126</v>
      </c>
      <c r="I150">
        <v>9802959</v>
      </c>
      <c r="J150">
        <v>12350402</v>
      </c>
      <c r="K150">
        <v>28576029</v>
      </c>
      <c r="L150">
        <v>0</v>
      </c>
      <c r="M150">
        <v>1.7952915248236754E-7</v>
      </c>
      <c r="N150">
        <v>8.1608012437877176E-7</v>
      </c>
      <c r="O150">
        <v>2.4290707298434494E-7</v>
      </c>
      <c r="P150">
        <v>1.3997746152903191E-7</v>
      </c>
      <c r="Q150">
        <v>0</v>
      </c>
      <c r="R150">
        <v>1.716697801432731E-2</v>
      </c>
      <c r="S150">
        <v>8.9683522439820987E-2</v>
      </c>
      <c r="T150">
        <v>2.728961277293061E-2</v>
      </c>
      <c r="U150">
        <v>1.0982820534293109E-2</v>
      </c>
      <c r="V150">
        <v>-1</v>
      </c>
      <c r="W150">
        <v>-0.96624550661713382</v>
      </c>
      <c r="X150">
        <v>-0.83539528570824317</v>
      </c>
      <c r="Y150">
        <v>-0.94687065374044121</v>
      </c>
      <c r="Z150">
        <v>-0.97827298286139275</v>
      </c>
    </row>
    <row r="151" spans="1:26" x14ac:dyDescent="0.25">
      <c r="A151" t="s">
        <v>158</v>
      </c>
      <c r="F151">
        <v>1</v>
      </c>
      <c r="G151">
        <v>4948620</v>
      </c>
      <c r="H151">
        <v>5489697</v>
      </c>
      <c r="I151">
        <v>6432321</v>
      </c>
      <c r="J151">
        <v>6989461</v>
      </c>
      <c r="K151">
        <v>7449895</v>
      </c>
      <c r="L151">
        <v>0</v>
      </c>
      <c r="M151">
        <v>0</v>
      </c>
      <c r="N151">
        <v>0</v>
      </c>
      <c r="O151">
        <v>0</v>
      </c>
      <c r="P151">
        <v>1.3423007975280188E-7</v>
      </c>
      <c r="Q151">
        <v>0</v>
      </c>
      <c r="R151">
        <v>0</v>
      </c>
      <c r="S151">
        <v>0</v>
      </c>
      <c r="T151">
        <v>0</v>
      </c>
      <c r="U151">
        <v>1.053187320390943E-2</v>
      </c>
      <c r="V151">
        <v>-1</v>
      </c>
      <c r="W151">
        <v>-1</v>
      </c>
      <c r="X151">
        <v>-1</v>
      </c>
      <c r="Y151">
        <v>-1</v>
      </c>
      <c r="Z151">
        <v>-0.97915578225055289</v>
      </c>
    </row>
    <row r="152" spans="1:26" x14ac:dyDescent="0.25">
      <c r="A152" t="s">
        <v>130</v>
      </c>
      <c r="B152">
        <v>0</v>
      </c>
      <c r="C152">
        <v>0</v>
      </c>
      <c r="D152">
        <v>0</v>
      </c>
      <c r="E152">
        <v>0</v>
      </c>
      <c r="F152">
        <v>6</v>
      </c>
      <c r="G152">
        <v>53010001</v>
      </c>
      <c r="H152">
        <v>52441679</v>
      </c>
      <c r="I152">
        <v>60487524</v>
      </c>
      <c r="J152">
        <v>60575070</v>
      </c>
      <c r="K152">
        <v>47195990</v>
      </c>
      <c r="L152">
        <v>0</v>
      </c>
      <c r="M152">
        <v>0</v>
      </c>
      <c r="N152">
        <v>0</v>
      </c>
      <c r="O152">
        <v>0</v>
      </c>
      <c r="P152">
        <v>1.2712944468375384E-7</v>
      </c>
      <c r="Q152">
        <v>0</v>
      </c>
      <c r="R152">
        <v>0</v>
      </c>
      <c r="S152">
        <v>0</v>
      </c>
      <c r="T152">
        <v>0</v>
      </c>
      <c r="U152">
        <v>9.974747793925565E-3</v>
      </c>
      <c r="V152">
        <v>-1</v>
      </c>
      <c r="W152">
        <v>-1</v>
      </c>
      <c r="X152">
        <v>-1</v>
      </c>
      <c r="Y152">
        <v>-1</v>
      </c>
      <c r="Z152">
        <v>-0.98024753031555822</v>
      </c>
    </row>
    <row r="153" spans="1:26" x14ac:dyDescent="0.25">
      <c r="A153" t="s">
        <v>156</v>
      </c>
      <c r="B153">
        <v>1</v>
      </c>
      <c r="D153">
        <v>1</v>
      </c>
      <c r="F153">
        <v>1</v>
      </c>
      <c r="G153">
        <v>5823207</v>
      </c>
      <c r="H153">
        <v>6875818</v>
      </c>
      <c r="I153">
        <v>10326257</v>
      </c>
      <c r="J153">
        <v>9331838</v>
      </c>
      <c r="K153">
        <v>8076312</v>
      </c>
      <c r="L153">
        <v>1.7172667913058904E-7</v>
      </c>
      <c r="M153">
        <v>0</v>
      </c>
      <c r="N153">
        <v>9.6840510554792508E-8</v>
      </c>
      <c r="O153">
        <v>0</v>
      </c>
      <c r="P153">
        <v>1.2381889159309348E-7</v>
      </c>
      <c r="Q153">
        <v>9.9403304309056296E-3</v>
      </c>
      <c r="R153">
        <v>0</v>
      </c>
      <c r="S153">
        <v>1.0642335037917722E-2</v>
      </c>
      <c r="T153">
        <v>0</v>
      </c>
      <c r="U153">
        <v>9.7149973307666723E-3</v>
      </c>
      <c r="V153">
        <v>-0.98031501439958457</v>
      </c>
      <c r="W153">
        <v>-1</v>
      </c>
      <c r="X153">
        <v>-0.97893946321273317</v>
      </c>
      <c r="Y153">
        <v>-1</v>
      </c>
      <c r="Z153">
        <v>-0.98075695150324849</v>
      </c>
    </row>
    <row r="154" spans="1:26" x14ac:dyDescent="0.25">
      <c r="A154" t="s">
        <v>144</v>
      </c>
      <c r="B154">
        <v>1</v>
      </c>
      <c r="C154">
        <v>1</v>
      </c>
      <c r="D154">
        <v>0</v>
      </c>
      <c r="E154">
        <v>0</v>
      </c>
      <c r="F154">
        <v>2</v>
      </c>
      <c r="G154">
        <v>8477673</v>
      </c>
      <c r="H154">
        <v>10873264</v>
      </c>
      <c r="I154">
        <v>15654447</v>
      </c>
      <c r="J154">
        <v>15117482</v>
      </c>
      <c r="K154">
        <v>19382446</v>
      </c>
      <c r="L154">
        <v>1.1795689689847673E-7</v>
      </c>
      <c r="M154">
        <v>9.1968704153600974E-8</v>
      </c>
      <c r="N154">
        <v>0</v>
      </c>
      <c r="O154">
        <v>0</v>
      </c>
      <c r="P154">
        <v>1.0318615101520211E-7</v>
      </c>
      <c r="Q154">
        <v>6.8278880003466375E-3</v>
      </c>
      <c r="R154">
        <v>8.7942526346304964E-3</v>
      </c>
      <c r="S154">
        <v>0</v>
      </c>
      <c r="T154">
        <v>0</v>
      </c>
      <c r="U154">
        <v>8.0961246606789296E-3</v>
      </c>
      <c r="V154">
        <v>-0.98643683179275554</v>
      </c>
      <c r="W154">
        <v>-0.98256482407257395</v>
      </c>
      <c r="X154">
        <v>-1</v>
      </c>
      <c r="Y154">
        <v>-1</v>
      </c>
      <c r="Z154">
        <v>-0.98393779231439049</v>
      </c>
    </row>
    <row r="155" spans="1:26" x14ac:dyDescent="0.25">
      <c r="A155" t="s">
        <v>154</v>
      </c>
      <c r="B155">
        <v>1</v>
      </c>
      <c r="C155">
        <v>1</v>
      </c>
      <c r="D155">
        <v>2</v>
      </c>
      <c r="E155">
        <v>1</v>
      </c>
      <c r="F155">
        <v>1</v>
      </c>
      <c r="G155">
        <v>1186080</v>
      </c>
      <c r="H155">
        <v>1701154</v>
      </c>
      <c r="I155">
        <v>1920653</v>
      </c>
      <c r="J155">
        <v>2166707</v>
      </c>
      <c r="K155">
        <v>29130140</v>
      </c>
      <c r="L155">
        <v>8.4311344934574392E-7</v>
      </c>
      <c r="M155">
        <v>5.878362570349304E-7</v>
      </c>
      <c r="N155">
        <v>1.0413125119425529E-6</v>
      </c>
      <c r="O155">
        <v>4.6152986998242034E-7</v>
      </c>
      <c r="P155">
        <v>3.4328705594961095E-8</v>
      </c>
      <c r="Q155">
        <v>4.8803286243392252E-2</v>
      </c>
      <c r="R155">
        <v>5.621021411290978E-2</v>
      </c>
      <c r="S155">
        <v>0.11443554528761118</v>
      </c>
      <c r="T155">
        <v>5.1850986800096151E-2</v>
      </c>
      <c r="U155">
        <v>2.6934765683391442E-3</v>
      </c>
      <c r="V155">
        <v>-0.90693529113892069</v>
      </c>
      <c r="W155">
        <v>-0.89356244928928352</v>
      </c>
      <c r="X155">
        <v>-0.79463048218176158</v>
      </c>
      <c r="Y155">
        <v>-0.90141001443971558</v>
      </c>
      <c r="Z155">
        <v>-0.99462751751899814</v>
      </c>
    </row>
    <row r="156" spans="1:26" x14ac:dyDescent="0.25">
      <c r="A156" t="s">
        <v>160</v>
      </c>
      <c r="B156">
        <v>2</v>
      </c>
      <c r="C156">
        <v>5</v>
      </c>
      <c r="D156">
        <v>4</v>
      </c>
      <c r="E156">
        <v>25</v>
      </c>
      <c r="F156">
        <v>1</v>
      </c>
      <c r="G156">
        <v>50703718</v>
      </c>
      <c r="H156">
        <v>78305242</v>
      </c>
      <c r="I156">
        <v>88344267</v>
      </c>
      <c r="J156">
        <v>70599072</v>
      </c>
      <c r="K156">
        <v>63526663</v>
      </c>
      <c r="L156">
        <v>3.9444839133887578E-8</v>
      </c>
      <c r="M156">
        <v>6.3852685622247362E-8</v>
      </c>
      <c r="N156">
        <v>4.5277414549152353E-8</v>
      </c>
      <c r="O156">
        <v>3.5411230334585703E-7</v>
      </c>
      <c r="P156">
        <v>1.574142183416749E-8</v>
      </c>
      <c r="Q156">
        <v>2.2832488042617578E-3</v>
      </c>
      <c r="R156">
        <v>6.1057362276610381E-3</v>
      </c>
      <c r="S156">
        <v>4.9757835075656077E-3</v>
      </c>
      <c r="T156">
        <v>3.9783064024083749E-2</v>
      </c>
      <c r="U156">
        <v>1.2350932005107656E-3</v>
      </c>
      <c r="V156">
        <v>-0.99544390508973246</v>
      </c>
      <c r="W156">
        <v>-0.98786263509329708</v>
      </c>
      <c r="X156">
        <v>-0.9900977046626952</v>
      </c>
      <c r="Y156">
        <v>-0.92347814577760379</v>
      </c>
      <c r="Z156">
        <v>-0.99753286074589598</v>
      </c>
    </row>
    <row r="157" spans="1:26" x14ac:dyDescent="0.25">
      <c r="A157" t="s">
        <v>162</v>
      </c>
      <c r="B157">
        <v>0</v>
      </c>
      <c r="C157">
        <v>4</v>
      </c>
      <c r="D157">
        <v>0</v>
      </c>
      <c r="E157">
        <v>0</v>
      </c>
      <c r="F157">
        <v>0</v>
      </c>
      <c r="G157">
        <v>17968641</v>
      </c>
      <c r="H157">
        <v>14326568</v>
      </c>
      <c r="I157">
        <v>17403359</v>
      </c>
      <c r="J157">
        <v>16440463</v>
      </c>
      <c r="K157">
        <v>12452129</v>
      </c>
      <c r="L157">
        <v>0</v>
      </c>
      <c r="M157">
        <v>2.7920155057373128E-7</v>
      </c>
      <c r="N157">
        <v>0</v>
      </c>
      <c r="O157">
        <v>0</v>
      </c>
      <c r="P157">
        <v>0</v>
      </c>
      <c r="Q157">
        <v>0</v>
      </c>
      <c r="R157">
        <v>2.6697875046984856E-2</v>
      </c>
      <c r="S157">
        <v>0</v>
      </c>
      <c r="T157">
        <v>0</v>
      </c>
      <c r="U157">
        <v>0</v>
      </c>
      <c r="V157">
        <v>-1</v>
      </c>
      <c r="W157">
        <v>-0.94799273341095969</v>
      </c>
      <c r="X157">
        <v>-1</v>
      </c>
      <c r="Y157">
        <v>-1</v>
      </c>
      <c r="Z157">
        <v>-1</v>
      </c>
    </row>
    <row r="158" spans="1:26" x14ac:dyDescent="0.25">
      <c r="A158" t="s">
        <v>163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909131</v>
      </c>
      <c r="H158">
        <v>981086</v>
      </c>
      <c r="I158">
        <v>1203662</v>
      </c>
      <c r="J158">
        <v>1182293</v>
      </c>
      <c r="K158">
        <v>1267502</v>
      </c>
      <c r="L158">
        <v>1.0999514921391966E-6</v>
      </c>
      <c r="M158">
        <v>0</v>
      </c>
      <c r="N158">
        <v>0</v>
      </c>
      <c r="O158">
        <v>0</v>
      </c>
      <c r="P158">
        <v>0</v>
      </c>
      <c r="Q158">
        <v>6.3670254064114723E-2</v>
      </c>
      <c r="R158">
        <v>0</v>
      </c>
      <c r="S158">
        <v>0</v>
      </c>
      <c r="T158">
        <v>0</v>
      </c>
      <c r="U158">
        <v>0</v>
      </c>
      <c r="V158">
        <v>-0.88028196930234559</v>
      </c>
      <c r="W158">
        <v>-1</v>
      </c>
      <c r="X158">
        <v>-1</v>
      </c>
      <c r="Y158">
        <v>-1</v>
      </c>
      <c r="Z158">
        <v>-1</v>
      </c>
    </row>
    <row r="159" spans="1:26" x14ac:dyDescent="0.25">
      <c r="A159" t="s">
        <v>164</v>
      </c>
      <c r="B159">
        <v>0</v>
      </c>
      <c r="C159">
        <v>3</v>
      </c>
      <c r="D159">
        <v>0</v>
      </c>
      <c r="E159">
        <v>0</v>
      </c>
      <c r="F159">
        <v>0</v>
      </c>
      <c r="G159">
        <v>19296193</v>
      </c>
      <c r="H159">
        <v>28702890</v>
      </c>
      <c r="I159">
        <v>29941602</v>
      </c>
      <c r="J159">
        <v>24407102</v>
      </c>
      <c r="K159">
        <v>28710505</v>
      </c>
      <c r="L159">
        <v>0</v>
      </c>
      <c r="M159">
        <v>1.0451909197993652E-7</v>
      </c>
      <c r="N159">
        <v>0</v>
      </c>
      <c r="O159">
        <v>0</v>
      </c>
      <c r="P159">
        <v>0</v>
      </c>
      <c r="Q159">
        <v>0</v>
      </c>
      <c r="R159">
        <v>9.9943487132166404E-3</v>
      </c>
      <c r="S159">
        <v>0</v>
      </c>
      <c r="T159">
        <v>0</v>
      </c>
      <c r="U159">
        <v>0</v>
      </c>
      <c r="V159">
        <v>-1</v>
      </c>
      <c r="W159">
        <v>-0.98020909973219172</v>
      </c>
      <c r="X159">
        <v>-1</v>
      </c>
      <c r="Y159">
        <v>-1</v>
      </c>
      <c r="Z159">
        <v>-1</v>
      </c>
    </row>
    <row r="160" spans="1:26" x14ac:dyDescent="0.25">
      <c r="A160" t="s">
        <v>165</v>
      </c>
      <c r="B160">
        <v>3</v>
      </c>
      <c r="C160">
        <v>1</v>
      </c>
      <c r="D160">
        <v>4</v>
      </c>
      <c r="E160">
        <v>0</v>
      </c>
      <c r="F160">
        <v>0</v>
      </c>
      <c r="G160">
        <v>45841651</v>
      </c>
      <c r="H160">
        <v>73106624</v>
      </c>
      <c r="I160">
        <v>71104684</v>
      </c>
      <c r="J160">
        <v>50362541</v>
      </c>
      <c r="K160">
        <v>56522668</v>
      </c>
      <c r="L160">
        <v>6.5442669156920202E-8</v>
      </c>
      <c r="M160">
        <v>1.3678651061769725E-8</v>
      </c>
      <c r="N160">
        <v>5.6255084404847368E-8</v>
      </c>
      <c r="O160">
        <v>0</v>
      </c>
      <c r="P160">
        <v>0</v>
      </c>
      <c r="Q160">
        <v>3.7881228414458294E-3</v>
      </c>
      <c r="R160">
        <v>1.3079831258386782E-3</v>
      </c>
      <c r="S160">
        <v>6.1821798789876148E-3</v>
      </c>
      <c r="T160">
        <v>0</v>
      </c>
      <c r="U160">
        <v>0</v>
      </c>
      <c r="V160">
        <v>-0.9924523457585398</v>
      </c>
      <c r="W160">
        <v>-0.99738745091843672</v>
      </c>
      <c r="X160">
        <v>-0.98771160928385526</v>
      </c>
      <c r="Y160">
        <v>-1</v>
      </c>
      <c r="Z160">
        <v>-1</v>
      </c>
    </row>
    <row r="161" spans="1:26" x14ac:dyDescent="0.25">
      <c r="A161" t="s">
        <v>166</v>
      </c>
      <c r="B161">
        <v>81</v>
      </c>
      <c r="C161">
        <v>0</v>
      </c>
      <c r="D161">
        <v>0</v>
      </c>
      <c r="E161">
        <v>0</v>
      </c>
      <c r="G161">
        <v>3026110</v>
      </c>
      <c r="H161">
        <v>2784744</v>
      </c>
      <c r="I161">
        <v>3787226</v>
      </c>
      <c r="J161">
        <v>3136148</v>
      </c>
      <c r="K161">
        <v>875787</v>
      </c>
      <c r="L161">
        <v>2.6767037549857737E-5</v>
      </c>
      <c r="M161">
        <v>0</v>
      </c>
      <c r="N161">
        <v>0</v>
      </c>
      <c r="O161">
        <v>0</v>
      </c>
      <c r="P161">
        <v>0</v>
      </c>
      <c r="Q161">
        <v>1.5493993085355711</v>
      </c>
      <c r="R161">
        <v>0</v>
      </c>
      <c r="S161">
        <v>0</v>
      </c>
      <c r="T161">
        <v>0</v>
      </c>
      <c r="U161">
        <v>0</v>
      </c>
      <c r="V161">
        <v>0.21550147389471039</v>
      </c>
      <c r="W161">
        <v>-1</v>
      </c>
      <c r="X161">
        <v>-1</v>
      </c>
      <c r="Y161">
        <v>-1</v>
      </c>
      <c r="Z161">
        <v>-1</v>
      </c>
    </row>
    <row r="162" spans="1:26" x14ac:dyDescent="0.25">
      <c r="A162" t="s">
        <v>167</v>
      </c>
      <c r="B162">
        <v>55</v>
      </c>
      <c r="G162">
        <v>532953</v>
      </c>
      <c r="H162">
        <v>1513366</v>
      </c>
      <c r="I162">
        <v>1346174</v>
      </c>
      <c r="J162">
        <v>1132883</v>
      </c>
      <c r="K162">
        <v>1632543</v>
      </c>
      <c r="L162">
        <v>1.0319859349698754E-4</v>
      </c>
      <c r="M162">
        <v>0</v>
      </c>
      <c r="N162">
        <v>0</v>
      </c>
      <c r="O162">
        <v>0</v>
      </c>
      <c r="P162">
        <v>0</v>
      </c>
      <c r="Q162">
        <v>5.9736094854817363</v>
      </c>
      <c r="R162">
        <v>0</v>
      </c>
      <c r="S162">
        <v>0</v>
      </c>
      <c r="T162">
        <v>0</v>
      </c>
      <c r="U162">
        <v>0</v>
      </c>
      <c r="V162">
        <v>0.71320447407274912</v>
      </c>
      <c r="W162">
        <v>-1</v>
      </c>
      <c r="X162">
        <v>-1</v>
      </c>
      <c r="Y162">
        <v>-1</v>
      </c>
      <c r="Z162">
        <v>-1</v>
      </c>
    </row>
    <row r="163" spans="1:26" x14ac:dyDescent="0.25">
      <c r="A163" t="s">
        <v>168</v>
      </c>
      <c r="B163">
        <v>0</v>
      </c>
      <c r="C163">
        <v>0</v>
      </c>
      <c r="D163">
        <v>0</v>
      </c>
      <c r="E163">
        <v>1</v>
      </c>
      <c r="G163">
        <v>321194</v>
      </c>
      <c r="H163">
        <v>372388</v>
      </c>
      <c r="I163">
        <v>437951</v>
      </c>
      <c r="J163">
        <v>456433</v>
      </c>
      <c r="K163">
        <v>490724</v>
      </c>
      <c r="L163">
        <v>0</v>
      </c>
      <c r="M163">
        <v>0</v>
      </c>
      <c r="N163">
        <v>0</v>
      </c>
      <c r="O163">
        <v>2.1909020601052069E-6</v>
      </c>
      <c r="P163">
        <v>0</v>
      </c>
      <c r="Q163">
        <v>0</v>
      </c>
      <c r="R163">
        <v>0</v>
      </c>
      <c r="S163">
        <v>0</v>
      </c>
      <c r="T163">
        <v>0.24613885511493672</v>
      </c>
      <c r="U163">
        <v>0</v>
      </c>
      <c r="V163">
        <v>-1</v>
      </c>
      <c r="W163">
        <v>-1</v>
      </c>
      <c r="X163">
        <v>-1</v>
      </c>
      <c r="Y163">
        <v>-0.60495757899751179</v>
      </c>
      <c r="Z163">
        <v>-1</v>
      </c>
    </row>
    <row r="164" spans="1:26" x14ac:dyDescent="0.25">
      <c r="A164" t="s">
        <v>169</v>
      </c>
      <c r="B164">
        <v>0</v>
      </c>
      <c r="C164">
        <v>1</v>
      </c>
      <c r="D164">
        <v>1</v>
      </c>
      <c r="E164">
        <v>1</v>
      </c>
      <c r="G164">
        <v>30657</v>
      </c>
      <c r="H164">
        <v>36493</v>
      </c>
      <c r="I164">
        <v>39237</v>
      </c>
      <c r="J164">
        <v>47525</v>
      </c>
      <c r="K164">
        <v>24948</v>
      </c>
      <c r="L164">
        <v>0</v>
      </c>
      <c r="M164">
        <v>2.7402515550927574E-5</v>
      </c>
      <c r="N164">
        <v>2.5486148278410685E-5</v>
      </c>
      <c r="O164">
        <v>2.1041557075223567E-5</v>
      </c>
      <c r="P164">
        <v>0</v>
      </c>
      <c r="Q164">
        <v>0</v>
      </c>
      <c r="R164">
        <v>2.6202896604563319</v>
      </c>
      <c r="S164">
        <v>2.8008126686964636</v>
      </c>
      <c r="T164">
        <v>2.3639325840436807</v>
      </c>
      <c r="U164">
        <v>0</v>
      </c>
      <c r="V164">
        <v>-1</v>
      </c>
      <c r="W164">
        <v>0.44755801673949397</v>
      </c>
      <c r="X164">
        <v>0.47379674445098996</v>
      </c>
      <c r="Y164">
        <v>0.40545776408043793</v>
      </c>
      <c r="Z164">
        <v>-1</v>
      </c>
    </row>
    <row r="165" spans="1:26" x14ac:dyDescent="0.25">
      <c r="A165" t="s">
        <v>170</v>
      </c>
      <c r="B165">
        <v>0</v>
      </c>
      <c r="C165">
        <v>1</v>
      </c>
      <c r="D165">
        <v>0</v>
      </c>
      <c r="E165">
        <v>0</v>
      </c>
      <c r="G165">
        <v>5339900</v>
      </c>
      <c r="H165">
        <v>5765412</v>
      </c>
      <c r="I165">
        <v>6453532</v>
      </c>
      <c r="J165">
        <v>6416647</v>
      </c>
      <c r="K165">
        <v>4699356</v>
      </c>
      <c r="L165">
        <v>0</v>
      </c>
      <c r="M165">
        <v>1.7344814212757041E-7</v>
      </c>
      <c r="N165">
        <v>0</v>
      </c>
      <c r="O165">
        <v>0</v>
      </c>
      <c r="P165">
        <v>0</v>
      </c>
      <c r="Q165">
        <v>0</v>
      </c>
      <c r="R165">
        <v>1.6585498240027412E-2</v>
      </c>
      <c r="S165">
        <v>0</v>
      </c>
      <c r="T165">
        <v>0</v>
      </c>
      <c r="U165">
        <v>0</v>
      </c>
      <c r="V165">
        <v>-1</v>
      </c>
      <c r="W165">
        <v>-0.96737018525497132</v>
      </c>
      <c r="X165">
        <v>-1</v>
      </c>
      <c r="Y165">
        <v>-1</v>
      </c>
      <c r="Z165">
        <v>-1</v>
      </c>
    </row>
    <row r="166" spans="1:26" x14ac:dyDescent="0.25">
      <c r="A166" t="s">
        <v>171</v>
      </c>
      <c r="B166">
        <v>1</v>
      </c>
      <c r="C166">
        <v>0</v>
      </c>
      <c r="D166">
        <v>1</v>
      </c>
      <c r="E166">
        <v>0</v>
      </c>
      <c r="G166">
        <v>2730273</v>
      </c>
      <c r="H166">
        <v>3308449</v>
      </c>
      <c r="I166">
        <v>3095448</v>
      </c>
      <c r="J166">
        <v>3329919</v>
      </c>
      <c r="K166">
        <v>1423048</v>
      </c>
      <c r="L166">
        <v>3.6626373992637369E-7</v>
      </c>
      <c r="M166">
        <v>0</v>
      </c>
      <c r="N166">
        <v>3.2305501497683048E-7</v>
      </c>
      <c r="O166">
        <v>0</v>
      </c>
      <c r="P166">
        <v>0</v>
      </c>
      <c r="Q166">
        <v>2.1201030720211015E-2</v>
      </c>
      <c r="R166">
        <v>0</v>
      </c>
      <c r="S166">
        <v>3.55022880958243E-2</v>
      </c>
      <c r="T166">
        <v>0</v>
      </c>
      <c r="U166">
        <v>0</v>
      </c>
      <c r="V166">
        <v>-0.95847824261348646</v>
      </c>
      <c r="W166">
        <v>-1</v>
      </c>
      <c r="X166">
        <v>-0.93142982202171831</v>
      </c>
      <c r="Y166">
        <v>-1</v>
      </c>
      <c r="Z166">
        <v>-1</v>
      </c>
    </row>
    <row r="167" spans="1:26" x14ac:dyDescent="0.25">
      <c r="A167" t="s">
        <v>172</v>
      </c>
      <c r="B167">
        <v>4</v>
      </c>
      <c r="C167">
        <v>3</v>
      </c>
      <c r="G167">
        <v>5605920</v>
      </c>
      <c r="H167">
        <v>6984923</v>
      </c>
      <c r="I167">
        <v>8635104</v>
      </c>
      <c r="J167">
        <v>9019715</v>
      </c>
      <c r="K167">
        <v>8122516</v>
      </c>
      <c r="L167">
        <v>7.135314096526529E-7</v>
      </c>
      <c r="M167">
        <v>4.294965026815614E-7</v>
      </c>
      <c r="N167">
        <v>0</v>
      </c>
      <c r="O167">
        <v>0</v>
      </c>
      <c r="P167">
        <v>0</v>
      </c>
      <c r="Q167">
        <v>4.1302481482120817E-2</v>
      </c>
      <c r="R167">
        <v>4.1069413612304498E-2</v>
      </c>
      <c r="S167">
        <v>0</v>
      </c>
      <c r="T167">
        <v>0</v>
      </c>
      <c r="U167">
        <v>0</v>
      </c>
      <c r="V167">
        <v>-0.92067150090080729</v>
      </c>
      <c r="W167">
        <v>-0.92110148838240913</v>
      </c>
      <c r="X167">
        <v>-1</v>
      </c>
      <c r="Y167">
        <v>-1</v>
      </c>
      <c r="Z167">
        <v>-1</v>
      </c>
    </row>
    <row r="168" spans="1:26" x14ac:dyDescent="0.25">
      <c r="A168" t="s">
        <v>173</v>
      </c>
      <c r="B168">
        <v>103</v>
      </c>
      <c r="C168">
        <v>146</v>
      </c>
      <c r="G168">
        <v>32767433</v>
      </c>
      <c r="H168">
        <v>41810690</v>
      </c>
      <c r="I168">
        <v>12670093</v>
      </c>
      <c r="J168">
        <v>18041351</v>
      </c>
      <c r="K168">
        <v>16777544</v>
      </c>
      <c r="L168">
        <v>3.143364937985835E-6</v>
      </c>
      <c r="M168">
        <v>3.4919299346650343E-6</v>
      </c>
      <c r="N168">
        <v>0</v>
      </c>
      <c r="O168">
        <v>0</v>
      </c>
      <c r="P168">
        <v>0</v>
      </c>
      <c r="Q168">
        <v>0.18195242758256214</v>
      </c>
      <c r="R168">
        <v>0.33390612937836728</v>
      </c>
      <c r="S168">
        <v>0</v>
      </c>
      <c r="T168">
        <v>0</v>
      </c>
      <c r="U168">
        <v>0</v>
      </c>
      <c r="V168">
        <v>-0.69211548056175498</v>
      </c>
      <c r="W168">
        <v>-0.49935588116087948</v>
      </c>
      <c r="X168">
        <v>-1</v>
      </c>
      <c r="Y168">
        <v>-1</v>
      </c>
      <c r="Z168">
        <v>-1</v>
      </c>
    </row>
    <row r="169" spans="1:26" x14ac:dyDescent="0.25">
      <c r="A169" t="s">
        <v>174</v>
      </c>
      <c r="B169">
        <v>61</v>
      </c>
      <c r="C169">
        <v>61</v>
      </c>
      <c r="D169">
        <v>66</v>
      </c>
      <c r="E169">
        <v>72</v>
      </c>
      <c r="G169">
        <v>903957</v>
      </c>
      <c r="H169">
        <v>1055227</v>
      </c>
      <c r="I169">
        <v>1192258</v>
      </c>
      <c r="J169">
        <v>1180035</v>
      </c>
      <c r="K169">
        <v>3161567</v>
      </c>
      <c r="L169">
        <v>6.7481085936609811E-5</v>
      </c>
      <c r="M169">
        <v>5.780746701894474E-5</v>
      </c>
      <c r="N169">
        <v>5.535714585265941E-5</v>
      </c>
      <c r="O169">
        <v>6.1015139381459022E-5</v>
      </c>
      <c r="P169">
        <v>0</v>
      </c>
      <c r="Q169">
        <v>3.9061157849337116</v>
      </c>
      <c r="R169">
        <v>5.5276789404753757</v>
      </c>
      <c r="S169">
        <v>6.0835004847847092</v>
      </c>
      <c r="T169">
        <v>6.8548005068329889</v>
      </c>
      <c r="U169">
        <v>0</v>
      </c>
      <c r="V169">
        <v>0.59234553612822594</v>
      </c>
      <c r="W169">
        <v>0.69361238225139321</v>
      </c>
      <c r="X169">
        <v>0.71765372158920848</v>
      </c>
      <c r="Y169">
        <v>0.74537863841861096</v>
      </c>
      <c r="Z169">
        <v>-1</v>
      </c>
    </row>
    <row r="170" spans="1:26" x14ac:dyDescent="0.25">
      <c r="A170" t="s">
        <v>175</v>
      </c>
      <c r="B170">
        <v>2</v>
      </c>
      <c r="C170">
        <v>3</v>
      </c>
      <c r="G170">
        <v>8795009</v>
      </c>
      <c r="H170">
        <v>7325522</v>
      </c>
      <c r="I170">
        <v>7501550</v>
      </c>
      <c r="J170">
        <v>8711906</v>
      </c>
      <c r="K170">
        <v>6159337</v>
      </c>
      <c r="L170">
        <v>2.2740170021429199E-7</v>
      </c>
      <c r="M170">
        <v>4.095271299437774E-7</v>
      </c>
      <c r="N170">
        <v>0</v>
      </c>
      <c r="O170">
        <v>0</v>
      </c>
      <c r="P170">
        <v>0</v>
      </c>
      <c r="Q170">
        <v>1.316305685362293E-2</v>
      </c>
      <c r="R170">
        <v>3.9159897647853464E-2</v>
      </c>
      <c r="S170">
        <v>0</v>
      </c>
      <c r="T170">
        <v>0</v>
      </c>
      <c r="U170">
        <v>0</v>
      </c>
      <c r="V170">
        <v>-0.97401591626425699</v>
      </c>
      <c r="W170">
        <v>-0.92463162264730914</v>
      </c>
      <c r="X170">
        <v>-1</v>
      </c>
      <c r="Y170">
        <v>-1</v>
      </c>
      <c r="Z170">
        <v>-1</v>
      </c>
    </row>
    <row r="171" spans="1:26" x14ac:dyDescent="0.25">
      <c r="A171" t="s">
        <v>176</v>
      </c>
      <c r="B171">
        <v>5</v>
      </c>
      <c r="C171">
        <v>3</v>
      </c>
      <c r="D171">
        <v>3</v>
      </c>
      <c r="E171">
        <v>4</v>
      </c>
      <c r="G171">
        <v>4238119</v>
      </c>
      <c r="H171">
        <v>4598229</v>
      </c>
      <c r="I171">
        <v>4326183</v>
      </c>
      <c r="J171">
        <v>3962129</v>
      </c>
      <c r="K171">
        <v>3520958</v>
      </c>
      <c r="L171">
        <v>1.1797686662408489E-6</v>
      </c>
      <c r="M171">
        <v>6.5242509670570992E-7</v>
      </c>
      <c r="N171">
        <v>6.9345194135338242E-7</v>
      </c>
      <c r="O171">
        <v>1.0095582450748071E-6</v>
      </c>
      <c r="P171">
        <v>0</v>
      </c>
      <c r="Q171">
        <v>6.8290439399604733E-2</v>
      </c>
      <c r="R171">
        <v>6.2386343032741251E-2</v>
      </c>
      <c r="S171">
        <v>7.6207238585360215E-2</v>
      </c>
      <c r="T171">
        <v>0.11341972566433443</v>
      </c>
      <c r="U171">
        <v>0</v>
      </c>
      <c r="V171">
        <v>-0.87215005043387828</v>
      </c>
      <c r="W171">
        <v>-0.88255432039035808</v>
      </c>
      <c r="X171">
        <v>-0.85837813414908415</v>
      </c>
      <c r="Y171">
        <v>-0.79626779901593492</v>
      </c>
      <c r="Z171">
        <v>-1</v>
      </c>
    </row>
    <row r="172" spans="1:26" x14ac:dyDescent="0.25">
      <c r="A172" t="s">
        <v>177</v>
      </c>
      <c r="B172">
        <v>14</v>
      </c>
      <c r="C172">
        <v>12</v>
      </c>
      <c r="D172">
        <v>18</v>
      </c>
      <c r="E172">
        <v>28</v>
      </c>
      <c r="G172">
        <v>394552</v>
      </c>
      <c r="H172">
        <v>446676</v>
      </c>
      <c r="I172">
        <v>589270</v>
      </c>
      <c r="J172">
        <v>608759</v>
      </c>
      <c r="K172">
        <v>512167</v>
      </c>
      <c r="L172">
        <v>3.5483282304994017E-5</v>
      </c>
      <c r="M172">
        <v>2.6865110281277706E-5</v>
      </c>
      <c r="N172">
        <v>3.0546269112630884E-5</v>
      </c>
      <c r="O172">
        <v>4.5995213212453534E-5</v>
      </c>
      <c r="P172">
        <v>0</v>
      </c>
      <c r="Q172">
        <v>2.0539356649209166</v>
      </c>
      <c r="R172">
        <v>2.5689017698474848</v>
      </c>
      <c r="S172">
        <v>3.3568971104410146</v>
      </c>
      <c r="T172">
        <v>5.1673734426709519</v>
      </c>
      <c r="U172">
        <v>0</v>
      </c>
      <c r="V172">
        <v>0.34510735672233256</v>
      </c>
      <c r="W172">
        <v>0.43960351699860067</v>
      </c>
      <c r="X172">
        <v>0.54095771616751454</v>
      </c>
      <c r="Y172">
        <v>0.67571284298071554</v>
      </c>
      <c r="Z172">
        <v>-1</v>
      </c>
    </row>
    <row r="173" spans="1:26" x14ac:dyDescent="0.25">
      <c r="A173" t="s">
        <v>178</v>
      </c>
      <c r="B173">
        <v>1</v>
      </c>
      <c r="C173">
        <v>10</v>
      </c>
      <c r="D173">
        <v>0</v>
      </c>
      <c r="E173">
        <v>0</v>
      </c>
      <c r="G173">
        <v>3477811</v>
      </c>
      <c r="H173">
        <v>3650384</v>
      </c>
      <c r="I173">
        <v>4096472</v>
      </c>
      <c r="J173">
        <v>4226842</v>
      </c>
      <c r="K173">
        <v>2715565</v>
      </c>
      <c r="L173">
        <v>2.8753718934122644E-7</v>
      </c>
      <c r="M173">
        <v>2.7394378235276072E-6</v>
      </c>
      <c r="N173">
        <v>0</v>
      </c>
      <c r="O173">
        <v>0</v>
      </c>
      <c r="P173">
        <v>0</v>
      </c>
      <c r="Q173">
        <v>1.6643975692630417E-2</v>
      </c>
      <c r="R173">
        <v>0.261951155218281</v>
      </c>
      <c r="S173">
        <v>0</v>
      </c>
      <c r="T173">
        <v>0</v>
      </c>
      <c r="U173">
        <v>0</v>
      </c>
      <c r="V173">
        <v>-0.96725702194558116</v>
      </c>
      <c r="W173">
        <v>-0.58484739423536403</v>
      </c>
      <c r="X173">
        <v>-1</v>
      </c>
      <c r="Y173">
        <v>-1</v>
      </c>
      <c r="Z173">
        <v>-1</v>
      </c>
    </row>
    <row r="174" spans="1:26" x14ac:dyDescent="0.25">
      <c r="A174" t="s">
        <v>179</v>
      </c>
      <c r="B174">
        <v>29</v>
      </c>
      <c r="C174">
        <v>73</v>
      </c>
      <c r="D174">
        <v>0</v>
      </c>
      <c r="E174">
        <v>25</v>
      </c>
      <c r="G174">
        <v>6063062</v>
      </c>
      <c r="H174">
        <v>7829705</v>
      </c>
      <c r="I174">
        <v>9088634</v>
      </c>
      <c r="J174">
        <v>8270534</v>
      </c>
      <c r="K174">
        <v>1496150</v>
      </c>
      <c r="L174">
        <v>4.7830617598830427E-6</v>
      </c>
      <c r="M174">
        <v>9.3234674869615143E-6</v>
      </c>
      <c r="N174">
        <v>0</v>
      </c>
      <c r="O174">
        <v>3.0227794239162793E-6</v>
      </c>
      <c r="P174">
        <v>0</v>
      </c>
      <c r="Q174">
        <v>0.27686562510482621</v>
      </c>
      <c r="R174">
        <v>0.89153075783435065</v>
      </c>
      <c r="S174">
        <v>0</v>
      </c>
      <c r="T174">
        <v>0.339596862961557</v>
      </c>
      <c r="U174">
        <v>0</v>
      </c>
      <c r="V174">
        <v>-0.56633553341668741</v>
      </c>
      <c r="W174">
        <v>-5.734468853672664E-2</v>
      </c>
      <c r="X174">
        <v>-1</v>
      </c>
      <c r="Y174">
        <v>-0.49298647622870317</v>
      </c>
      <c r="Z174">
        <v>-1</v>
      </c>
    </row>
    <row r="175" spans="1:26" x14ac:dyDescent="0.25">
      <c r="A175" t="s">
        <v>180</v>
      </c>
      <c r="B175">
        <v>1</v>
      </c>
      <c r="C175">
        <v>1</v>
      </c>
      <c r="D175">
        <v>1</v>
      </c>
      <c r="E175">
        <v>4</v>
      </c>
      <c r="G175">
        <v>1912607</v>
      </c>
      <c r="H175">
        <v>2351503</v>
      </c>
      <c r="I175">
        <v>3631494</v>
      </c>
      <c r="J175">
        <v>6336973</v>
      </c>
      <c r="K175">
        <v>4378398</v>
      </c>
      <c r="L175">
        <v>5.2284656492421081E-7</v>
      </c>
      <c r="M175">
        <v>4.252599295004089E-7</v>
      </c>
      <c r="N175">
        <v>2.7536876007505449E-7</v>
      </c>
      <c r="O175">
        <v>6.3121619738635468E-7</v>
      </c>
      <c r="P175">
        <v>0</v>
      </c>
      <c r="Q175">
        <v>3.026476518571912E-2</v>
      </c>
      <c r="R175">
        <v>4.0664303034711385E-2</v>
      </c>
      <c r="S175">
        <v>3.0261783905368735E-2</v>
      </c>
      <c r="T175">
        <v>7.0914549300857638E-2</v>
      </c>
      <c r="U175">
        <v>0</v>
      </c>
      <c r="V175">
        <v>-0.94124856792464717</v>
      </c>
      <c r="W175">
        <v>-0.92184933620548148</v>
      </c>
      <c r="X175">
        <v>-0.9412541853379115</v>
      </c>
      <c r="Y175">
        <v>-0.86756263728575933</v>
      </c>
      <c r="Z175">
        <v>-1</v>
      </c>
    </row>
    <row r="176" spans="1:26" x14ac:dyDescent="0.25">
      <c r="A176" t="s">
        <v>181</v>
      </c>
      <c r="B176">
        <v>3</v>
      </c>
      <c r="C176">
        <v>0</v>
      </c>
      <c r="D176">
        <v>0</v>
      </c>
      <c r="G176">
        <v>7230346</v>
      </c>
      <c r="H176">
        <v>8431207</v>
      </c>
      <c r="I176">
        <v>9833120</v>
      </c>
      <c r="J176">
        <v>4671629</v>
      </c>
      <c r="K176">
        <v>4251894</v>
      </c>
      <c r="L176">
        <v>4.1491790296066054E-7</v>
      </c>
      <c r="M176">
        <v>0</v>
      </c>
      <c r="N176">
        <v>0</v>
      </c>
      <c r="O176">
        <v>0</v>
      </c>
      <c r="P176">
        <v>0</v>
      </c>
      <c r="Q176">
        <v>2.4017357570811693E-2</v>
      </c>
      <c r="R176">
        <v>0</v>
      </c>
      <c r="S176">
        <v>0</v>
      </c>
      <c r="T176">
        <v>0</v>
      </c>
      <c r="U176">
        <v>0</v>
      </c>
      <c r="V176">
        <v>-0.95309189362222124</v>
      </c>
      <c r="W176">
        <v>-1</v>
      </c>
      <c r="X176">
        <v>-1</v>
      </c>
      <c r="Y176">
        <v>-1</v>
      </c>
      <c r="Z176">
        <v>-1</v>
      </c>
    </row>
    <row r="177" spans="1:26" x14ac:dyDescent="0.25">
      <c r="A177" t="s">
        <v>182</v>
      </c>
      <c r="B177">
        <v>1</v>
      </c>
      <c r="C177">
        <v>0</v>
      </c>
      <c r="D177">
        <v>1</v>
      </c>
      <c r="E177">
        <v>2</v>
      </c>
      <c r="G177">
        <v>14134431</v>
      </c>
      <c r="H177">
        <v>15289980</v>
      </c>
      <c r="I177">
        <v>16544493</v>
      </c>
      <c r="J177">
        <v>17036379</v>
      </c>
      <c r="K177">
        <v>7849656</v>
      </c>
      <c r="L177">
        <v>7.0749222236112649E-8</v>
      </c>
      <c r="M177">
        <v>0</v>
      </c>
      <c r="N177">
        <v>6.0443073112001678E-8</v>
      </c>
      <c r="O177">
        <v>1.1739583863448918E-7</v>
      </c>
      <c r="P177">
        <v>0</v>
      </c>
      <c r="Q177">
        <v>4.0952905530871869E-3</v>
      </c>
      <c r="R177">
        <v>0</v>
      </c>
      <c r="S177">
        <v>6.642420936177563E-3</v>
      </c>
      <c r="T177">
        <v>1.318894068471662E-2</v>
      </c>
      <c r="U177">
        <v>0</v>
      </c>
      <c r="V177">
        <v>-0.99184282489596909</v>
      </c>
      <c r="W177">
        <v>-1</v>
      </c>
      <c r="X177">
        <v>-0.98680281935664882</v>
      </c>
      <c r="Y177">
        <v>-0.9739654862876741</v>
      </c>
      <c r="Z177">
        <v>-1</v>
      </c>
    </row>
    <row r="178" spans="1:26" x14ac:dyDescent="0.25">
      <c r="A178" t="s">
        <v>183</v>
      </c>
      <c r="B178">
        <v>0</v>
      </c>
      <c r="C178">
        <v>0</v>
      </c>
      <c r="D178">
        <v>0</v>
      </c>
      <c r="E178">
        <v>5</v>
      </c>
      <c r="G178">
        <v>179967</v>
      </c>
      <c r="H178">
        <v>190371</v>
      </c>
      <c r="I178">
        <v>216719</v>
      </c>
      <c r="J178">
        <v>301309</v>
      </c>
      <c r="K178">
        <v>287257</v>
      </c>
      <c r="L178">
        <v>0</v>
      </c>
      <c r="M178">
        <v>0</v>
      </c>
      <c r="N178">
        <v>0</v>
      </c>
      <c r="O178">
        <v>1.6594260377220728E-5</v>
      </c>
      <c r="P178">
        <v>0</v>
      </c>
      <c r="Q178">
        <v>0</v>
      </c>
      <c r="R178">
        <v>0</v>
      </c>
      <c r="S178">
        <v>0</v>
      </c>
      <c r="T178">
        <v>1.8642970514766557</v>
      </c>
      <c r="U178">
        <v>0</v>
      </c>
      <c r="V178">
        <v>-1</v>
      </c>
      <c r="W178">
        <v>-1</v>
      </c>
      <c r="X178">
        <v>-1</v>
      </c>
      <c r="Y178">
        <v>0.30174839967491407</v>
      </c>
      <c r="Z178">
        <v>-1</v>
      </c>
    </row>
    <row r="179" spans="1:26" x14ac:dyDescent="0.25">
      <c r="A179" t="s">
        <v>184</v>
      </c>
      <c r="B179">
        <v>0</v>
      </c>
      <c r="C179">
        <v>1</v>
      </c>
      <c r="D179">
        <v>0</v>
      </c>
      <c r="E179">
        <v>0</v>
      </c>
      <c r="G179">
        <v>3139016</v>
      </c>
      <c r="H179">
        <v>4217793</v>
      </c>
      <c r="I179">
        <v>5182866</v>
      </c>
      <c r="J179">
        <v>5704363</v>
      </c>
      <c r="K179">
        <v>6465425</v>
      </c>
      <c r="L179">
        <v>0</v>
      </c>
      <c r="M179">
        <v>2.3709081977233117E-7</v>
      </c>
      <c r="N179">
        <v>0</v>
      </c>
      <c r="O179">
        <v>0</v>
      </c>
      <c r="P179">
        <v>0</v>
      </c>
      <c r="Q179">
        <v>0</v>
      </c>
      <c r="R179">
        <v>2.267115303644179E-2</v>
      </c>
      <c r="S179">
        <v>0</v>
      </c>
      <c r="T179">
        <v>0</v>
      </c>
      <c r="U179">
        <v>0</v>
      </c>
      <c r="V179">
        <v>-1</v>
      </c>
      <c r="W179">
        <v>-0.95566286783561216</v>
      </c>
      <c r="X179">
        <v>-1</v>
      </c>
      <c r="Y179">
        <v>-1</v>
      </c>
      <c r="Z179">
        <v>-1</v>
      </c>
    </row>
    <row r="180" spans="1:26" x14ac:dyDescent="0.25">
      <c r="A180" t="s">
        <v>185</v>
      </c>
      <c r="B180">
        <v>1</v>
      </c>
      <c r="C180">
        <v>0</v>
      </c>
      <c r="D180">
        <v>0</v>
      </c>
      <c r="E180">
        <v>0</v>
      </c>
      <c r="G180">
        <v>5643095</v>
      </c>
      <c r="H180">
        <v>7577619</v>
      </c>
      <c r="I180">
        <v>8603710</v>
      </c>
      <c r="J180">
        <v>9201594</v>
      </c>
      <c r="K180">
        <v>6530844</v>
      </c>
      <c r="L180">
        <v>1.772077202315396E-7</v>
      </c>
      <c r="M180">
        <v>0</v>
      </c>
      <c r="N180">
        <v>0</v>
      </c>
      <c r="O180">
        <v>0</v>
      </c>
      <c r="P180">
        <v>0</v>
      </c>
      <c r="Q180">
        <v>1.0257598312196177E-2</v>
      </c>
      <c r="R180">
        <v>0</v>
      </c>
      <c r="S180">
        <v>0</v>
      </c>
      <c r="T180">
        <v>0</v>
      </c>
      <c r="U180">
        <v>0</v>
      </c>
      <c r="V180">
        <v>-0.97969310336426429</v>
      </c>
      <c r="W180">
        <v>-1</v>
      </c>
      <c r="X180">
        <v>-1</v>
      </c>
      <c r="Y180">
        <v>-1</v>
      </c>
      <c r="Z180">
        <v>-1</v>
      </c>
    </row>
    <row r="181" spans="1:26" x14ac:dyDescent="0.25">
      <c r="A181" t="s">
        <v>186</v>
      </c>
      <c r="B181">
        <v>1</v>
      </c>
      <c r="G181">
        <v>4420043</v>
      </c>
      <c r="H181">
        <v>5159980</v>
      </c>
      <c r="I181">
        <v>5824416</v>
      </c>
      <c r="J181">
        <v>5298254</v>
      </c>
      <c r="K181">
        <v>3100163</v>
      </c>
      <c r="L181">
        <v>2.2624214289318E-7</v>
      </c>
      <c r="M181">
        <v>0</v>
      </c>
      <c r="N181">
        <v>0</v>
      </c>
      <c r="O181">
        <v>0</v>
      </c>
      <c r="P181">
        <v>0</v>
      </c>
      <c r="Q181">
        <v>1.3095936339886894E-2</v>
      </c>
      <c r="R181">
        <v>0</v>
      </c>
      <c r="S181">
        <v>0</v>
      </c>
      <c r="T181">
        <v>0</v>
      </c>
      <c r="U181">
        <v>0</v>
      </c>
      <c r="V181">
        <v>-0.97414670048485263</v>
      </c>
      <c r="W181">
        <v>-1</v>
      </c>
      <c r="X181">
        <v>-1</v>
      </c>
      <c r="Y181">
        <v>-1</v>
      </c>
      <c r="Z181">
        <v>-1</v>
      </c>
    </row>
    <row r="182" spans="1:26" x14ac:dyDescent="0.25">
      <c r="A182" t="s">
        <v>187</v>
      </c>
      <c r="B182">
        <v>0</v>
      </c>
      <c r="C182">
        <v>0</v>
      </c>
      <c r="D182">
        <v>1</v>
      </c>
      <c r="E182">
        <v>0</v>
      </c>
      <c r="G182">
        <v>311893</v>
      </c>
      <c r="H182">
        <v>370236</v>
      </c>
      <c r="I182">
        <v>447050</v>
      </c>
      <c r="J182">
        <v>473580</v>
      </c>
      <c r="K182">
        <v>530853</v>
      </c>
      <c r="L182">
        <v>0</v>
      </c>
      <c r="M182">
        <v>0</v>
      </c>
      <c r="N182">
        <v>2.2368862543339669E-6</v>
      </c>
      <c r="O182">
        <v>0</v>
      </c>
      <c r="P182">
        <v>0</v>
      </c>
      <c r="Q182">
        <v>0</v>
      </c>
      <c r="R182">
        <v>0</v>
      </c>
      <c r="S182">
        <v>0.24582370357150907</v>
      </c>
      <c r="T182">
        <v>0</v>
      </c>
      <c r="U182">
        <v>0</v>
      </c>
      <c r="V182">
        <v>-1</v>
      </c>
      <c r="W182">
        <v>-1</v>
      </c>
      <c r="X182">
        <v>-0.6053635793462826</v>
      </c>
      <c r="Y182">
        <v>-1</v>
      </c>
      <c r="Z182">
        <v>-1</v>
      </c>
    </row>
    <row r="183" spans="1:26" x14ac:dyDescent="0.25">
      <c r="A183" t="s">
        <v>6</v>
      </c>
      <c r="B183">
        <v>306484</v>
      </c>
      <c r="C183">
        <v>234978</v>
      </c>
      <c r="D183">
        <v>230584</v>
      </c>
      <c r="E183">
        <v>213424</v>
      </c>
      <c r="F183">
        <v>305720</v>
      </c>
      <c r="G183">
        <v>17740704282</v>
      </c>
      <c r="H183">
        <v>22469120497</v>
      </c>
      <c r="I183">
        <v>25340140901</v>
      </c>
      <c r="J183">
        <v>23977310520</v>
      </c>
      <c r="K183">
        <v>23987203776</v>
      </c>
      <c r="L183">
        <v>1.7275751578304786E-5</v>
      </c>
      <c r="M183">
        <v>1.0457819211542947E-5</v>
      </c>
      <c r="N183">
        <v>9.0995547696777185E-6</v>
      </c>
      <c r="O183">
        <v>8.9010817048049802E-6</v>
      </c>
      <c r="P183">
        <v>1.2745128730089126E-5</v>
      </c>
    </row>
  </sheetData>
  <sortState xmlns:xlrd2="http://schemas.microsoft.com/office/spreadsheetml/2017/richdata2" ref="A2:Z183">
    <sortCondition descending="1" ref="Z2:Z183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IMPOR QUINUA</vt:lpstr>
      <vt:lpstr>IMPO TOTAL</vt:lpstr>
      <vt:lpstr>Hoja2</vt:lpstr>
      <vt:lpstr>IMPORTACIONTOTAL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2015-06-05T18:19:34Z</dcterms:created>
  <dcterms:modified xsi:type="dcterms:W3CDTF">2025-05-08T21:47:57Z</dcterms:modified>
</cp:coreProperties>
</file>