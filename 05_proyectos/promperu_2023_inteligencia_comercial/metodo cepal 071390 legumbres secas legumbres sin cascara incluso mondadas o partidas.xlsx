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IMPORTACION JENGIBRE CANTIDADES" sheetId="2" state="visible" r:id="rId4"/>
  </sheets>
  <definedNames>
    <definedName function="false" hidden="true" localSheetId="1" name="_xlnm._FilterDatabase" vbProcedure="false">'IMPORTACION JENGIBRE CANTIDADES'!$B$5:$R$164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<sst xmlns="http://schemas.openxmlformats.org/spreadsheetml/2006/main" count="732" uniqueCount="239">
  <si>
    <t xml:space="preserve">Lista de los importadores para el producto seleccionado</t>
  </si>
  <si>
    <t xml:space="preserve">Producto: 071390 Legumbres secas, legumbres sin cáscara, incluso mondadas o partidas (exc. guisantes, garbanzos, ...</t>
  </si>
  <si>
    <t xml:space="preserve">Fuentes: Cálculos del ITC basados en estadísticas de UN COMTRADE e del ITC.</t>
  </si>
  <si>
    <t xml:space="preserve">La agregación mundial representa la suma de los países que reportan los datos y de los que no los reportan</t>
  </si>
  <si>
    <t xml:space="preserve">Los datos basados en la información reportada por los socios comerciales (datos espejo) son presentados en naranja.</t>
  </si>
  <si>
    <t xml:space="preserve">Las cantidades presentadas en color verde oscuro fueron estimadas por el ITC. Para mayor información por favor referirse a la nota explicativa de ITC.</t>
  </si>
  <si>
    <t xml:space="preserve">Las cantidades presentadas en color verde claro fueron estimadas por UNSD. Para mayor información por favor referirse a la nota explicativa de UNSD.</t>
  </si>
  <si>
    <t xml:space="preserve">Importadores</t>
  </si>
  <si>
    <t xml:space="preserve">Cantidad importada</t>
  </si>
  <si>
    <t xml:space="preserve">Unidad</t>
  </si>
  <si>
    <t xml:space="preserve">Cantidad importada, Toneladas</t>
  </si>
  <si>
    <t xml:space="preserve">Mundo</t>
  </si>
  <si>
    <t xml:space="preserve">Toneladas</t>
  </si>
  <si>
    <t xml:space="preserve">China</t>
  </si>
  <si>
    <t xml:space="preserve">Pakistán</t>
  </si>
  <si>
    <t xml:space="preserve">Bangladesh</t>
  </si>
  <si>
    <t xml:space="preserve">Arabia Saudita</t>
  </si>
  <si>
    <t xml:space="preserve">Estados Unidos de América</t>
  </si>
  <si>
    <t xml:space="preserve">Países Bajos</t>
  </si>
  <si>
    <t xml:space="preserve">Emiratos Árabes Unidos</t>
  </si>
  <si>
    <t xml:space="preserve">Egipto</t>
  </si>
  <si>
    <t xml:space="preserve">Malasia</t>
  </si>
  <si>
    <t xml:space="preserve">Canadá</t>
  </si>
  <si>
    <t xml:space="preserve">Italia</t>
  </si>
  <si>
    <t xml:space="preserve">Viet Nam</t>
  </si>
  <si>
    <t xml:space="preserve">Marruecos</t>
  </si>
  <si>
    <t xml:space="preserve">Alemania</t>
  </si>
  <si>
    <t xml:space="preserve">México</t>
  </si>
  <si>
    <t xml:space="preserve">Mauricio</t>
  </si>
  <si>
    <t xml:space="preserve">Reino Unido</t>
  </si>
  <si>
    <t xml:space="preserve">Singapur</t>
  </si>
  <si>
    <t xml:space="preserve">India</t>
  </si>
  <si>
    <t xml:space="preserve">Malawi</t>
  </si>
  <si>
    <t xml:space="preserve">España</t>
  </si>
  <si>
    <t xml:space="preserve">Francia</t>
  </si>
  <si>
    <t xml:space="preserve">Sudáfrica</t>
  </si>
  <si>
    <t xml:space="preserve">Corea, República de</t>
  </si>
  <si>
    <t xml:space="preserve">Australia</t>
  </si>
  <si>
    <t xml:space="preserve">Qatar</t>
  </si>
  <si>
    <t xml:space="preserve">Comoras</t>
  </si>
  <si>
    <t xml:space="preserve">Ecuador</t>
  </si>
  <si>
    <t xml:space="preserve">Bélgica</t>
  </si>
  <si>
    <t xml:space="preserve">Nepal</t>
  </si>
  <si>
    <t xml:space="preserve">Sudán</t>
  </si>
  <si>
    <t xml:space="preserve">Madagascar</t>
  </si>
  <si>
    <t xml:space="preserve">Somalia</t>
  </si>
  <si>
    <t xml:space="preserve">Iraq</t>
  </si>
  <si>
    <t xml:space="preserve">Rusia, Federación de</t>
  </si>
  <si>
    <t xml:space="preserve">Brunei Darussalam</t>
  </si>
  <si>
    <t xml:space="preserve">Suecia</t>
  </si>
  <si>
    <t xml:space="preserve">Sri Lanka</t>
  </si>
  <si>
    <t xml:space="preserve">Fiji</t>
  </si>
  <si>
    <t xml:space="preserve">Hong Kong, China</t>
  </si>
  <si>
    <t xml:space="preserve">Djibouti</t>
  </si>
  <si>
    <t xml:space="preserve">Botsuana</t>
  </si>
  <si>
    <t xml:space="preserve">Indonesia</t>
  </si>
  <si>
    <t xml:space="preserve">Tailandia</t>
  </si>
  <si>
    <t xml:space="preserve">Guinea Ecuatorial</t>
  </si>
  <si>
    <t xml:space="preserve">Irlanda</t>
  </si>
  <si>
    <t xml:space="preserve">Austria</t>
  </si>
  <si>
    <t xml:space="preserve">Seychelles</t>
  </si>
  <si>
    <t xml:space="preserve">Polonia</t>
  </si>
  <si>
    <t xml:space="preserve">Chipre</t>
  </si>
  <si>
    <t xml:space="preserve">Kenya</t>
  </si>
  <si>
    <t xml:space="preserve">Micronesia, Estados Federados de</t>
  </si>
  <si>
    <t xml:space="preserve">Grecia</t>
  </si>
  <si>
    <t xml:space="preserve">Congo</t>
  </si>
  <si>
    <t xml:space="preserve">Nigeria</t>
  </si>
  <si>
    <t xml:space="preserve">Eswatini</t>
  </si>
  <si>
    <t xml:space="preserve">Eslovaquia</t>
  </si>
  <si>
    <t xml:space="preserve">Lesoto</t>
  </si>
  <si>
    <t xml:space="preserve">Nueva Zelandia</t>
  </si>
  <si>
    <t xml:space="preserve">Taipei Chino</t>
  </si>
  <si>
    <t xml:space="preserve">Omán</t>
  </si>
  <si>
    <t xml:space="preserve">Croacia</t>
  </si>
  <si>
    <t xml:space="preserve">Dinamarca</t>
  </si>
  <si>
    <t xml:space="preserve">Israel</t>
  </si>
  <si>
    <t xml:space="preserve">Kazajstán</t>
  </si>
  <si>
    <t xml:space="preserve">Rumania</t>
  </si>
  <si>
    <t xml:space="preserve">Santa Lucía</t>
  </si>
  <si>
    <t xml:space="preserve">Filipinas</t>
  </si>
  <si>
    <t xml:space="preserve">Mongolia</t>
  </si>
  <si>
    <t xml:space="preserve">Cuba</t>
  </si>
  <si>
    <t xml:space="preserve">Luxemburgo</t>
  </si>
  <si>
    <t xml:space="preserve">Belice</t>
  </si>
  <si>
    <t xml:space="preserve">Tanzanía, República Unida de</t>
  </si>
  <si>
    <t xml:space="preserve">Suiza</t>
  </si>
  <si>
    <t xml:space="preserve">Camboya</t>
  </si>
  <si>
    <t xml:space="preserve">Guyana</t>
  </si>
  <si>
    <t xml:space="preserve">Côte d'Ivoire</t>
  </si>
  <si>
    <t xml:space="preserve">Macao, China</t>
  </si>
  <si>
    <t xml:space="preserve">Angola</t>
  </si>
  <si>
    <t xml:space="preserve">Senegal</t>
  </si>
  <si>
    <t xml:space="preserve">Serbia</t>
  </si>
  <si>
    <t xml:space="preserve">Namibia</t>
  </si>
  <si>
    <t xml:space="preserve">Noruega</t>
  </si>
  <si>
    <t xml:space="preserve">Zambia</t>
  </si>
  <si>
    <t xml:space="preserve">Ghana</t>
  </si>
  <si>
    <t xml:space="preserve">Mozambique</t>
  </si>
  <si>
    <t xml:space="preserve">Trinidad y Tobago</t>
  </si>
  <si>
    <t xml:space="preserve">Azerbaiyán</t>
  </si>
  <si>
    <t xml:space="preserve">Camerún</t>
  </si>
  <si>
    <t xml:space="preserve">Panamá</t>
  </si>
  <si>
    <t xml:space="preserve">Malta</t>
  </si>
  <si>
    <t xml:space="preserve">Jamaica</t>
  </si>
  <si>
    <t xml:space="preserve">Kuwait</t>
  </si>
  <si>
    <t xml:space="preserve">Armenia</t>
  </si>
  <si>
    <t xml:space="preserve">Congo, República Democrática del</t>
  </si>
  <si>
    <t xml:space="preserve">República Checa</t>
  </si>
  <si>
    <t xml:space="preserve">No hay cantidades</t>
  </si>
  <si>
    <t xml:space="preserve">Albania</t>
  </si>
  <si>
    <t xml:space="preserve">Mauritania</t>
  </si>
  <si>
    <t xml:space="preserve">Macedonia del Norte</t>
  </si>
  <si>
    <t xml:space="preserve">Aruba</t>
  </si>
  <si>
    <t xml:space="preserve">Japón</t>
  </si>
  <si>
    <t xml:space="preserve">Rancho de naves y aeronaves</t>
  </si>
  <si>
    <t xml:space="preserve">Eslovenia</t>
  </si>
  <si>
    <t xml:space="preserve">Islandia</t>
  </si>
  <si>
    <t xml:space="preserve">Bhután</t>
  </si>
  <si>
    <t xml:space="preserve">Finlandia</t>
  </si>
  <si>
    <t xml:space="preserve">Maldivas</t>
  </si>
  <si>
    <t xml:space="preserve">República Dominicana</t>
  </si>
  <si>
    <t xml:space="preserve">Bahamas</t>
  </si>
  <si>
    <t xml:space="preserve">Guinea-Bissau</t>
  </si>
  <si>
    <t xml:space="preserve">Islas Turks y Caicos</t>
  </si>
  <si>
    <t xml:space="preserve">Papua Nueva Guinea</t>
  </si>
  <si>
    <t xml:space="preserve">Mixto</t>
  </si>
  <si>
    <t xml:space="preserve">Barbados</t>
  </si>
  <si>
    <t xml:space="preserve">Guinea</t>
  </si>
  <si>
    <t xml:space="preserve">Montenegro</t>
  </si>
  <si>
    <t xml:space="preserve">Bahrein</t>
  </si>
  <si>
    <t xml:space="preserve">Moldova, República de</t>
  </si>
  <si>
    <t xml:space="preserve">Vanuatu</t>
  </si>
  <si>
    <t xml:space="preserve">Letonia</t>
  </si>
  <si>
    <t xml:space="preserve">Sudán del Sur</t>
  </si>
  <si>
    <t xml:space="preserve">Uganda</t>
  </si>
  <si>
    <t xml:space="preserve">Ucrania</t>
  </si>
  <si>
    <t xml:space="preserve">Curaçao</t>
  </si>
  <si>
    <t xml:space="preserve">Lituania</t>
  </si>
  <si>
    <t xml:space="preserve">Liberia</t>
  </si>
  <si>
    <t xml:space="preserve">Granada</t>
  </si>
  <si>
    <t xml:space="preserve">Polinesia Francesa</t>
  </si>
  <si>
    <t xml:space="preserve">Bosnia y Herzegovina</t>
  </si>
  <si>
    <t xml:space="preserve">El Salvador</t>
  </si>
  <si>
    <t xml:space="preserve">Estonia</t>
  </si>
  <si>
    <t xml:space="preserve">Gibraltar</t>
  </si>
  <si>
    <t xml:space="preserve">Gabón</t>
  </si>
  <si>
    <t xml:space="preserve">Andorra</t>
  </si>
  <si>
    <t xml:space="preserve">Chad</t>
  </si>
  <si>
    <t xml:space="preserve">Colombia</t>
  </si>
  <si>
    <t xml:space="preserve">Islas Marshall</t>
  </si>
  <si>
    <t xml:space="preserve">Tayikistán</t>
  </si>
  <si>
    <t xml:space="preserve">Samoa</t>
  </si>
  <si>
    <t xml:space="preserve">Suriname</t>
  </si>
  <si>
    <t xml:space="preserve">Sierra Leona</t>
  </si>
  <si>
    <t xml:space="preserve">Paraguay</t>
  </si>
  <si>
    <t xml:space="preserve">Timor-Leste</t>
  </si>
  <si>
    <t xml:space="preserve">San Pedro y Miquelón</t>
  </si>
  <si>
    <t xml:space="preserve">Ruanda</t>
  </si>
  <si>
    <t xml:space="preserve">San Vicente y las Granadinas</t>
  </si>
  <si>
    <t xml:space="preserve">Portugal</t>
  </si>
  <si>
    <t xml:space="preserve">Yemen</t>
  </si>
  <si>
    <t xml:space="preserve">Burkina Faso</t>
  </si>
  <si>
    <t xml:space="preserve">Uzbekistán</t>
  </si>
  <si>
    <t xml:space="preserve">Togo</t>
  </si>
  <si>
    <t xml:space="preserve">Türkiye</t>
  </si>
  <si>
    <t xml:space="preserve">Groenlandia</t>
  </si>
  <si>
    <t xml:space="preserve">Guatemala</t>
  </si>
  <si>
    <t xml:space="preserve">Honduras</t>
  </si>
  <si>
    <t xml:space="preserve">Hungría</t>
  </si>
  <si>
    <t xml:space="preserve">Chile</t>
  </si>
  <si>
    <t xml:space="preserve">Costa Rica</t>
  </si>
  <si>
    <t xml:space="preserve">Benin</t>
  </si>
  <si>
    <t xml:space="preserve">Georgia</t>
  </si>
  <si>
    <t xml:space="preserve">Gambia</t>
  </si>
  <si>
    <t xml:space="preserve">Brasil</t>
  </si>
  <si>
    <t xml:space="preserve">Bulgaria</t>
  </si>
  <si>
    <t xml:space="preserve">Burundi</t>
  </si>
  <si>
    <t xml:space="preserve">Cabo Verde</t>
  </si>
  <si>
    <t xml:space="preserve">Argentina</t>
  </si>
  <si>
    <t xml:space="preserve">Antigua y Barbuda</t>
  </si>
  <si>
    <t xml:space="preserve">Argelia</t>
  </si>
  <si>
    <t xml:space="preserve">Samoa Americana</t>
  </si>
  <si>
    <t xml:space="preserve">Afganistán</t>
  </si>
  <si>
    <t xml:space="preserve">Bermudas</t>
  </si>
  <si>
    <t xml:space="preserve">Islas Caimanes</t>
  </si>
  <si>
    <t xml:space="preserve">República Centroafricana</t>
  </si>
  <si>
    <t xml:space="preserve">Islas Salomon</t>
  </si>
  <si>
    <t xml:space="preserve">Belarús</t>
  </si>
  <si>
    <t xml:space="preserve">Palestina, Estado de</t>
  </si>
  <si>
    <t xml:space="preserve">Kiribati</t>
  </si>
  <si>
    <t xml:space="preserve">Islas Feroe</t>
  </si>
  <si>
    <t xml:space="preserve">Etiopía</t>
  </si>
  <si>
    <t xml:space="preserve">Eritrea</t>
  </si>
  <si>
    <t xml:space="preserve">Dominica</t>
  </si>
  <si>
    <t xml:space="preserve">Islas Cook</t>
  </si>
  <si>
    <t xml:space="preserve">Haití</t>
  </si>
  <si>
    <t xml:space="preserve">Libia Estado de</t>
  </si>
  <si>
    <t xml:space="preserve">Kirguistán</t>
  </si>
  <si>
    <t xml:space="preserve">Lao, República Democrática Popular</t>
  </si>
  <si>
    <t xml:space="preserve">Líbano</t>
  </si>
  <si>
    <t xml:space="preserve">Jordania</t>
  </si>
  <si>
    <t xml:space="preserve">Níger</t>
  </si>
  <si>
    <t xml:space="preserve">Bonaire, San Estaquio y Saba</t>
  </si>
  <si>
    <t xml:space="preserve">Nueva Caledonia</t>
  </si>
  <si>
    <t xml:space="preserve">Nauru</t>
  </si>
  <si>
    <t xml:space="preserve">Malí</t>
  </si>
  <si>
    <t xml:space="preserve">Montserrat</t>
  </si>
  <si>
    <t xml:space="preserve">Turkmenistán</t>
  </si>
  <si>
    <t xml:space="preserve">Túnez</t>
  </si>
  <si>
    <t xml:space="preserve">Tuvalu</t>
  </si>
  <si>
    <t xml:space="preserve">República Árabe Siria</t>
  </si>
  <si>
    <t xml:space="preserve">Venezuela, República Bolivariana de</t>
  </si>
  <si>
    <t xml:space="preserve">Estados Unidos Minor periferico Islas</t>
  </si>
  <si>
    <t xml:space="preserve">Zona franca</t>
  </si>
  <si>
    <t xml:space="preserve">Sao Tomé y Príncipe</t>
  </si>
  <si>
    <t xml:space="preserve">Zimbabwe</t>
  </si>
  <si>
    <t xml:space="preserve">Min</t>
  </si>
  <si>
    <t xml:space="preserve">MÁX</t>
  </si>
  <si>
    <t xml:space="preserve">Media</t>
  </si>
  <si>
    <t xml:space="preserve">des. Estandar</t>
  </si>
  <si>
    <t xml:space="preserve">Par2017</t>
  </si>
  <si>
    <t xml:space="preserve">Par2018</t>
  </si>
  <si>
    <t xml:space="preserve">Par2019</t>
  </si>
  <si>
    <t xml:space="preserve">Par2020</t>
  </si>
  <si>
    <t xml:space="preserve">Par2021</t>
  </si>
  <si>
    <t xml:space="preserve">PPP</t>
  </si>
  <si>
    <t xml:space="preserve">TCP</t>
  </si>
  <si>
    <t xml:space="preserve">VARICION ANUAL</t>
  </si>
  <si>
    <t xml:space="preserve">INDICE DE PART PROM</t>
  </si>
  <si>
    <t xml:space="preserve">ITCP</t>
  </si>
  <si>
    <t xml:space="preserve">SEGMENTOS</t>
  </si>
  <si>
    <t xml:space="preserve">segmento</t>
  </si>
  <si>
    <t xml:space="preserve">cant. Mercados</t>
  </si>
  <si>
    <t xml:space="preserve">-</t>
  </si>
  <si>
    <t xml:space="preserve">Consolidado</t>
  </si>
  <si>
    <t xml:space="preserve">Estrella</t>
  </si>
  <si>
    <t xml:space="preserve">estancado</t>
  </si>
  <si>
    <t xml:space="preserve">prometedor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</si>
</sst>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8"/>
      <color theme="1"/>
      <name val="Times New Roman"/>
      <family val="1"/>
      <charset val="1"/>
    </font>
    <font>
      <b val="true"/>
      <sz val="8"/>
      <color theme="1"/>
      <name val="Times New Roman"/>
      <family val="1"/>
      <charset val="1"/>
    </font>
    <font>
      <b val="true"/>
      <sz val="8"/>
      <color theme="0"/>
      <name val="Times New Roman"/>
      <family val="1"/>
      <charset val="1"/>
    </font>
    <font>
      <b val="true"/>
      <i val="true"/>
      <sz val="8"/>
      <color theme="1"/>
      <name val="Times New Roman"/>
      <family val="1"/>
      <charset val="1"/>
    </font>
    <font>
      <sz val="8"/>
      <color rgb="FF8A2BE2"/>
      <name val="Calibri"/>
      <family val="2"/>
      <charset val="1"/>
    </font>
    <font>
      <b val="true"/>
      <sz val="8"/>
      <color theme="1" tint="0.0499"/>
      <name val="Times New Roman"/>
      <family val="1"/>
      <charset val="1"/>
    </font>
    <font>
      <b val="true"/>
      <i val="true"/>
      <sz val="8"/>
      <color theme="1" tint="0.0499"/>
      <name val="Times New Roman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5D7B9D"/>
        <bgColor rgb="FF808080"/>
      </patternFill>
    </fill>
    <fill>
      <patternFill patternType="solid">
        <fgColor rgb="FFFFFF00"/>
        <bgColor rgb="FFFFEB3B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8BC34A"/>
      </patternFill>
    </fill>
    <fill>
      <patternFill patternType="solid">
        <fgColor rgb="FFF7F6F3"/>
        <bgColor rgb="FFFFFFFF"/>
      </patternFill>
    </fill>
    <fill>
      <patternFill patternType="solid">
        <fgColor theme="8" tint="-0.5"/>
        <bgColor rgb="FF002B54"/>
      </patternFill>
    </fill>
    <fill>
      <patternFill patternType="solid">
        <fgColor rgb="FF8BC34A"/>
        <bgColor rgb="FF92D050"/>
      </patternFill>
    </fill>
    <fill>
      <patternFill patternType="solid">
        <fgColor rgb="FFFFEB3B"/>
        <bgColor rgb="FFFFFF00"/>
      </patternFill>
    </fill>
    <fill>
      <patternFill patternType="solid">
        <fgColor rgb="FFFFC107"/>
        <bgColor rgb="FFFF9900"/>
      </patternFill>
    </fill>
    <fill>
      <patternFill patternType="solid">
        <fgColor rgb="FFF44336"/>
        <bgColor rgb="FFFF8080"/>
      </patternFill>
    </fill>
    <fill>
      <patternFill patternType="solid">
        <fgColor rgb="FF673AB7"/>
        <bgColor rgb="FF8A2BE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1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7" fillId="7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7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2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9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1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7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2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1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1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5D7B9D"/>
          <bgColor rgb="FF000000"/>
        </patternFill>
      </fill>
    </dxf>
    <dxf>
      <fill>
        <patternFill patternType="solid">
          <fgColor rgb="FF673AB7"/>
          <bgColor rgb="FF000000"/>
        </patternFill>
      </fill>
    </dxf>
    <dxf>
      <fill>
        <patternFill patternType="solid">
          <fgColor rgb="FF8BC34A"/>
          <bgColor rgb="FF000000"/>
        </patternFill>
      </fill>
    </dxf>
    <dxf>
      <fill>
        <patternFill patternType="solid">
          <fgColor rgb="FFFFC107"/>
          <bgColor rgb="FF000000"/>
        </patternFill>
      </fill>
    </dxf>
    <dxf>
      <fill>
        <patternFill patternType="solid">
          <fgColor rgb="FFFFEB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44336"/>
          <bgColor rgb="FF000000"/>
        </patternFill>
      </fill>
    </dxf>
    <dxf>
      <fill>
        <patternFill patternType="solid">
          <fgColor rgb="FFF7F6F3"/>
          <bgColor rgb="FF000000"/>
        </patternFill>
      </fill>
    </dxf>
    <dxf>
      <fill>
        <patternFill patternType="solid">
          <fgColor rgb="FF8A2BE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8A2BE2"/>
      <rgbColor rgb="FFF7F6F3"/>
      <rgbColor rgb="FFCCFFFF"/>
      <rgbColor rgb="FF660066"/>
      <rgbColor rgb="FFFF8080"/>
      <rgbColor rgb="FF0066CC"/>
      <rgbColor rgb="FFCCCCFF"/>
      <rgbColor rgb="FF000080"/>
      <rgbColor rgb="FFFF00FF"/>
      <rgbColor rgb="FFFFEB3B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C107"/>
      <rgbColor rgb="FFFF9900"/>
      <rgbColor rgb="FFF44336"/>
      <rgbColor rgb="FF5D7B9D"/>
      <rgbColor rgb="FF969696"/>
      <rgbColor rgb="FF002B54"/>
      <rgbColor rgb="FF00B050"/>
      <rgbColor rgb="FF0D0D0D"/>
      <rgbColor rgb="FF333300"/>
      <rgbColor rgb="FF993300"/>
      <rgbColor rgb="FF993366"/>
      <rgbColor rgb="FF673AB7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ademap.org/Docs/Metadata/Methodology_quantity_outliers_Y_EN.pdf" TargetMode="External"/><Relationship Id="rId2" Type="http://schemas.openxmlformats.org/officeDocument/2006/relationships/hyperlink" Target="https://unstats.un.org/unsd/tradekb/Knowledgebase/Quantity-and-Weight-Data-in-UN-Comtrad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1" activeCellId="0" sqref="D11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3.8" hidden="false" customHeight="false" outlineLevel="0" collapsed="false">
      <c r="A3" s="3"/>
    </row>
    <row r="4" customFormat="false" ht="13.8" hidden="false" customHeight="false" outlineLevel="0" collapsed="false">
      <c r="A4" s="3" t="s">
        <v>2</v>
      </c>
    </row>
    <row r="5" customFormat="false" ht="13.8" hidden="false" customHeight="false" outlineLevel="0" collapsed="false">
      <c r="A5" s="3" t="s">
        <v>3</v>
      </c>
    </row>
    <row r="6" customFormat="false" ht="13.8" hidden="false" customHeight="false" outlineLevel="0" collapsed="false">
      <c r="A6" s="3" t="s">
        <v>4</v>
      </c>
    </row>
    <row r="7" customFormat="false" ht="13.8" hidden="false" customHeight="false" outlineLevel="0" collapsed="false">
      <c r="A7" s="3"/>
    </row>
    <row r="8" customFormat="false" ht="13.8" hidden="false" customHeight="false" outlineLevel="0" collapsed="false">
      <c r="A8" s="3"/>
    </row>
    <row r="9" customFormat="false" ht="13.8" hidden="false" customHeight="false" outlineLevel="0" collapsed="false">
      <c r="A9" s="4" t="s">
        <v>5</v>
      </c>
    </row>
    <row r="10" customFormat="false" ht="13.8" hidden="false" customHeight="false" outlineLevel="0" collapsed="false">
      <c r="A10" s="4" t="s">
        <v>6</v>
      </c>
    </row>
    <row r="11" customFormat="false" ht="13.8" hidden="false" customHeight="false" outlineLevel="0" collapsed="false">
      <c r="A11" s="3"/>
    </row>
    <row r="12" customFormat="false" ht="13.8" hidden="false" customHeight="false" outlineLevel="0" collapsed="false">
      <c r="A12" s="3"/>
    </row>
    <row r="13" customFormat="false" ht="13.8" hidden="false" customHeight="false" outlineLevel="0" collapsed="false">
      <c r="A13" s="3"/>
    </row>
    <row r="14" customFormat="false" ht="13.8" hidden="false" customHeight="false" outlineLevel="0" collapsed="false">
      <c r="A14" s="5" t="s">
        <v>7</v>
      </c>
      <c r="B14" s="6" t="n">
        <v>2020</v>
      </c>
      <c r="C14" s="6"/>
      <c r="D14" s="6" t="n">
        <v>2021</v>
      </c>
      <c r="E14" s="6" t="n">
        <v>2022</v>
      </c>
      <c r="F14" s="6" t="n">
        <v>2023</v>
      </c>
      <c r="G14" s="7" t="n">
        <v>2024</v>
      </c>
      <c r="H14" s="7"/>
    </row>
    <row r="15" customFormat="false" ht="13.8" hidden="false" customHeight="false" outlineLevel="0" collapsed="false">
      <c r="A15" s="5"/>
      <c r="B15" s="8" t="s">
        <v>8</v>
      </c>
      <c r="C15" s="8" t="s">
        <v>9</v>
      </c>
      <c r="D15" s="8" t="s">
        <v>10</v>
      </c>
      <c r="E15" s="8" t="s">
        <v>10</v>
      </c>
      <c r="F15" s="8" t="s">
        <v>10</v>
      </c>
      <c r="G15" s="8" t="s">
        <v>8</v>
      </c>
      <c r="H15" s="9" t="s">
        <v>9</v>
      </c>
    </row>
    <row r="16" customFormat="false" ht="13.8" hidden="false" customHeight="false" outlineLevel="0" collapsed="false">
      <c r="A16" s="10" t="s">
        <v>11</v>
      </c>
      <c r="B16" s="11" t="n">
        <v>326696</v>
      </c>
      <c r="C16" s="11" t="s">
        <v>12</v>
      </c>
      <c r="D16" s="11" t="n">
        <v>356872</v>
      </c>
      <c r="E16" s="11" t="n">
        <v>399881</v>
      </c>
      <c r="F16" s="11" t="n">
        <v>343078</v>
      </c>
      <c r="G16" s="11" t="n">
        <v>413561</v>
      </c>
      <c r="H16" s="12" t="s">
        <v>12</v>
      </c>
    </row>
    <row r="17" customFormat="false" ht="13.8" hidden="false" customHeight="false" outlineLevel="0" collapsed="false">
      <c r="A17" s="10" t="s">
        <v>13</v>
      </c>
      <c r="B17" s="11" t="n">
        <v>42364</v>
      </c>
      <c r="C17" s="11" t="s">
        <v>12</v>
      </c>
      <c r="D17" s="11" t="n">
        <v>67199</v>
      </c>
      <c r="E17" s="11" t="n">
        <v>165332</v>
      </c>
      <c r="F17" s="11" t="n">
        <v>103004</v>
      </c>
      <c r="G17" s="11" t="n">
        <v>162495</v>
      </c>
      <c r="H17" s="12" t="s">
        <v>12</v>
      </c>
    </row>
    <row r="18" customFormat="false" ht="13.8" hidden="false" customHeight="false" outlineLevel="0" collapsed="false">
      <c r="A18" s="10" t="s">
        <v>14</v>
      </c>
      <c r="B18" s="11" t="n">
        <v>102710</v>
      </c>
      <c r="C18" s="11" t="s">
        <v>12</v>
      </c>
      <c r="D18" s="11" t="n">
        <v>104829</v>
      </c>
      <c r="E18" s="11" t="n">
        <v>82135</v>
      </c>
      <c r="F18" s="11" t="n">
        <v>54779</v>
      </c>
      <c r="G18" s="11" t="n">
        <v>97248</v>
      </c>
      <c r="H18" s="12" t="s">
        <v>12</v>
      </c>
    </row>
    <row r="19" customFormat="false" ht="13.8" hidden="false" customHeight="false" outlineLevel="0" collapsed="false">
      <c r="A19" s="10" t="s">
        <v>15</v>
      </c>
      <c r="B19" s="11" t="n">
        <v>4160</v>
      </c>
      <c r="C19" s="11" t="s">
        <v>12</v>
      </c>
      <c r="D19" s="11" t="n">
        <v>4071</v>
      </c>
      <c r="E19" s="11" t="n">
        <v>4388</v>
      </c>
      <c r="F19" s="11" t="n">
        <v>9994</v>
      </c>
      <c r="G19" s="11" t="n">
        <v>28739</v>
      </c>
      <c r="H19" s="12" t="s">
        <v>12</v>
      </c>
    </row>
    <row r="20" customFormat="false" ht="13.8" hidden="false" customHeight="false" outlineLevel="0" collapsed="false">
      <c r="A20" s="10" t="s">
        <v>16</v>
      </c>
      <c r="B20" s="11" t="n">
        <v>12751</v>
      </c>
      <c r="C20" s="11" t="s">
        <v>12</v>
      </c>
      <c r="D20" s="11" t="n">
        <v>10968</v>
      </c>
      <c r="E20" s="11" t="n">
        <v>13034</v>
      </c>
      <c r="F20" s="11" t="n">
        <v>16150</v>
      </c>
      <c r="G20" s="11" t="n">
        <v>16954</v>
      </c>
      <c r="H20" s="12" t="s">
        <v>12</v>
      </c>
    </row>
    <row r="21" customFormat="false" ht="13.8" hidden="false" customHeight="false" outlineLevel="0" collapsed="false">
      <c r="A21" s="10" t="s">
        <v>17</v>
      </c>
      <c r="B21" s="11" t="n">
        <v>5994</v>
      </c>
      <c r="C21" s="11" t="s">
        <v>12</v>
      </c>
      <c r="D21" s="11" t="n">
        <v>4660</v>
      </c>
      <c r="E21" s="11" t="n">
        <v>5399</v>
      </c>
      <c r="F21" s="11" t="n">
        <v>8710</v>
      </c>
      <c r="G21" s="11" t="n">
        <v>12797</v>
      </c>
      <c r="H21" s="12" t="s">
        <v>12</v>
      </c>
    </row>
    <row r="22" customFormat="false" ht="13.8" hidden="false" customHeight="false" outlineLevel="0" collapsed="false">
      <c r="A22" s="10" t="s">
        <v>18</v>
      </c>
      <c r="B22" s="11" t="n">
        <v>2017</v>
      </c>
      <c r="C22" s="11" t="s">
        <v>12</v>
      </c>
      <c r="D22" s="11" t="n">
        <v>3922</v>
      </c>
      <c r="E22" s="11" t="n">
        <v>339</v>
      </c>
      <c r="F22" s="11" t="n">
        <v>27893</v>
      </c>
      <c r="G22" s="11" t="n">
        <v>11475</v>
      </c>
      <c r="H22" s="12" t="s">
        <v>12</v>
      </c>
    </row>
    <row r="23" customFormat="false" ht="13.8" hidden="false" customHeight="false" outlineLevel="0" collapsed="false">
      <c r="A23" s="10" t="s">
        <v>19</v>
      </c>
      <c r="B23" s="11" t="n">
        <v>59225</v>
      </c>
      <c r="C23" s="11" t="s">
        <v>12</v>
      </c>
      <c r="D23" s="11" t="n">
        <v>87094</v>
      </c>
      <c r="E23" s="11" t="n">
        <v>43848</v>
      </c>
      <c r="F23" s="11" t="n">
        <v>36453</v>
      </c>
      <c r="G23" s="11" t="n">
        <v>9395</v>
      </c>
      <c r="H23" s="12" t="s">
        <v>12</v>
      </c>
    </row>
    <row r="24" customFormat="false" ht="13.8" hidden="false" customHeight="false" outlineLevel="0" collapsed="false">
      <c r="A24" s="10" t="s">
        <v>20</v>
      </c>
      <c r="B24" s="11" t="n">
        <v>5</v>
      </c>
      <c r="C24" s="11" t="s">
        <v>12</v>
      </c>
      <c r="D24" s="11" t="n">
        <v>2</v>
      </c>
      <c r="E24" s="11" t="n">
        <v>1</v>
      </c>
      <c r="F24" s="11" t="n">
        <v>0</v>
      </c>
      <c r="G24" s="11" t="n">
        <v>7738</v>
      </c>
      <c r="H24" s="12" t="s">
        <v>12</v>
      </c>
    </row>
    <row r="25" customFormat="false" ht="13.8" hidden="false" customHeight="false" outlineLevel="0" collapsed="false">
      <c r="A25" s="10" t="s">
        <v>21</v>
      </c>
      <c r="B25" s="11" t="n">
        <v>4856</v>
      </c>
      <c r="C25" s="11" t="s">
        <v>12</v>
      </c>
      <c r="D25" s="11" t="n">
        <v>4490</v>
      </c>
      <c r="E25" s="11" t="n">
        <v>5686</v>
      </c>
      <c r="F25" s="11" t="n">
        <v>6192</v>
      </c>
      <c r="G25" s="11" t="n">
        <v>6863</v>
      </c>
      <c r="H25" s="12" t="s">
        <v>12</v>
      </c>
    </row>
    <row r="26" customFormat="false" ht="13.8" hidden="false" customHeight="false" outlineLevel="0" collapsed="false">
      <c r="A26" s="10" t="s">
        <v>22</v>
      </c>
      <c r="B26" s="11" t="n">
        <v>5396</v>
      </c>
      <c r="C26" s="11" t="s">
        <v>12</v>
      </c>
      <c r="D26" s="11" t="n">
        <v>4184</v>
      </c>
      <c r="E26" s="11" t="n">
        <v>5650</v>
      </c>
      <c r="F26" s="11" t="n">
        <v>5203</v>
      </c>
      <c r="G26" s="11" t="n">
        <v>6566</v>
      </c>
      <c r="H26" s="12" t="s">
        <v>12</v>
      </c>
    </row>
    <row r="27" customFormat="false" ht="13.8" hidden="false" customHeight="false" outlineLevel="0" collapsed="false">
      <c r="A27" s="10" t="s">
        <v>23</v>
      </c>
      <c r="B27" s="11" t="n">
        <v>12932</v>
      </c>
      <c r="C27" s="11" t="s">
        <v>12</v>
      </c>
      <c r="D27" s="11" t="n">
        <v>186</v>
      </c>
      <c r="E27" s="11" t="n">
        <v>94</v>
      </c>
      <c r="F27" s="11" t="n">
        <v>505</v>
      </c>
      <c r="G27" s="11" t="n">
        <v>4828</v>
      </c>
      <c r="H27" s="12" t="s">
        <v>12</v>
      </c>
    </row>
    <row r="28" customFormat="false" ht="13.8" hidden="false" customHeight="false" outlineLevel="0" collapsed="false">
      <c r="A28" s="10" t="s">
        <v>24</v>
      </c>
      <c r="B28" s="11" t="n">
        <v>200</v>
      </c>
      <c r="C28" s="11" t="s">
        <v>12</v>
      </c>
      <c r="D28" s="11" t="n">
        <v>132</v>
      </c>
      <c r="E28" s="11" t="n">
        <v>223</v>
      </c>
      <c r="F28" s="11" t="n">
        <v>316</v>
      </c>
      <c r="G28" s="11" t="n">
        <v>4562</v>
      </c>
      <c r="H28" s="12" t="s">
        <v>12</v>
      </c>
    </row>
    <row r="29" customFormat="false" ht="13.8" hidden="false" customHeight="false" outlineLevel="0" collapsed="false">
      <c r="A29" s="10" t="s">
        <v>25</v>
      </c>
      <c r="B29" s="11" t="n">
        <v>0</v>
      </c>
      <c r="C29" s="11" t="s">
        <v>12</v>
      </c>
      <c r="D29" s="11" t="n">
        <v>0</v>
      </c>
      <c r="E29" s="11" t="n">
        <v>1</v>
      </c>
      <c r="F29" s="11" t="n">
        <v>1</v>
      </c>
      <c r="G29" s="11" t="n">
        <v>4342</v>
      </c>
      <c r="H29" s="12" t="s">
        <v>12</v>
      </c>
    </row>
    <row r="30" customFormat="false" ht="13.8" hidden="false" customHeight="false" outlineLevel="0" collapsed="false">
      <c r="A30" s="10" t="s">
        <v>26</v>
      </c>
      <c r="B30" s="11" t="n">
        <v>2796</v>
      </c>
      <c r="C30" s="11" t="s">
        <v>12</v>
      </c>
      <c r="D30" s="11" t="n">
        <v>3792</v>
      </c>
      <c r="E30" s="11" t="n">
        <v>3538</v>
      </c>
      <c r="F30" s="11" t="n">
        <v>3504</v>
      </c>
      <c r="G30" s="11" t="n">
        <v>4011</v>
      </c>
      <c r="H30" s="12" t="s">
        <v>12</v>
      </c>
    </row>
    <row r="31" customFormat="false" ht="13.8" hidden="false" customHeight="false" outlineLevel="0" collapsed="false">
      <c r="A31" s="10" t="s">
        <v>27</v>
      </c>
      <c r="B31" s="11" t="n">
        <v>0</v>
      </c>
      <c r="C31" s="11"/>
      <c r="D31" s="11" t="n">
        <v>0</v>
      </c>
      <c r="E31" s="11" t="n">
        <v>0</v>
      </c>
      <c r="F31" s="11" t="n">
        <v>0</v>
      </c>
      <c r="G31" s="11" t="n">
        <v>3895</v>
      </c>
      <c r="H31" s="12" t="s">
        <v>12</v>
      </c>
    </row>
    <row r="32" customFormat="false" ht="13.8" hidden="false" customHeight="false" outlineLevel="0" collapsed="false">
      <c r="A32" s="10" t="s">
        <v>28</v>
      </c>
      <c r="B32" s="11" t="n">
        <v>1954</v>
      </c>
      <c r="C32" s="11" t="s">
        <v>12</v>
      </c>
      <c r="D32" s="11" t="n">
        <v>1905</v>
      </c>
      <c r="E32" s="11" t="n">
        <v>2425</v>
      </c>
      <c r="F32" s="11" t="n">
        <v>2438</v>
      </c>
      <c r="G32" s="11" t="n">
        <v>3603</v>
      </c>
      <c r="H32" s="12" t="s">
        <v>12</v>
      </c>
    </row>
    <row r="33" customFormat="false" ht="13.8" hidden="false" customHeight="false" outlineLevel="0" collapsed="false">
      <c r="A33" s="10" t="s">
        <v>29</v>
      </c>
      <c r="B33" s="11" t="n">
        <v>1472</v>
      </c>
      <c r="C33" s="11" t="s">
        <v>12</v>
      </c>
      <c r="D33" s="11" t="n">
        <v>1225</v>
      </c>
      <c r="E33" s="11" t="n">
        <v>811</v>
      </c>
      <c r="F33" s="11" t="n">
        <v>1721</v>
      </c>
      <c r="G33" s="11" t="n">
        <v>3523</v>
      </c>
      <c r="H33" s="12" t="s">
        <v>12</v>
      </c>
    </row>
    <row r="34" customFormat="false" ht="13.8" hidden="false" customHeight="false" outlineLevel="0" collapsed="false">
      <c r="A34" s="10" t="s">
        <v>30</v>
      </c>
      <c r="B34" s="11" t="n">
        <v>2610</v>
      </c>
      <c r="C34" s="11" t="s">
        <v>12</v>
      </c>
      <c r="D34" s="11" t="n">
        <v>2863</v>
      </c>
      <c r="E34" s="11" t="n">
        <v>2883</v>
      </c>
      <c r="F34" s="11" t="n">
        <v>3548</v>
      </c>
      <c r="G34" s="11" t="n">
        <v>2977</v>
      </c>
      <c r="H34" s="12" t="s">
        <v>12</v>
      </c>
    </row>
    <row r="35" customFormat="false" ht="13.8" hidden="false" customHeight="false" outlineLevel="0" collapsed="false">
      <c r="A35" s="10" t="s">
        <v>31</v>
      </c>
      <c r="B35" s="11" t="n">
        <v>25356</v>
      </c>
      <c r="C35" s="11" t="s">
        <v>12</v>
      </c>
      <c r="D35" s="11" t="n">
        <v>12613</v>
      </c>
      <c r="E35" s="11" t="n">
        <v>11107</v>
      </c>
      <c r="F35" s="11" t="n">
        <v>4034</v>
      </c>
      <c r="G35" s="11" t="n">
        <v>2968</v>
      </c>
      <c r="H35" s="12" t="s">
        <v>12</v>
      </c>
    </row>
    <row r="36" customFormat="false" ht="13.8" hidden="false" customHeight="false" outlineLevel="0" collapsed="false">
      <c r="A36" s="10" t="s">
        <v>32</v>
      </c>
      <c r="B36" s="11" t="n">
        <v>1</v>
      </c>
      <c r="C36" s="11" t="s">
        <v>12</v>
      </c>
      <c r="D36" s="11" t="n">
        <v>9</v>
      </c>
      <c r="E36" s="11" t="n">
        <v>4</v>
      </c>
      <c r="F36" s="11" t="n">
        <v>21</v>
      </c>
      <c r="G36" s="11" t="n">
        <v>2915</v>
      </c>
      <c r="H36" s="12" t="s">
        <v>12</v>
      </c>
    </row>
    <row r="37" customFormat="false" ht="13.8" hidden="false" customHeight="false" outlineLevel="0" collapsed="false">
      <c r="A37" s="10" t="s">
        <v>33</v>
      </c>
      <c r="B37" s="11" t="n">
        <v>626</v>
      </c>
      <c r="C37" s="11" t="s">
        <v>12</v>
      </c>
      <c r="D37" s="11" t="n">
        <v>686</v>
      </c>
      <c r="E37" s="11" t="n">
        <v>931</v>
      </c>
      <c r="F37" s="11" t="n">
        <v>2380</v>
      </c>
      <c r="G37" s="11" t="n">
        <v>2111</v>
      </c>
      <c r="H37" s="12" t="s">
        <v>12</v>
      </c>
    </row>
    <row r="38" customFormat="false" ht="13.8" hidden="false" customHeight="false" outlineLevel="0" collapsed="false">
      <c r="A38" s="10" t="s">
        <v>34</v>
      </c>
      <c r="B38" s="11" t="n">
        <v>1904</v>
      </c>
      <c r="C38" s="11" t="s">
        <v>12</v>
      </c>
      <c r="D38" s="11" t="n">
        <v>1647</v>
      </c>
      <c r="E38" s="11" t="n">
        <v>789</v>
      </c>
      <c r="F38" s="11" t="n">
        <v>969</v>
      </c>
      <c r="G38" s="11" t="n">
        <v>821</v>
      </c>
      <c r="H38" s="12" t="s">
        <v>12</v>
      </c>
    </row>
    <row r="39" customFormat="false" ht="13.8" hidden="false" customHeight="false" outlineLevel="0" collapsed="false">
      <c r="A39" s="10" t="s">
        <v>35</v>
      </c>
      <c r="B39" s="11" t="n">
        <v>105</v>
      </c>
      <c r="C39" s="11" t="s">
        <v>12</v>
      </c>
      <c r="D39" s="11" t="n">
        <v>345</v>
      </c>
      <c r="E39" s="11" t="n">
        <v>207</v>
      </c>
      <c r="F39" s="11" t="n">
        <v>381</v>
      </c>
      <c r="G39" s="11" t="n">
        <v>689</v>
      </c>
      <c r="H39" s="12" t="s">
        <v>12</v>
      </c>
    </row>
    <row r="40" customFormat="false" ht="13.8" hidden="false" customHeight="false" outlineLevel="0" collapsed="false">
      <c r="A40" s="10" t="s">
        <v>36</v>
      </c>
      <c r="B40" s="11" t="n">
        <v>37</v>
      </c>
      <c r="C40" s="11" t="s">
        <v>12</v>
      </c>
      <c r="D40" s="11" t="n">
        <v>53</v>
      </c>
      <c r="E40" s="11" t="n">
        <v>16</v>
      </c>
      <c r="F40" s="11" t="n">
        <v>91</v>
      </c>
      <c r="G40" s="11" t="n">
        <v>651</v>
      </c>
      <c r="H40" s="12" t="s">
        <v>12</v>
      </c>
    </row>
    <row r="41" customFormat="false" ht="13.8" hidden="false" customHeight="false" outlineLevel="0" collapsed="false">
      <c r="A41" s="10" t="s">
        <v>37</v>
      </c>
      <c r="B41" s="11" t="n">
        <v>286</v>
      </c>
      <c r="C41" s="11" t="s">
        <v>12</v>
      </c>
      <c r="D41" s="11" t="n">
        <v>175</v>
      </c>
      <c r="E41" s="11" t="n">
        <v>150</v>
      </c>
      <c r="F41" s="11" t="n">
        <v>321</v>
      </c>
      <c r="G41" s="11" t="n">
        <v>589</v>
      </c>
      <c r="H41" s="12" t="s">
        <v>12</v>
      </c>
    </row>
    <row r="42" customFormat="false" ht="13.8" hidden="false" customHeight="false" outlineLevel="0" collapsed="false">
      <c r="A42" s="10" t="s">
        <v>38</v>
      </c>
      <c r="B42" s="11" t="n">
        <v>3075</v>
      </c>
      <c r="C42" s="11" t="s">
        <v>12</v>
      </c>
      <c r="D42" s="11" t="n">
        <v>3079</v>
      </c>
      <c r="E42" s="11" t="n">
        <v>6595</v>
      </c>
      <c r="F42" s="11" t="n">
        <v>4346</v>
      </c>
      <c r="G42" s="11" t="n">
        <v>561</v>
      </c>
      <c r="H42" s="12" t="s">
        <v>12</v>
      </c>
    </row>
    <row r="43" customFormat="false" ht="13.8" hidden="false" customHeight="false" outlineLevel="0" collapsed="false">
      <c r="A43" s="10" t="s">
        <v>39</v>
      </c>
      <c r="B43" s="11" t="n">
        <v>17</v>
      </c>
      <c r="C43" s="11" t="s">
        <v>12</v>
      </c>
      <c r="D43" s="11" t="n">
        <v>15</v>
      </c>
      <c r="E43" s="11" t="n">
        <v>10</v>
      </c>
      <c r="F43" s="11" t="n">
        <v>3</v>
      </c>
      <c r="G43" s="11" t="n">
        <v>560</v>
      </c>
      <c r="H43" s="12" t="s">
        <v>12</v>
      </c>
    </row>
    <row r="44" customFormat="false" ht="13.8" hidden="false" customHeight="false" outlineLevel="0" collapsed="false">
      <c r="A44" s="10" t="s">
        <v>40</v>
      </c>
      <c r="B44" s="11" t="n">
        <v>1208</v>
      </c>
      <c r="C44" s="11" t="s">
        <v>12</v>
      </c>
      <c r="D44" s="11" t="n">
        <v>981</v>
      </c>
      <c r="E44" s="11" t="n">
        <v>1304</v>
      </c>
      <c r="F44" s="11" t="n">
        <v>944</v>
      </c>
      <c r="G44" s="11" t="n">
        <v>530</v>
      </c>
      <c r="H44" s="12" t="s">
        <v>12</v>
      </c>
    </row>
    <row r="45" customFormat="false" ht="13.8" hidden="false" customHeight="false" outlineLevel="0" collapsed="false">
      <c r="A45" s="10" t="s">
        <v>41</v>
      </c>
      <c r="B45" s="11" t="n">
        <v>394</v>
      </c>
      <c r="C45" s="11" t="s">
        <v>12</v>
      </c>
      <c r="D45" s="11" t="n">
        <v>420</v>
      </c>
      <c r="E45" s="11" t="n">
        <v>217</v>
      </c>
      <c r="F45" s="11" t="n">
        <v>273</v>
      </c>
      <c r="G45" s="11" t="n">
        <v>472</v>
      </c>
      <c r="H45" s="12" t="s">
        <v>12</v>
      </c>
    </row>
    <row r="46" customFormat="false" ht="13.8" hidden="false" customHeight="false" outlineLevel="0" collapsed="false">
      <c r="A46" s="10" t="s">
        <v>42</v>
      </c>
      <c r="B46" s="11" t="n">
        <v>1460</v>
      </c>
      <c r="C46" s="11" t="s">
        <v>12</v>
      </c>
      <c r="D46" s="11" t="n">
        <v>1819</v>
      </c>
      <c r="E46" s="11" t="n">
        <v>3035</v>
      </c>
      <c r="F46" s="11" t="n">
        <v>2304</v>
      </c>
      <c r="G46" s="11" t="n">
        <v>451</v>
      </c>
      <c r="H46" s="12" t="s">
        <v>12</v>
      </c>
    </row>
    <row r="47" customFormat="false" ht="13.8" hidden="false" customHeight="false" outlineLevel="0" collapsed="false">
      <c r="A47" s="10" t="s">
        <v>43</v>
      </c>
      <c r="B47" s="11" t="n">
        <v>1127</v>
      </c>
      <c r="C47" s="11" t="s">
        <v>12</v>
      </c>
      <c r="D47" s="11" t="n">
        <v>895</v>
      </c>
      <c r="E47" s="11" t="n">
        <v>2159</v>
      </c>
      <c r="F47" s="11" t="n">
        <v>48</v>
      </c>
      <c r="G47" s="11" t="n">
        <v>446</v>
      </c>
      <c r="H47" s="12" t="s">
        <v>12</v>
      </c>
    </row>
    <row r="48" customFormat="false" ht="13.8" hidden="false" customHeight="false" outlineLevel="0" collapsed="false">
      <c r="A48" s="10" t="s">
        <v>44</v>
      </c>
      <c r="B48" s="11" t="n">
        <v>677</v>
      </c>
      <c r="C48" s="11" t="s">
        <v>12</v>
      </c>
      <c r="D48" s="11" t="n">
        <v>1139</v>
      </c>
      <c r="E48" s="11" t="n">
        <v>1694</v>
      </c>
      <c r="F48" s="11" t="n">
        <v>822</v>
      </c>
      <c r="G48" s="11" t="n">
        <v>435</v>
      </c>
      <c r="H48" s="12" t="s">
        <v>12</v>
      </c>
    </row>
    <row r="49" customFormat="false" ht="13.8" hidden="false" customHeight="false" outlineLevel="0" collapsed="false">
      <c r="A49" s="10" t="s">
        <v>45</v>
      </c>
      <c r="B49" s="11" t="n">
        <v>51</v>
      </c>
      <c r="C49" s="11" t="s">
        <v>12</v>
      </c>
      <c r="D49" s="11" t="n">
        <v>410</v>
      </c>
      <c r="E49" s="11" t="n">
        <v>2110</v>
      </c>
      <c r="F49" s="11" t="n">
        <v>2565</v>
      </c>
      <c r="G49" s="11" t="n">
        <v>410</v>
      </c>
      <c r="H49" s="12" t="s">
        <v>12</v>
      </c>
    </row>
    <row r="50" customFormat="false" ht="13.8" hidden="false" customHeight="false" outlineLevel="0" collapsed="false">
      <c r="A50" s="10" t="s">
        <v>46</v>
      </c>
      <c r="B50" s="11" t="n">
        <v>333</v>
      </c>
      <c r="C50" s="11" t="s">
        <v>12</v>
      </c>
      <c r="D50" s="11" t="n">
        <v>814</v>
      </c>
      <c r="E50" s="11" t="n">
        <v>148</v>
      </c>
      <c r="F50" s="11" t="n">
        <v>500</v>
      </c>
      <c r="G50" s="11" t="n">
        <v>376</v>
      </c>
      <c r="H50" s="12" t="s">
        <v>12</v>
      </c>
    </row>
    <row r="51" customFormat="false" ht="13.8" hidden="false" customHeight="false" outlineLevel="0" collapsed="false">
      <c r="A51" s="10" t="s">
        <v>47</v>
      </c>
      <c r="B51" s="11" t="n">
        <v>0</v>
      </c>
      <c r="C51" s="11"/>
      <c r="D51" s="11" t="n">
        <v>26</v>
      </c>
      <c r="E51" s="11" t="n">
        <v>605</v>
      </c>
      <c r="F51" s="11" t="n">
        <v>467</v>
      </c>
      <c r="G51" s="11" t="n">
        <v>373</v>
      </c>
      <c r="H51" s="12" t="s">
        <v>12</v>
      </c>
    </row>
    <row r="52" customFormat="false" ht="13.8" hidden="false" customHeight="false" outlineLevel="0" collapsed="false">
      <c r="A52" s="10" t="s">
        <v>48</v>
      </c>
      <c r="B52" s="11" t="n">
        <v>1022</v>
      </c>
      <c r="C52" s="11" t="s">
        <v>12</v>
      </c>
      <c r="D52" s="11" t="n">
        <v>422</v>
      </c>
      <c r="E52" s="11" t="n">
        <v>324</v>
      </c>
      <c r="F52" s="11" t="n">
        <v>391</v>
      </c>
      <c r="G52" s="11" t="n">
        <v>361</v>
      </c>
      <c r="H52" s="12" t="s">
        <v>12</v>
      </c>
    </row>
    <row r="53" customFormat="false" ht="13.8" hidden="false" customHeight="false" outlineLevel="0" collapsed="false">
      <c r="A53" s="10" t="s">
        <v>49</v>
      </c>
      <c r="B53" s="11" t="n">
        <v>412</v>
      </c>
      <c r="C53" s="11" t="s">
        <v>12</v>
      </c>
      <c r="D53" s="11" t="n">
        <v>267</v>
      </c>
      <c r="E53" s="11" t="n">
        <v>140</v>
      </c>
      <c r="F53" s="11" t="n">
        <v>351</v>
      </c>
      <c r="G53" s="11" t="n">
        <v>326</v>
      </c>
      <c r="H53" s="12" t="s">
        <v>12</v>
      </c>
    </row>
    <row r="54" customFormat="false" ht="13.8" hidden="false" customHeight="false" outlineLevel="0" collapsed="false">
      <c r="A54" s="10" t="s">
        <v>50</v>
      </c>
      <c r="B54" s="11" t="n">
        <v>254</v>
      </c>
      <c r="C54" s="11" t="s">
        <v>12</v>
      </c>
      <c r="D54" s="11" t="n">
        <v>150</v>
      </c>
      <c r="E54" s="11" t="n">
        <v>92</v>
      </c>
      <c r="F54" s="11" t="n">
        <v>344</v>
      </c>
      <c r="G54" s="11" t="n">
        <v>291</v>
      </c>
      <c r="H54" s="12" t="s">
        <v>12</v>
      </c>
    </row>
    <row r="55" customFormat="false" ht="13.8" hidden="false" customHeight="false" outlineLevel="0" collapsed="false">
      <c r="A55" s="10" t="s">
        <v>51</v>
      </c>
      <c r="B55" s="11" t="n">
        <v>482</v>
      </c>
      <c r="C55" s="11" t="s">
        <v>12</v>
      </c>
      <c r="D55" s="11" t="n">
        <v>995</v>
      </c>
      <c r="E55" s="11" t="n">
        <v>660</v>
      </c>
      <c r="F55" s="11" t="n">
        <v>624</v>
      </c>
      <c r="G55" s="11" t="n">
        <v>276</v>
      </c>
      <c r="H55" s="12" t="s">
        <v>12</v>
      </c>
    </row>
    <row r="56" customFormat="false" ht="13.8" hidden="false" customHeight="false" outlineLevel="0" collapsed="false">
      <c r="A56" s="10" t="s">
        <v>52</v>
      </c>
      <c r="B56" s="11" t="n">
        <v>139</v>
      </c>
      <c r="C56" s="11" t="s">
        <v>12</v>
      </c>
      <c r="D56" s="11" t="n">
        <v>114</v>
      </c>
      <c r="E56" s="11" t="n">
        <v>166</v>
      </c>
      <c r="F56" s="11" t="n">
        <v>73</v>
      </c>
      <c r="G56" s="11" t="n">
        <v>266</v>
      </c>
      <c r="H56" s="12" t="s">
        <v>12</v>
      </c>
    </row>
    <row r="57" customFormat="false" ht="13.8" hidden="false" customHeight="false" outlineLevel="0" collapsed="false">
      <c r="A57" s="10" t="s">
        <v>53</v>
      </c>
      <c r="B57" s="11"/>
      <c r="C57" s="11"/>
      <c r="D57" s="11" t="n">
        <v>4867</v>
      </c>
      <c r="E57" s="11" t="n">
        <v>2857</v>
      </c>
      <c r="F57" s="11" t="n">
        <v>15918</v>
      </c>
      <c r="G57" s="11" t="n">
        <v>234</v>
      </c>
      <c r="H57" s="12" t="s">
        <v>12</v>
      </c>
    </row>
    <row r="58" customFormat="false" ht="13.8" hidden="false" customHeight="false" outlineLevel="0" collapsed="false">
      <c r="A58" s="10" t="s">
        <v>54</v>
      </c>
      <c r="B58" s="11" t="n">
        <v>103</v>
      </c>
      <c r="C58" s="11" t="s">
        <v>12</v>
      </c>
      <c r="D58" s="11" t="n">
        <v>10</v>
      </c>
      <c r="E58" s="11" t="n">
        <v>25</v>
      </c>
      <c r="F58" s="11" t="n">
        <v>22</v>
      </c>
      <c r="G58" s="11" t="n">
        <v>226</v>
      </c>
      <c r="H58" s="12" t="s">
        <v>12</v>
      </c>
    </row>
    <row r="59" customFormat="false" ht="13.8" hidden="false" customHeight="false" outlineLevel="0" collapsed="false">
      <c r="A59" s="10" t="s">
        <v>55</v>
      </c>
      <c r="B59" s="11" t="n">
        <v>338</v>
      </c>
      <c r="C59" s="11" t="s">
        <v>12</v>
      </c>
      <c r="D59" s="11" t="n">
        <v>739</v>
      </c>
      <c r="E59" s="11" t="n">
        <v>256</v>
      </c>
      <c r="F59" s="11" t="n">
        <v>170</v>
      </c>
      <c r="G59" s="11" t="n">
        <v>218</v>
      </c>
      <c r="H59" s="12" t="s">
        <v>12</v>
      </c>
    </row>
    <row r="60" customFormat="false" ht="13.8" hidden="false" customHeight="false" outlineLevel="0" collapsed="false">
      <c r="A60" s="10" t="s">
        <v>56</v>
      </c>
      <c r="B60" s="11" t="n">
        <v>133</v>
      </c>
      <c r="C60" s="11" t="s">
        <v>12</v>
      </c>
      <c r="D60" s="11" t="n">
        <v>230</v>
      </c>
      <c r="E60" s="11" t="n">
        <v>331</v>
      </c>
      <c r="F60" s="11" t="n">
        <v>129</v>
      </c>
      <c r="G60" s="11" t="n">
        <v>213</v>
      </c>
      <c r="H60" s="12" t="s">
        <v>12</v>
      </c>
    </row>
    <row r="61" customFormat="false" ht="13.8" hidden="false" customHeight="false" outlineLevel="0" collapsed="false">
      <c r="A61" s="10" t="s">
        <v>57</v>
      </c>
      <c r="B61" s="11" t="n">
        <v>234</v>
      </c>
      <c r="C61" s="11" t="s">
        <v>12</v>
      </c>
      <c r="D61" s="11" t="n">
        <v>176</v>
      </c>
      <c r="E61" s="11" t="n">
        <v>213</v>
      </c>
      <c r="F61" s="11" t="n">
        <v>245</v>
      </c>
      <c r="G61" s="11" t="n">
        <v>211</v>
      </c>
      <c r="H61" s="12" t="s">
        <v>12</v>
      </c>
    </row>
    <row r="62" customFormat="false" ht="13.8" hidden="false" customHeight="false" outlineLevel="0" collapsed="false">
      <c r="A62" s="10" t="s">
        <v>58</v>
      </c>
      <c r="B62" s="11" t="n">
        <v>101</v>
      </c>
      <c r="C62" s="11" t="s">
        <v>12</v>
      </c>
      <c r="D62" s="11" t="n">
        <v>38</v>
      </c>
      <c r="E62" s="11" t="n">
        <v>67</v>
      </c>
      <c r="F62" s="11" t="n">
        <v>154</v>
      </c>
      <c r="G62" s="11" t="n">
        <v>210</v>
      </c>
      <c r="H62" s="12" t="s">
        <v>12</v>
      </c>
    </row>
    <row r="63" customFormat="false" ht="13.8" hidden="false" customHeight="false" outlineLevel="0" collapsed="false">
      <c r="A63" s="10" t="s">
        <v>59</v>
      </c>
      <c r="B63" s="11" t="n">
        <v>510</v>
      </c>
      <c r="C63" s="11" t="s">
        <v>12</v>
      </c>
      <c r="D63" s="11" t="n">
        <v>177</v>
      </c>
      <c r="E63" s="11" t="n">
        <v>91</v>
      </c>
      <c r="F63" s="11" t="n">
        <v>139</v>
      </c>
      <c r="G63" s="11" t="n">
        <v>188</v>
      </c>
      <c r="H63" s="12" t="s">
        <v>12</v>
      </c>
    </row>
    <row r="64" customFormat="false" ht="13.8" hidden="false" customHeight="false" outlineLevel="0" collapsed="false">
      <c r="A64" s="10" t="s">
        <v>60</v>
      </c>
      <c r="B64" s="11" t="n">
        <v>113</v>
      </c>
      <c r="C64" s="11" t="s">
        <v>12</v>
      </c>
      <c r="D64" s="11" t="n">
        <v>94</v>
      </c>
      <c r="E64" s="11" t="n">
        <v>119</v>
      </c>
      <c r="F64" s="11" t="n">
        <v>128</v>
      </c>
      <c r="G64" s="11" t="n">
        <v>186</v>
      </c>
      <c r="H64" s="12" t="s">
        <v>12</v>
      </c>
    </row>
    <row r="65" customFormat="false" ht="13.8" hidden="false" customHeight="false" outlineLevel="0" collapsed="false">
      <c r="A65" s="10" t="s">
        <v>61</v>
      </c>
      <c r="B65" s="11" t="n">
        <v>177</v>
      </c>
      <c r="C65" s="11" t="s">
        <v>12</v>
      </c>
      <c r="D65" s="11" t="n">
        <v>124</v>
      </c>
      <c r="E65" s="11" t="n">
        <v>155</v>
      </c>
      <c r="F65" s="11" t="n">
        <v>93</v>
      </c>
      <c r="G65" s="11" t="n">
        <v>149</v>
      </c>
      <c r="H65" s="12" t="s">
        <v>12</v>
      </c>
    </row>
    <row r="66" customFormat="false" ht="13.8" hidden="false" customHeight="false" outlineLevel="0" collapsed="false">
      <c r="A66" s="10" t="s">
        <v>62</v>
      </c>
      <c r="B66" s="11" t="n">
        <v>48</v>
      </c>
      <c r="C66" s="11" t="s">
        <v>12</v>
      </c>
      <c r="D66" s="11" t="n">
        <v>43</v>
      </c>
      <c r="E66" s="11" t="n">
        <v>45</v>
      </c>
      <c r="F66" s="11" t="n">
        <v>40</v>
      </c>
      <c r="G66" s="11" t="n">
        <v>146</v>
      </c>
      <c r="H66" s="12" t="s">
        <v>12</v>
      </c>
    </row>
    <row r="67" customFormat="false" ht="13.8" hidden="false" customHeight="false" outlineLevel="0" collapsed="false">
      <c r="A67" s="10" t="s">
        <v>63</v>
      </c>
      <c r="B67" s="11" t="n">
        <v>5650</v>
      </c>
      <c r="C67" s="11" t="s">
        <v>12</v>
      </c>
      <c r="D67" s="11" t="n">
        <v>1215</v>
      </c>
      <c r="E67" s="11" t="n">
        <v>604</v>
      </c>
      <c r="F67" s="11" t="n">
        <v>208</v>
      </c>
      <c r="G67" s="11" t="n">
        <v>126</v>
      </c>
      <c r="H67" s="12" t="s">
        <v>12</v>
      </c>
    </row>
    <row r="68" customFormat="false" ht="13.8" hidden="false" customHeight="false" outlineLevel="0" collapsed="false">
      <c r="A68" s="10" t="s">
        <v>64</v>
      </c>
      <c r="B68" s="11"/>
      <c r="C68" s="11"/>
      <c r="D68" s="11"/>
      <c r="E68" s="11"/>
      <c r="F68" s="11"/>
      <c r="G68" s="11" t="n">
        <v>125</v>
      </c>
      <c r="H68" s="12" t="s">
        <v>12</v>
      </c>
    </row>
    <row r="69" customFormat="false" ht="13.8" hidden="false" customHeight="false" outlineLevel="0" collapsed="false">
      <c r="A69" s="10" t="s">
        <v>65</v>
      </c>
      <c r="B69" s="11" t="n">
        <v>128</v>
      </c>
      <c r="C69" s="11" t="s">
        <v>12</v>
      </c>
      <c r="D69" s="11" t="n">
        <v>115</v>
      </c>
      <c r="E69" s="11" t="n">
        <v>81</v>
      </c>
      <c r="F69" s="11" t="n">
        <v>88</v>
      </c>
      <c r="G69" s="11" t="n">
        <v>123</v>
      </c>
      <c r="H69" s="12" t="s">
        <v>12</v>
      </c>
    </row>
    <row r="70" customFormat="false" ht="13.8" hidden="false" customHeight="false" outlineLevel="0" collapsed="false">
      <c r="A70" s="10" t="s">
        <v>66</v>
      </c>
      <c r="B70" s="11" t="n">
        <v>267</v>
      </c>
      <c r="C70" s="11" t="s">
        <v>12</v>
      </c>
      <c r="D70" s="11" t="n">
        <v>412</v>
      </c>
      <c r="E70" s="11" t="n">
        <v>492</v>
      </c>
      <c r="F70" s="11" t="n">
        <v>44</v>
      </c>
      <c r="G70" s="11" t="n">
        <v>123</v>
      </c>
      <c r="H70" s="12" t="s">
        <v>12</v>
      </c>
    </row>
    <row r="71" customFormat="false" ht="13.8" hidden="false" customHeight="false" outlineLevel="0" collapsed="false">
      <c r="A71" s="10" t="s">
        <v>67</v>
      </c>
      <c r="B71" s="11" t="n">
        <v>2</v>
      </c>
      <c r="C71" s="11" t="s">
        <v>12</v>
      </c>
      <c r="D71" s="11" t="n">
        <v>169</v>
      </c>
      <c r="E71" s="11" t="n">
        <v>178</v>
      </c>
      <c r="F71" s="11" t="n">
        <v>136</v>
      </c>
      <c r="G71" s="11" t="n">
        <v>112</v>
      </c>
      <c r="H71" s="12" t="s">
        <v>12</v>
      </c>
    </row>
    <row r="72" customFormat="false" ht="13.8" hidden="false" customHeight="false" outlineLevel="0" collapsed="false">
      <c r="A72" s="10" t="s">
        <v>68</v>
      </c>
      <c r="B72" s="11" t="n">
        <v>30</v>
      </c>
      <c r="C72" s="11" t="s">
        <v>12</v>
      </c>
      <c r="D72" s="11" t="n">
        <v>72</v>
      </c>
      <c r="E72" s="11" t="n">
        <v>50</v>
      </c>
      <c r="F72" s="11" t="n">
        <v>200</v>
      </c>
      <c r="G72" s="11" t="n">
        <v>107</v>
      </c>
      <c r="H72" s="12" t="s">
        <v>12</v>
      </c>
    </row>
    <row r="73" customFormat="false" ht="13.8" hidden="false" customHeight="false" outlineLevel="0" collapsed="false">
      <c r="A73" s="10" t="s">
        <v>69</v>
      </c>
      <c r="B73" s="11" t="n">
        <v>103</v>
      </c>
      <c r="C73" s="11" t="s">
        <v>12</v>
      </c>
      <c r="D73" s="11" t="n">
        <v>81</v>
      </c>
      <c r="E73" s="11" t="n">
        <v>117</v>
      </c>
      <c r="F73" s="11" t="n">
        <v>64</v>
      </c>
      <c r="G73" s="11" t="n">
        <v>106</v>
      </c>
      <c r="H73" s="12" t="s">
        <v>12</v>
      </c>
    </row>
    <row r="74" customFormat="false" ht="13.8" hidden="false" customHeight="false" outlineLevel="0" collapsed="false">
      <c r="A74" s="10" t="s">
        <v>70</v>
      </c>
      <c r="B74" s="11" t="n">
        <v>24</v>
      </c>
      <c r="C74" s="11" t="s">
        <v>12</v>
      </c>
      <c r="D74" s="11" t="n">
        <v>7</v>
      </c>
      <c r="E74" s="11" t="n">
        <v>29</v>
      </c>
      <c r="F74" s="11" t="n">
        <v>34</v>
      </c>
      <c r="G74" s="11" t="n">
        <v>106</v>
      </c>
      <c r="H74" s="12" t="s">
        <v>12</v>
      </c>
    </row>
    <row r="75" customFormat="false" ht="13.8" hidden="false" customHeight="false" outlineLevel="0" collapsed="false">
      <c r="A75" s="10" t="s">
        <v>71</v>
      </c>
      <c r="B75" s="11" t="n">
        <v>92</v>
      </c>
      <c r="C75" s="11" t="s">
        <v>12</v>
      </c>
      <c r="D75" s="11" t="n">
        <v>89</v>
      </c>
      <c r="E75" s="11" t="n">
        <v>102</v>
      </c>
      <c r="F75" s="11" t="n">
        <v>150</v>
      </c>
      <c r="G75" s="11" t="n">
        <v>105</v>
      </c>
      <c r="H75" s="12" t="s">
        <v>12</v>
      </c>
    </row>
    <row r="76" customFormat="false" ht="13.8" hidden="false" customHeight="false" outlineLevel="0" collapsed="false">
      <c r="A76" s="10" t="s">
        <v>72</v>
      </c>
      <c r="B76" s="11" t="n">
        <v>323</v>
      </c>
      <c r="C76" s="11" t="s">
        <v>12</v>
      </c>
      <c r="D76" s="11" t="n">
        <v>414</v>
      </c>
      <c r="E76" s="11" t="n">
        <v>246</v>
      </c>
      <c r="F76" s="11" t="n">
        <v>214</v>
      </c>
      <c r="G76" s="11" t="n">
        <v>99</v>
      </c>
      <c r="H76" s="12" t="s">
        <v>12</v>
      </c>
    </row>
    <row r="77" customFormat="false" ht="13.8" hidden="false" customHeight="false" outlineLevel="0" collapsed="false">
      <c r="A77" s="10" t="s">
        <v>73</v>
      </c>
      <c r="B77" s="11" t="n">
        <v>4466</v>
      </c>
      <c r="C77" s="11" t="s">
        <v>12</v>
      </c>
      <c r="D77" s="11" t="n">
        <v>3720</v>
      </c>
      <c r="E77" s="11" t="n">
        <v>3887</v>
      </c>
      <c r="F77" s="11" t="n">
        <v>3477</v>
      </c>
      <c r="G77" s="11" t="n">
        <v>87</v>
      </c>
      <c r="H77" s="12" t="s">
        <v>12</v>
      </c>
    </row>
    <row r="78" customFormat="false" ht="13.8" hidden="false" customHeight="false" outlineLevel="0" collapsed="false">
      <c r="A78" s="10" t="s">
        <v>74</v>
      </c>
      <c r="B78" s="11" t="n">
        <v>103</v>
      </c>
      <c r="C78" s="11" t="s">
        <v>12</v>
      </c>
      <c r="D78" s="11" t="n">
        <v>88</v>
      </c>
      <c r="E78" s="11" t="n">
        <v>103</v>
      </c>
      <c r="F78" s="11" t="n">
        <v>118</v>
      </c>
      <c r="G78" s="11" t="n">
        <v>84</v>
      </c>
      <c r="H78" s="12" t="s">
        <v>12</v>
      </c>
    </row>
    <row r="79" customFormat="false" ht="13.8" hidden="false" customHeight="false" outlineLevel="0" collapsed="false">
      <c r="A79" s="10" t="s">
        <v>75</v>
      </c>
      <c r="B79" s="11" t="n">
        <v>282</v>
      </c>
      <c r="C79" s="11" t="s">
        <v>12</v>
      </c>
      <c r="D79" s="11" t="n">
        <v>160</v>
      </c>
      <c r="E79" s="11" t="n">
        <v>123</v>
      </c>
      <c r="F79" s="11" t="n">
        <v>282</v>
      </c>
      <c r="G79" s="11" t="n">
        <v>79</v>
      </c>
      <c r="H79" s="12" t="s">
        <v>12</v>
      </c>
    </row>
    <row r="80" customFormat="false" ht="13.8" hidden="false" customHeight="false" outlineLevel="0" collapsed="false">
      <c r="A80" s="10" t="s">
        <v>76</v>
      </c>
      <c r="B80" s="11" t="n">
        <v>39</v>
      </c>
      <c r="C80" s="11" t="s">
        <v>12</v>
      </c>
      <c r="D80" s="11" t="n">
        <v>126</v>
      </c>
      <c r="E80" s="11" t="n">
        <v>65</v>
      </c>
      <c r="F80" s="11" t="n">
        <v>36</v>
      </c>
      <c r="G80" s="11" t="n">
        <v>75</v>
      </c>
      <c r="H80" s="12" t="s">
        <v>12</v>
      </c>
    </row>
    <row r="81" customFormat="false" ht="13.8" hidden="false" customHeight="false" outlineLevel="0" collapsed="false">
      <c r="A81" s="10" t="s">
        <v>77</v>
      </c>
      <c r="B81" s="11" t="n">
        <v>9</v>
      </c>
      <c r="C81" s="11" t="s">
        <v>12</v>
      </c>
      <c r="D81" s="11" t="n">
        <v>8</v>
      </c>
      <c r="E81" s="11" t="n">
        <v>86</v>
      </c>
      <c r="F81" s="11" t="n">
        <v>36</v>
      </c>
      <c r="G81" s="11" t="n">
        <v>66</v>
      </c>
      <c r="H81" s="12" t="s">
        <v>12</v>
      </c>
    </row>
    <row r="82" customFormat="false" ht="13.8" hidden="false" customHeight="false" outlineLevel="0" collapsed="false">
      <c r="A82" s="10" t="s">
        <v>78</v>
      </c>
      <c r="B82" s="11" t="n">
        <v>92</v>
      </c>
      <c r="C82" s="11" t="s">
        <v>12</v>
      </c>
      <c r="D82" s="11" t="n">
        <v>30</v>
      </c>
      <c r="E82" s="11" t="n">
        <v>10</v>
      </c>
      <c r="F82" s="11" t="n">
        <v>11</v>
      </c>
      <c r="G82" s="11" t="n">
        <v>66</v>
      </c>
      <c r="H82" s="12" t="s">
        <v>12</v>
      </c>
    </row>
    <row r="83" customFormat="false" ht="13.8" hidden="false" customHeight="false" outlineLevel="0" collapsed="false">
      <c r="A83" s="10" t="s">
        <v>79</v>
      </c>
      <c r="B83" s="11" t="n">
        <v>2</v>
      </c>
      <c r="C83" s="11" t="s">
        <v>12</v>
      </c>
      <c r="D83" s="11" t="n">
        <v>37</v>
      </c>
      <c r="E83" s="11" t="n">
        <v>86</v>
      </c>
      <c r="F83" s="11" t="n">
        <v>17</v>
      </c>
      <c r="G83" s="11" t="n">
        <v>65</v>
      </c>
      <c r="H83" s="12" t="s">
        <v>12</v>
      </c>
    </row>
    <row r="84" customFormat="false" ht="13.8" hidden="false" customHeight="false" outlineLevel="0" collapsed="false">
      <c r="A84" s="10" t="s">
        <v>80</v>
      </c>
      <c r="B84" s="11" t="n">
        <v>148</v>
      </c>
      <c r="C84" s="11" t="s">
        <v>12</v>
      </c>
      <c r="D84" s="11" t="n">
        <v>79</v>
      </c>
      <c r="E84" s="11" t="n">
        <v>115</v>
      </c>
      <c r="F84" s="11" t="n">
        <v>44</v>
      </c>
      <c r="G84" s="11" t="n">
        <v>57</v>
      </c>
      <c r="H84" s="12" t="s">
        <v>12</v>
      </c>
    </row>
    <row r="85" customFormat="false" ht="13.8" hidden="false" customHeight="false" outlineLevel="0" collapsed="false">
      <c r="A85" s="10" t="s">
        <v>81</v>
      </c>
      <c r="B85" s="11" t="n">
        <v>1</v>
      </c>
      <c r="C85" s="11" t="s">
        <v>12</v>
      </c>
      <c r="D85" s="11" t="n">
        <v>4</v>
      </c>
      <c r="E85" s="11" t="n">
        <v>3</v>
      </c>
      <c r="F85" s="11" t="n">
        <v>11</v>
      </c>
      <c r="G85" s="11" t="n">
        <v>49</v>
      </c>
      <c r="H85" s="12" t="s">
        <v>12</v>
      </c>
    </row>
    <row r="86" customFormat="false" ht="13.8" hidden="false" customHeight="false" outlineLevel="0" collapsed="false">
      <c r="A86" s="10" t="s">
        <v>82</v>
      </c>
      <c r="B86" s="11" t="n">
        <v>2</v>
      </c>
      <c r="C86" s="11" t="s">
        <v>12</v>
      </c>
      <c r="D86" s="11" t="n">
        <v>978</v>
      </c>
      <c r="E86" s="11" t="n">
        <v>4841</v>
      </c>
      <c r="F86" s="11" t="n">
        <v>24</v>
      </c>
      <c r="G86" s="11" t="n">
        <v>47</v>
      </c>
      <c r="H86" s="12" t="s">
        <v>12</v>
      </c>
    </row>
    <row r="87" customFormat="false" ht="13.8" hidden="false" customHeight="false" outlineLevel="0" collapsed="false">
      <c r="A87" s="10" t="s">
        <v>83</v>
      </c>
      <c r="B87" s="11" t="n">
        <v>27</v>
      </c>
      <c r="C87" s="11" t="s">
        <v>12</v>
      </c>
      <c r="D87" s="11" t="n">
        <v>52</v>
      </c>
      <c r="E87" s="11" t="n">
        <v>144</v>
      </c>
      <c r="F87" s="11" t="n">
        <v>99</v>
      </c>
      <c r="G87" s="11" t="n">
        <v>46</v>
      </c>
      <c r="H87" s="12" t="s">
        <v>12</v>
      </c>
    </row>
    <row r="88" customFormat="false" ht="13.8" hidden="false" customHeight="false" outlineLevel="0" collapsed="false">
      <c r="A88" s="10" t="s">
        <v>84</v>
      </c>
      <c r="B88" s="11" t="n">
        <v>110</v>
      </c>
      <c r="C88" s="11" t="s">
        <v>12</v>
      </c>
      <c r="D88" s="11" t="n">
        <v>43</v>
      </c>
      <c r="E88" s="11" t="n">
        <v>54</v>
      </c>
      <c r="F88" s="11" t="n">
        <v>22</v>
      </c>
      <c r="G88" s="11" t="n">
        <v>44</v>
      </c>
      <c r="H88" s="12" t="s">
        <v>12</v>
      </c>
    </row>
    <row r="89" customFormat="false" ht="13.8" hidden="false" customHeight="false" outlineLevel="0" collapsed="false">
      <c r="A89" s="10" t="s">
        <v>85</v>
      </c>
      <c r="B89" s="11" t="n">
        <v>25</v>
      </c>
      <c r="C89" s="11" t="s">
        <v>12</v>
      </c>
      <c r="D89" s="11" t="n">
        <v>589</v>
      </c>
      <c r="E89" s="11" t="n">
        <v>1611</v>
      </c>
      <c r="F89" s="11" t="n">
        <v>286</v>
      </c>
      <c r="G89" s="11" t="n">
        <v>39</v>
      </c>
      <c r="H89" s="12" t="s">
        <v>12</v>
      </c>
    </row>
    <row r="90" customFormat="false" ht="13.8" hidden="false" customHeight="false" outlineLevel="0" collapsed="false">
      <c r="A90" s="10" t="s">
        <v>86</v>
      </c>
      <c r="B90" s="11" t="n">
        <v>60</v>
      </c>
      <c r="C90" s="11" t="s">
        <v>12</v>
      </c>
      <c r="D90" s="11" t="n">
        <v>53</v>
      </c>
      <c r="E90" s="11" t="n">
        <v>45</v>
      </c>
      <c r="F90" s="11" t="n">
        <v>132</v>
      </c>
      <c r="G90" s="11" t="n">
        <v>38</v>
      </c>
      <c r="H90" s="12" t="s">
        <v>12</v>
      </c>
    </row>
    <row r="91" customFormat="false" ht="13.8" hidden="false" customHeight="false" outlineLevel="0" collapsed="false">
      <c r="A91" s="10" t="s">
        <v>87</v>
      </c>
      <c r="B91" s="11" t="n">
        <v>26</v>
      </c>
      <c r="C91" s="11" t="s">
        <v>12</v>
      </c>
      <c r="D91" s="11" t="n">
        <v>6</v>
      </c>
      <c r="E91" s="11" t="n">
        <v>4</v>
      </c>
      <c r="F91" s="11" t="n">
        <v>11</v>
      </c>
      <c r="G91" s="11" t="n">
        <v>34</v>
      </c>
      <c r="H91" s="12" t="s">
        <v>12</v>
      </c>
    </row>
    <row r="92" customFormat="false" ht="13.8" hidden="false" customHeight="false" outlineLevel="0" collapsed="false">
      <c r="A92" s="10" t="s">
        <v>88</v>
      </c>
      <c r="B92" s="11" t="n">
        <v>1</v>
      </c>
      <c r="C92" s="11" t="s">
        <v>12</v>
      </c>
      <c r="D92" s="11" t="n">
        <v>25</v>
      </c>
      <c r="E92" s="11" t="n">
        <v>4</v>
      </c>
      <c r="F92" s="11" t="n">
        <v>12</v>
      </c>
      <c r="G92" s="11" t="n">
        <v>33</v>
      </c>
      <c r="H92" s="12" t="s">
        <v>12</v>
      </c>
    </row>
    <row r="93" customFormat="false" ht="13.8" hidden="false" customHeight="false" outlineLevel="0" collapsed="false">
      <c r="A93" s="10" t="s">
        <v>89</v>
      </c>
      <c r="B93" s="11" t="n">
        <v>20</v>
      </c>
      <c r="C93" s="11" t="s">
        <v>12</v>
      </c>
      <c r="D93" s="11" t="n">
        <v>25</v>
      </c>
      <c r="E93" s="11" t="n">
        <v>11</v>
      </c>
      <c r="F93" s="11" t="n">
        <v>12</v>
      </c>
      <c r="G93" s="11" t="n">
        <v>32</v>
      </c>
      <c r="H93" s="12" t="s">
        <v>12</v>
      </c>
    </row>
    <row r="94" customFormat="false" ht="13.8" hidden="false" customHeight="false" outlineLevel="0" collapsed="false">
      <c r="A94" s="10" t="s">
        <v>90</v>
      </c>
      <c r="B94" s="11" t="n">
        <v>0</v>
      </c>
      <c r="C94" s="11"/>
      <c r="D94" s="11" t="n">
        <v>0</v>
      </c>
      <c r="E94" s="11" t="n">
        <v>0</v>
      </c>
      <c r="F94" s="11" t="n">
        <v>0</v>
      </c>
      <c r="G94" s="11" t="n">
        <v>31</v>
      </c>
      <c r="H94" s="12" t="s">
        <v>12</v>
      </c>
    </row>
    <row r="95" customFormat="false" ht="13.8" hidden="false" customHeight="false" outlineLevel="0" collapsed="false">
      <c r="A95" s="10" t="s">
        <v>91</v>
      </c>
      <c r="B95" s="11" t="n">
        <v>10</v>
      </c>
      <c r="C95" s="11" t="s">
        <v>12</v>
      </c>
      <c r="D95" s="11" t="n">
        <v>77</v>
      </c>
      <c r="E95" s="11" t="n">
        <v>38</v>
      </c>
      <c r="F95" s="11" t="n">
        <v>31</v>
      </c>
      <c r="G95" s="11" t="n">
        <v>30</v>
      </c>
      <c r="H95" s="12" t="s">
        <v>12</v>
      </c>
    </row>
    <row r="96" customFormat="false" ht="13.8" hidden="false" customHeight="false" outlineLevel="0" collapsed="false">
      <c r="A96" s="10" t="s">
        <v>92</v>
      </c>
      <c r="B96" s="11" t="n">
        <v>414</v>
      </c>
      <c r="C96" s="11" t="s">
        <v>12</v>
      </c>
      <c r="D96" s="11" t="n">
        <v>314</v>
      </c>
      <c r="E96" s="11" t="n">
        <v>257</v>
      </c>
      <c r="F96" s="11" t="n">
        <v>647</v>
      </c>
      <c r="G96" s="11" t="n">
        <v>29</v>
      </c>
      <c r="H96" s="12" t="s">
        <v>12</v>
      </c>
    </row>
    <row r="97" customFormat="false" ht="13.8" hidden="false" customHeight="false" outlineLevel="0" collapsed="false">
      <c r="A97" s="10" t="s">
        <v>93</v>
      </c>
      <c r="B97" s="11" t="n">
        <v>6</v>
      </c>
      <c r="C97" s="11" t="s">
        <v>12</v>
      </c>
      <c r="D97" s="11" t="n">
        <v>3</v>
      </c>
      <c r="E97" s="11" t="n">
        <v>30</v>
      </c>
      <c r="F97" s="11" t="n">
        <v>5</v>
      </c>
      <c r="G97" s="11" t="n">
        <v>27</v>
      </c>
      <c r="H97" s="12" t="s">
        <v>12</v>
      </c>
    </row>
    <row r="98" customFormat="false" ht="13.8" hidden="false" customHeight="false" outlineLevel="0" collapsed="false">
      <c r="A98" s="10" t="s">
        <v>94</v>
      </c>
      <c r="B98" s="11" t="n">
        <v>10</v>
      </c>
      <c r="C98" s="11" t="s">
        <v>12</v>
      </c>
      <c r="D98" s="11" t="n">
        <v>41</v>
      </c>
      <c r="E98" s="11" t="n">
        <v>20</v>
      </c>
      <c r="F98" s="11" t="n">
        <v>71</v>
      </c>
      <c r="G98" s="11" t="n">
        <v>26</v>
      </c>
      <c r="H98" s="12" t="s">
        <v>12</v>
      </c>
    </row>
    <row r="99" customFormat="false" ht="13.8" hidden="false" customHeight="false" outlineLevel="0" collapsed="false">
      <c r="A99" s="10" t="s">
        <v>95</v>
      </c>
      <c r="B99" s="11" t="n">
        <v>49</v>
      </c>
      <c r="C99" s="11" t="s">
        <v>12</v>
      </c>
      <c r="D99" s="11" t="n">
        <v>21</v>
      </c>
      <c r="E99" s="11" t="n">
        <v>29</v>
      </c>
      <c r="F99" s="11" t="n">
        <v>42</v>
      </c>
      <c r="G99" s="11" t="n">
        <v>26</v>
      </c>
      <c r="H99" s="12" t="s">
        <v>12</v>
      </c>
    </row>
    <row r="100" customFormat="false" ht="13.8" hidden="false" customHeight="false" outlineLevel="0" collapsed="false">
      <c r="A100" s="10" t="s">
        <v>96</v>
      </c>
      <c r="B100" s="11" t="n">
        <v>11</v>
      </c>
      <c r="C100" s="11" t="s">
        <v>12</v>
      </c>
      <c r="D100" s="11" t="n">
        <v>23</v>
      </c>
      <c r="E100" s="11" t="n">
        <v>21</v>
      </c>
      <c r="F100" s="11" t="n">
        <v>26</v>
      </c>
      <c r="G100" s="11" t="n">
        <v>25</v>
      </c>
      <c r="H100" s="12" t="s">
        <v>12</v>
      </c>
    </row>
    <row r="101" customFormat="false" ht="13.8" hidden="false" customHeight="false" outlineLevel="0" collapsed="false">
      <c r="A101" s="10" t="s">
        <v>97</v>
      </c>
      <c r="B101" s="11"/>
      <c r="C101" s="11"/>
      <c r="D101" s="11" t="n">
        <v>17</v>
      </c>
      <c r="E101" s="11" t="n">
        <v>69</v>
      </c>
      <c r="F101" s="11" t="n">
        <v>39</v>
      </c>
      <c r="G101" s="11" t="n">
        <v>23</v>
      </c>
      <c r="H101" s="12" t="s">
        <v>12</v>
      </c>
    </row>
    <row r="102" customFormat="false" ht="13.8" hidden="false" customHeight="false" outlineLevel="0" collapsed="false">
      <c r="A102" s="10" t="s">
        <v>98</v>
      </c>
      <c r="B102" s="11" t="n">
        <v>66</v>
      </c>
      <c r="C102" s="11" t="s">
        <v>12</v>
      </c>
      <c r="D102" s="11" t="n">
        <v>45</v>
      </c>
      <c r="E102" s="11" t="n">
        <v>9</v>
      </c>
      <c r="F102" s="11" t="n">
        <v>38</v>
      </c>
      <c r="G102" s="11" t="n">
        <v>22</v>
      </c>
      <c r="H102" s="12" t="s">
        <v>12</v>
      </c>
    </row>
    <row r="103" customFormat="false" ht="13.8" hidden="false" customHeight="false" outlineLevel="0" collapsed="false">
      <c r="A103" s="10" t="s">
        <v>99</v>
      </c>
      <c r="B103" s="11" t="n">
        <v>81</v>
      </c>
      <c r="C103" s="11" t="s">
        <v>12</v>
      </c>
      <c r="D103" s="11" t="n">
        <v>44</v>
      </c>
      <c r="E103" s="11" t="n">
        <v>11</v>
      </c>
      <c r="F103" s="11" t="n">
        <v>3</v>
      </c>
      <c r="G103" s="11" t="n">
        <v>22</v>
      </c>
      <c r="H103" s="12" t="s">
        <v>12</v>
      </c>
    </row>
    <row r="104" customFormat="false" ht="13.8" hidden="false" customHeight="false" outlineLevel="0" collapsed="false">
      <c r="A104" s="10" t="s">
        <v>100</v>
      </c>
      <c r="B104" s="11" t="n">
        <v>141</v>
      </c>
      <c r="C104" s="11" t="s">
        <v>12</v>
      </c>
      <c r="D104" s="11" t="n">
        <v>35</v>
      </c>
      <c r="E104" s="11" t="n">
        <v>2</v>
      </c>
      <c r="F104" s="11" t="n">
        <v>54</v>
      </c>
      <c r="G104" s="11" t="n">
        <v>21</v>
      </c>
      <c r="H104" s="12" t="s">
        <v>12</v>
      </c>
    </row>
    <row r="105" customFormat="false" ht="13.8" hidden="false" customHeight="false" outlineLevel="0" collapsed="false">
      <c r="A105" s="10" t="s">
        <v>101</v>
      </c>
      <c r="B105" s="11" t="n">
        <v>4</v>
      </c>
      <c r="C105" s="11" t="s">
        <v>12</v>
      </c>
      <c r="D105" s="11" t="n">
        <v>1</v>
      </c>
      <c r="E105" s="11"/>
      <c r="F105" s="11" t="n">
        <v>14</v>
      </c>
      <c r="G105" s="11" t="n">
        <v>17</v>
      </c>
      <c r="H105" s="12" t="s">
        <v>12</v>
      </c>
    </row>
    <row r="106" customFormat="false" ht="13.8" hidden="false" customHeight="false" outlineLevel="0" collapsed="false">
      <c r="A106" s="10" t="s">
        <v>102</v>
      </c>
      <c r="B106" s="11" t="n">
        <v>86</v>
      </c>
      <c r="C106" s="11" t="s">
        <v>12</v>
      </c>
      <c r="D106" s="11" t="n">
        <v>37</v>
      </c>
      <c r="E106" s="11" t="n">
        <v>43</v>
      </c>
      <c r="F106" s="11" t="n">
        <v>39</v>
      </c>
      <c r="G106" s="11" t="n">
        <v>17</v>
      </c>
      <c r="H106" s="12" t="s">
        <v>12</v>
      </c>
    </row>
    <row r="107" customFormat="false" ht="13.8" hidden="false" customHeight="false" outlineLevel="0" collapsed="false">
      <c r="A107" s="10" t="s">
        <v>103</v>
      </c>
      <c r="B107" s="11" t="n">
        <v>9</v>
      </c>
      <c r="C107" s="11" t="s">
        <v>12</v>
      </c>
      <c r="D107" s="11" t="n">
        <v>5</v>
      </c>
      <c r="E107" s="11" t="n">
        <v>14</v>
      </c>
      <c r="F107" s="11" t="n">
        <v>38</v>
      </c>
      <c r="G107" s="11" t="n">
        <v>16</v>
      </c>
      <c r="H107" s="12" t="s">
        <v>12</v>
      </c>
    </row>
    <row r="108" customFormat="false" ht="13.8" hidden="false" customHeight="false" outlineLevel="0" collapsed="false">
      <c r="A108" s="10" t="s">
        <v>104</v>
      </c>
      <c r="B108" s="11" t="n">
        <v>74</v>
      </c>
      <c r="C108" s="11" t="s">
        <v>12</v>
      </c>
      <c r="D108" s="11" t="n">
        <v>27</v>
      </c>
      <c r="E108" s="11" t="n">
        <v>42</v>
      </c>
      <c r="F108" s="11" t="n">
        <v>14</v>
      </c>
      <c r="G108" s="11" t="n">
        <v>14</v>
      </c>
      <c r="H108" s="12" t="s">
        <v>12</v>
      </c>
    </row>
    <row r="109" customFormat="false" ht="13.8" hidden="false" customHeight="false" outlineLevel="0" collapsed="false">
      <c r="A109" s="10" t="s">
        <v>105</v>
      </c>
      <c r="B109" s="11" t="n">
        <v>5279</v>
      </c>
      <c r="C109" s="11" t="s">
        <v>12</v>
      </c>
      <c r="D109" s="11" t="n">
        <v>4203</v>
      </c>
      <c r="E109" s="11" t="n">
        <v>4706</v>
      </c>
      <c r="F109" s="11" t="n">
        <v>5079</v>
      </c>
      <c r="G109" s="11" t="n">
        <v>14</v>
      </c>
      <c r="H109" s="12" t="s">
        <v>12</v>
      </c>
    </row>
    <row r="110" customFormat="false" ht="13.8" hidden="false" customHeight="false" outlineLevel="0" collapsed="false">
      <c r="A110" s="10" t="s">
        <v>106</v>
      </c>
      <c r="B110" s="11" t="n">
        <v>0</v>
      </c>
      <c r="C110" s="11"/>
      <c r="D110" s="11" t="n">
        <v>4</v>
      </c>
      <c r="E110" s="11" t="n">
        <v>2</v>
      </c>
      <c r="F110" s="11" t="n">
        <v>42</v>
      </c>
      <c r="G110" s="11" t="n">
        <v>13</v>
      </c>
      <c r="H110" s="12" t="s">
        <v>12</v>
      </c>
    </row>
    <row r="111" customFormat="false" ht="13.8" hidden="false" customHeight="false" outlineLevel="0" collapsed="false">
      <c r="A111" s="10" t="s">
        <v>107</v>
      </c>
      <c r="B111" s="11" t="n">
        <v>0</v>
      </c>
      <c r="C111" s="11"/>
      <c r="D111" s="11" t="n">
        <v>459</v>
      </c>
      <c r="E111" s="11" t="n">
        <v>1748</v>
      </c>
      <c r="F111" s="11" t="n">
        <v>112</v>
      </c>
      <c r="G111" s="11" t="n">
        <v>13</v>
      </c>
      <c r="H111" s="12" t="s">
        <v>12</v>
      </c>
    </row>
    <row r="112" customFormat="false" ht="13.8" hidden="false" customHeight="false" outlineLevel="0" collapsed="false">
      <c r="A112" s="10" t="s">
        <v>108</v>
      </c>
      <c r="B112" s="11" t="n">
        <v>239</v>
      </c>
      <c r="C112" s="11" t="s">
        <v>12</v>
      </c>
      <c r="D112" s="11" t="s">
        <v>109</v>
      </c>
      <c r="E112" s="11" t="n">
        <v>65</v>
      </c>
      <c r="F112" s="11" t="n">
        <v>33</v>
      </c>
      <c r="G112" s="11" t="n">
        <v>12</v>
      </c>
      <c r="H112" s="12" t="s">
        <v>12</v>
      </c>
    </row>
    <row r="113" customFormat="false" ht="13.8" hidden="false" customHeight="false" outlineLevel="0" collapsed="false">
      <c r="A113" s="10" t="s">
        <v>110</v>
      </c>
      <c r="B113" s="11" t="n">
        <v>0</v>
      </c>
      <c r="C113" s="11" t="s">
        <v>12</v>
      </c>
      <c r="D113" s="11" t="n">
        <v>0</v>
      </c>
      <c r="E113" s="11" t="n">
        <v>0</v>
      </c>
      <c r="F113" s="11" t="n">
        <v>0</v>
      </c>
      <c r="G113" s="11" t="n">
        <v>12</v>
      </c>
      <c r="H113" s="12" t="s">
        <v>12</v>
      </c>
    </row>
    <row r="114" customFormat="false" ht="13.8" hidden="false" customHeight="false" outlineLevel="0" collapsed="false">
      <c r="A114" s="10" t="s">
        <v>111</v>
      </c>
      <c r="B114" s="11" t="n">
        <v>177</v>
      </c>
      <c r="C114" s="11" t="s">
        <v>12</v>
      </c>
      <c r="D114" s="11" t="n">
        <v>12</v>
      </c>
      <c r="E114" s="11" t="n">
        <v>50</v>
      </c>
      <c r="F114" s="11" t="n">
        <v>22</v>
      </c>
      <c r="G114" s="11" t="n">
        <v>12</v>
      </c>
      <c r="H114" s="12" t="s">
        <v>12</v>
      </c>
    </row>
    <row r="115" customFormat="false" ht="13.8" hidden="false" customHeight="false" outlineLevel="0" collapsed="false">
      <c r="A115" s="10" t="s">
        <v>112</v>
      </c>
      <c r="B115" s="11" t="n">
        <v>46</v>
      </c>
      <c r="C115" s="11" t="s">
        <v>12</v>
      </c>
      <c r="D115" s="11" t="n">
        <v>87</v>
      </c>
      <c r="E115" s="11" t="n">
        <v>47</v>
      </c>
      <c r="F115" s="11" t="n">
        <v>56</v>
      </c>
      <c r="G115" s="11" t="n">
        <v>12</v>
      </c>
      <c r="H115" s="12" t="s">
        <v>12</v>
      </c>
    </row>
    <row r="116" customFormat="false" ht="13.8" hidden="false" customHeight="false" outlineLevel="0" collapsed="false">
      <c r="A116" s="10" t="s">
        <v>113</v>
      </c>
      <c r="B116" s="11" t="n">
        <v>45</v>
      </c>
      <c r="C116" s="11" t="s">
        <v>12</v>
      </c>
      <c r="D116" s="11" t="n">
        <v>70</v>
      </c>
      <c r="E116" s="11" t="n">
        <v>78</v>
      </c>
      <c r="F116" s="11" t="n">
        <v>24</v>
      </c>
      <c r="G116" s="11" t="n">
        <v>11</v>
      </c>
      <c r="H116" s="12" t="s">
        <v>12</v>
      </c>
    </row>
    <row r="117" customFormat="false" ht="13.8" hidden="false" customHeight="false" outlineLevel="0" collapsed="false">
      <c r="A117" s="10" t="s">
        <v>114</v>
      </c>
      <c r="B117" s="11" t="n">
        <v>60</v>
      </c>
      <c r="C117" s="11" t="s">
        <v>12</v>
      </c>
      <c r="D117" s="11" t="n">
        <v>39</v>
      </c>
      <c r="E117" s="11" t="n">
        <v>22</v>
      </c>
      <c r="F117" s="11" t="n">
        <v>36</v>
      </c>
      <c r="G117" s="11" t="n">
        <v>11</v>
      </c>
      <c r="H117" s="12" t="s">
        <v>12</v>
      </c>
    </row>
    <row r="118" customFormat="false" ht="13.8" hidden="false" customHeight="false" outlineLevel="0" collapsed="false">
      <c r="A118" s="10" t="s">
        <v>115</v>
      </c>
      <c r="B118" s="11" t="n">
        <v>2</v>
      </c>
      <c r="C118" s="11" t="s">
        <v>12</v>
      </c>
      <c r="D118" s="11" t="n">
        <v>3</v>
      </c>
      <c r="E118" s="11" t="n">
        <v>3</v>
      </c>
      <c r="F118" s="11" t="n">
        <v>4</v>
      </c>
      <c r="G118" s="11" t="n">
        <v>10</v>
      </c>
      <c r="H118" s="12" t="s">
        <v>12</v>
      </c>
    </row>
    <row r="119" customFormat="false" ht="13.8" hidden="false" customHeight="false" outlineLevel="0" collapsed="false">
      <c r="A119" s="10" t="s">
        <v>116</v>
      </c>
      <c r="B119" s="11" t="n">
        <v>1</v>
      </c>
      <c r="C119" s="11" t="s">
        <v>12</v>
      </c>
      <c r="D119" s="11" t="n">
        <v>3</v>
      </c>
      <c r="E119" s="11" t="n">
        <v>6</v>
      </c>
      <c r="F119" s="11" t="n">
        <v>7</v>
      </c>
      <c r="G119" s="11" t="n">
        <v>9</v>
      </c>
      <c r="H119" s="12" t="s">
        <v>12</v>
      </c>
    </row>
    <row r="120" customFormat="false" ht="13.8" hidden="false" customHeight="false" outlineLevel="0" collapsed="false">
      <c r="A120" s="10" t="s">
        <v>117</v>
      </c>
      <c r="B120" s="11" t="n">
        <v>14</v>
      </c>
      <c r="C120" s="11" t="s">
        <v>12</v>
      </c>
      <c r="D120" s="11" t="n">
        <v>11</v>
      </c>
      <c r="E120" s="11" t="n">
        <v>7</v>
      </c>
      <c r="F120" s="11" t="n">
        <v>10</v>
      </c>
      <c r="G120" s="11" t="n">
        <v>9</v>
      </c>
      <c r="H120" s="12" t="s">
        <v>12</v>
      </c>
    </row>
    <row r="121" customFormat="false" ht="13.8" hidden="false" customHeight="false" outlineLevel="0" collapsed="false">
      <c r="A121" s="10" t="s">
        <v>118</v>
      </c>
      <c r="B121" s="11" t="n">
        <v>84</v>
      </c>
      <c r="C121" s="11" t="s">
        <v>12</v>
      </c>
      <c r="D121" s="11" t="n">
        <v>200</v>
      </c>
      <c r="E121" s="11" t="n">
        <v>209</v>
      </c>
      <c r="F121" s="11" t="n">
        <v>199</v>
      </c>
      <c r="G121" s="11" t="n">
        <v>9</v>
      </c>
      <c r="H121" s="12" t="s">
        <v>12</v>
      </c>
    </row>
    <row r="122" customFormat="false" ht="13.8" hidden="false" customHeight="false" outlineLevel="0" collapsed="false">
      <c r="A122" s="10" t="s">
        <v>119</v>
      </c>
      <c r="B122" s="11" t="n">
        <v>34</v>
      </c>
      <c r="C122" s="11" t="s">
        <v>12</v>
      </c>
      <c r="D122" s="11" t="n">
        <v>24</v>
      </c>
      <c r="E122" s="11" t="n">
        <v>1760</v>
      </c>
      <c r="F122" s="11" t="n">
        <v>11</v>
      </c>
      <c r="G122" s="11" t="n">
        <v>8</v>
      </c>
      <c r="H122" s="12" t="s">
        <v>12</v>
      </c>
    </row>
    <row r="123" customFormat="false" ht="13.8" hidden="false" customHeight="false" outlineLevel="0" collapsed="false">
      <c r="A123" s="10" t="s">
        <v>120</v>
      </c>
      <c r="B123" s="11" t="n">
        <v>3</v>
      </c>
      <c r="C123" s="11" t="s">
        <v>12</v>
      </c>
      <c r="D123" s="11" t="n">
        <v>2</v>
      </c>
      <c r="E123" s="11" t="n">
        <v>5</v>
      </c>
      <c r="F123" s="11" t="n">
        <v>43</v>
      </c>
      <c r="G123" s="11" t="n">
        <v>8</v>
      </c>
      <c r="H123" s="12" t="s">
        <v>12</v>
      </c>
    </row>
    <row r="124" customFormat="false" ht="13.8" hidden="false" customHeight="false" outlineLevel="0" collapsed="false">
      <c r="A124" s="10" t="s">
        <v>121</v>
      </c>
      <c r="B124" s="11" t="n">
        <v>1</v>
      </c>
      <c r="C124" s="11" t="s">
        <v>12</v>
      </c>
      <c r="D124" s="11" t="n">
        <v>2</v>
      </c>
      <c r="E124" s="11" t="n">
        <v>1</v>
      </c>
      <c r="F124" s="11" t="n">
        <v>2</v>
      </c>
      <c r="G124" s="11" t="n">
        <v>7</v>
      </c>
      <c r="H124" s="12" t="s">
        <v>12</v>
      </c>
    </row>
    <row r="125" customFormat="false" ht="13.8" hidden="false" customHeight="false" outlineLevel="0" collapsed="false">
      <c r="A125" s="10" t="s">
        <v>122</v>
      </c>
      <c r="B125" s="11" t="n">
        <v>6</v>
      </c>
      <c r="C125" s="11" t="s">
        <v>12</v>
      </c>
      <c r="D125" s="11" t="n">
        <v>5</v>
      </c>
      <c r="E125" s="11" t="n">
        <v>9</v>
      </c>
      <c r="F125" s="11" t="n">
        <v>14</v>
      </c>
      <c r="G125" s="11" t="n">
        <v>7</v>
      </c>
      <c r="H125" s="12" t="s">
        <v>12</v>
      </c>
    </row>
    <row r="126" customFormat="false" ht="13.8" hidden="false" customHeight="false" outlineLevel="0" collapsed="false">
      <c r="A126" s="10" t="s">
        <v>123</v>
      </c>
      <c r="B126" s="11"/>
      <c r="C126" s="11"/>
      <c r="D126" s="11"/>
      <c r="E126" s="11"/>
      <c r="F126" s="11"/>
      <c r="G126" s="11" t="n">
        <v>7</v>
      </c>
      <c r="H126" s="12" t="s">
        <v>12</v>
      </c>
    </row>
    <row r="127" customFormat="false" ht="13.8" hidden="false" customHeight="false" outlineLevel="0" collapsed="false">
      <c r="A127" s="10" t="s">
        <v>124</v>
      </c>
      <c r="B127" s="11"/>
      <c r="C127" s="11"/>
      <c r="D127" s="11"/>
      <c r="E127" s="11"/>
      <c r="F127" s="11" t="n">
        <v>23</v>
      </c>
      <c r="G127" s="11" t="n">
        <v>7</v>
      </c>
      <c r="H127" s="12" t="s">
        <v>12</v>
      </c>
    </row>
    <row r="128" customFormat="false" ht="13.8" hidden="false" customHeight="false" outlineLevel="0" collapsed="false">
      <c r="A128" s="10" t="s">
        <v>125</v>
      </c>
      <c r="B128" s="11" t="n">
        <v>0</v>
      </c>
      <c r="C128" s="11" t="s">
        <v>126</v>
      </c>
      <c r="D128" s="11" t="n">
        <v>13</v>
      </c>
      <c r="E128" s="11" t="n">
        <v>9</v>
      </c>
      <c r="F128" s="11" t="n">
        <v>13</v>
      </c>
      <c r="G128" s="11" t="n">
        <v>6</v>
      </c>
      <c r="H128" s="12" t="s">
        <v>12</v>
      </c>
    </row>
    <row r="129" customFormat="false" ht="13.8" hidden="false" customHeight="false" outlineLevel="0" collapsed="false">
      <c r="A129" s="10" t="s">
        <v>127</v>
      </c>
      <c r="B129" s="11" t="n">
        <v>12</v>
      </c>
      <c r="C129" s="11" t="s">
        <v>12</v>
      </c>
      <c r="D129" s="11" t="n">
        <v>4</v>
      </c>
      <c r="E129" s="11" t="n">
        <v>3</v>
      </c>
      <c r="F129" s="11" t="n">
        <v>2</v>
      </c>
      <c r="G129" s="11" t="n">
        <v>6</v>
      </c>
      <c r="H129" s="12" t="s">
        <v>12</v>
      </c>
    </row>
    <row r="130" customFormat="false" ht="13.8" hidden="false" customHeight="false" outlineLevel="0" collapsed="false">
      <c r="A130" s="10" t="s">
        <v>128</v>
      </c>
      <c r="B130" s="11" t="n">
        <v>10</v>
      </c>
      <c r="C130" s="11" t="s">
        <v>12</v>
      </c>
      <c r="D130" s="11" t="n">
        <v>5</v>
      </c>
      <c r="E130" s="11" t="n">
        <v>12</v>
      </c>
      <c r="F130" s="11" t="n">
        <v>60</v>
      </c>
      <c r="G130" s="11" t="n">
        <v>6</v>
      </c>
      <c r="H130" s="12" t="s">
        <v>12</v>
      </c>
    </row>
    <row r="131" customFormat="false" ht="13.8" hidden="false" customHeight="false" outlineLevel="0" collapsed="false">
      <c r="A131" s="10" t="s">
        <v>129</v>
      </c>
      <c r="B131" s="11" t="n">
        <v>12</v>
      </c>
      <c r="C131" s="11" t="s">
        <v>12</v>
      </c>
      <c r="D131" s="11" t="n">
        <v>4</v>
      </c>
      <c r="E131" s="11" t="n">
        <v>5</v>
      </c>
      <c r="F131" s="11" t="n">
        <v>6</v>
      </c>
      <c r="G131" s="11" t="n">
        <v>6</v>
      </c>
      <c r="H131" s="12" t="s">
        <v>12</v>
      </c>
    </row>
    <row r="132" customFormat="false" ht="13.8" hidden="false" customHeight="false" outlineLevel="0" collapsed="false">
      <c r="A132" s="10" t="s">
        <v>130</v>
      </c>
      <c r="B132" s="11" t="n">
        <v>1942</v>
      </c>
      <c r="C132" s="11" t="s">
        <v>12</v>
      </c>
      <c r="D132" s="11" t="n">
        <v>1539</v>
      </c>
      <c r="E132" s="11" t="n">
        <v>1968</v>
      </c>
      <c r="F132" s="11" t="n">
        <v>1777</v>
      </c>
      <c r="G132" s="11" t="n">
        <v>5</v>
      </c>
      <c r="H132" s="12" t="s">
        <v>12</v>
      </c>
    </row>
    <row r="133" customFormat="false" ht="13.8" hidden="false" customHeight="false" outlineLevel="0" collapsed="false">
      <c r="A133" s="10" t="s">
        <v>131</v>
      </c>
      <c r="B133" s="11" t="n">
        <v>0</v>
      </c>
      <c r="C133" s="11"/>
      <c r="D133" s="11" t="n">
        <v>0</v>
      </c>
      <c r="E133" s="11" t="n">
        <v>0</v>
      </c>
      <c r="F133" s="11" t="n">
        <v>1</v>
      </c>
      <c r="G133" s="11" t="n">
        <v>4</v>
      </c>
      <c r="H133" s="12" t="s">
        <v>12</v>
      </c>
    </row>
    <row r="134" customFormat="false" ht="13.8" hidden="false" customHeight="false" outlineLevel="0" collapsed="false">
      <c r="A134" s="10" t="s">
        <v>132</v>
      </c>
      <c r="B134" s="11" t="n">
        <v>2</v>
      </c>
      <c r="C134" s="11" t="s">
        <v>12</v>
      </c>
      <c r="D134" s="11" t="n">
        <v>1</v>
      </c>
      <c r="E134" s="11" t="n">
        <v>5</v>
      </c>
      <c r="F134" s="11" t="n">
        <v>2</v>
      </c>
      <c r="G134" s="11" t="n">
        <v>4</v>
      </c>
      <c r="H134" s="12" t="s">
        <v>12</v>
      </c>
    </row>
    <row r="135" customFormat="false" ht="13.8" hidden="false" customHeight="false" outlineLevel="0" collapsed="false">
      <c r="A135" s="10" t="s">
        <v>133</v>
      </c>
      <c r="B135" s="11" t="n">
        <v>1</v>
      </c>
      <c r="C135" s="11" t="s">
        <v>12</v>
      </c>
      <c r="D135" s="11" t="n">
        <v>2</v>
      </c>
      <c r="E135" s="11" t="n">
        <v>4</v>
      </c>
      <c r="F135" s="11" t="n">
        <v>3</v>
      </c>
      <c r="G135" s="11" t="n">
        <v>4</v>
      </c>
      <c r="H135" s="12" t="s">
        <v>12</v>
      </c>
    </row>
    <row r="136" customFormat="false" ht="13.8" hidden="false" customHeight="false" outlineLevel="0" collapsed="false">
      <c r="A136" s="10" t="s">
        <v>134</v>
      </c>
      <c r="B136" s="11" t="n">
        <v>1</v>
      </c>
      <c r="C136" s="11" t="s">
        <v>12</v>
      </c>
      <c r="D136" s="11" t="n">
        <v>58</v>
      </c>
      <c r="E136" s="11" t="n">
        <v>3</v>
      </c>
      <c r="F136" s="11" t="n">
        <v>15</v>
      </c>
      <c r="G136" s="11" t="n">
        <v>4</v>
      </c>
      <c r="H136" s="12" t="s">
        <v>12</v>
      </c>
    </row>
    <row r="137" customFormat="false" ht="13.8" hidden="false" customHeight="false" outlineLevel="0" collapsed="false">
      <c r="A137" s="10" t="s">
        <v>135</v>
      </c>
      <c r="B137" s="11" t="n">
        <v>102</v>
      </c>
      <c r="C137" s="11" t="s">
        <v>12</v>
      </c>
      <c r="D137" s="11" t="n">
        <v>77</v>
      </c>
      <c r="E137" s="11" t="n">
        <v>125</v>
      </c>
      <c r="F137" s="11" t="n">
        <v>95</v>
      </c>
      <c r="G137" s="11" t="n">
        <v>3</v>
      </c>
      <c r="H137" s="12" t="s">
        <v>12</v>
      </c>
    </row>
    <row r="138" customFormat="false" ht="13.8" hidden="false" customHeight="false" outlineLevel="0" collapsed="false">
      <c r="A138" s="10" t="s">
        <v>136</v>
      </c>
      <c r="B138" s="11" t="n">
        <v>1</v>
      </c>
      <c r="C138" s="11" t="s">
        <v>12</v>
      </c>
      <c r="D138" s="11" t="n">
        <v>3</v>
      </c>
      <c r="E138" s="11" t="n">
        <v>2</v>
      </c>
      <c r="F138" s="11" t="n">
        <v>1</v>
      </c>
      <c r="G138" s="11" t="n">
        <v>3</v>
      </c>
      <c r="H138" s="12" t="s">
        <v>12</v>
      </c>
    </row>
    <row r="139" customFormat="false" ht="13.8" hidden="false" customHeight="false" outlineLevel="0" collapsed="false">
      <c r="A139" s="10" t="s">
        <v>137</v>
      </c>
      <c r="B139" s="11" t="n">
        <v>26</v>
      </c>
      <c r="C139" s="11" t="s">
        <v>12</v>
      </c>
      <c r="D139" s="11" t="n">
        <v>53</v>
      </c>
      <c r="E139" s="11" t="n">
        <v>10</v>
      </c>
      <c r="F139" s="11" t="n">
        <v>6</v>
      </c>
      <c r="G139" s="11" t="n">
        <v>3</v>
      </c>
      <c r="H139" s="12" t="s">
        <v>12</v>
      </c>
    </row>
    <row r="140" customFormat="false" ht="13.8" hidden="false" customHeight="false" outlineLevel="0" collapsed="false">
      <c r="A140" s="10" t="s">
        <v>138</v>
      </c>
      <c r="B140" s="11" t="n">
        <v>33</v>
      </c>
      <c r="C140" s="11" t="s">
        <v>12</v>
      </c>
      <c r="D140" s="11" t="n">
        <v>6</v>
      </c>
      <c r="E140" s="11" t="n">
        <v>8</v>
      </c>
      <c r="F140" s="11" t="n">
        <v>3</v>
      </c>
      <c r="G140" s="11" t="n">
        <v>2</v>
      </c>
      <c r="H140" s="12" t="s">
        <v>12</v>
      </c>
    </row>
    <row r="141" customFormat="false" ht="13.8" hidden="false" customHeight="false" outlineLevel="0" collapsed="false">
      <c r="A141" s="10" t="s">
        <v>139</v>
      </c>
      <c r="B141" s="11" t="n">
        <v>2</v>
      </c>
      <c r="C141" s="11" t="s">
        <v>12</v>
      </c>
      <c r="D141" s="11" t="n">
        <v>14</v>
      </c>
      <c r="E141" s="11" t="n">
        <v>3</v>
      </c>
      <c r="F141" s="11" t="n">
        <v>40</v>
      </c>
      <c r="G141" s="11" t="n">
        <v>2</v>
      </c>
      <c r="H141" s="12" t="s">
        <v>12</v>
      </c>
    </row>
    <row r="142" customFormat="false" ht="13.8" hidden="false" customHeight="false" outlineLevel="0" collapsed="false">
      <c r="A142" s="10" t="s">
        <v>140</v>
      </c>
      <c r="B142" s="11" t="n">
        <v>0</v>
      </c>
      <c r="C142" s="11" t="s">
        <v>12</v>
      </c>
      <c r="D142" s="11" t="n">
        <v>0</v>
      </c>
      <c r="E142" s="11" t="n">
        <v>0</v>
      </c>
      <c r="F142" s="11" t="n">
        <v>0</v>
      </c>
      <c r="G142" s="11" t="n">
        <v>2</v>
      </c>
      <c r="H142" s="12" t="s">
        <v>12</v>
      </c>
    </row>
    <row r="143" customFormat="false" ht="13.8" hidden="false" customHeight="false" outlineLevel="0" collapsed="false">
      <c r="A143" s="10" t="s">
        <v>141</v>
      </c>
      <c r="B143" s="11" t="n">
        <v>3</v>
      </c>
      <c r="C143" s="11" t="s">
        <v>12</v>
      </c>
      <c r="D143" s="11" t="n">
        <v>2</v>
      </c>
      <c r="E143" s="11" t="n">
        <v>0</v>
      </c>
      <c r="F143" s="11" t="n">
        <v>0</v>
      </c>
      <c r="G143" s="11" t="n">
        <v>2</v>
      </c>
      <c r="H143" s="12" t="s">
        <v>12</v>
      </c>
    </row>
    <row r="144" customFormat="false" ht="13.8" hidden="false" customHeight="false" outlineLevel="0" collapsed="false">
      <c r="A144" s="10" t="s">
        <v>142</v>
      </c>
      <c r="B144" s="11" t="n">
        <v>0</v>
      </c>
      <c r="C144" s="11"/>
      <c r="D144" s="11" t="n">
        <v>3</v>
      </c>
      <c r="E144" s="11" t="n">
        <v>7</v>
      </c>
      <c r="F144" s="11" t="n">
        <v>0</v>
      </c>
      <c r="G144" s="11" t="n">
        <v>2</v>
      </c>
      <c r="H144" s="12" t="s">
        <v>12</v>
      </c>
    </row>
    <row r="145" customFormat="false" ht="13.8" hidden="false" customHeight="false" outlineLevel="0" collapsed="false">
      <c r="A145" s="10" t="s">
        <v>143</v>
      </c>
      <c r="B145" s="11" t="n">
        <v>0</v>
      </c>
      <c r="C145" s="11"/>
      <c r="D145" s="11" t="n">
        <v>0</v>
      </c>
      <c r="E145" s="11" t="n">
        <v>0</v>
      </c>
      <c r="F145" s="11" t="n">
        <v>1</v>
      </c>
      <c r="G145" s="11" t="n">
        <v>2</v>
      </c>
      <c r="H145" s="12" t="s">
        <v>12</v>
      </c>
    </row>
    <row r="146" customFormat="false" ht="13.8" hidden="false" customHeight="false" outlineLevel="0" collapsed="false">
      <c r="A146" s="10" t="s">
        <v>144</v>
      </c>
      <c r="B146" s="11" t="n">
        <v>4</v>
      </c>
      <c r="C146" s="11" t="s">
        <v>12</v>
      </c>
      <c r="D146" s="11" t="n">
        <v>5</v>
      </c>
      <c r="E146" s="11" t="n">
        <v>4</v>
      </c>
      <c r="F146" s="11" t="n">
        <v>2</v>
      </c>
      <c r="G146" s="11" t="n">
        <v>1</v>
      </c>
      <c r="H146" s="12" t="s">
        <v>12</v>
      </c>
    </row>
    <row r="147" customFormat="false" ht="13.8" hidden="false" customHeight="false" outlineLevel="0" collapsed="false">
      <c r="A147" s="10" t="s">
        <v>145</v>
      </c>
      <c r="B147" s="11" t="n">
        <v>4</v>
      </c>
      <c r="C147" s="11" t="s">
        <v>12</v>
      </c>
      <c r="D147" s="11" t="n">
        <v>3</v>
      </c>
      <c r="E147" s="11" t="n">
        <v>2</v>
      </c>
      <c r="F147" s="11" t="n">
        <v>1</v>
      </c>
      <c r="G147" s="11" t="n">
        <v>1</v>
      </c>
      <c r="H147" s="12" t="s">
        <v>12</v>
      </c>
    </row>
    <row r="148" customFormat="false" ht="13.8" hidden="false" customHeight="false" outlineLevel="0" collapsed="false">
      <c r="A148" s="10" t="s">
        <v>146</v>
      </c>
      <c r="B148" s="11" t="n">
        <v>18</v>
      </c>
      <c r="C148" s="11" t="s">
        <v>12</v>
      </c>
      <c r="D148" s="11" t="n">
        <v>4</v>
      </c>
      <c r="E148" s="11" t="n">
        <v>10</v>
      </c>
      <c r="F148" s="11" t="n">
        <v>7</v>
      </c>
      <c r="G148" s="11" t="n">
        <v>1</v>
      </c>
      <c r="H148" s="12" t="s">
        <v>12</v>
      </c>
    </row>
    <row r="149" customFormat="false" ht="13.8" hidden="false" customHeight="false" outlineLevel="0" collapsed="false">
      <c r="A149" s="10" t="s">
        <v>147</v>
      </c>
      <c r="B149" s="11" t="n">
        <v>24</v>
      </c>
      <c r="C149" s="11" t="s">
        <v>12</v>
      </c>
      <c r="D149" s="11" t="n">
        <v>10</v>
      </c>
      <c r="E149" s="11" t="n">
        <v>18</v>
      </c>
      <c r="F149" s="11" t="n">
        <v>3</v>
      </c>
      <c r="G149" s="11" t="n">
        <v>1</v>
      </c>
      <c r="H149" s="12" t="s">
        <v>12</v>
      </c>
    </row>
    <row r="150" customFormat="false" ht="13.8" hidden="false" customHeight="false" outlineLevel="0" collapsed="false">
      <c r="A150" s="10" t="s">
        <v>148</v>
      </c>
      <c r="B150" s="11"/>
      <c r="C150" s="11"/>
      <c r="D150" s="11"/>
      <c r="E150" s="11"/>
      <c r="F150" s="11"/>
      <c r="G150" s="11" t="n">
        <v>1</v>
      </c>
      <c r="H150" s="12" t="s">
        <v>12</v>
      </c>
    </row>
    <row r="151" customFormat="false" ht="13.8" hidden="false" customHeight="false" outlineLevel="0" collapsed="false">
      <c r="A151" s="10" t="s">
        <v>149</v>
      </c>
      <c r="B151" s="11" t="n">
        <v>2</v>
      </c>
      <c r="C151" s="11" t="s">
        <v>12</v>
      </c>
      <c r="D151" s="11" t="n">
        <v>3</v>
      </c>
      <c r="E151" s="11" t="n">
        <v>1</v>
      </c>
      <c r="F151" s="11" t="n">
        <v>1</v>
      </c>
      <c r="G151" s="11" t="n">
        <v>1</v>
      </c>
      <c r="H151" s="12" t="s">
        <v>12</v>
      </c>
    </row>
    <row r="152" customFormat="false" ht="13.8" hidden="false" customHeight="false" outlineLevel="0" collapsed="false">
      <c r="A152" s="10" t="s">
        <v>150</v>
      </c>
      <c r="B152" s="11" t="n">
        <v>1</v>
      </c>
      <c r="C152" s="11" t="s">
        <v>12</v>
      </c>
      <c r="D152" s="11" t="n">
        <v>1</v>
      </c>
      <c r="E152" s="11" t="n">
        <v>0</v>
      </c>
      <c r="F152" s="11" t="n">
        <v>0</v>
      </c>
      <c r="G152" s="11" t="n">
        <v>1</v>
      </c>
      <c r="H152" s="12" t="s">
        <v>12</v>
      </c>
    </row>
    <row r="153" customFormat="false" ht="13.8" hidden="false" customHeight="false" outlineLevel="0" collapsed="false">
      <c r="A153" s="10" t="s">
        <v>151</v>
      </c>
      <c r="B153" s="11" t="n">
        <v>0</v>
      </c>
      <c r="C153" s="11"/>
      <c r="D153" s="11" t="n">
        <v>1</v>
      </c>
      <c r="E153" s="11" t="n">
        <v>89</v>
      </c>
      <c r="F153" s="11" t="n">
        <v>36</v>
      </c>
      <c r="G153" s="11" t="n">
        <v>1</v>
      </c>
      <c r="H153" s="12" t="s">
        <v>12</v>
      </c>
    </row>
    <row r="154" customFormat="false" ht="13.8" hidden="false" customHeight="false" outlineLevel="0" collapsed="false">
      <c r="A154" s="10" t="s">
        <v>152</v>
      </c>
      <c r="B154" s="11" t="n">
        <v>0</v>
      </c>
      <c r="C154" s="11"/>
      <c r="D154" s="11" t="n">
        <v>0</v>
      </c>
      <c r="E154" s="11" t="n">
        <v>0</v>
      </c>
      <c r="F154" s="11" t="n">
        <v>0</v>
      </c>
      <c r="G154" s="11" t="n">
        <v>1</v>
      </c>
      <c r="H154" s="12" t="s">
        <v>12</v>
      </c>
    </row>
    <row r="155" customFormat="false" ht="13.8" hidden="false" customHeight="false" outlineLevel="0" collapsed="false">
      <c r="A155" s="10" t="s">
        <v>153</v>
      </c>
      <c r="B155" s="11" t="n">
        <v>30</v>
      </c>
      <c r="C155" s="11" t="s">
        <v>12</v>
      </c>
      <c r="D155" s="11" t="n">
        <v>12</v>
      </c>
      <c r="E155" s="11" t="n">
        <v>18</v>
      </c>
      <c r="F155" s="11" t="n">
        <v>10</v>
      </c>
      <c r="G155" s="11" t="n">
        <v>1</v>
      </c>
      <c r="H155" s="12" t="s">
        <v>12</v>
      </c>
    </row>
    <row r="156" customFormat="false" ht="13.8" hidden="false" customHeight="false" outlineLevel="0" collapsed="false">
      <c r="A156" s="10" t="s">
        <v>154</v>
      </c>
      <c r="B156" s="11" t="n">
        <v>11</v>
      </c>
      <c r="C156" s="11" t="s">
        <v>12</v>
      </c>
      <c r="D156" s="11" t="n">
        <v>0</v>
      </c>
      <c r="E156" s="11" t="n">
        <v>2</v>
      </c>
      <c r="F156" s="11" t="n">
        <v>4</v>
      </c>
      <c r="G156" s="11" t="n">
        <v>1</v>
      </c>
      <c r="H156" s="12" t="s">
        <v>12</v>
      </c>
    </row>
    <row r="157" customFormat="false" ht="13.8" hidden="false" customHeight="false" outlineLevel="0" collapsed="false">
      <c r="A157" s="10" t="s">
        <v>155</v>
      </c>
      <c r="B157" s="11" t="n">
        <v>0</v>
      </c>
      <c r="C157" s="11" t="s">
        <v>12</v>
      </c>
      <c r="D157" s="11" t="n">
        <v>0</v>
      </c>
      <c r="E157" s="11" t="n">
        <v>0</v>
      </c>
      <c r="F157" s="11" t="n">
        <v>0</v>
      </c>
      <c r="G157" s="11" t="n">
        <v>1</v>
      </c>
      <c r="H157" s="12" t="s">
        <v>12</v>
      </c>
    </row>
    <row r="158" customFormat="false" ht="13.8" hidden="false" customHeight="false" outlineLevel="0" collapsed="false">
      <c r="A158" s="10" t="s">
        <v>156</v>
      </c>
      <c r="B158" s="11" t="n">
        <v>1</v>
      </c>
      <c r="C158" s="11" t="s">
        <v>12</v>
      </c>
      <c r="D158" s="11" t="n">
        <v>13</v>
      </c>
      <c r="E158" s="11" t="n">
        <v>5</v>
      </c>
      <c r="F158" s="11" t="n">
        <v>20</v>
      </c>
      <c r="G158" s="11" t="n">
        <v>1</v>
      </c>
      <c r="H158" s="12" t="s">
        <v>12</v>
      </c>
    </row>
    <row r="159" customFormat="false" ht="13.8" hidden="false" customHeight="false" outlineLevel="0" collapsed="false">
      <c r="A159" s="10" t="s">
        <v>157</v>
      </c>
      <c r="B159" s="11"/>
      <c r="C159" s="11"/>
      <c r="D159" s="11"/>
      <c r="E159" s="11" t="n">
        <v>0</v>
      </c>
      <c r="F159" s="11"/>
      <c r="G159" s="11" t="n">
        <v>1</v>
      </c>
      <c r="H159" s="12" t="s">
        <v>12</v>
      </c>
    </row>
    <row r="160" customFormat="false" ht="13.8" hidden="false" customHeight="false" outlineLevel="0" collapsed="false">
      <c r="A160" s="10" t="s">
        <v>158</v>
      </c>
      <c r="B160" s="11" t="n">
        <v>25</v>
      </c>
      <c r="C160" s="11" t="s">
        <v>12</v>
      </c>
      <c r="D160" s="11" t="n">
        <v>18</v>
      </c>
      <c r="E160" s="11" t="n">
        <v>20</v>
      </c>
      <c r="F160" s="11" t="n">
        <v>88</v>
      </c>
      <c r="G160" s="11" t="n">
        <v>1</v>
      </c>
      <c r="H160" s="12" t="s">
        <v>12</v>
      </c>
    </row>
    <row r="161" customFormat="false" ht="13.8" hidden="false" customHeight="false" outlineLevel="0" collapsed="false">
      <c r="A161" s="10" t="s">
        <v>159</v>
      </c>
      <c r="B161" s="11" t="n">
        <v>0</v>
      </c>
      <c r="C161" s="11" t="s">
        <v>12</v>
      </c>
      <c r="D161" s="11" t="n">
        <v>0</v>
      </c>
      <c r="E161" s="11" t="n">
        <v>0</v>
      </c>
      <c r="F161" s="11" t="n">
        <v>1</v>
      </c>
      <c r="G161" s="11" t="n">
        <v>0</v>
      </c>
      <c r="H161" s="12" t="s">
        <v>12</v>
      </c>
    </row>
    <row r="162" customFormat="false" ht="13.8" hidden="false" customHeight="false" outlineLevel="0" collapsed="false">
      <c r="A162" s="10" t="s">
        <v>160</v>
      </c>
      <c r="B162" s="11" t="n">
        <v>38</v>
      </c>
      <c r="C162" s="11" t="s">
        <v>12</v>
      </c>
      <c r="D162" s="11" t="n">
        <v>169</v>
      </c>
      <c r="E162" s="11" t="n">
        <v>433</v>
      </c>
      <c r="F162" s="11" t="n">
        <v>215</v>
      </c>
      <c r="G162" s="11" t="s">
        <v>109</v>
      </c>
      <c r="H162" s="12" t="s">
        <v>109</v>
      </c>
    </row>
    <row r="163" customFormat="false" ht="13.8" hidden="false" customHeight="false" outlineLevel="0" collapsed="false">
      <c r="A163" s="10" t="s">
        <v>161</v>
      </c>
      <c r="B163" s="11" t="n">
        <v>274</v>
      </c>
      <c r="C163" s="11" t="s">
        <v>12</v>
      </c>
      <c r="D163" s="11" t="n">
        <v>663</v>
      </c>
      <c r="E163" s="11" t="n">
        <v>442</v>
      </c>
      <c r="F163" s="11" t="n">
        <v>131</v>
      </c>
      <c r="G163" s="11" t="n">
        <v>0</v>
      </c>
      <c r="H163" s="12" t="s">
        <v>12</v>
      </c>
    </row>
    <row r="164" customFormat="false" ht="13.8" hidden="false" customHeight="false" outlineLevel="0" collapsed="false">
      <c r="A164" s="10" t="s">
        <v>162</v>
      </c>
      <c r="B164" s="11" t="n">
        <v>0</v>
      </c>
      <c r="C164" s="11"/>
      <c r="D164" s="11" t="n">
        <v>4</v>
      </c>
      <c r="E164" s="11" t="n">
        <v>0</v>
      </c>
      <c r="F164" s="11" t="n">
        <v>0</v>
      </c>
      <c r="G164" s="11" t="n">
        <v>0</v>
      </c>
      <c r="H164" s="12"/>
    </row>
    <row r="165" customFormat="false" ht="13.8" hidden="false" customHeight="false" outlineLevel="0" collapsed="false">
      <c r="A165" s="10" t="s">
        <v>163</v>
      </c>
      <c r="B165" s="11" t="n">
        <v>22</v>
      </c>
      <c r="C165" s="11" t="s">
        <v>12</v>
      </c>
      <c r="D165" s="11" t="n">
        <v>2</v>
      </c>
      <c r="E165" s="11" t="n">
        <v>0</v>
      </c>
      <c r="F165" s="11" t="n">
        <v>0</v>
      </c>
      <c r="G165" s="11" t="n">
        <v>0</v>
      </c>
      <c r="H165" s="12" t="s">
        <v>12</v>
      </c>
    </row>
    <row r="166" customFormat="false" ht="13.8" hidden="false" customHeight="false" outlineLevel="0" collapsed="false">
      <c r="A166" s="10" t="s">
        <v>164</v>
      </c>
      <c r="B166" s="11" t="n">
        <v>6</v>
      </c>
      <c r="C166" s="11" t="s">
        <v>12</v>
      </c>
      <c r="D166" s="11" t="n">
        <v>32</v>
      </c>
      <c r="E166" s="11" t="n">
        <v>4</v>
      </c>
      <c r="F166" s="11" t="n">
        <v>6</v>
      </c>
      <c r="G166" s="11" t="n">
        <v>0</v>
      </c>
      <c r="H166" s="12"/>
    </row>
    <row r="167" customFormat="false" ht="13.8" hidden="false" customHeight="false" outlineLevel="0" collapsed="false">
      <c r="A167" s="10" t="s">
        <v>165</v>
      </c>
      <c r="B167" s="11" t="n">
        <v>0</v>
      </c>
      <c r="C167" s="11"/>
      <c r="D167" s="11" t="n">
        <v>0</v>
      </c>
      <c r="E167" s="11" t="n">
        <v>0</v>
      </c>
      <c r="F167" s="11" t="n">
        <v>5336</v>
      </c>
      <c r="G167" s="11" t="n">
        <v>0</v>
      </c>
      <c r="H167" s="12"/>
    </row>
    <row r="168" customFormat="false" ht="13.8" hidden="false" customHeight="false" outlineLevel="0" collapsed="false">
      <c r="A168" s="10" t="s">
        <v>166</v>
      </c>
      <c r="B168" s="11"/>
      <c r="C168" s="11"/>
      <c r="D168" s="11"/>
      <c r="E168" s="11" t="n">
        <v>0</v>
      </c>
      <c r="F168" s="11" t="n">
        <v>0</v>
      </c>
      <c r="G168" s="11" t="n">
        <v>0</v>
      </c>
      <c r="H168" s="12" t="s">
        <v>12</v>
      </c>
    </row>
    <row r="169" customFormat="false" ht="13.8" hidden="false" customHeight="false" outlineLevel="0" collapsed="false">
      <c r="A169" s="10" t="s">
        <v>167</v>
      </c>
      <c r="B169" s="11" t="n">
        <v>4</v>
      </c>
      <c r="C169" s="11" t="s">
        <v>12</v>
      </c>
      <c r="D169" s="11" t="n">
        <v>2</v>
      </c>
      <c r="E169" s="11" t="n">
        <v>6</v>
      </c>
      <c r="F169" s="11" t="n">
        <v>8</v>
      </c>
      <c r="G169" s="11" t="n">
        <v>0</v>
      </c>
      <c r="H169" s="12"/>
    </row>
    <row r="170" customFormat="false" ht="13.8" hidden="false" customHeight="false" outlineLevel="0" collapsed="false">
      <c r="A170" s="10" t="s">
        <v>168</v>
      </c>
      <c r="B170" s="11" t="n">
        <v>1</v>
      </c>
      <c r="C170" s="11" t="s">
        <v>12</v>
      </c>
      <c r="D170" s="11" t="n">
        <v>0</v>
      </c>
      <c r="E170" s="11" t="n">
        <v>1</v>
      </c>
      <c r="F170" s="11" t="n">
        <v>1</v>
      </c>
      <c r="G170" s="11" t="n">
        <v>0</v>
      </c>
      <c r="H170" s="12" t="s">
        <v>12</v>
      </c>
    </row>
    <row r="171" customFormat="false" ht="13.8" hidden="false" customHeight="false" outlineLevel="0" collapsed="false">
      <c r="A171" s="10" t="s">
        <v>169</v>
      </c>
      <c r="B171" s="11" t="n">
        <v>13</v>
      </c>
      <c r="C171" s="11" t="s">
        <v>12</v>
      </c>
      <c r="D171" s="11" t="n">
        <v>1121</v>
      </c>
      <c r="E171" s="11" t="n">
        <v>14</v>
      </c>
      <c r="F171" s="11" t="n">
        <v>8</v>
      </c>
      <c r="G171" s="11" t="s">
        <v>109</v>
      </c>
      <c r="H171" s="12" t="s">
        <v>109</v>
      </c>
    </row>
    <row r="172" customFormat="false" ht="13.8" hidden="false" customHeight="false" outlineLevel="0" collapsed="false">
      <c r="A172" s="10" t="s">
        <v>170</v>
      </c>
      <c r="B172" s="11" t="n">
        <v>713</v>
      </c>
      <c r="C172" s="11" t="s">
        <v>12</v>
      </c>
      <c r="D172" s="11" t="n">
        <v>6</v>
      </c>
      <c r="E172" s="11" t="n">
        <v>3</v>
      </c>
      <c r="F172" s="11" t="n">
        <v>14</v>
      </c>
      <c r="G172" s="11" t="n">
        <v>0</v>
      </c>
      <c r="H172" s="12"/>
    </row>
    <row r="173" customFormat="false" ht="13.8" hidden="false" customHeight="false" outlineLevel="0" collapsed="false">
      <c r="A173" s="10" t="s">
        <v>171</v>
      </c>
      <c r="B173" s="11" t="n">
        <v>3</v>
      </c>
      <c r="C173" s="11" t="s">
        <v>12</v>
      </c>
      <c r="D173" s="11" t="n">
        <v>0</v>
      </c>
      <c r="E173" s="11" t="n">
        <v>0</v>
      </c>
      <c r="F173" s="11" t="n">
        <v>0</v>
      </c>
      <c r="G173" s="11" t="n">
        <v>0</v>
      </c>
      <c r="H173" s="12"/>
    </row>
    <row r="174" customFormat="false" ht="13.8" hidden="false" customHeight="false" outlineLevel="0" collapsed="false">
      <c r="A174" s="10" t="s">
        <v>172</v>
      </c>
      <c r="B174" s="11" t="n">
        <v>1</v>
      </c>
      <c r="C174" s="11" t="s">
        <v>12</v>
      </c>
      <c r="D174" s="11" t="n">
        <v>1</v>
      </c>
      <c r="E174" s="11" t="n">
        <v>2</v>
      </c>
      <c r="F174" s="11" t="n">
        <v>12</v>
      </c>
      <c r="G174" s="11" t="n">
        <v>0</v>
      </c>
      <c r="H174" s="12"/>
    </row>
    <row r="175" customFormat="false" ht="13.8" hidden="false" customHeight="false" outlineLevel="0" collapsed="false">
      <c r="A175" s="10" t="s">
        <v>173</v>
      </c>
      <c r="B175" s="11" t="n">
        <v>32</v>
      </c>
      <c r="C175" s="11" t="s">
        <v>12</v>
      </c>
      <c r="D175" s="11" t="n">
        <v>1</v>
      </c>
      <c r="E175" s="11" t="n">
        <v>1</v>
      </c>
      <c r="F175" s="11" t="n">
        <v>39</v>
      </c>
      <c r="G175" s="11" t="n">
        <v>0</v>
      </c>
      <c r="H175" s="12"/>
    </row>
    <row r="176" customFormat="false" ht="13.8" hidden="false" customHeight="false" outlineLevel="0" collapsed="false">
      <c r="A176" s="10" t="s">
        <v>174</v>
      </c>
      <c r="B176" s="11" t="n">
        <v>0</v>
      </c>
      <c r="C176" s="11"/>
      <c r="D176" s="11" t="n">
        <v>0</v>
      </c>
      <c r="E176" s="11" t="n">
        <v>4</v>
      </c>
      <c r="F176" s="11" t="n">
        <v>0</v>
      </c>
      <c r="G176" s="11" t="n">
        <v>0</v>
      </c>
      <c r="H176" s="12" t="s">
        <v>12</v>
      </c>
    </row>
    <row r="177" customFormat="false" ht="13.8" hidden="false" customHeight="false" outlineLevel="0" collapsed="false">
      <c r="A177" s="10" t="s">
        <v>175</v>
      </c>
      <c r="B177" s="11" t="n">
        <v>0</v>
      </c>
      <c r="C177" s="11"/>
      <c r="D177" s="11" t="n">
        <v>0</v>
      </c>
      <c r="E177" s="11" t="n">
        <v>0</v>
      </c>
      <c r="F177" s="11" t="n">
        <v>0</v>
      </c>
      <c r="G177" s="11" t="n">
        <v>0</v>
      </c>
      <c r="H177" s="12" t="s">
        <v>12</v>
      </c>
    </row>
    <row r="178" customFormat="false" ht="13.8" hidden="false" customHeight="false" outlineLevel="0" collapsed="false">
      <c r="A178" s="10" t="s">
        <v>176</v>
      </c>
      <c r="B178" s="11" t="n">
        <v>141</v>
      </c>
      <c r="C178" s="11" t="s">
        <v>12</v>
      </c>
      <c r="D178" s="11" t="n">
        <v>39</v>
      </c>
      <c r="E178" s="11" t="n">
        <v>4</v>
      </c>
      <c r="F178" s="11" t="n">
        <v>1116</v>
      </c>
      <c r="G178" s="11" t="n">
        <v>0</v>
      </c>
      <c r="H178" s="12" t="s">
        <v>126</v>
      </c>
    </row>
    <row r="179" customFormat="false" ht="13.8" hidden="false" customHeight="false" outlineLevel="0" collapsed="false">
      <c r="A179" s="10" t="s">
        <v>177</v>
      </c>
      <c r="B179" s="11" t="n">
        <v>0</v>
      </c>
      <c r="C179" s="11"/>
      <c r="D179" s="11" t="n">
        <v>19</v>
      </c>
      <c r="E179" s="11" t="n">
        <v>3</v>
      </c>
      <c r="F179" s="11" t="n">
        <v>0</v>
      </c>
      <c r="G179" s="11" t="n">
        <v>0</v>
      </c>
      <c r="H179" s="12"/>
    </row>
    <row r="180" customFormat="false" ht="13.8" hidden="false" customHeight="false" outlineLevel="0" collapsed="false">
      <c r="A180" s="10" t="s">
        <v>178</v>
      </c>
      <c r="B180" s="11" t="n">
        <v>1</v>
      </c>
      <c r="C180" s="11" t="s">
        <v>12</v>
      </c>
      <c r="D180" s="11" t="n">
        <v>0</v>
      </c>
      <c r="E180" s="11" t="n">
        <v>0</v>
      </c>
      <c r="F180" s="11" t="n">
        <v>0</v>
      </c>
      <c r="G180" s="11" t="n">
        <v>0</v>
      </c>
      <c r="H180" s="12"/>
    </row>
    <row r="181" customFormat="false" ht="13.8" hidden="false" customHeight="false" outlineLevel="0" collapsed="false">
      <c r="A181" s="10" t="s">
        <v>179</v>
      </c>
      <c r="B181" s="11" t="n">
        <v>6</v>
      </c>
      <c r="C181" s="11" t="s">
        <v>12</v>
      </c>
      <c r="D181" s="11" t="n">
        <v>7</v>
      </c>
      <c r="E181" s="11" t="n">
        <v>22</v>
      </c>
      <c r="F181" s="11" t="n">
        <v>20</v>
      </c>
      <c r="G181" s="11" t="n">
        <v>0</v>
      </c>
      <c r="H181" s="12"/>
    </row>
    <row r="182" customFormat="false" ht="13.8" hidden="false" customHeight="false" outlineLevel="0" collapsed="false">
      <c r="A182" s="10" t="s">
        <v>180</v>
      </c>
      <c r="B182" s="11" t="n">
        <v>1</v>
      </c>
      <c r="C182" s="11" t="s">
        <v>12</v>
      </c>
      <c r="D182" s="11" t="n">
        <v>3</v>
      </c>
      <c r="E182" s="11" t="n">
        <v>6</v>
      </c>
      <c r="F182" s="11" t="n">
        <v>3</v>
      </c>
      <c r="G182" s="11"/>
      <c r="H182" s="12"/>
    </row>
    <row r="183" customFormat="false" ht="13.8" hidden="false" customHeight="false" outlineLevel="0" collapsed="false">
      <c r="A183" s="10" t="s">
        <v>181</v>
      </c>
      <c r="B183" s="11"/>
      <c r="C183" s="11"/>
      <c r="D183" s="11" t="n">
        <v>47</v>
      </c>
      <c r="E183" s="11" t="n">
        <v>285</v>
      </c>
      <c r="F183" s="11" t="n">
        <v>286</v>
      </c>
      <c r="G183" s="11"/>
      <c r="H183" s="12"/>
    </row>
    <row r="184" customFormat="false" ht="13.8" hidden="false" customHeight="false" outlineLevel="0" collapsed="false">
      <c r="A184" s="10" t="s">
        <v>182</v>
      </c>
      <c r="B184" s="11"/>
      <c r="C184" s="11"/>
      <c r="D184" s="11"/>
      <c r="E184" s="11"/>
      <c r="F184" s="11" t="n">
        <v>0</v>
      </c>
      <c r="G184" s="11"/>
      <c r="H184" s="12"/>
    </row>
    <row r="185" customFormat="false" ht="13.8" hidden="false" customHeight="false" outlineLevel="0" collapsed="false">
      <c r="A185" s="10" t="s">
        <v>183</v>
      </c>
      <c r="B185" s="11" t="n">
        <v>0</v>
      </c>
      <c r="C185" s="11" t="s">
        <v>12</v>
      </c>
      <c r="D185" s="11" t="n">
        <v>55</v>
      </c>
      <c r="E185" s="11" t="n">
        <v>26</v>
      </c>
      <c r="F185" s="11" t="n">
        <v>150</v>
      </c>
      <c r="G185" s="11"/>
      <c r="H185" s="12"/>
    </row>
    <row r="186" customFormat="false" ht="13.8" hidden="false" customHeight="false" outlineLevel="0" collapsed="false">
      <c r="A186" s="10" t="s">
        <v>184</v>
      </c>
      <c r="B186" s="11" t="n">
        <v>7</v>
      </c>
      <c r="C186" s="11" t="s">
        <v>12</v>
      </c>
      <c r="D186" s="11" t="n">
        <v>2</v>
      </c>
      <c r="E186" s="11" t="n">
        <v>2</v>
      </c>
      <c r="F186" s="11" t="n">
        <v>3</v>
      </c>
      <c r="G186" s="11"/>
      <c r="H186" s="12"/>
    </row>
    <row r="187" customFormat="false" ht="13.8" hidden="false" customHeight="false" outlineLevel="0" collapsed="false">
      <c r="A187" s="10" t="s">
        <v>185</v>
      </c>
      <c r="B187" s="11" t="n">
        <v>74</v>
      </c>
      <c r="C187" s="11" t="s">
        <v>12</v>
      </c>
      <c r="D187" s="11" t="n">
        <v>34</v>
      </c>
      <c r="E187" s="11" t="n">
        <v>50</v>
      </c>
      <c r="F187" s="11" t="n">
        <v>76</v>
      </c>
      <c r="G187" s="11"/>
      <c r="H187" s="12"/>
    </row>
    <row r="188" customFormat="false" ht="13.8" hidden="false" customHeight="false" outlineLevel="0" collapsed="false">
      <c r="A188" s="10" t="s">
        <v>186</v>
      </c>
      <c r="B188" s="11" t="n">
        <v>617</v>
      </c>
      <c r="C188" s="11" t="s">
        <v>12</v>
      </c>
      <c r="D188" s="11" t="n">
        <v>0</v>
      </c>
      <c r="E188" s="11" t="n">
        <v>0</v>
      </c>
      <c r="F188" s="11" t="n">
        <v>0</v>
      </c>
      <c r="G188" s="11"/>
      <c r="H188" s="12"/>
    </row>
    <row r="189" customFormat="false" ht="13.8" hidden="false" customHeight="false" outlineLevel="0" collapsed="false">
      <c r="A189" s="10" t="s">
        <v>187</v>
      </c>
      <c r="B189" s="11" t="n">
        <v>0</v>
      </c>
      <c r="C189" s="11" t="s">
        <v>12</v>
      </c>
      <c r="D189" s="11"/>
      <c r="E189" s="11"/>
      <c r="F189" s="11"/>
      <c r="G189" s="11"/>
      <c r="H189" s="12"/>
    </row>
    <row r="190" customFormat="false" ht="13.8" hidden="false" customHeight="false" outlineLevel="0" collapsed="false">
      <c r="A190" s="10" t="s">
        <v>188</v>
      </c>
      <c r="B190" s="11" t="n">
        <v>66</v>
      </c>
      <c r="C190" s="11" t="s">
        <v>12</v>
      </c>
      <c r="D190" s="11" t="n">
        <v>0</v>
      </c>
      <c r="E190" s="11"/>
      <c r="F190" s="11"/>
      <c r="G190" s="11"/>
      <c r="H190" s="12"/>
    </row>
    <row r="191" customFormat="false" ht="13.8" hidden="false" customHeight="false" outlineLevel="0" collapsed="false">
      <c r="A191" s="10" t="s">
        <v>189</v>
      </c>
      <c r="B191" s="11" t="n">
        <v>154</v>
      </c>
      <c r="C191" s="11" t="s">
        <v>12</v>
      </c>
      <c r="D191" s="11" t="n">
        <v>94</v>
      </c>
      <c r="E191" s="11" t="n">
        <v>94</v>
      </c>
      <c r="F191" s="11" t="n">
        <v>189</v>
      </c>
      <c r="G191" s="11"/>
      <c r="H191" s="12"/>
    </row>
    <row r="192" customFormat="false" ht="13.8" hidden="false" customHeight="false" outlineLevel="0" collapsed="false">
      <c r="A192" s="10" t="s">
        <v>190</v>
      </c>
      <c r="B192" s="11" t="n">
        <v>0</v>
      </c>
      <c r="C192" s="11"/>
      <c r="D192" s="11" t="n">
        <v>0</v>
      </c>
      <c r="E192" s="11" t="n">
        <v>6</v>
      </c>
      <c r="F192" s="11" t="n">
        <v>2</v>
      </c>
      <c r="G192" s="11"/>
      <c r="H192" s="12"/>
    </row>
    <row r="193" customFormat="false" ht="13.8" hidden="false" customHeight="false" outlineLevel="0" collapsed="false">
      <c r="A193" s="10" t="s">
        <v>191</v>
      </c>
      <c r="B193" s="11" t="n">
        <v>0</v>
      </c>
      <c r="C193" s="11" t="s">
        <v>12</v>
      </c>
      <c r="D193" s="11"/>
      <c r="E193" s="11"/>
      <c r="F193" s="11"/>
      <c r="G193" s="11"/>
      <c r="H193" s="12"/>
    </row>
    <row r="194" customFormat="false" ht="13.8" hidden="false" customHeight="false" outlineLevel="0" collapsed="false">
      <c r="A194" s="10" t="s">
        <v>192</v>
      </c>
      <c r="B194" s="11" t="n">
        <v>178</v>
      </c>
      <c r="C194" s="11" t="s">
        <v>12</v>
      </c>
      <c r="D194" s="11" t="n">
        <v>1</v>
      </c>
      <c r="E194" s="11" t="n">
        <v>29</v>
      </c>
      <c r="F194" s="11" t="n">
        <v>1</v>
      </c>
      <c r="G194" s="11"/>
      <c r="H194" s="12"/>
    </row>
    <row r="195" customFormat="false" ht="13.8" hidden="false" customHeight="false" outlineLevel="0" collapsed="false">
      <c r="A195" s="10" t="s">
        <v>193</v>
      </c>
      <c r="B195" s="11" t="n">
        <v>2</v>
      </c>
      <c r="C195" s="11" t="s">
        <v>12</v>
      </c>
      <c r="D195" s="11" t="n">
        <v>2</v>
      </c>
      <c r="E195" s="11" t="n">
        <v>15</v>
      </c>
      <c r="F195" s="11" t="n">
        <v>40</v>
      </c>
      <c r="G195" s="11"/>
      <c r="H195" s="12"/>
    </row>
    <row r="196" customFormat="false" ht="13.8" hidden="false" customHeight="false" outlineLevel="0" collapsed="false">
      <c r="A196" s="10" t="s">
        <v>194</v>
      </c>
      <c r="B196" s="11" t="n">
        <v>0</v>
      </c>
      <c r="C196" s="11"/>
      <c r="D196" s="11" t="n">
        <v>0</v>
      </c>
      <c r="E196" s="11" t="n">
        <v>0</v>
      </c>
      <c r="F196" s="11" t="n">
        <v>1</v>
      </c>
      <c r="G196" s="11"/>
      <c r="H196" s="12"/>
    </row>
    <row r="197" customFormat="false" ht="13.8" hidden="false" customHeight="false" outlineLevel="0" collapsed="false">
      <c r="A197" s="10" t="s">
        <v>195</v>
      </c>
      <c r="B197" s="11" t="n">
        <v>1</v>
      </c>
      <c r="C197" s="11" t="s">
        <v>12</v>
      </c>
      <c r="D197" s="11" t="n">
        <v>0</v>
      </c>
      <c r="E197" s="11" t="n">
        <v>1</v>
      </c>
      <c r="F197" s="11" t="n">
        <v>1</v>
      </c>
      <c r="G197" s="11"/>
      <c r="H197" s="12"/>
    </row>
    <row r="198" customFormat="false" ht="13.8" hidden="false" customHeight="false" outlineLevel="0" collapsed="false">
      <c r="A198" s="10" t="s">
        <v>196</v>
      </c>
      <c r="B198" s="11" t="n">
        <v>106</v>
      </c>
      <c r="C198" s="11" t="s">
        <v>12</v>
      </c>
      <c r="D198" s="11" t="n">
        <v>3</v>
      </c>
      <c r="E198" s="11" t="n">
        <v>195</v>
      </c>
      <c r="F198" s="11"/>
      <c r="G198" s="11"/>
      <c r="H198" s="12"/>
    </row>
    <row r="199" customFormat="false" ht="13.8" hidden="false" customHeight="false" outlineLevel="0" collapsed="false">
      <c r="A199" s="10" t="s">
        <v>197</v>
      </c>
      <c r="B199" s="11" t="n">
        <v>123</v>
      </c>
      <c r="C199" s="11" t="s">
        <v>12</v>
      </c>
      <c r="D199" s="11" t="n">
        <v>2796</v>
      </c>
      <c r="E199" s="11" t="n">
        <v>66</v>
      </c>
      <c r="F199" s="11" t="n">
        <v>546</v>
      </c>
      <c r="G199" s="11"/>
      <c r="H199" s="12"/>
    </row>
    <row r="200" customFormat="false" ht="13.8" hidden="false" customHeight="false" outlineLevel="0" collapsed="false">
      <c r="A200" s="10" t="s">
        <v>198</v>
      </c>
      <c r="B200" s="11" t="n">
        <v>3</v>
      </c>
      <c r="C200" s="11" t="s">
        <v>12</v>
      </c>
      <c r="D200" s="11" t="n">
        <v>0</v>
      </c>
      <c r="E200" s="11" t="n">
        <v>0</v>
      </c>
      <c r="F200" s="11" t="n">
        <v>3</v>
      </c>
      <c r="G200" s="11"/>
      <c r="H200" s="12"/>
    </row>
    <row r="201" customFormat="false" ht="13.8" hidden="false" customHeight="false" outlineLevel="0" collapsed="false">
      <c r="A201" s="10" t="s">
        <v>199</v>
      </c>
      <c r="B201" s="11" t="n">
        <v>13</v>
      </c>
      <c r="C201" s="11" t="s">
        <v>12</v>
      </c>
      <c r="D201" s="11" t="n">
        <v>29</v>
      </c>
      <c r="E201" s="11" t="n">
        <v>649</v>
      </c>
      <c r="F201" s="11" t="n">
        <v>31</v>
      </c>
      <c r="G201" s="11"/>
      <c r="H201" s="12"/>
    </row>
    <row r="202" customFormat="false" ht="13.8" hidden="false" customHeight="false" outlineLevel="0" collapsed="false">
      <c r="A202" s="10" t="s">
        <v>200</v>
      </c>
      <c r="B202" s="11" t="n">
        <v>146</v>
      </c>
      <c r="C202" s="11" t="s">
        <v>12</v>
      </c>
      <c r="D202" s="11" t="n">
        <v>251</v>
      </c>
      <c r="E202" s="11" t="n">
        <v>321</v>
      </c>
      <c r="F202" s="11" t="n">
        <v>150</v>
      </c>
      <c r="G202" s="11"/>
      <c r="H202" s="12"/>
    </row>
    <row r="203" customFormat="false" ht="13.8" hidden="false" customHeight="false" outlineLevel="0" collapsed="false">
      <c r="A203" s="10" t="s">
        <v>201</v>
      </c>
      <c r="B203" s="11" t="n">
        <v>14</v>
      </c>
      <c r="C203" s="11" t="s">
        <v>12</v>
      </c>
      <c r="D203" s="11" t="n">
        <v>53</v>
      </c>
      <c r="E203" s="11" t="n">
        <v>20</v>
      </c>
      <c r="F203" s="11" t="n">
        <v>27</v>
      </c>
      <c r="G203" s="11"/>
      <c r="H203" s="12"/>
    </row>
    <row r="204" customFormat="false" ht="13.8" hidden="false" customHeight="false" outlineLevel="0" collapsed="false">
      <c r="A204" s="10" t="s">
        <v>202</v>
      </c>
      <c r="B204" s="11" t="n">
        <v>4</v>
      </c>
      <c r="C204" s="11" t="s">
        <v>12</v>
      </c>
      <c r="D204" s="11" t="n">
        <v>0</v>
      </c>
      <c r="E204" s="11" t="n">
        <v>8</v>
      </c>
      <c r="F204" s="11" t="n">
        <v>0</v>
      </c>
      <c r="G204" s="11"/>
      <c r="H204" s="12"/>
    </row>
    <row r="205" customFormat="false" ht="13.8" hidden="false" customHeight="false" outlineLevel="0" collapsed="false">
      <c r="A205" s="10" t="s">
        <v>203</v>
      </c>
      <c r="B205" s="11" t="n">
        <v>1</v>
      </c>
      <c r="C205" s="11" t="s">
        <v>12</v>
      </c>
      <c r="D205" s="11"/>
      <c r="E205" s="11"/>
      <c r="F205" s="11"/>
      <c r="G205" s="11"/>
      <c r="H205" s="12"/>
    </row>
    <row r="206" customFormat="false" ht="13.8" hidden="false" customHeight="false" outlineLevel="0" collapsed="false">
      <c r="A206" s="10" t="s">
        <v>204</v>
      </c>
      <c r="B206" s="11" t="n">
        <v>0</v>
      </c>
      <c r="C206" s="11" t="s">
        <v>12</v>
      </c>
      <c r="D206" s="11" t="n">
        <v>0</v>
      </c>
      <c r="E206" s="11" t="n">
        <v>4</v>
      </c>
      <c r="F206" s="11"/>
      <c r="G206" s="11"/>
      <c r="H206" s="12"/>
    </row>
    <row r="207" customFormat="false" ht="13.8" hidden="false" customHeight="false" outlineLevel="0" collapsed="false">
      <c r="A207" s="10" t="s">
        <v>205</v>
      </c>
      <c r="B207" s="11" t="n">
        <v>24</v>
      </c>
      <c r="C207" s="11" t="s">
        <v>12</v>
      </c>
      <c r="D207" s="11" t="n">
        <v>0</v>
      </c>
      <c r="E207" s="11" t="n">
        <v>1</v>
      </c>
      <c r="F207" s="11" t="n">
        <v>0</v>
      </c>
      <c r="G207" s="11"/>
      <c r="H207" s="12"/>
    </row>
    <row r="208" customFormat="false" ht="13.8" hidden="false" customHeight="false" outlineLevel="0" collapsed="false">
      <c r="A208" s="10" t="s">
        <v>206</v>
      </c>
      <c r="B208" s="11" t="n">
        <v>0</v>
      </c>
      <c r="C208" s="11"/>
      <c r="D208" s="11" t="n">
        <v>74</v>
      </c>
      <c r="E208" s="11" t="n">
        <v>0</v>
      </c>
      <c r="F208" s="11" t="n">
        <v>0</v>
      </c>
      <c r="G208" s="11"/>
      <c r="H208" s="12"/>
    </row>
    <row r="209" customFormat="false" ht="13.8" hidden="false" customHeight="false" outlineLevel="0" collapsed="false">
      <c r="A209" s="10" t="s">
        <v>207</v>
      </c>
      <c r="B209" s="11" t="n">
        <v>0</v>
      </c>
      <c r="C209" s="11"/>
      <c r="D209" s="11" t="n">
        <v>1</v>
      </c>
      <c r="E209" s="11" t="n">
        <v>0</v>
      </c>
      <c r="F209" s="11" t="n">
        <v>1</v>
      </c>
      <c r="G209" s="11"/>
      <c r="H209" s="12"/>
    </row>
    <row r="210" customFormat="false" ht="13.8" hidden="false" customHeight="false" outlineLevel="0" collapsed="false">
      <c r="A210" s="10" t="s">
        <v>208</v>
      </c>
      <c r="B210" s="11" t="n">
        <v>1</v>
      </c>
      <c r="C210" s="11" t="s">
        <v>12</v>
      </c>
      <c r="D210" s="11" t="n">
        <v>0</v>
      </c>
      <c r="E210" s="11" t="n">
        <v>1</v>
      </c>
      <c r="F210" s="11"/>
      <c r="G210" s="11"/>
      <c r="H210" s="12"/>
    </row>
    <row r="211" customFormat="false" ht="13.8" hidden="false" customHeight="false" outlineLevel="0" collapsed="false">
      <c r="A211" s="10" t="s">
        <v>209</v>
      </c>
      <c r="B211" s="11" t="n">
        <v>0</v>
      </c>
      <c r="C211" s="11"/>
      <c r="D211" s="11" t="n">
        <v>1</v>
      </c>
      <c r="E211" s="11" t="n">
        <v>0</v>
      </c>
      <c r="F211" s="11" t="n">
        <v>0</v>
      </c>
      <c r="G211" s="11"/>
      <c r="H211" s="12"/>
    </row>
    <row r="212" customFormat="false" ht="13.8" hidden="false" customHeight="false" outlineLevel="0" collapsed="false">
      <c r="A212" s="10" t="s">
        <v>210</v>
      </c>
      <c r="B212" s="11"/>
      <c r="C212" s="11"/>
      <c r="D212" s="11"/>
      <c r="E212" s="11" t="n">
        <v>1</v>
      </c>
      <c r="F212" s="11"/>
      <c r="G212" s="11"/>
      <c r="H212" s="12"/>
    </row>
    <row r="213" customFormat="false" ht="13.8" hidden="false" customHeight="false" outlineLevel="0" collapsed="false">
      <c r="A213" s="10" t="s">
        <v>211</v>
      </c>
      <c r="B213" s="11"/>
      <c r="C213" s="11"/>
      <c r="D213" s="11"/>
      <c r="E213" s="11"/>
      <c r="F213" s="11" t="n">
        <v>0</v>
      </c>
      <c r="G213" s="11"/>
      <c r="H213" s="12"/>
    </row>
    <row r="214" customFormat="false" ht="13.8" hidden="false" customHeight="false" outlineLevel="0" collapsed="false">
      <c r="A214" s="10" t="s">
        <v>212</v>
      </c>
      <c r="B214" s="11" t="n">
        <v>3</v>
      </c>
      <c r="C214" s="11" t="s">
        <v>12</v>
      </c>
      <c r="D214" s="11"/>
      <c r="E214" s="11" t="n">
        <v>25</v>
      </c>
      <c r="F214" s="11" t="n">
        <v>218</v>
      </c>
      <c r="G214" s="11"/>
      <c r="H214" s="12"/>
    </row>
    <row r="215" customFormat="false" ht="13.8" hidden="false" customHeight="false" outlineLevel="0" collapsed="false">
      <c r="A215" s="10" t="s">
        <v>213</v>
      </c>
      <c r="B215" s="11" t="n">
        <v>1</v>
      </c>
      <c r="C215" s="11" t="s">
        <v>12</v>
      </c>
      <c r="D215" s="11"/>
      <c r="E215" s="11" t="n">
        <v>1</v>
      </c>
      <c r="F215" s="11" t="n">
        <v>0</v>
      </c>
      <c r="G215" s="11"/>
      <c r="H215" s="12"/>
    </row>
    <row r="216" customFormat="false" ht="13.8" hidden="false" customHeight="false" outlineLevel="0" collapsed="false">
      <c r="A216" s="10" t="s">
        <v>214</v>
      </c>
      <c r="B216" s="11" t="n">
        <v>15</v>
      </c>
      <c r="C216" s="11" t="s">
        <v>12</v>
      </c>
      <c r="D216" s="11"/>
      <c r="E216" s="11"/>
      <c r="F216" s="11"/>
      <c r="G216" s="11"/>
      <c r="H216" s="12"/>
    </row>
    <row r="217" customFormat="false" ht="13.8" hidden="false" customHeight="false" outlineLevel="0" collapsed="false">
      <c r="A217" s="10" t="s">
        <v>215</v>
      </c>
      <c r="B217" s="11" t="n">
        <v>0</v>
      </c>
      <c r="C217" s="11" t="s">
        <v>12</v>
      </c>
      <c r="D217" s="11" t="n">
        <v>1</v>
      </c>
      <c r="E217" s="11" t="n">
        <v>0</v>
      </c>
      <c r="F217" s="11" t="n">
        <v>0</v>
      </c>
      <c r="G217" s="11"/>
      <c r="H217" s="12"/>
    </row>
    <row r="218" customFormat="false" ht="13.8" hidden="false" customHeight="false" outlineLevel="0" collapsed="false">
      <c r="A218" s="13" t="s">
        <v>216</v>
      </c>
      <c r="B218" s="14" t="n">
        <v>187</v>
      </c>
      <c r="C218" s="14" t="s">
        <v>12</v>
      </c>
      <c r="D218" s="14" t="n">
        <v>0</v>
      </c>
      <c r="E218" s="14" t="n">
        <v>0</v>
      </c>
      <c r="F218" s="14" t="n">
        <v>0</v>
      </c>
      <c r="G218" s="14"/>
      <c r="H218" s="15"/>
    </row>
  </sheetData>
  <mergeCells count="5">
    <mergeCell ref="A1:F1"/>
    <mergeCell ref="A2:F2"/>
    <mergeCell ref="A14:A15"/>
    <mergeCell ref="B14:C14"/>
    <mergeCell ref="G14:H14"/>
  </mergeCells>
  <hyperlinks>
    <hyperlink ref="A9" r:id="rId1" display="Las cantidades presentadas en color verde oscuro fueron estimadas por el ITC. Para mayor información por favor referirse a la nota explicativa de ITC."/>
    <hyperlink ref="A10" r:id="rId2" display="Las cantidades presentadas en color verde claro fueron estimadas por UNSD. Para mayor información por favor referirse a la nota explicativa de UNSD.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2" ySplit="0" topLeftCell="J1" activePane="topRight" state="frozen"/>
      <selection pane="topLeft" activeCell="A1" activeCellId="0" sqref="A1"/>
      <selection pane="topRight" activeCell="P7" activeCellId="0" sqref="P7"/>
    </sheetView>
  </sheetViews>
  <sheetFormatPr defaultColWidth="10.66796875" defaultRowHeight="15" customHeight="true" zeroHeight="false" outlineLevelRow="0" outlineLevelCol="0"/>
  <cols>
    <col collapsed="false" customWidth="true" hidden="false" outlineLevel="0" max="1" min="1" style="16" width="2.77"/>
    <col collapsed="false" customWidth="true" hidden="false" outlineLevel="0" max="2" min="2" style="16" width="25.12"/>
    <col collapsed="false" customWidth="true" hidden="false" outlineLevel="0" max="7" min="3" style="17" width="7.15"/>
    <col collapsed="false" customWidth="false" hidden="false" outlineLevel="0" max="14" min="8" style="18" width="10.66"/>
    <col collapsed="false" customWidth="true" hidden="false" outlineLevel="0" max="15" min="15" style="18" width="17.15"/>
    <col collapsed="false" customWidth="true" hidden="false" outlineLevel="0" max="16" min="16" style="18" width="23.12"/>
    <col collapsed="false" customWidth="true" hidden="false" outlineLevel="0" max="17" min="17" style="18" width="22.15"/>
    <col collapsed="false" customWidth="false" hidden="false" outlineLevel="0" max="18" min="18" style="18" width="10.66"/>
    <col collapsed="false" customWidth="false" hidden="false" outlineLevel="0" max="19" min="19" style="16" width="10.66"/>
    <col collapsed="false" customWidth="true" hidden="false" outlineLevel="0" max="20" min="20" style="16" width="11.43"/>
    <col collapsed="false" customWidth="true" hidden="false" outlineLevel="0" max="21" min="21" style="16" width="14.42"/>
    <col collapsed="false" customWidth="false" hidden="false" outlineLevel="0" max="16384" min="22" style="16" width="10.66"/>
  </cols>
  <sheetData>
    <row r="1" customFormat="false" ht="15" hidden="false" customHeight="false" outlineLevel="0" collapsed="false">
      <c r="L1" s="18" t="s">
        <v>217</v>
      </c>
      <c r="M1" s="18" t="n">
        <f aca="false">MIN(M7:M164)</f>
        <v>0.000273932615296291</v>
      </c>
      <c r="N1" s="18" t="n">
        <f aca="false">MIN(N7:N164)</f>
        <v>-88.2023502144494</v>
      </c>
    </row>
    <row r="2" customFormat="false" ht="15" hidden="false" customHeight="false" outlineLevel="0" collapsed="false">
      <c r="L2" s="18" t="s">
        <v>218</v>
      </c>
      <c r="M2" s="18" t="n">
        <f aca="false">MAX(M7:M164)</f>
        <v>28.4915730913739</v>
      </c>
      <c r="N2" s="18" t="n">
        <f aca="false">MAX(N7:N164)</f>
        <v>711.750294352532</v>
      </c>
    </row>
    <row r="3" customFormat="false" ht="15" hidden="false" customHeight="false" outlineLevel="0" collapsed="false">
      <c r="L3" s="18" t="s">
        <v>219</v>
      </c>
      <c r="M3" s="18" t="n">
        <f aca="false">AVERAGE(M7:M164)</f>
        <v>0.635152406262582</v>
      </c>
      <c r="N3" s="18" t="n">
        <f aca="false">AVERAGE(N7:N164)</f>
        <v>25.9573273579662</v>
      </c>
    </row>
    <row r="4" customFormat="false" ht="15" hidden="false" customHeight="false" outlineLevel="0" collapsed="false">
      <c r="L4" s="18" t="s">
        <v>220</v>
      </c>
      <c r="M4" s="18" t="n">
        <f aca="false">STDEV(M7:M164)</f>
        <v>3.15931387033792</v>
      </c>
      <c r="N4" s="18" t="n">
        <f aca="false">STDEV(N7:N164)</f>
        <v>108.538592319487</v>
      </c>
    </row>
    <row r="5" customFormat="false" ht="15" hidden="false" customHeight="false" outlineLevel="0" collapsed="false">
      <c r="B5" s="19" t="s">
        <v>7</v>
      </c>
      <c r="C5" s="20" t="n">
        <v>2020</v>
      </c>
      <c r="D5" s="20" t="n">
        <v>2021</v>
      </c>
      <c r="E5" s="20" t="n">
        <v>2022</v>
      </c>
      <c r="F5" s="20" t="n">
        <v>2023</v>
      </c>
      <c r="G5" s="21" t="n">
        <v>2024</v>
      </c>
      <c r="H5" s="22" t="s">
        <v>221</v>
      </c>
      <c r="I5" s="22" t="s">
        <v>222</v>
      </c>
      <c r="J5" s="22" t="s">
        <v>223</v>
      </c>
      <c r="K5" s="22" t="s">
        <v>224</v>
      </c>
      <c r="L5" s="22" t="s">
        <v>225</v>
      </c>
      <c r="M5" s="23" t="s">
        <v>226</v>
      </c>
      <c r="N5" s="24" t="s">
        <v>227</v>
      </c>
      <c r="O5" s="22" t="s">
        <v>228</v>
      </c>
      <c r="P5" s="25" t="s">
        <v>229</v>
      </c>
      <c r="Q5" s="25" t="s">
        <v>230</v>
      </c>
      <c r="R5" s="26" t="s">
        <v>231</v>
      </c>
      <c r="T5" s="27" t="s">
        <v>232</v>
      </c>
      <c r="U5" s="27" t="s">
        <v>233</v>
      </c>
    </row>
    <row r="6" customFormat="false" ht="15" hidden="false" customHeight="false" outlineLevel="0" collapsed="false">
      <c r="B6" s="28" t="s">
        <v>11</v>
      </c>
      <c r="C6" s="29" t="n">
        <v>326696</v>
      </c>
      <c r="D6" s="29" t="n">
        <v>356872</v>
      </c>
      <c r="E6" s="29" t="n">
        <v>399881</v>
      </c>
      <c r="F6" s="29" t="n">
        <v>343078</v>
      </c>
      <c r="G6" s="29" t="n">
        <v>413561</v>
      </c>
      <c r="H6" s="30" t="n">
        <f aca="false">(C6/C$6)*100</f>
        <v>100</v>
      </c>
      <c r="I6" s="30" t="n">
        <f aca="false">(D6/D$6)*100</f>
        <v>100</v>
      </c>
      <c r="J6" s="30" t="n">
        <f aca="false">(E6/E$6)*100</f>
        <v>100</v>
      </c>
      <c r="K6" s="30" t="n">
        <f aca="false">(F6/F$6)*100</f>
        <v>100</v>
      </c>
      <c r="L6" s="30" t="n">
        <f aca="false">(G6/G$6)*100</f>
        <v>100</v>
      </c>
      <c r="M6" s="31" t="s">
        <v>234</v>
      </c>
      <c r="N6" s="31" t="s">
        <v>234</v>
      </c>
      <c r="O6" s="31" t="s">
        <v>234</v>
      </c>
      <c r="P6" s="31"/>
      <c r="Q6" s="32"/>
      <c r="R6" s="32" t="s">
        <v>234</v>
      </c>
      <c r="S6" s="16" t="n">
        <v>3</v>
      </c>
      <c r="T6" s="33" t="s">
        <v>235</v>
      </c>
      <c r="U6" s="34" t="n">
        <f aca="false">COUNTIF($R$7:$R$74,T6)</f>
        <v>14</v>
      </c>
    </row>
    <row r="7" customFormat="false" ht="15" hidden="false" customHeight="false" outlineLevel="0" collapsed="false">
      <c r="A7" s="16" t="n">
        <v>1</v>
      </c>
      <c r="B7" s="28" t="s">
        <v>13</v>
      </c>
      <c r="C7" s="35" t="n">
        <v>42364</v>
      </c>
      <c r="D7" s="35" t="n">
        <v>67199</v>
      </c>
      <c r="E7" s="35" t="n">
        <v>165332</v>
      </c>
      <c r="F7" s="35" t="n">
        <v>103004</v>
      </c>
      <c r="G7" s="35" t="n">
        <v>162495</v>
      </c>
      <c r="H7" s="30" t="n">
        <f aca="false">(C7/C$6)*100</f>
        <v>12.9674070083503</v>
      </c>
      <c r="I7" s="30" t="n">
        <f aca="false">(D7/D$6)*100</f>
        <v>18.83000067251</v>
      </c>
      <c r="J7" s="30" t="n">
        <f aca="false">(E7/E$6)*100</f>
        <v>41.3453002268175</v>
      </c>
      <c r="K7" s="30" t="n">
        <f aca="false">(F7/F$6)*100</f>
        <v>30.0234931997971</v>
      </c>
      <c r="L7" s="30" t="n">
        <f aca="false">(G7/G$6)*100</f>
        <v>39.2916643493947</v>
      </c>
      <c r="M7" s="31" t="n">
        <f aca="false">AVERAGE(H7:L7)</f>
        <v>28.4915730913739</v>
      </c>
      <c r="N7" s="31" t="n">
        <f aca="false">((G7/C7)^(1/4)-1)*100</f>
        <v>39.946087304282</v>
      </c>
      <c r="O7" s="31" t="n">
        <f aca="false">(G7/F7-1)*100</f>
        <v>57.7560094753602</v>
      </c>
      <c r="P7" s="31" t="n">
        <f aca="false">(M7-$M$3)/$M$4</f>
        <v>8.81723748521757</v>
      </c>
      <c r="Q7" s="32" t="n">
        <f aca="false">(N7-$N$3)/$N$4</f>
        <v>0.12888282082321</v>
      </c>
      <c r="R7" s="36" t="str">
        <f aca="false">IF(AND(P7&gt;0,Q7&gt;0), "ESTRELLA",
IF(AND(P7&gt;0,Q7&lt;0), "Consolidado",
IF(AND(P7&lt;0,Q7&lt;0), "estancado", "prometedor")))</f>
        <v>ESTRELLA</v>
      </c>
      <c r="S7" s="16" t="n">
        <v>1</v>
      </c>
      <c r="T7" s="33" t="s">
        <v>236</v>
      </c>
      <c r="U7" s="34" t="n">
        <f aca="false">COUNTIF($R$7:$R$74,T7)</f>
        <v>3</v>
      </c>
    </row>
    <row r="8" s="37" customFormat="true" ht="15" hidden="false" customHeight="false" outlineLevel="0" collapsed="false">
      <c r="A8" s="37" t="n">
        <v>2</v>
      </c>
      <c r="B8" s="28" t="s">
        <v>14</v>
      </c>
      <c r="C8" s="35" t="n">
        <v>102710</v>
      </c>
      <c r="D8" s="35" t="n">
        <v>104829</v>
      </c>
      <c r="E8" s="35" t="n">
        <v>82135</v>
      </c>
      <c r="F8" s="35" t="n">
        <v>54779</v>
      </c>
      <c r="G8" s="35" t="n">
        <v>97248</v>
      </c>
      <c r="H8" s="38" t="n">
        <f aca="false">(C8/C$6)*100</f>
        <v>31.4390136395915</v>
      </c>
      <c r="I8" s="38" t="n">
        <f aca="false">(D8/D$6)*100</f>
        <v>29.3743975430967</v>
      </c>
      <c r="J8" s="38" t="n">
        <f aca="false">(E8/E$6)*100</f>
        <v>20.539860608531</v>
      </c>
      <c r="K8" s="38" t="n">
        <f aca="false">(F8/F$6)*100</f>
        <v>15.9669229737844</v>
      </c>
      <c r="L8" s="38" t="n">
        <f aca="false">(G8/G$6)*100</f>
        <v>23.514789837533</v>
      </c>
      <c r="M8" s="39" t="n">
        <f aca="false">AVERAGE(H8:L8)</f>
        <v>24.1669969205073</v>
      </c>
      <c r="N8" s="39" t="n">
        <f aca="false">((G8/C8)^(1/4)-1)*100</f>
        <v>-1.35683749949637</v>
      </c>
      <c r="O8" s="39" t="n">
        <f aca="false">(G8/F8-1)*100</f>
        <v>77.5278847733621</v>
      </c>
      <c r="P8" s="39" t="n">
        <f aca="false">(M8-$M$3)/$M$4</f>
        <v>7.44840350785653</v>
      </c>
      <c r="Q8" s="40" t="n">
        <f aca="false">(N8-$N$3)/$N$4</f>
        <v>-0.251653944221632</v>
      </c>
      <c r="R8" s="40" t="str">
        <f aca="false">IF(AND(P8&gt;0,Q8&gt;0), "ESTRELLA",
IF(AND(P8&gt;0,Q8&lt;0), "Consolidado",
IF(AND(P8&lt;0,Q8&lt;0), "estancado", "prometedor")))</f>
        <v>Consolidado</v>
      </c>
      <c r="S8" s="37" t="n">
        <v>4</v>
      </c>
      <c r="T8" s="41" t="s">
        <v>237</v>
      </c>
      <c r="U8" s="42" t="n">
        <f aca="false">COUNTIF($R$7:$R$74,T8)</f>
        <v>30</v>
      </c>
    </row>
    <row r="9" customFormat="false" ht="15" hidden="false" customHeight="false" outlineLevel="0" collapsed="false">
      <c r="A9" s="43" t="n">
        <v>3</v>
      </c>
      <c r="B9" s="44" t="s">
        <v>15</v>
      </c>
      <c r="C9" s="45" t="n">
        <v>4160</v>
      </c>
      <c r="D9" s="45" t="n">
        <v>4071</v>
      </c>
      <c r="E9" s="45" t="n">
        <v>4388</v>
      </c>
      <c r="F9" s="45" t="n">
        <v>9994</v>
      </c>
      <c r="G9" s="45" t="n">
        <v>28739</v>
      </c>
      <c r="H9" s="46" t="n">
        <f aca="false">(C9/C$6)*100</f>
        <v>1.27335504566937</v>
      </c>
      <c r="I9" s="46" t="n">
        <f aca="false">(D9/D$6)*100</f>
        <v>1.14074514111502</v>
      </c>
      <c r="J9" s="46" t="n">
        <f aca="false">(E9/E$6)*100</f>
        <v>1.09732645462025</v>
      </c>
      <c r="K9" s="46" t="n">
        <f aca="false">(F9/F$6)*100</f>
        <v>2.91304018328194</v>
      </c>
      <c r="L9" s="46" t="n">
        <f aca="false">(G9/G$6)*100</f>
        <v>6.94915623088251</v>
      </c>
      <c r="M9" s="47" t="n">
        <f aca="false">AVERAGE(H9:L9)</f>
        <v>2.67472461111382</v>
      </c>
      <c r="N9" s="47" t="n">
        <f aca="false">((G9/C9)^(1/4)-1)*100</f>
        <v>62.1229809267543</v>
      </c>
      <c r="O9" s="47" t="n">
        <f aca="false">(G9/F9-1)*100</f>
        <v>187.562537522514</v>
      </c>
      <c r="P9" s="48" t="n">
        <f aca="false">(M9-$M$3)/$M$4</f>
        <v>0.645574415381869</v>
      </c>
      <c r="Q9" s="49" t="n">
        <f aca="false">(N9-$N$3)/$N$4</f>
        <v>0.333205478308889</v>
      </c>
      <c r="R9" s="50" t="str">
        <f aca="false">IF(AND(P9&gt;0,Q9&gt;0), "ESTRELLA",
IF(AND(P9&gt;0,Q9&lt;0), "Consolidado",
IF(AND(P9&lt;0,Q9&lt;0), "estancado", "prometedor")))</f>
        <v>ESTRELLA</v>
      </c>
      <c r="S9" s="16" t="n">
        <v>2</v>
      </c>
      <c r="T9" s="51" t="s">
        <v>238</v>
      </c>
      <c r="U9" s="34" t="n">
        <f aca="false">COUNTIF($R$7:$R$74,T9)</f>
        <v>21</v>
      </c>
    </row>
    <row r="10" customFormat="false" ht="15" hidden="false" customHeight="false" outlineLevel="0" collapsed="false">
      <c r="A10" s="16" t="n">
        <v>4</v>
      </c>
      <c r="B10" s="28" t="s">
        <v>16</v>
      </c>
      <c r="C10" s="35" t="n">
        <v>12751</v>
      </c>
      <c r="D10" s="35" t="n">
        <v>10968</v>
      </c>
      <c r="E10" s="35" t="n">
        <v>13034</v>
      </c>
      <c r="F10" s="35" t="n">
        <v>16150</v>
      </c>
      <c r="G10" s="35" t="n">
        <v>16954</v>
      </c>
      <c r="H10" s="30" t="n">
        <f aca="false">(C10/C$6)*100</f>
        <v>3.90301687195436</v>
      </c>
      <c r="I10" s="30" t="n">
        <f aca="false">(D10/D$6)*100</f>
        <v>3.07337084444843</v>
      </c>
      <c r="J10" s="30" t="n">
        <f aca="false">(E10/E$6)*100</f>
        <v>3.25946969223344</v>
      </c>
      <c r="K10" s="30" t="n">
        <f aca="false">(F10/F$6)*100</f>
        <v>4.70738432659628</v>
      </c>
      <c r="L10" s="30" t="n">
        <f aca="false">(G10/G$6)*100</f>
        <v>4.09951615360249</v>
      </c>
      <c r="M10" s="31" t="n">
        <f aca="false">AVERAGE(H10:L10)</f>
        <v>3.808551577767</v>
      </c>
      <c r="N10" s="31" t="n">
        <f aca="false">((G10/C10)^(1/4)-1)*100</f>
        <v>7.38212233994926</v>
      </c>
      <c r="O10" s="31" t="n">
        <f aca="false">(G10/F10-1)*100</f>
        <v>4.9783281733746</v>
      </c>
      <c r="P10" s="31" t="n">
        <f aca="false">(M10-$M$3)/$M$4</f>
        <v>1.00445834182502</v>
      </c>
      <c r="Q10" s="32" t="n">
        <f aca="false">(N10-$N$3)/$N$4</f>
        <v>-0.171139173828054</v>
      </c>
      <c r="R10" s="36" t="str">
        <f aca="false">IF(AND(P10&gt;0,Q10&gt;0), "ESTRELLA",
IF(AND(P10&gt;0,Q10&lt;0), "Consolidado",
IF(AND(P10&lt;0,Q10&lt;0), "estancado", "prometedor")))</f>
        <v>Consolidado</v>
      </c>
      <c r="U10" s="52" t="n">
        <f aca="false">SUM(U6:U9)</f>
        <v>68</v>
      </c>
    </row>
    <row r="11" customFormat="false" ht="15" hidden="false" customHeight="false" outlineLevel="0" collapsed="false">
      <c r="A11" s="53" t="n">
        <v>5</v>
      </c>
      <c r="B11" s="54" t="s">
        <v>17</v>
      </c>
      <c r="C11" s="55" t="n">
        <v>5994</v>
      </c>
      <c r="D11" s="55" t="n">
        <v>4660</v>
      </c>
      <c r="E11" s="55" t="n">
        <v>5399</v>
      </c>
      <c r="F11" s="55" t="n">
        <v>8710</v>
      </c>
      <c r="G11" s="55" t="n">
        <v>12797</v>
      </c>
      <c r="H11" s="56" t="n">
        <f aca="false">(C11/C$6)*100</f>
        <v>1.83473320763034</v>
      </c>
      <c r="I11" s="56" t="n">
        <f aca="false">(D11/D$6)*100</f>
        <v>1.30579031137214</v>
      </c>
      <c r="J11" s="56" t="n">
        <f aca="false">(E11/E$6)*100</f>
        <v>1.35015167012186</v>
      </c>
      <c r="K11" s="56" t="n">
        <f aca="false">(F11/F$6)*100</f>
        <v>2.53878126839961</v>
      </c>
      <c r="L11" s="56" t="n">
        <f aca="false">(G11/G$6)*100</f>
        <v>3.09434400245671</v>
      </c>
      <c r="M11" s="57" t="n">
        <f aca="false">AVERAGE(H11:L11)</f>
        <v>2.02476009199613</v>
      </c>
      <c r="N11" s="57" t="n">
        <f aca="false">((G11/C11)^(1/4)-1)*100</f>
        <v>20.8781648033578</v>
      </c>
      <c r="O11" s="57" t="n">
        <f aca="false">(G11/F11-1)*100</f>
        <v>46.9230769230769</v>
      </c>
      <c r="P11" s="31" t="n">
        <f aca="false">(M11-$M$3)/$M$4</f>
        <v>0.439844770973932</v>
      </c>
      <c r="Q11" s="58" t="n">
        <f aca="false">(N11-$N$3)/$N$4</f>
        <v>-0.046795913288222</v>
      </c>
      <c r="R11" s="59" t="str">
        <f aca="false">IF(AND(P11&gt;0,Q11&gt;0), "ESTRELLA",
IF(AND(P11&gt;0,Q11&lt;0), "Consolidado",
IF(AND(P11&lt;0,Q11&lt;0), "estancado", "prometedor")))</f>
        <v>Consolidado</v>
      </c>
    </row>
    <row r="12" s="37" customFormat="true" ht="15" hidden="false" customHeight="false" outlineLevel="0" collapsed="false">
      <c r="A12" s="37" t="n">
        <v>6</v>
      </c>
      <c r="B12" s="28" t="s">
        <v>18</v>
      </c>
      <c r="C12" s="35" t="n">
        <v>2017</v>
      </c>
      <c r="D12" s="35" t="n">
        <v>3922</v>
      </c>
      <c r="E12" s="35" t="n">
        <v>339</v>
      </c>
      <c r="F12" s="35" t="n">
        <v>27893</v>
      </c>
      <c r="G12" s="35" t="n">
        <v>11475</v>
      </c>
      <c r="H12" s="38" t="n">
        <f aca="false">(C12/C$6)*100</f>
        <v>0.617393540171903</v>
      </c>
      <c r="I12" s="38" t="n">
        <f aca="false">(D12/D$6)*100</f>
        <v>1.09899347665269</v>
      </c>
      <c r="J12" s="38" t="n">
        <f aca="false">(E12/E$6)*100</f>
        <v>0.0847752206281369</v>
      </c>
      <c r="K12" s="38" t="n">
        <f aca="false">(F12/F$6)*100</f>
        <v>8.13022111589784</v>
      </c>
      <c r="L12" s="38" t="n">
        <f aca="false">(G12/G$6)*100</f>
        <v>2.77468136502233</v>
      </c>
      <c r="M12" s="39" t="n">
        <f aca="false">AVERAGE(H12:L12)</f>
        <v>2.54121294367458</v>
      </c>
      <c r="N12" s="39" t="n">
        <f aca="false">((G12/C12)^(1/4)-1)*100</f>
        <v>54.4406778132713</v>
      </c>
      <c r="O12" s="39" t="n">
        <f aca="false">(G12/F12-1)*100</f>
        <v>-58.8606460402251</v>
      </c>
      <c r="P12" s="31" t="n">
        <f aca="false">(M12-$M$3)/$M$4</f>
        <v>0.603314711877021</v>
      </c>
      <c r="Q12" s="40" t="n">
        <f aca="false">(N12-$N$3)/$N$4</f>
        <v>0.262426016835223</v>
      </c>
      <c r="R12" s="40" t="str">
        <f aca="false">IF(AND(P12&gt;0,Q12&gt;0), "ESTRELLA",
IF(AND(P12&gt;0,Q12&lt;0), "Consolidado",
IF(AND(P12&lt;0,Q12&lt;0), "estancado", "prometedor")))</f>
        <v>ESTRELLA</v>
      </c>
    </row>
    <row r="13" s="60" customFormat="true" ht="15" hidden="false" customHeight="false" outlineLevel="0" collapsed="false">
      <c r="A13" s="60" t="n">
        <v>7</v>
      </c>
      <c r="B13" s="28" t="s">
        <v>19</v>
      </c>
      <c r="C13" s="35" t="n">
        <v>59225</v>
      </c>
      <c r="D13" s="35" t="n">
        <v>87094</v>
      </c>
      <c r="E13" s="35" t="n">
        <v>43848</v>
      </c>
      <c r="F13" s="35" t="n">
        <v>36453</v>
      </c>
      <c r="G13" s="35" t="n">
        <v>9395</v>
      </c>
      <c r="H13" s="61" t="n">
        <f aca="false">(C13/C$6)*100</f>
        <v>18.1284741778289</v>
      </c>
      <c r="I13" s="61" t="n">
        <f aca="false">(D13/D$6)*100</f>
        <v>24.4048286220269</v>
      </c>
      <c r="J13" s="61" t="n">
        <f aca="false">(E13/E$6)*100</f>
        <v>10.9652621654942</v>
      </c>
      <c r="K13" s="61" t="n">
        <f aca="false">(F13/F$6)*100</f>
        <v>10.6252805484467</v>
      </c>
      <c r="L13" s="61" t="n">
        <f aca="false">(G13/G$6)*100</f>
        <v>2.27173258600303</v>
      </c>
      <c r="M13" s="62" t="n">
        <f aca="false">AVERAGE(H13:L13)</f>
        <v>13.27911561996</v>
      </c>
      <c r="N13" s="62" t="n">
        <f aca="false">((G13/C13)^(1/4)-1)*100</f>
        <v>-36.8900365345522</v>
      </c>
      <c r="O13" s="62" t="n">
        <f aca="false">(G13/F13-1)*100</f>
        <v>-74.22708693386</v>
      </c>
      <c r="P13" s="39" t="n">
        <f aca="false">(M13-$M$3)/$M$4</f>
        <v>4.00212316111061</v>
      </c>
      <c r="Q13" s="25" t="n">
        <f aca="false">(N13-$N$3)/$N$4</f>
        <v>-0.579032421090603</v>
      </c>
      <c r="R13" s="36" t="str">
        <f aca="false">IF(AND(P13&gt;0,Q13&gt;0), "ESTRELLA",
IF(AND(P13&gt;0,Q13&lt;0), "Consolidado",
IF(AND(P13&lt;0,Q13&lt;0), "estancado", "prometedor")))</f>
        <v>Consolidado</v>
      </c>
    </row>
    <row r="14" s="60" customFormat="true" ht="15" hidden="false" customHeight="false" outlineLevel="0" collapsed="false">
      <c r="A14" s="60" t="n">
        <v>8</v>
      </c>
      <c r="B14" s="63" t="s">
        <v>20</v>
      </c>
      <c r="C14" s="35" t="n">
        <v>5</v>
      </c>
      <c r="D14" s="35" t="n">
        <v>2</v>
      </c>
      <c r="E14" s="35" t="n">
        <v>1</v>
      </c>
      <c r="F14" s="35" t="n">
        <f aca="false">E14+(E14/D14-1)*E14</f>
        <v>0.5</v>
      </c>
      <c r="G14" s="35" t="n">
        <v>7738</v>
      </c>
      <c r="H14" s="61" t="n">
        <f aca="false">(C14/C$6)*100</f>
        <v>0.00153047481450645</v>
      </c>
      <c r="I14" s="61" t="n">
        <f aca="false">(D14/D$6)*100</f>
        <v>0.000560425026339976</v>
      </c>
      <c r="J14" s="61" t="n">
        <f aca="false">(E14/E$6)*100</f>
        <v>0.000250074397133147</v>
      </c>
      <c r="K14" s="61" t="n">
        <f aca="false">(F14/F$6)*100</f>
        <v>0.000145739452835798</v>
      </c>
      <c r="L14" s="61" t="n">
        <f aca="false">(G14/G$6)*100</f>
        <v>1.87106617887083</v>
      </c>
      <c r="M14" s="62" t="n">
        <f aca="false">AVERAGE(H14:L14)</f>
        <v>0.374710578512329</v>
      </c>
      <c r="N14" s="62" t="n">
        <f aca="false">((G14/C14)^(1/4)-1)*100</f>
        <v>527.212464255249</v>
      </c>
      <c r="O14" s="62" t="n">
        <f aca="false">(G14/F14-1)*100</f>
        <v>1547500</v>
      </c>
      <c r="P14" s="57" t="n">
        <f aca="false">(M14-$M$3)/$M$4</f>
        <v>-0.0824361992632266</v>
      </c>
      <c r="Q14" s="25" t="n">
        <f aca="false">(N14-$N$3)/$N$4</f>
        <v>4.61822036001556</v>
      </c>
      <c r="R14" s="36" t="str">
        <f aca="false">IF(AND(P14&gt;0,Q14&gt;0), "ESTRELLA",
IF(AND(P14&gt;0,Q14&lt;0), "Consolidado",
IF(AND(P14&lt;0,Q14&lt;0), "estancado", "prometedor")))</f>
        <v>prometedor</v>
      </c>
    </row>
    <row r="15" customFormat="false" ht="15" hidden="false" customHeight="false" outlineLevel="0" collapsed="false">
      <c r="A15" s="16" t="n">
        <v>9</v>
      </c>
      <c r="B15" s="28" t="s">
        <v>21</v>
      </c>
      <c r="C15" s="35" t="n">
        <v>4856</v>
      </c>
      <c r="D15" s="35" t="n">
        <v>4490</v>
      </c>
      <c r="E15" s="35" t="n">
        <v>5686</v>
      </c>
      <c r="F15" s="35" t="n">
        <v>6192</v>
      </c>
      <c r="G15" s="35" t="n">
        <v>6863</v>
      </c>
      <c r="H15" s="30" t="n">
        <f aca="false">(C15/C$6)*100</f>
        <v>1.48639713984867</v>
      </c>
      <c r="I15" s="30" t="n">
        <f aca="false">(D15/D$6)*100</f>
        <v>1.25815418413325</v>
      </c>
      <c r="J15" s="30" t="n">
        <f aca="false">(E15/E$6)*100</f>
        <v>1.42192302209907</v>
      </c>
      <c r="K15" s="30" t="n">
        <f aca="false">(F15/F$6)*100</f>
        <v>1.80483738391853</v>
      </c>
      <c r="L15" s="30" t="n">
        <f aca="false">(G15/G$6)*100</f>
        <v>1.65948916846608</v>
      </c>
      <c r="M15" s="31" t="n">
        <f aca="false">AVERAGE(H15:L15)</f>
        <v>1.52616017969312</v>
      </c>
      <c r="N15" s="31" t="n">
        <f aca="false">((G15/C15)^(1/4)-1)*100</f>
        <v>9.03321804745592</v>
      </c>
      <c r="O15" s="31" t="n">
        <f aca="false">(G15/F15-1)*100</f>
        <v>10.8365633074935</v>
      </c>
      <c r="P15" s="31" t="n">
        <f aca="false">(M15-$M$3)/$M$4</f>
        <v>0.282025721406159</v>
      </c>
      <c r="Q15" s="32" t="n">
        <f aca="false">(N15-$N$3)/$N$4</f>
        <v>-0.15592711264113</v>
      </c>
      <c r="R15" s="36" t="str">
        <f aca="false">IF(AND(P15&gt;0,Q15&gt;0), "ESTRELLA",
IF(AND(P15&gt;0,Q15&lt;0), "Consolidado",
IF(AND(P15&lt;0,Q15&lt;0), "estancado", "prometedor")))</f>
        <v>Consolidado</v>
      </c>
    </row>
    <row r="16" customFormat="false" ht="15" hidden="false" customHeight="false" outlineLevel="0" collapsed="false">
      <c r="A16" s="16" t="n">
        <v>10</v>
      </c>
      <c r="B16" s="28" t="s">
        <v>22</v>
      </c>
      <c r="C16" s="35" t="n">
        <v>5396</v>
      </c>
      <c r="D16" s="35" t="n">
        <v>4184</v>
      </c>
      <c r="E16" s="35" t="n">
        <v>5650</v>
      </c>
      <c r="F16" s="35" t="n">
        <v>5203</v>
      </c>
      <c r="G16" s="35" t="n">
        <v>6566</v>
      </c>
      <c r="H16" s="30" t="n">
        <f aca="false">(C16/C$6)*100</f>
        <v>1.65168841981536</v>
      </c>
      <c r="I16" s="30" t="n">
        <f aca="false">(D16/D$6)*100</f>
        <v>1.17240915510323</v>
      </c>
      <c r="J16" s="30" t="n">
        <f aca="false">(E16/E$6)*100</f>
        <v>1.41292034380228</v>
      </c>
      <c r="K16" s="30" t="n">
        <f aca="false">(F16/F$6)*100</f>
        <v>1.51656474620932</v>
      </c>
      <c r="L16" s="30" t="n">
        <f aca="false">(G16/G$6)*100</f>
        <v>1.58767388607727</v>
      </c>
      <c r="M16" s="31" t="n">
        <f aca="false">AVERAGE(H16:L16)</f>
        <v>1.46825131020149</v>
      </c>
      <c r="N16" s="31" t="n">
        <f aca="false">((G16/C16)^(1/4)-1)*100</f>
        <v>5.02851725331486</v>
      </c>
      <c r="O16" s="31" t="n">
        <f aca="false">(G16/F16-1)*100</f>
        <v>26.1964251393427</v>
      </c>
      <c r="P16" s="31" t="n">
        <f aca="false">(M16-$M$3)/$M$4</f>
        <v>0.263696149901624</v>
      </c>
      <c r="Q16" s="32" t="n">
        <f aca="false">(N16-$N$3)/$N$4</f>
        <v>-0.192823673657446</v>
      </c>
      <c r="R16" s="36" t="str">
        <f aca="false">IF(AND(P16&gt;0,Q16&gt;0), "ESTRELLA",
IF(AND(P16&gt;0,Q16&lt;0), "Consolidado",
IF(AND(P16&lt;0,Q16&lt;0), "estancado", "prometedor")))</f>
        <v>Consolidado</v>
      </c>
    </row>
    <row r="17" customFormat="false" ht="15" hidden="false" customHeight="false" outlineLevel="0" collapsed="false">
      <c r="A17" s="16" t="n">
        <v>11</v>
      </c>
      <c r="B17" s="28" t="s">
        <v>23</v>
      </c>
      <c r="C17" s="35" t="n">
        <v>12932</v>
      </c>
      <c r="D17" s="35" t="n">
        <v>186</v>
      </c>
      <c r="E17" s="35" t="n">
        <v>94</v>
      </c>
      <c r="F17" s="35" t="n">
        <v>505</v>
      </c>
      <c r="G17" s="35" t="n">
        <v>4828</v>
      </c>
      <c r="H17" s="30" t="n">
        <f aca="false">(C17/C$6)*100</f>
        <v>3.95842006023949</v>
      </c>
      <c r="I17" s="30" t="n">
        <f aca="false">(D17/D$6)*100</f>
        <v>0.0521195274496178</v>
      </c>
      <c r="J17" s="30" t="n">
        <f aca="false">(E17/E$6)*100</f>
        <v>0.0235069933305158</v>
      </c>
      <c r="K17" s="30" t="n">
        <f aca="false">(F17/F$6)*100</f>
        <v>0.147196847364156</v>
      </c>
      <c r="L17" s="30" t="n">
        <f aca="false">(G17/G$6)*100</f>
        <v>1.16742149283903</v>
      </c>
      <c r="M17" s="31" t="n">
        <f aca="false">AVERAGE(H17:L17)</f>
        <v>1.06973298424456</v>
      </c>
      <c r="N17" s="31" t="n">
        <f aca="false">((G17/C17)^(1/4)-1)*100</f>
        <v>-21.8326495586016</v>
      </c>
      <c r="O17" s="31" t="n">
        <f aca="false">(G17/F17-1)*100</f>
        <v>856.039603960396</v>
      </c>
      <c r="P17" s="31" t="n">
        <f aca="false">(M17-$M$3)/$M$4</f>
        <v>0.137555366708625</v>
      </c>
      <c r="Q17" s="32" t="n">
        <f aca="false">(N17-$N$3)/$N$4</f>
        <v>-0.440304005195649</v>
      </c>
      <c r="R17" s="36" t="str">
        <f aca="false">IF(AND(P17&gt;0,Q17&gt;0), "ESTRELLA",
IF(AND(P17&gt;0,Q17&lt;0), "Consolidado",
IF(AND(P17&lt;0,Q17&lt;0), "estancado", "prometedor")))</f>
        <v>Consolidado</v>
      </c>
    </row>
    <row r="18" customFormat="false" ht="15" hidden="false" customHeight="false" outlineLevel="0" collapsed="false">
      <c r="A18" s="43" t="n">
        <v>12</v>
      </c>
      <c r="B18" s="63" t="s">
        <v>24</v>
      </c>
      <c r="C18" s="45" t="n">
        <v>200</v>
      </c>
      <c r="D18" s="45" t="n">
        <v>132</v>
      </c>
      <c r="E18" s="45" t="n">
        <v>223</v>
      </c>
      <c r="F18" s="45" t="n">
        <v>316</v>
      </c>
      <c r="G18" s="45" t="n">
        <v>4562</v>
      </c>
      <c r="H18" s="46" t="n">
        <f aca="false">(C18/C$6)*100</f>
        <v>0.0612189925802581</v>
      </c>
      <c r="I18" s="46" t="n">
        <f aca="false">(D18/D$6)*100</f>
        <v>0.0369880517384384</v>
      </c>
      <c r="J18" s="46" t="n">
        <f aca="false">(E18/E$6)*100</f>
        <v>0.0557665905606918</v>
      </c>
      <c r="K18" s="46" t="n">
        <f aca="false">(F18/F$6)*100</f>
        <v>0.0921073341922245</v>
      </c>
      <c r="L18" s="46" t="n">
        <f aca="false">(G18/G$6)*100</f>
        <v>1.10310208167598</v>
      </c>
      <c r="M18" s="47" t="n">
        <f aca="false">AVERAGE(H18:L18)</f>
        <v>0.269836610149519</v>
      </c>
      <c r="N18" s="47" t="n">
        <f aca="false">((G18/C18)^(1/4)-1)*100</f>
        <v>118.540192516247</v>
      </c>
      <c r="O18" s="47" t="n">
        <f aca="false">(G18/F18-1)*100</f>
        <v>1343.67088607595</v>
      </c>
      <c r="P18" s="47" t="n">
        <f aca="false">(M18-$M$3)/$M$4</f>
        <v>-0.115631371590816</v>
      </c>
      <c r="Q18" s="49" t="n">
        <f aca="false">(N18-$N$3)/$N$4</f>
        <v>0.852994894993296</v>
      </c>
      <c r="R18" s="50" t="str">
        <f aca="false">IF(AND(P18&gt;0,Q18&gt;0), "ESTRELLA",
IF(AND(P18&gt;0,Q18&lt;0), "Consolidado",
IF(AND(P18&lt;0,Q18&lt;0), "estancado", "prometedor")))</f>
        <v>prometedor</v>
      </c>
    </row>
    <row r="19" customFormat="false" ht="15" hidden="false" customHeight="false" outlineLevel="0" collapsed="false">
      <c r="A19" s="16" t="n">
        <v>13</v>
      </c>
      <c r="B19" s="63" t="s">
        <v>197</v>
      </c>
      <c r="C19" s="35" t="n">
        <v>123</v>
      </c>
      <c r="D19" s="35" t="n">
        <v>2796</v>
      </c>
      <c r="E19" s="35" t="n">
        <v>66</v>
      </c>
      <c r="F19" s="35" t="n">
        <v>546</v>
      </c>
      <c r="G19" s="35" t="n">
        <f aca="false">F19+(F19/E19-1)*F19</f>
        <v>4516.90909090909</v>
      </c>
      <c r="H19" s="30" t="n">
        <f aca="false">(C19/C$6)*100</f>
        <v>0.0376496804368587</v>
      </c>
      <c r="I19" s="30" t="n">
        <f aca="false">(D19/D$6)*100</f>
        <v>0.783474186823287</v>
      </c>
      <c r="J19" s="30" t="n">
        <f aca="false">(E19/E$6)*100</f>
        <v>0.0165049102107877</v>
      </c>
      <c r="K19" s="30" t="n">
        <f aca="false">(F19/F$6)*100</f>
        <v>0.159147482496692</v>
      </c>
      <c r="L19" s="30" t="n">
        <f aca="false">(G19/G$6)*100</f>
        <v>1.09219899625668</v>
      </c>
      <c r="M19" s="31" t="n">
        <f aca="false">AVERAGE(H19:L19)</f>
        <v>0.417795051244861</v>
      </c>
      <c r="N19" s="31" t="n">
        <f aca="false">((G19/C19)^(1/4)-1)*100</f>
        <v>146.169395736542</v>
      </c>
      <c r="O19" s="31" t="n">
        <f aca="false">(G19/F19-1)*100</f>
        <v>727.272727272728</v>
      </c>
      <c r="P19" s="31" t="n">
        <f aca="false">(M19-$M$3)/$M$4</f>
        <v>-0.0687989113897292</v>
      </c>
      <c r="Q19" s="32" t="n">
        <f aca="false">(N19-$N$3)/$N$4</f>
        <v>1.10755138619016</v>
      </c>
      <c r="R19" s="32" t="str">
        <f aca="false">IF(AND(P19&gt;0,Q19&gt;0), "ESTRELLA",
IF(AND(P19&gt;0,Q19&lt;0), "Consolidado",
IF(AND(P19&lt;0,Q19&lt;0), "estancado", "prometedor")))</f>
        <v>prometedor</v>
      </c>
    </row>
    <row r="20" s="60" customFormat="true" ht="15" hidden="false" customHeight="false" outlineLevel="0" collapsed="false">
      <c r="A20" s="60" t="n">
        <v>14</v>
      </c>
      <c r="B20" s="63" t="s">
        <v>25</v>
      </c>
      <c r="C20" s="35" t="n">
        <f aca="false">D20+(D20/E20-1)*D20</f>
        <v>1</v>
      </c>
      <c r="D20" s="35" t="n">
        <f aca="false">F20+(F20/E20-1)*F20</f>
        <v>1</v>
      </c>
      <c r="E20" s="35" t="n">
        <v>1</v>
      </c>
      <c r="F20" s="35" t="n">
        <v>1</v>
      </c>
      <c r="G20" s="35" t="n">
        <v>4342</v>
      </c>
      <c r="H20" s="30" t="n">
        <f aca="false">(C20/C$6)*100</f>
        <v>0.000306094962901291</v>
      </c>
      <c r="I20" s="30" t="n">
        <f aca="false">(D20/D$6)*100</f>
        <v>0.000280212513169988</v>
      </c>
      <c r="J20" s="30" t="n">
        <f aca="false">(E20/E$6)*100</f>
        <v>0.000250074397133147</v>
      </c>
      <c r="K20" s="30" t="n">
        <f aca="false">(F20/F$6)*100</f>
        <v>0.000291478905671597</v>
      </c>
      <c r="L20" s="30" t="n">
        <f aca="false">(G20/G$6)*100</f>
        <v>1.04990557620279</v>
      </c>
      <c r="M20" s="31" t="n">
        <f aca="false">AVERAGE(H20:L20)</f>
        <v>0.210206687396332</v>
      </c>
      <c r="N20" s="31" t="n">
        <f aca="false">((G20/C20)^(1/4)-1)*100</f>
        <v>711.750294352532</v>
      </c>
      <c r="O20" s="31" t="n">
        <f aca="false">(G20/F20-1)*100</f>
        <v>434100</v>
      </c>
      <c r="P20" s="31" t="n">
        <f aca="false">(M20-$M$3)/$M$4</f>
        <v>-0.134505698485981</v>
      </c>
      <c r="Q20" s="32" t="n">
        <f aca="false">(N20-$N$3)/$N$4</f>
        <v>6.31842510888581</v>
      </c>
      <c r="R20" s="32" t="str">
        <f aca="false">IF(AND(P20&gt;0,Q20&gt;0), "ESTRELLA",
IF(AND(P20&gt;0,Q20&lt;0), "Consolidado",
IF(AND(P20&lt;0,Q20&lt;0), "estancado", "prometedor")))</f>
        <v>prometedor</v>
      </c>
    </row>
    <row r="21" customFormat="false" ht="15" hidden="false" customHeight="false" outlineLevel="0" collapsed="false">
      <c r="A21" s="16" t="n">
        <v>15</v>
      </c>
      <c r="B21" s="28" t="s">
        <v>26</v>
      </c>
      <c r="C21" s="35" t="n">
        <v>2796</v>
      </c>
      <c r="D21" s="35" t="n">
        <v>3792</v>
      </c>
      <c r="E21" s="35" t="n">
        <v>3538</v>
      </c>
      <c r="F21" s="35" t="n">
        <v>3504</v>
      </c>
      <c r="G21" s="35" t="n">
        <v>4011</v>
      </c>
      <c r="H21" s="30" t="n">
        <f aca="false">(C21/C$6)*100</f>
        <v>0.855841516272008</v>
      </c>
      <c r="I21" s="30" t="n">
        <f aca="false">(D21/D$6)*100</f>
        <v>1.0625658499406</v>
      </c>
      <c r="J21" s="30" t="n">
        <f aca="false">(E21/E$6)*100</f>
        <v>0.884763217057074</v>
      </c>
      <c r="K21" s="30" t="n">
        <f aca="false">(F21/F$6)*100</f>
        <v>1.02134208547327</v>
      </c>
      <c r="L21" s="30" t="n">
        <f aca="false">(G21/G$6)*100</f>
        <v>0.969869015695387</v>
      </c>
      <c r="M21" s="31" t="n">
        <f aca="false">AVERAGE(H21:L21)</f>
        <v>0.958876336887668</v>
      </c>
      <c r="N21" s="31" t="n">
        <f aca="false">((G21/C21)^(1/4)-1)*100</f>
        <v>9.44070290450851</v>
      </c>
      <c r="O21" s="31" t="n">
        <f aca="false">(G21/F21-1)*100</f>
        <v>14.4691780821918</v>
      </c>
      <c r="P21" s="31" t="n">
        <f aca="false">(M21-$M$3)/$M$4</f>
        <v>0.102466530364221</v>
      </c>
      <c r="Q21" s="32" t="n">
        <f aca="false">(N21-$N$3)/$N$4</f>
        <v>-0.152172827199016</v>
      </c>
      <c r="R21" s="32" t="str">
        <f aca="false">IF(AND(P21&gt;0,Q21&gt;0), "ESTRELLA",
IF(AND(P21&gt;0,Q21&lt;0), "Consolidado",
IF(AND(P21&lt;0,Q21&lt;0), "estancado", "prometedor")))</f>
        <v>Consolidado</v>
      </c>
    </row>
    <row r="22" customFormat="false" ht="15" hidden="false" customHeight="false" outlineLevel="0" collapsed="false">
      <c r="A22" s="16" t="n">
        <v>16</v>
      </c>
      <c r="B22" s="28" t="s">
        <v>28</v>
      </c>
      <c r="C22" s="35" t="n">
        <v>1954</v>
      </c>
      <c r="D22" s="35" t="n">
        <v>1905</v>
      </c>
      <c r="E22" s="35" t="n">
        <v>2425</v>
      </c>
      <c r="F22" s="35" t="n">
        <v>2438</v>
      </c>
      <c r="G22" s="35" t="n">
        <v>3603</v>
      </c>
      <c r="H22" s="30" t="n">
        <f aca="false">(C22/C$6)*100</f>
        <v>0.598109557509122</v>
      </c>
      <c r="I22" s="30" t="n">
        <f aca="false">(D22/D$6)*100</f>
        <v>0.533804837588827</v>
      </c>
      <c r="J22" s="30" t="n">
        <f aca="false">(E22/E$6)*100</f>
        <v>0.606430413047882</v>
      </c>
      <c r="K22" s="30" t="n">
        <f aca="false">(F22/F$6)*100</f>
        <v>0.710625572027352</v>
      </c>
      <c r="L22" s="30" t="n">
        <f aca="false">(G22/G$6)*100</f>
        <v>0.871213678272371</v>
      </c>
      <c r="M22" s="31" t="n">
        <f aca="false">AVERAGE(H22:L22)</f>
        <v>0.664036811689111</v>
      </c>
      <c r="N22" s="31" t="n">
        <f aca="false">((G22/C22)^(1/4)-1)*100</f>
        <v>16.52924313303</v>
      </c>
      <c r="O22" s="31" t="n">
        <f aca="false">(G22/F22-1)*100</f>
        <v>47.7850697292863</v>
      </c>
      <c r="P22" s="31" t="n">
        <f aca="false">(M22-$M$3)/$M$4</f>
        <v>0.00914261976238505</v>
      </c>
      <c r="Q22" s="32" t="n">
        <f aca="false">(N22-$N$3)/$N$4</f>
        <v>-0.0868638889030762</v>
      </c>
      <c r="R22" s="32" t="str">
        <f aca="false">IF(AND(P22&gt;0,Q22&gt;0), "ESTRELLA",
IF(AND(P22&gt;0,Q22&lt;0), "Consolidado",
IF(AND(P22&lt;0,Q22&lt;0), "estancado", "prometedor")))</f>
        <v>Consolidado</v>
      </c>
    </row>
    <row r="23" customFormat="false" ht="15" hidden="false" customHeight="false" outlineLevel="0" collapsed="false">
      <c r="A23" s="60" t="n">
        <v>17</v>
      </c>
      <c r="B23" s="28" t="s">
        <v>29</v>
      </c>
      <c r="C23" s="35" t="n">
        <v>1472</v>
      </c>
      <c r="D23" s="35" t="n">
        <v>1225</v>
      </c>
      <c r="E23" s="35" t="n">
        <v>811</v>
      </c>
      <c r="F23" s="35" t="n">
        <v>1721</v>
      </c>
      <c r="G23" s="35" t="n">
        <v>3523</v>
      </c>
      <c r="H23" s="30" t="n">
        <f aca="false">(C23/C$6)*100</f>
        <v>0.4505717853907</v>
      </c>
      <c r="I23" s="30" t="n">
        <f aca="false">(D23/D$6)*100</f>
        <v>0.343260328633235</v>
      </c>
      <c r="J23" s="30" t="n">
        <f aca="false">(E23/E$6)*100</f>
        <v>0.202810336074982</v>
      </c>
      <c r="K23" s="30" t="n">
        <f aca="false">(F23/F$6)*100</f>
        <v>0.501635196660818</v>
      </c>
      <c r="L23" s="30" t="n">
        <f aca="false">(G23/G$6)*100</f>
        <v>0.851869494463936</v>
      </c>
      <c r="M23" s="31" t="n">
        <f aca="false">AVERAGE(H23:L23)</f>
        <v>0.470029428244734</v>
      </c>
      <c r="N23" s="31" t="n">
        <f aca="false">((G23/C23)^(1/4)-1)*100</f>
        <v>24.3801878233266</v>
      </c>
      <c r="O23" s="31" t="n">
        <f aca="false">(G23/F23-1)*100</f>
        <v>104.706565950029</v>
      </c>
      <c r="P23" s="31" t="n">
        <f aca="false">(M23-$M$3)/$M$4</f>
        <v>-0.052265455347172</v>
      </c>
      <c r="Q23" s="32" t="n">
        <f aca="false">(N23-$N$3)/$N$4</f>
        <v>-0.0145306798341112</v>
      </c>
      <c r="R23" s="32" t="str">
        <f aca="false">IF(AND(P23&gt;0,Q23&gt;0), "ESTRELLA",
IF(AND(P23&gt;0,Q23&lt;0), "Consolidado",
IF(AND(P23&lt;0,Q23&lt;0), "estancado", "prometedor")))</f>
        <v>estancado</v>
      </c>
    </row>
    <row r="24" customFormat="false" ht="15" hidden="false" customHeight="false" outlineLevel="0" collapsed="false">
      <c r="A24" s="16" t="n">
        <v>18</v>
      </c>
      <c r="B24" s="28" t="s">
        <v>30</v>
      </c>
      <c r="C24" s="35" t="n">
        <v>2610</v>
      </c>
      <c r="D24" s="35" t="n">
        <v>2863</v>
      </c>
      <c r="E24" s="35" t="n">
        <v>2883</v>
      </c>
      <c r="F24" s="35" t="n">
        <v>3548</v>
      </c>
      <c r="G24" s="35" t="n">
        <v>2977</v>
      </c>
      <c r="H24" s="30" t="n">
        <f aca="false">(C24/C$6)*100</f>
        <v>0.798907853172368</v>
      </c>
      <c r="I24" s="30" t="n">
        <f aca="false">(D24/D$6)*100</f>
        <v>0.802248425205676</v>
      </c>
      <c r="J24" s="30" t="n">
        <f aca="false">(E24/E$6)*100</f>
        <v>0.720964486934863</v>
      </c>
      <c r="K24" s="30" t="n">
        <f aca="false">(F24/F$6)*100</f>
        <v>1.03416715732282</v>
      </c>
      <c r="L24" s="30" t="n">
        <f aca="false">(G24/G$6)*100</f>
        <v>0.719845439971371</v>
      </c>
      <c r="M24" s="31" t="n">
        <f aca="false">AVERAGE(H24:L24)</f>
        <v>0.81522667252142</v>
      </c>
      <c r="N24" s="31" t="n">
        <f aca="false">((G24/C24)^(1/4)-1)*100</f>
        <v>3.34383691014448</v>
      </c>
      <c r="O24" s="31" t="n">
        <f aca="false">(G24/F24-1)*100</f>
        <v>-16.0935738444194</v>
      </c>
      <c r="P24" s="31" t="n">
        <f aca="false">(M24-$M$3)/$M$4</f>
        <v>0.0569979032313043</v>
      </c>
      <c r="Q24" s="32" t="n">
        <f aca="false">(N24-$N$3)/$N$4</f>
        <v>-0.208345160597423</v>
      </c>
      <c r="R24" s="32" t="str">
        <f aca="false">IF(AND(P24&gt;0,Q24&gt;0), "ESTRELLA",
IF(AND(P24&gt;0,Q24&lt;0), "Consolidado",
IF(AND(P24&lt;0,Q24&lt;0), "estancado", "prometedor")))</f>
        <v>Consolidado</v>
      </c>
    </row>
    <row r="25" customFormat="false" ht="15" hidden="false" customHeight="false" outlineLevel="0" collapsed="false">
      <c r="A25" s="16" t="n">
        <v>19</v>
      </c>
      <c r="B25" s="28" t="s">
        <v>31</v>
      </c>
      <c r="C25" s="35" t="n">
        <v>25356</v>
      </c>
      <c r="D25" s="35" t="n">
        <v>12613</v>
      </c>
      <c r="E25" s="35" t="n">
        <v>11107</v>
      </c>
      <c r="F25" s="35" t="n">
        <v>4034</v>
      </c>
      <c r="G25" s="35" t="n">
        <v>2968</v>
      </c>
      <c r="H25" s="30" t="n">
        <f aca="false">(C25/C$6)*100</f>
        <v>7.76134387932512</v>
      </c>
      <c r="I25" s="30" t="n">
        <f aca="false">(D25/D$6)*100</f>
        <v>3.53432042861306</v>
      </c>
      <c r="J25" s="30" t="n">
        <f aca="false">(E25/E$6)*100</f>
        <v>2.77757632895787</v>
      </c>
      <c r="K25" s="30" t="n">
        <f aca="false">(F25/F$6)*100</f>
        <v>1.17582590547922</v>
      </c>
      <c r="L25" s="30" t="n">
        <f aca="false">(G25/G$6)*100</f>
        <v>0.717669219292922</v>
      </c>
      <c r="M25" s="31" t="n">
        <f aca="false">AVERAGE(H25:L25)</f>
        <v>3.19334715233364</v>
      </c>
      <c r="N25" s="31" t="n">
        <f aca="false">((G25/C25)^(1/4)-1)*100</f>
        <v>-41.5080919809805</v>
      </c>
      <c r="O25" s="31" t="n">
        <f aca="false">(G25/F25-1)*100</f>
        <v>-26.4253842340109</v>
      </c>
      <c r="P25" s="31" t="n">
        <f aca="false">(M25-$M$3)/$M$4</f>
        <v>0.809731116015209</v>
      </c>
      <c r="Q25" s="32" t="n">
        <f aca="false">(N25-$N$3)/$N$4</f>
        <v>-0.621580010364977</v>
      </c>
      <c r="R25" s="32" t="str">
        <f aca="false">IF(AND(P25&gt;0,Q25&gt;0), "ESTRELLA",
IF(AND(P25&gt;0,Q25&lt;0), "Consolidado",
IF(AND(P25&lt;0,Q25&lt;0), "estancado", "prometedor")))</f>
        <v>Consolidado</v>
      </c>
    </row>
    <row r="26" customFormat="false" ht="15" hidden="false" customHeight="false" outlineLevel="0" collapsed="false">
      <c r="A26" s="16" t="n">
        <v>20</v>
      </c>
      <c r="B26" s="63" t="s">
        <v>32</v>
      </c>
      <c r="C26" s="35" t="n">
        <v>1</v>
      </c>
      <c r="D26" s="35" t="n">
        <v>9</v>
      </c>
      <c r="E26" s="35" t="n">
        <v>4</v>
      </c>
      <c r="F26" s="35" t="n">
        <v>21</v>
      </c>
      <c r="G26" s="35" t="n">
        <v>2915</v>
      </c>
      <c r="H26" s="30" t="n">
        <f aca="false">(C26/C$6)*100</f>
        <v>0.000306094962901291</v>
      </c>
      <c r="I26" s="30" t="n">
        <f aca="false">(D26/D$6)*100</f>
        <v>0.00252191261852989</v>
      </c>
      <c r="J26" s="30" t="n">
        <f aca="false">(E26/E$6)*100</f>
        <v>0.00100029758853259</v>
      </c>
      <c r="K26" s="30" t="n">
        <f aca="false">(F26/F$6)*100</f>
        <v>0.00612105701910353</v>
      </c>
      <c r="L26" s="30" t="n">
        <f aca="false">(G26/G$6)*100</f>
        <v>0.704853697519834</v>
      </c>
      <c r="M26" s="31" t="n">
        <f aca="false">AVERAGE(H26:L26)</f>
        <v>0.14296061194178</v>
      </c>
      <c r="N26" s="31" t="n">
        <f aca="false">((G26/C26)^(1/4)-1)*100</f>
        <v>634.783913451923</v>
      </c>
      <c r="O26" s="31" t="n">
        <f aca="false">(G26/F26-1)*100</f>
        <v>13780.9523809524</v>
      </c>
      <c r="P26" s="31" t="n">
        <f aca="false">(M26-$M$3)/$M$4</f>
        <v>-0.155790723720704</v>
      </c>
      <c r="Q26" s="32" t="n">
        <f aca="false">(N26-$N$3)/$N$4</f>
        <v>5.60930976791975</v>
      </c>
      <c r="R26" s="32" t="str">
        <f aca="false">IF(AND(P26&gt;0,Q26&gt;0), "ESTRELLA",
IF(AND(P26&gt;0,Q26&lt;0), "Consolidado",
IF(AND(P26&lt;0,Q26&lt;0), "estancado", "prometedor")))</f>
        <v>prometedor</v>
      </c>
    </row>
    <row r="27" customFormat="false" ht="15" hidden="false" customHeight="false" outlineLevel="0" collapsed="false">
      <c r="A27" s="16" t="n">
        <v>21</v>
      </c>
      <c r="B27" s="28" t="s">
        <v>33</v>
      </c>
      <c r="C27" s="35" t="n">
        <v>626</v>
      </c>
      <c r="D27" s="35" t="n">
        <v>686</v>
      </c>
      <c r="E27" s="35" t="n">
        <v>931</v>
      </c>
      <c r="F27" s="35" t="n">
        <v>2380</v>
      </c>
      <c r="G27" s="35" t="n">
        <v>2111</v>
      </c>
      <c r="H27" s="30" t="n">
        <f aca="false">(C27/C$6)*100</f>
        <v>0.191615446776208</v>
      </c>
      <c r="I27" s="30" t="n">
        <f aca="false">(D27/D$6)*100</f>
        <v>0.192225784034612</v>
      </c>
      <c r="J27" s="30" t="n">
        <f aca="false">(E27/E$6)*100</f>
        <v>0.23281926373096</v>
      </c>
      <c r="K27" s="30" t="n">
        <f aca="false">(F27/F$6)*100</f>
        <v>0.6937197954984</v>
      </c>
      <c r="L27" s="30" t="n">
        <f aca="false">(G27/G$6)*100</f>
        <v>0.510444650245067</v>
      </c>
      <c r="M27" s="31" t="n">
        <f aca="false">AVERAGE(H27:L27)</f>
        <v>0.364164988057049</v>
      </c>
      <c r="N27" s="31" t="n">
        <f aca="false">((G27/C27)^(1/4)-1)*100</f>
        <v>35.5122246643204</v>
      </c>
      <c r="O27" s="31" t="n">
        <f aca="false">(G27/F27-1)*100</f>
        <v>-11.3025210084034</v>
      </c>
      <c r="P27" s="31" t="n">
        <f aca="false">(M27-$M$3)/$M$4</f>
        <v>-0.0857741361976637</v>
      </c>
      <c r="Q27" s="32" t="n">
        <f aca="false">(N27-$N$3)/$N$4</f>
        <v>0.0880322574870795</v>
      </c>
      <c r="R27" s="32" t="str">
        <f aca="false">IF(AND(P27&gt;0,Q27&gt;0), "ESTRELLA",
IF(AND(P27&gt;0,Q27&lt;0), "Consolidado",
IF(AND(P27&lt;0,Q27&lt;0), "estancado", "prometedor")))</f>
        <v>prometedor</v>
      </c>
    </row>
    <row r="28" customFormat="false" ht="15" hidden="false" customHeight="false" outlineLevel="0" collapsed="false">
      <c r="A28" s="16" t="n">
        <v>22</v>
      </c>
      <c r="B28" s="63" t="s">
        <v>212</v>
      </c>
      <c r="C28" s="64" t="n">
        <v>3</v>
      </c>
      <c r="D28" s="64" t="n">
        <f aca="false">E28+(E28/C28-1)*E28</f>
        <v>208.333333333333</v>
      </c>
      <c r="E28" s="64" t="n">
        <v>25</v>
      </c>
      <c r="F28" s="64" t="n">
        <v>218</v>
      </c>
      <c r="G28" s="64" t="n">
        <f aca="false">F28+(F28/E28-1)*F28</f>
        <v>1900.96</v>
      </c>
      <c r="H28" s="65" t="n">
        <f aca="false">(C28/C$6)*100</f>
        <v>0.000918284888703872</v>
      </c>
      <c r="I28" s="65" t="n">
        <f aca="false">(D28/D$6)*100</f>
        <v>0.0583776069104141</v>
      </c>
      <c r="J28" s="65" t="n">
        <f aca="false">(E28/E$6)*100</f>
        <v>0.00625185992832868</v>
      </c>
      <c r="K28" s="65" t="n">
        <f aca="false">(F28/F$6)*100</f>
        <v>0.0635424014364081</v>
      </c>
      <c r="L28" s="65" t="n">
        <f aca="false">(G28/G$6)*100</f>
        <v>0.459656495656022</v>
      </c>
      <c r="M28" s="66" t="n">
        <f aca="false">AVERAGE(H28:L28)</f>
        <v>0.117749329763975</v>
      </c>
      <c r="N28" s="66" t="n">
        <f aca="false">((G28/C28)^(1/4)-1)*100</f>
        <v>401.721752933513</v>
      </c>
      <c r="O28" s="66" t="n">
        <f aca="false">(G28/F28-1)*100</f>
        <v>772</v>
      </c>
      <c r="P28" s="67" t="n">
        <f aca="false">(M28-$M$3)/$M$4</f>
        <v>-0.163770710266044</v>
      </c>
      <c r="Q28" s="68" t="n">
        <f aca="false">(N28-$N$3)/$N$4</f>
        <v>3.4620351853235</v>
      </c>
      <c r="R28" s="68" t="str">
        <f aca="false">IF(AND(P28&gt;0,Q28&gt;0), "ESTRELLA",
IF(AND(P28&gt;0,Q28&lt;0), "Consolidado",
IF(AND(P28&lt;0,Q28&lt;0), "estancado", "prometedor")))</f>
        <v>prometedor</v>
      </c>
    </row>
    <row r="29" customFormat="false" ht="15" hidden="false" customHeight="false" outlineLevel="0" collapsed="false">
      <c r="A29" s="16" t="n">
        <v>23</v>
      </c>
      <c r="B29" s="63" t="s">
        <v>173</v>
      </c>
      <c r="C29" s="35" t="n">
        <v>32</v>
      </c>
      <c r="D29" s="35" t="n">
        <v>1</v>
      </c>
      <c r="E29" s="35" t="n">
        <v>1</v>
      </c>
      <c r="F29" s="35" t="n">
        <v>39</v>
      </c>
      <c r="G29" s="35" t="n">
        <f aca="false">F29+(F29/E29-1)*F29</f>
        <v>1521</v>
      </c>
      <c r="H29" s="30" t="n">
        <f aca="false">(C29/C$6)*100</f>
        <v>0.0097950388128413</v>
      </c>
      <c r="I29" s="30" t="n">
        <f aca="false">(D29/D$6)*100</f>
        <v>0.000280212513169988</v>
      </c>
      <c r="J29" s="30" t="n">
        <f aca="false">(E29/E$6)*100</f>
        <v>0.000250074397133147</v>
      </c>
      <c r="K29" s="30" t="n">
        <f aca="false">(F29/F$6)*100</f>
        <v>0.0113676773211923</v>
      </c>
      <c r="L29" s="30" t="n">
        <f aca="false">(G29/G$6)*100</f>
        <v>0.367781294657862</v>
      </c>
      <c r="M29" s="31" t="n">
        <f aca="false">AVERAGE(H29:L29)</f>
        <v>0.0778948595404397</v>
      </c>
      <c r="N29" s="31" t="n">
        <f aca="false">((G29/C29)^(1/4)-1)*100</f>
        <v>162.569821505992</v>
      </c>
      <c r="O29" s="31" t="n">
        <f aca="false">(G29/F29-1)*100</f>
        <v>3800</v>
      </c>
      <c r="P29" s="31" t="n">
        <f aca="false">(M29-$M$3)/$M$4</f>
        <v>-0.176385623458975</v>
      </c>
      <c r="Q29" s="32" t="n">
        <f aca="false">(N29-$N$3)/$N$4</f>
        <v>1.25865363856851</v>
      </c>
      <c r="R29" s="32" t="str">
        <f aca="false">IF(AND(P29&gt;0,Q29&gt;0), "ESTRELLA",
IF(AND(P29&gt;0,Q29&lt;0), "Consolidado",
IF(AND(P29&lt;0,Q29&lt;0), "estancado", "prometedor")))</f>
        <v>prometedor</v>
      </c>
    </row>
    <row r="30" customFormat="false" ht="15" hidden="false" customHeight="false" outlineLevel="0" collapsed="false">
      <c r="A30" s="16" t="n">
        <v>24</v>
      </c>
      <c r="B30" s="63" t="s">
        <v>183</v>
      </c>
      <c r="C30" s="35" t="n">
        <f aca="false">D30+(D30/E30-1)*D30</f>
        <v>116.346153846154</v>
      </c>
      <c r="D30" s="35" t="n">
        <v>55</v>
      </c>
      <c r="E30" s="35" t="n">
        <v>26</v>
      </c>
      <c r="F30" s="35" t="n">
        <v>150</v>
      </c>
      <c r="G30" s="35" t="n">
        <f aca="false">F30+(F30/E30-1)*F30</f>
        <v>865.384615384615</v>
      </c>
      <c r="H30" s="30" t="n">
        <f aca="false">(C30/C$6)*100</f>
        <v>0.0356129716452463</v>
      </c>
      <c r="I30" s="30" t="n">
        <f aca="false">(D30/D$6)*100</f>
        <v>0.0154116882243493</v>
      </c>
      <c r="J30" s="30" t="n">
        <f aca="false">(E30/E$6)*100</f>
        <v>0.00650193432546183</v>
      </c>
      <c r="K30" s="30" t="n">
        <f aca="false">(F30/F$6)*100</f>
        <v>0.0437218358507395</v>
      </c>
      <c r="L30" s="30" t="n">
        <f aca="false">(G30/G$6)*100</f>
        <v>0.209251988312393</v>
      </c>
      <c r="M30" s="31" t="n">
        <f aca="false">AVERAGE(H30:L30)</f>
        <v>0.062100083671638</v>
      </c>
      <c r="N30" s="31" t="n">
        <f aca="false">((G30/C30)^(1/4)-1)*100</f>
        <v>65.1445647689541</v>
      </c>
      <c r="O30" s="31" t="n">
        <f aca="false">(G30/F30-1)*100</f>
        <v>476.923076923077</v>
      </c>
      <c r="P30" s="31" t="n">
        <f aca="false">(M30-$M$3)/$M$4</f>
        <v>-0.181385055777839</v>
      </c>
      <c r="Q30" s="32" t="n">
        <f aca="false">(N30-$N$3)/$N$4</f>
        <v>0.361044275345298</v>
      </c>
      <c r="R30" s="32" t="str">
        <f aca="false">IF(AND(P30&gt;0,Q30&gt;0), "ESTRELLA",
IF(AND(P30&gt;0,Q30&lt;0), "Consolidado",
IF(AND(P30&lt;0,Q30&lt;0), "estancado", "prometedor")))</f>
        <v>prometedor</v>
      </c>
    </row>
    <row r="31" customFormat="false" ht="15" hidden="false" customHeight="false" outlineLevel="0" collapsed="false">
      <c r="A31" s="16" t="n">
        <v>25</v>
      </c>
      <c r="B31" s="28" t="s">
        <v>34</v>
      </c>
      <c r="C31" s="35" t="n">
        <v>1904</v>
      </c>
      <c r="D31" s="35" t="n">
        <v>1647</v>
      </c>
      <c r="E31" s="35" t="n">
        <v>789</v>
      </c>
      <c r="F31" s="35" t="n">
        <v>969</v>
      </c>
      <c r="G31" s="35" t="n">
        <v>821</v>
      </c>
      <c r="H31" s="30" t="n">
        <f aca="false">(C31/C$6)*100</f>
        <v>0.582804809364057</v>
      </c>
      <c r="I31" s="30" t="n">
        <f aca="false">(D31/D$6)*100</f>
        <v>0.46151000919097</v>
      </c>
      <c r="J31" s="30" t="n">
        <f aca="false">(E31/E$6)*100</f>
        <v>0.197308699338053</v>
      </c>
      <c r="K31" s="30" t="n">
        <f aca="false">(F31/F$6)*100</f>
        <v>0.282443059595777</v>
      </c>
      <c r="L31" s="30" t="n">
        <f aca="false">(G31/G$6)*100</f>
        <v>0.19851968633406</v>
      </c>
      <c r="M31" s="31" t="n">
        <f aca="false">AVERAGE(H31:L31)</f>
        <v>0.344517252764583</v>
      </c>
      <c r="N31" s="31" t="n">
        <f aca="false">((G31/C31)^(1/4)-1)*100</f>
        <v>-18.9656685843465</v>
      </c>
      <c r="O31" s="31" t="n">
        <f aca="false">(G31/F31-1)*100</f>
        <v>-15.2734778121775</v>
      </c>
      <c r="P31" s="31" t="n">
        <f aca="false">(M31-$M$3)/$M$4</f>
        <v>-0.0919931242750857</v>
      </c>
      <c r="Q31" s="32" t="n">
        <f aca="false">(N31-$N$3)/$N$4</f>
        <v>-0.413889612738669</v>
      </c>
      <c r="R31" s="32" t="str">
        <f aca="false">IF(AND(P31&gt;0,Q31&gt;0), "ESTRELLA",
IF(AND(P31&gt;0,Q31&lt;0), "Consolidado",
IF(AND(P31&lt;0,Q31&lt;0), "estancado", "prometedor")))</f>
        <v>estancado</v>
      </c>
    </row>
    <row r="32" customFormat="false" ht="15" hidden="false" customHeight="false" outlineLevel="0" collapsed="false">
      <c r="A32" s="16" t="n">
        <v>26</v>
      </c>
      <c r="B32" s="69" t="s">
        <v>35</v>
      </c>
      <c r="C32" s="35" t="n">
        <v>105</v>
      </c>
      <c r="D32" s="35" t="n">
        <v>345</v>
      </c>
      <c r="E32" s="35" t="n">
        <v>207</v>
      </c>
      <c r="F32" s="35" t="n">
        <v>381</v>
      </c>
      <c r="G32" s="35" t="n">
        <v>689</v>
      </c>
      <c r="H32" s="30" t="n">
        <f aca="false">(C32/C$6)*100</f>
        <v>0.0321399711046355</v>
      </c>
      <c r="I32" s="30" t="n">
        <f aca="false">(D32/D$6)*100</f>
        <v>0.0966733170436459</v>
      </c>
      <c r="J32" s="30" t="n">
        <f aca="false">(E32/E$6)*100</f>
        <v>0.0517654002065615</v>
      </c>
      <c r="K32" s="30" t="n">
        <f aca="false">(F32/F$6)*100</f>
        <v>0.111053463060878</v>
      </c>
      <c r="L32" s="30" t="n">
        <f aca="false">(G32/G$6)*100</f>
        <v>0.166601783050143</v>
      </c>
      <c r="M32" s="31" t="n">
        <f aca="false">AVERAGE(H32:L32)</f>
        <v>0.0916467868931727</v>
      </c>
      <c r="N32" s="31" t="n">
        <f aca="false">((G32/C32)^(1/4)-1)*100</f>
        <v>60.0506641746679</v>
      </c>
      <c r="O32" s="31" t="n">
        <f aca="false">(G32/F32-1)*100</f>
        <v>80.8398950131234</v>
      </c>
      <c r="P32" s="31" t="n">
        <f aca="false">(M32-$M$3)/$M$4</f>
        <v>-0.172032802588011</v>
      </c>
      <c r="Q32" s="32" t="n">
        <f aca="false">(N32-$N$3)/$N$4</f>
        <v>0.314112575887725</v>
      </c>
      <c r="R32" s="32" t="str">
        <f aca="false">IF(AND(P32&gt;0,Q32&gt;0), "ESTRELLA",
IF(AND(P32&gt;0,Q32&lt;0), "Consolidado",
IF(AND(P32&lt;0,Q32&lt;0), "estancado", "prometedor")))</f>
        <v>prometedor</v>
      </c>
    </row>
    <row r="33" customFormat="false" ht="15" hidden="false" customHeight="false" outlineLevel="0" collapsed="false">
      <c r="A33" s="16" t="n">
        <v>27</v>
      </c>
      <c r="B33" s="69" t="s">
        <v>36</v>
      </c>
      <c r="C33" s="35" t="n">
        <v>37</v>
      </c>
      <c r="D33" s="35" t="n">
        <v>53</v>
      </c>
      <c r="E33" s="35" t="n">
        <v>16</v>
      </c>
      <c r="F33" s="35" t="n">
        <v>91</v>
      </c>
      <c r="G33" s="35" t="n">
        <v>651</v>
      </c>
      <c r="H33" s="30" t="n">
        <f aca="false">(C33/C$6)*100</f>
        <v>0.0113255136273477</v>
      </c>
      <c r="I33" s="30" t="n">
        <f aca="false">(D33/D$6)*100</f>
        <v>0.0148512631980094</v>
      </c>
      <c r="J33" s="30" t="n">
        <f aca="false">(E33/E$6)*100</f>
        <v>0.00400119035413035</v>
      </c>
      <c r="K33" s="30" t="n">
        <f aca="false">(F33/F$6)*100</f>
        <v>0.0265245804161153</v>
      </c>
      <c r="L33" s="30" t="n">
        <f aca="false">(G33/G$6)*100</f>
        <v>0.157413295741136</v>
      </c>
      <c r="M33" s="31" t="n">
        <f aca="false">AVERAGE(H33:L33)</f>
        <v>0.0428231686673478</v>
      </c>
      <c r="N33" s="31" t="n">
        <f aca="false">((G33/C33)^(1/4)-1)*100</f>
        <v>104.807009443741</v>
      </c>
      <c r="O33" s="31" t="n">
        <f aca="false">(G33/F33-1)*100</f>
        <v>615.384615384616</v>
      </c>
      <c r="P33" s="31" t="n">
        <f aca="false">(M33-$M$3)/$M$4</f>
        <v>-0.187486670177496</v>
      </c>
      <c r="Q33" s="32" t="n">
        <f aca="false">(N33-$N$3)/$N$4</f>
        <v>0.726466783848442</v>
      </c>
      <c r="R33" s="32" t="str">
        <f aca="false">IF(AND(P33&gt;0,Q33&gt;0), "ESTRELLA",
IF(AND(P33&gt;0,Q33&lt;0), "Consolidado",
IF(AND(P33&lt;0,Q33&lt;0), "estancado", "prometedor")))</f>
        <v>prometedor</v>
      </c>
    </row>
    <row r="34" s="60" customFormat="true" ht="15" hidden="false" customHeight="false" outlineLevel="0" collapsed="false">
      <c r="A34" s="60" t="n">
        <v>28</v>
      </c>
      <c r="B34" s="28" t="s">
        <v>37</v>
      </c>
      <c r="C34" s="35" t="n">
        <v>286</v>
      </c>
      <c r="D34" s="35" t="n">
        <v>175</v>
      </c>
      <c r="E34" s="35" t="n">
        <v>150</v>
      </c>
      <c r="F34" s="35" t="n">
        <v>321</v>
      </c>
      <c r="G34" s="35" t="n">
        <v>589</v>
      </c>
      <c r="H34" s="30" t="n">
        <f aca="false">(C34/C$6)*100</f>
        <v>0.0875431593897691</v>
      </c>
      <c r="I34" s="30" t="n">
        <f aca="false">(D34/D$6)*100</f>
        <v>0.0490371898047479</v>
      </c>
      <c r="J34" s="30" t="n">
        <f aca="false">(E34/E$6)*100</f>
        <v>0.0375111595699721</v>
      </c>
      <c r="K34" s="30" t="n">
        <f aca="false">(F34/F$6)*100</f>
        <v>0.0935647287205825</v>
      </c>
      <c r="L34" s="30" t="n">
        <f aca="false">(G34/G$6)*100</f>
        <v>0.142421553289599</v>
      </c>
      <c r="M34" s="31" t="n">
        <f aca="false">AVERAGE(H34:L34)</f>
        <v>0.0820155581549342</v>
      </c>
      <c r="N34" s="31" t="n">
        <f aca="false">((G34/C34)^(1/4)-1)*100</f>
        <v>19.7946203238503</v>
      </c>
      <c r="O34" s="31" t="n">
        <f aca="false">(G34/F34-1)*100</f>
        <v>83.4890965732087</v>
      </c>
      <c r="P34" s="31" t="n">
        <f aca="false">(M34-$M$3)/$M$4</f>
        <v>-0.175081321707515</v>
      </c>
      <c r="Q34" s="32" t="n">
        <f aca="false">(N34-$N$3)/$N$4</f>
        <v>-0.0567789474915591</v>
      </c>
      <c r="R34" s="32" t="str">
        <f aca="false">IF(AND(P34&gt;0,Q34&gt;0), "ESTRELLA",
IF(AND(P34&gt;0,Q34&lt;0), "Consolidado",
IF(AND(P34&lt;0,Q34&lt;0), "estancado", "prometedor")))</f>
        <v>estancado</v>
      </c>
    </row>
    <row r="35" customFormat="false" ht="15" hidden="false" customHeight="false" outlineLevel="0" collapsed="false">
      <c r="A35" s="16" t="n">
        <v>29</v>
      </c>
      <c r="B35" s="28" t="s">
        <v>38</v>
      </c>
      <c r="C35" s="35" t="n">
        <v>3075</v>
      </c>
      <c r="D35" s="35" t="n">
        <v>3079</v>
      </c>
      <c r="E35" s="35" t="n">
        <v>6595</v>
      </c>
      <c r="F35" s="35" t="n">
        <v>4346</v>
      </c>
      <c r="G35" s="35" t="n">
        <v>561</v>
      </c>
      <c r="H35" s="30" t="n">
        <f aca="false">(C35/C$6)*100</f>
        <v>0.941242010921468</v>
      </c>
      <c r="I35" s="30" t="n">
        <f aca="false">(D35/D$6)*100</f>
        <v>0.862774328050393</v>
      </c>
      <c r="J35" s="30" t="n">
        <f aca="false">(E35/E$6)*100</f>
        <v>1.64924064909311</v>
      </c>
      <c r="K35" s="30" t="n">
        <f aca="false">(F35/F$6)*100</f>
        <v>1.26676732404876</v>
      </c>
      <c r="L35" s="30" t="n">
        <f aca="false">(G35/G$6)*100</f>
        <v>0.135651088956647</v>
      </c>
      <c r="M35" s="31" t="n">
        <f aca="false">AVERAGE(H35:L35)</f>
        <v>0.971135080214075</v>
      </c>
      <c r="N35" s="31" t="n">
        <f aca="false">((G35/C35)^(1/4)-1)*100</f>
        <v>-34.6449072565427</v>
      </c>
      <c r="O35" s="31" t="n">
        <f aca="false">(G35/F35-1)*100</f>
        <v>-87.0915784629544</v>
      </c>
      <c r="P35" s="31" t="n">
        <f aca="false">(M35-$M$3)/$M$4</f>
        <v>0.106346722022765</v>
      </c>
      <c r="Q35" s="32" t="n">
        <f aca="false">(N35-$N$3)/$N$4</f>
        <v>-0.558347342815395</v>
      </c>
      <c r="R35" s="32" t="str">
        <f aca="false">IF(AND(P35&gt;0,Q35&gt;0), "ESTRELLA",
IF(AND(P35&gt;0,Q35&lt;0), "Consolidado",
IF(AND(P35&lt;0,Q35&lt;0), "estancado", "prometedor")))</f>
        <v>Consolidado</v>
      </c>
    </row>
    <row r="36" customFormat="false" ht="15" hidden="false" customHeight="false" outlineLevel="0" collapsed="false">
      <c r="A36" s="16" t="n">
        <v>30</v>
      </c>
      <c r="B36" s="69" t="s">
        <v>39</v>
      </c>
      <c r="C36" s="35" t="n">
        <v>17</v>
      </c>
      <c r="D36" s="35" t="n">
        <v>15</v>
      </c>
      <c r="E36" s="35" t="n">
        <v>10</v>
      </c>
      <c r="F36" s="35" t="n">
        <v>3</v>
      </c>
      <c r="G36" s="35" t="n">
        <v>560</v>
      </c>
      <c r="H36" s="30" t="n">
        <f aca="false">(C36/C$6)*100</f>
        <v>0.00520361436932194</v>
      </c>
      <c r="I36" s="30" t="n">
        <f aca="false">(D36/D$6)*100</f>
        <v>0.00420318769754982</v>
      </c>
      <c r="J36" s="30" t="n">
        <f aca="false">(E36/E$6)*100</f>
        <v>0.00250074397133147</v>
      </c>
      <c r="K36" s="30" t="n">
        <f aca="false">(F36/F$6)*100</f>
        <v>0.00087443671701479</v>
      </c>
      <c r="L36" s="30" t="n">
        <f aca="false">(G36/G$6)*100</f>
        <v>0.135409286659042</v>
      </c>
      <c r="M36" s="31" t="n">
        <f aca="false">AVERAGE(H36:L36)</f>
        <v>0.029638253882852</v>
      </c>
      <c r="N36" s="31" t="n">
        <f aca="false">((G36/C36)^(1/4)-1)*100</f>
        <v>139.571292767633</v>
      </c>
      <c r="O36" s="31" t="n">
        <f aca="false">(G36/F36-1)*100</f>
        <v>18566.6666666667</v>
      </c>
      <c r="P36" s="31" t="n">
        <f aca="false">(M36-$M$3)/$M$4</f>
        <v>-0.191660017722444</v>
      </c>
      <c r="Q36" s="32" t="n">
        <f aca="false">(N36-$N$3)/$N$4</f>
        <v>1.04676099976717</v>
      </c>
      <c r="R36" s="32" t="str">
        <f aca="false">IF(AND(P36&gt;0,Q36&gt;0), "ESTRELLA",
IF(AND(P36&gt;0,Q36&lt;0), "Consolidado",
IF(AND(P36&lt;0,Q36&lt;0), "estancado", "prometedor")))</f>
        <v>prometedor</v>
      </c>
    </row>
    <row r="37" customFormat="false" ht="15" hidden="false" customHeight="false" outlineLevel="0" collapsed="false">
      <c r="A37" s="16" t="n">
        <v>31</v>
      </c>
      <c r="B37" s="28" t="s">
        <v>40</v>
      </c>
      <c r="C37" s="35" t="n">
        <v>1208</v>
      </c>
      <c r="D37" s="35" t="n">
        <v>981</v>
      </c>
      <c r="E37" s="35" t="n">
        <v>1304</v>
      </c>
      <c r="F37" s="35" t="n">
        <v>944</v>
      </c>
      <c r="G37" s="35" t="n">
        <v>530</v>
      </c>
      <c r="H37" s="30" t="n">
        <f aca="false">(C37/C$6)*100</f>
        <v>0.369762715184759</v>
      </c>
      <c r="I37" s="30" t="n">
        <f aca="false">(D37/D$6)*100</f>
        <v>0.274888475419758</v>
      </c>
      <c r="J37" s="30" t="n">
        <f aca="false">(E37/E$6)*100</f>
        <v>0.326097013861624</v>
      </c>
      <c r="K37" s="30" t="n">
        <f aca="false">(F37/F$6)*100</f>
        <v>0.275156086953987</v>
      </c>
      <c r="L37" s="30" t="n">
        <f aca="false">(G37/G$6)*100</f>
        <v>0.128155217730879</v>
      </c>
      <c r="M37" s="31" t="n">
        <f aca="false">AVERAGE(H37:L37)</f>
        <v>0.274811901830201</v>
      </c>
      <c r="N37" s="31" t="n">
        <f aca="false">((G37/C37)^(1/4)-1)*100</f>
        <v>-18.6135259287141</v>
      </c>
      <c r="O37" s="31" t="n">
        <f aca="false">(G37/F37-1)*100</f>
        <v>-43.8559322033898</v>
      </c>
      <c r="P37" s="31" t="n">
        <f aca="false">(M37-$M$3)/$M$4</f>
        <v>-0.114056570262149</v>
      </c>
      <c r="Q37" s="32" t="n">
        <f aca="false">(N37-$N$3)/$N$4</f>
        <v>-0.410645212308305</v>
      </c>
      <c r="R37" s="32" t="str">
        <f aca="false">IF(AND(P37&gt;0,Q37&gt;0), "ESTRELLA",
IF(AND(P37&gt;0,Q37&lt;0), "Consolidado",
IF(AND(P37&lt;0,Q37&lt;0), "estancado", "prometedor")))</f>
        <v>estancado</v>
      </c>
    </row>
    <row r="38" customFormat="false" ht="15" hidden="false" customHeight="false" outlineLevel="0" collapsed="false">
      <c r="A38" s="16" t="n">
        <v>32</v>
      </c>
      <c r="B38" s="28" t="s">
        <v>41</v>
      </c>
      <c r="C38" s="35" t="n">
        <v>394</v>
      </c>
      <c r="D38" s="35" t="n">
        <v>420</v>
      </c>
      <c r="E38" s="35" t="n">
        <v>217</v>
      </c>
      <c r="F38" s="35" t="n">
        <v>273</v>
      </c>
      <c r="G38" s="35" t="n">
        <v>472</v>
      </c>
      <c r="H38" s="30" t="n">
        <f aca="false">(C38/C$6)*100</f>
        <v>0.120601415383108</v>
      </c>
      <c r="I38" s="30" t="n">
        <f aca="false">(D38/D$6)*100</f>
        <v>0.117689255531395</v>
      </c>
      <c r="J38" s="30" t="n">
        <f aca="false">(E38/E$6)*100</f>
        <v>0.0542661441778929</v>
      </c>
      <c r="K38" s="30" t="n">
        <f aca="false">(F38/F$6)*100</f>
        <v>0.0795737412483459</v>
      </c>
      <c r="L38" s="30" t="n">
        <f aca="false">(G38/G$6)*100</f>
        <v>0.114130684469764</v>
      </c>
      <c r="M38" s="31" t="n">
        <f aca="false">AVERAGE(H38:L38)</f>
        <v>0.0972522481621012</v>
      </c>
      <c r="N38" s="31" t="n">
        <f aca="false">((G38/C38)^(1/4)-1)*100</f>
        <v>4.61921191280446</v>
      </c>
      <c r="O38" s="31" t="n">
        <f aca="false">(G38/F38-1)*100</f>
        <v>72.8937728937729</v>
      </c>
      <c r="P38" s="31" t="n">
        <f aca="false">(M38-$M$3)/$M$4</f>
        <v>-0.17025853719401</v>
      </c>
      <c r="Q38" s="32" t="n">
        <f aca="false">(N38-$N$3)/$N$4</f>
        <v>-0.196594731783072</v>
      </c>
      <c r="R38" s="32" t="str">
        <f aca="false">IF(AND(P38&gt;0,Q38&gt;0), "ESTRELLA",
IF(AND(P38&gt;0,Q38&lt;0), "Consolidado",
IF(AND(P38&lt;0,Q38&lt;0), "estancado", "prometedor")))</f>
        <v>estancado</v>
      </c>
    </row>
    <row r="39" customFormat="false" ht="15" hidden="false" customHeight="false" outlineLevel="0" collapsed="false">
      <c r="A39" s="16" t="n">
        <v>33</v>
      </c>
      <c r="B39" s="28" t="s">
        <v>42</v>
      </c>
      <c r="C39" s="35" t="n">
        <v>1460</v>
      </c>
      <c r="D39" s="35" t="n">
        <v>1819</v>
      </c>
      <c r="E39" s="35" t="n">
        <v>3035</v>
      </c>
      <c r="F39" s="35" t="n">
        <v>2304</v>
      </c>
      <c r="G39" s="35" t="n">
        <v>451</v>
      </c>
      <c r="H39" s="30" t="n">
        <f aca="false">(C39/C$6)*100</f>
        <v>0.446898645835884</v>
      </c>
      <c r="I39" s="30" t="n">
        <f aca="false">(D39/D$6)*100</f>
        <v>0.509706561456208</v>
      </c>
      <c r="J39" s="30" t="n">
        <f aca="false">(E39/E$6)*100</f>
        <v>0.758975795299102</v>
      </c>
      <c r="K39" s="30" t="n">
        <f aca="false">(F39/F$6)*100</f>
        <v>0.671567398667358</v>
      </c>
      <c r="L39" s="30" t="n">
        <f aca="false">(G39/G$6)*100</f>
        <v>0.10905283622005</v>
      </c>
      <c r="M39" s="31" t="n">
        <f aca="false">AVERAGE(H39:L39)</f>
        <v>0.49924024749572</v>
      </c>
      <c r="N39" s="31" t="n">
        <f aca="false">((G39/C39)^(1/4)-1)*100</f>
        <v>-25.4485797361048</v>
      </c>
      <c r="O39" s="31" t="n">
        <f aca="false">(G39/F39-1)*100</f>
        <v>-80.4253472222222</v>
      </c>
      <c r="P39" s="31" t="n">
        <f aca="false">(M39-$M$3)/$M$4</f>
        <v>-0.0430195176373294</v>
      </c>
      <c r="Q39" s="32" t="n">
        <f aca="false">(N39-$N$3)/$N$4</f>
        <v>-0.473618700920278</v>
      </c>
      <c r="R39" s="32" t="str">
        <f aca="false">IF(AND(P39&gt;0,Q39&gt;0), "ESTRELLA",
IF(AND(P39&gt;0,Q39&lt;0), "Consolidado",
IF(AND(P39&lt;0,Q39&lt;0), "estancado", "prometedor")))</f>
        <v>estancado</v>
      </c>
    </row>
    <row r="40" customFormat="false" ht="15" hidden="false" customHeight="false" outlineLevel="0" collapsed="false">
      <c r="A40" s="16" t="n">
        <v>34</v>
      </c>
      <c r="B40" s="28" t="s">
        <v>43</v>
      </c>
      <c r="C40" s="35" t="n">
        <v>1127</v>
      </c>
      <c r="D40" s="35" t="n">
        <v>895</v>
      </c>
      <c r="E40" s="35" t="n">
        <v>2159</v>
      </c>
      <c r="F40" s="35" t="n">
        <v>48</v>
      </c>
      <c r="G40" s="35" t="n">
        <v>446</v>
      </c>
      <c r="H40" s="30" t="n">
        <f aca="false">(C40/C$6)*100</f>
        <v>0.344969023189754</v>
      </c>
      <c r="I40" s="30" t="n">
        <f aca="false">(D40/D$6)*100</f>
        <v>0.250790199287139</v>
      </c>
      <c r="J40" s="30" t="n">
        <f aca="false">(E40/E$6)*100</f>
        <v>0.539910623410465</v>
      </c>
      <c r="K40" s="30" t="n">
        <f aca="false">(F40/F$6)*100</f>
        <v>0.0139909874722366</v>
      </c>
      <c r="L40" s="30" t="n">
        <f aca="false">(G40/G$6)*100</f>
        <v>0.107843824732023</v>
      </c>
      <c r="M40" s="31" t="n">
        <f aca="false">AVERAGE(H40:L40)</f>
        <v>0.251500931618324</v>
      </c>
      <c r="N40" s="31" t="n">
        <f aca="false">((G40/C40)^(1/4)-1)*100</f>
        <v>-20.6854735390584</v>
      </c>
      <c r="O40" s="31" t="n">
        <f aca="false">(G40/F40-1)*100</f>
        <v>829.166666666667</v>
      </c>
      <c r="P40" s="31" t="n">
        <f aca="false">(M40-$M$3)/$M$4</f>
        <v>-0.121435061658886</v>
      </c>
      <c r="Q40" s="32" t="n">
        <f aca="false">(N40-$N$3)/$N$4</f>
        <v>-0.429734713711138</v>
      </c>
      <c r="R40" s="32" t="str">
        <f aca="false">IF(AND(P40&gt;0,Q40&gt;0), "ESTRELLA",
IF(AND(P40&gt;0,Q40&lt;0), "Consolidado",
IF(AND(P40&lt;0,Q40&lt;0), "estancado", "prometedor")))</f>
        <v>estancado</v>
      </c>
    </row>
    <row r="41" customFormat="false" ht="15" hidden="false" customHeight="false" outlineLevel="0" collapsed="false">
      <c r="A41" s="16" t="n">
        <v>35</v>
      </c>
      <c r="B41" s="28" t="s">
        <v>44</v>
      </c>
      <c r="C41" s="35" t="n">
        <v>677</v>
      </c>
      <c r="D41" s="35" t="n">
        <v>1139</v>
      </c>
      <c r="E41" s="35" t="n">
        <v>1694</v>
      </c>
      <c r="F41" s="35" t="n">
        <v>822</v>
      </c>
      <c r="G41" s="35" t="n">
        <v>435</v>
      </c>
      <c r="H41" s="30" t="n">
        <f aca="false">(C41/C$6)*100</f>
        <v>0.207226289884174</v>
      </c>
      <c r="I41" s="30" t="n">
        <f aca="false">(D41/D$6)*100</f>
        <v>0.319162052500616</v>
      </c>
      <c r="J41" s="30" t="n">
        <f aca="false">(E41/E$6)*100</f>
        <v>0.423626028743551</v>
      </c>
      <c r="K41" s="30" t="n">
        <f aca="false">(F41/F$6)*100</f>
        <v>0.239595660462052</v>
      </c>
      <c r="L41" s="30" t="n">
        <f aca="false">(G41/G$6)*100</f>
        <v>0.105183999458363</v>
      </c>
      <c r="M41" s="31" t="n">
        <f aca="false">AVERAGE(H41:L41)</f>
        <v>0.258958806209751</v>
      </c>
      <c r="N41" s="31" t="n">
        <f aca="false">((G41/C41)^(1/4)-1)*100</f>
        <v>-10.4686471121432</v>
      </c>
      <c r="O41" s="31" t="n">
        <f aca="false">(G41/F41-1)*100</f>
        <v>-47.0802919708029</v>
      </c>
      <c r="P41" s="31" t="n">
        <f aca="false">(M41-$M$3)/$M$4</f>
        <v>-0.119074462206755</v>
      </c>
      <c r="Q41" s="32" t="n">
        <f aca="false">(N41-$N$3)/$N$4</f>
        <v>-0.335603896196556</v>
      </c>
      <c r="R41" s="32" t="str">
        <f aca="false">IF(AND(P41&gt;0,Q41&gt;0), "ESTRELLA",
IF(AND(P41&gt;0,Q41&lt;0), "Consolidado",
IF(AND(P41&lt;0,Q41&lt;0), "estancado", "prometedor")))</f>
        <v>estancado</v>
      </c>
    </row>
    <row r="42" customFormat="false" ht="15" hidden="false" customHeight="false" outlineLevel="0" collapsed="false">
      <c r="A42" s="16" t="n">
        <v>36</v>
      </c>
      <c r="B42" s="69" t="s">
        <v>45</v>
      </c>
      <c r="C42" s="35" t="n">
        <v>51</v>
      </c>
      <c r="D42" s="35" t="n">
        <v>410</v>
      </c>
      <c r="E42" s="35" t="n">
        <v>2110</v>
      </c>
      <c r="F42" s="35" t="n">
        <v>2565</v>
      </c>
      <c r="G42" s="35" t="n">
        <v>410</v>
      </c>
      <c r="H42" s="30" t="n">
        <f aca="false">(C42/C$6)*100</f>
        <v>0.0156108431079658</v>
      </c>
      <c r="I42" s="30" t="n">
        <f aca="false">(D42/D$6)*100</f>
        <v>0.114887130399695</v>
      </c>
      <c r="J42" s="30" t="n">
        <f aca="false">(E42/E$6)*100</f>
        <v>0.527656977950941</v>
      </c>
      <c r="K42" s="30" t="n">
        <f aca="false">(F42/F$6)*100</f>
        <v>0.747643393047645</v>
      </c>
      <c r="L42" s="30" t="n">
        <f aca="false">(G42/G$6)*100</f>
        <v>0.0991389420182271</v>
      </c>
      <c r="M42" s="31" t="n">
        <f aca="false">AVERAGE(H42:L42)</f>
        <v>0.300987457304895</v>
      </c>
      <c r="N42" s="31" t="n">
        <f aca="false">((G42/C42)^(1/4)-1)*100</f>
        <v>68.3850073289351</v>
      </c>
      <c r="O42" s="31" t="n">
        <f aca="false">(G42/F42-1)*100</f>
        <v>-84.0155945419103</v>
      </c>
      <c r="P42" s="31" t="n">
        <f aca="false">(M42-$M$3)/$M$4</f>
        <v>-0.105771367667862</v>
      </c>
      <c r="Q42" s="32" t="n">
        <f aca="false">(N42-$N$3)/$N$4</f>
        <v>0.39089948620378</v>
      </c>
      <c r="R42" s="32" t="str">
        <f aca="false">IF(AND(P42&gt;0,Q42&gt;0), "ESTRELLA",
IF(AND(P42&gt;0,Q42&lt;0), "Consolidado",
IF(AND(P42&lt;0,Q42&lt;0), "estancado", "prometedor")))</f>
        <v>prometedor</v>
      </c>
    </row>
    <row r="43" customFormat="false" ht="15" hidden="false" customHeight="false" outlineLevel="0" collapsed="false">
      <c r="A43" s="16" t="n">
        <v>37</v>
      </c>
      <c r="B43" s="28" t="s">
        <v>189</v>
      </c>
      <c r="C43" s="35" t="n">
        <v>154</v>
      </c>
      <c r="D43" s="35" t="n">
        <v>94</v>
      </c>
      <c r="E43" s="35" t="n">
        <v>94</v>
      </c>
      <c r="F43" s="35" t="n">
        <v>189</v>
      </c>
      <c r="G43" s="35" t="n">
        <f aca="false">F43+(F43/E43-1)*F43</f>
        <v>380.010638297872</v>
      </c>
      <c r="H43" s="30" t="n">
        <f aca="false">(C43/C$6)*100</f>
        <v>0.0471386242867987</v>
      </c>
      <c r="I43" s="30" t="n">
        <f aca="false">(D43/D$6)*100</f>
        <v>0.0263399762379789</v>
      </c>
      <c r="J43" s="30" t="n">
        <f aca="false">(E43/E$6)*100</f>
        <v>0.0235069933305158</v>
      </c>
      <c r="K43" s="30" t="n">
        <f aca="false">(F43/F$6)*100</f>
        <v>0.0550895131719317</v>
      </c>
      <c r="L43" s="30" t="n">
        <f aca="false">(G43/G$6)*100</f>
        <v>0.0918874454549322</v>
      </c>
      <c r="M43" s="31" t="n">
        <f aca="false">AVERAGE(H43:L43)</f>
        <v>0.0487925104964315</v>
      </c>
      <c r="N43" s="31" t="n">
        <f aca="false">((G43/C43)^(1/4)-1)*100</f>
        <v>25.3339590772562</v>
      </c>
      <c r="O43" s="31" t="n">
        <f aca="false">(G43/F43-1)*100</f>
        <v>101.063829787234</v>
      </c>
      <c r="P43" s="31" t="n">
        <f aca="false">(M43-$M$3)/$M$4</f>
        <v>-0.185597227699137</v>
      </c>
      <c r="Q43" s="32" t="n">
        <f aca="false">(N43-$N$3)/$N$4</f>
        <v>-0.00574328694880325</v>
      </c>
      <c r="R43" s="32" t="str">
        <f aca="false">IF(AND(P43&gt;0,Q43&gt;0), "ESTRELLA",
IF(AND(P43&gt;0,Q43&lt;0), "Consolidado",
IF(AND(P43&lt;0,Q43&lt;0), "estancado", "prometedor")))</f>
        <v>estancado</v>
      </c>
    </row>
    <row r="44" customFormat="false" ht="15" hidden="false" customHeight="false" outlineLevel="0" collapsed="false">
      <c r="A44" s="16" t="n">
        <v>38</v>
      </c>
      <c r="B44" s="28" t="s">
        <v>46</v>
      </c>
      <c r="C44" s="35" t="n">
        <v>333</v>
      </c>
      <c r="D44" s="35" t="n">
        <v>814</v>
      </c>
      <c r="E44" s="35" t="n">
        <v>148</v>
      </c>
      <c r="F44" s="35" t="n">
        <v>500</v>
      </c>
      <c r="G44" s="35" t="n">
        <v>376</v>
      </c>
      <c r="H44" s="30" t="n">
        <f aca="false">(C44/C$6)*100</f>
        <v>0.10192962264613</v>
      </c>
      <c r="I44" s="30" t="n">
        <f aca="false">(D44/D$6)*100</f>
        <v>0.22809298572037</v>
      </c>
      <c r="J44" s="30" t="n">
        <f aca="false">(E44/E$6)*100</f>
        <v>0.0370110107757058</v>
      </c>
      <c r="K44" s="30" t="n">
        <f aca="false">(F44/F$6)*100</f>
        <v>0.145739452835798</v>
      </c>
      <c r="L44" s="30" t="n">
        <f aca="false">(G44/G$6)*100</f>
        <v>0.0909176638996424</v>
      </c>
      <c r="M44" s="31" t="n">
        <f aca="false">AVERAGE(H44:L44)</f>
        <v>0.120738147175529</v>
      </c>
      <c r="N44" s="31" t="n">
        <f aca="false">((G44/C44)^(1/4)-1)*100</f>
        <v>3.08272789947714</v>
      </c>
      <c r="O44" s="31" t="n">
        <f aca="false">(G44/F44-1)*100</f>
        <v>-24.8</v>
      </c>
      <c r="P44" s="31" t="n">
        <f aca="false">(M44-$M$3)/$M$4</f>
        <v>-0.162824676559291</v>
      </c>
      <c r="Q44" s="32" t="n">
        <f aca="false">(N44-$N$3)/$N$4</f>
        <v>-0.210750839583002</v>
      </c>
      <c r="R44" s="32" t="str">
        <f aca="false">IF(AND(P44&gt;0,Q44&gt;0), "ESTRELLA",
IF(AND(P44&gt;0,Q44&lt;0), "Consolidado",
IF(AND(P44&lt;0,Q44&lt;0), "estancado", "prometedor")))</f>
        <v>estancado</v>
      </c>
    </row>
    <row r="45" customFormat="false" ht="15" hidden="false" customHeight="false" outlineLevel="0" collapsed="false">
      <c r="A45" s="16" t="n">
        <v>39</v>
      </c>
      <c r="B45" s="69" t="s">
        <v>47</v>
      </c>
      <c r="C45" s="35" t="n">
        <f aca="false">D45+(D45/E45-1)*D45</f>
        <v>1.11735537190083</v>
      </c>
      <c r="D45" s="35" t="n">
        <v>26</v>
      </c>
      <c r="E45" s="35" t="n">
        <v>605</v>
      </c>
      <c r="F45" s="35" t="n">
        <v>467</v>
      </c>
      <c r="G45" s="35" t="n">
        <v>373</v>
      </c>
      <c r="H45" s="30" t="n">
        <f aca="false">(C45/C$6)*100</f>
        <v>0.000342016851109542</v>
      </c>
      <c r="I45" s="30" t="n">
        <f aca="false">(D45/D$6)*100</f>
        <v>0.00728552534241969</v>
      </c>
      <c r="J45" s="30" t="n">
        <f aca="false">(E45/E$6)*100</f>
        <v>0.151295010265554</v>
      </c>
      <c r="K45" s="30" t="n">
        <f aca="false">(F45/F$6)*100</f>
        <v>0.136120648948636</v>
      </c>
      <c r="L45" s="30" t="n">
        <f aca="false">(G45/G$6)*100</f>
        <v>0.0901922570068261</v>
      </c>
      <c r="M45" s="31" t="n">
        <f aca="false">AVERAGE(H45:L45)</f>
        <v>0.077047091682909</v>
      </c>
      <c r="N45" s="31" t="n">
        <f aca="false">((G45/C45)^(1/4)-1)*100</f>
        <v>327.444149926749</v>
      </c>
      <c r="O45" s="31" t="n">
        <f aca="false">(G45/F45-1)*100</f>
        <v>-20.1284796573876</v>
      </c>
      <c r="P45" s="31" t="n">
        <f aca="false">(M45-$M$3)/$M$4</f>
        <v>-0.176653962690949</v>
      </c>
      <c r="Q45" s="32" t="n">
        <f aca="false">(N45-$N$3)/$N$4</f>
        <v>2.77769239609582</v>
      </c>
      <c r="R45" s="32" t="str">
        <f aca="false">IF(AND(P45&gt;0,Q45&gt;0), "ESTRELLA",
IF(AND(P45&gt;0,Q45&lt;0), "Consolidado",
IF(AND(P45&lt;0,Q45&lt;0), "estancado", "prometedor")))</f>
        <v>prometedor</v>
      </c>
    </row>
    <row r="46" customFormat="false" ht="15" hidden="false" customHeight="false" outlineLevel="0" collapsed="false">
      <c r="A46" s="16" t="n">
        <v>40</v>
      </c>
      <c r="B46" s="28" t="s">
        <v>48</v>
      </c>
      <c r="C46" s="35" t="n">
        <v>1022</v>
      </c>
      <c r="D46" s="35" t="n">
        <v>422</v>
      </c>
      <c r="E46" s="35" t="n">
        <v>324</v>
      </c>
      <c r="F46" s="35" t="n">
        <v>391</v>
      </c>
      <c r="G46" s="35" t="n">
        <v>361</v>
      </c>
      <c r="H46" s="30" t="n">
        <f aca="false">(C46/C$6)*100</f>
        <v>0.312829052085119</v>
      </c>
      <c r="I46" s="30" t="n">
        <f aca="false">(D46/D$6)*100</f>
        <v>0.118249680557735</v>
      </c>
      <c r="J46" s="30" t="n">
        <f aca="false">(E46/E$6)*100</f>
        <v>0.0810241046711397</v>
      </c>
      <c r="K46" s="30" t="n">
        <f aca="false">(F46/F$6)*100</f>
        <v>0.113968252117594</v>
      </c>
      <c r="L46" s="30" t="n">
        <f aca="false">(G46/G$6)*100</f>
        <v>0.0872906294355609</v>
      </c>
      <c r="M46" s="31" t="n">
        <f aca="false">AVERAGE(H46:L46)</f>
        <v>0.14267234377343</v>
      </c>
      <c r="N46" s="31" t="n">
        <f aca="false">((G46/C46)^(1/4)-1)*100</f>
        <v>-22.9071543698534</v>
      </c>
      <c r="O46" s="31" t="n">
        <f aca="false">(G46/F46-1)*100</f>
        <v>-7.67263427109974</v>
      </c>
      <c r="P46" s="31" t="n">
        <f aca="false">(M46-$M$3)/$M$4</f>
        <v>-0.15588196763637</v>
      </c>
      <c r="Q46" s="32" t="n">
        <f aca="false">(N46-$N$3)/$N$4</f>
        <v>-0.450203754107897</v>
      </c>
      <c r="R46" s="32" t="str">
        <f aca="false">IF(AND(P46&gt;0,Q46&gt;0), "ESTRELLA",
IF(AND(P46&gt;0,Q46&lt;0), "Consolidado",
IF(AND(P46&lt;0,Q46&lt;0), "estancado", "prometedor")))</f>
        <v>estancado</v>
      </c>
    </row>
    <row r="47" customFormat="false" ht="15" hidden="false" customHeight="false" outlineLevel="0" collapsed="false">
      <c r="A47" s="16" t="n">
        <v>41</v>
      </c>
      <c r="B47" s="28" t="s">
        <v>49</v>
      </c>
      <c r="C47" s="35" t="n">
        <v>412</v>
      </c>
      <c r="D47" s="35" t="n">
        <v>267</v>
      </c>
      <c r="E47" s="35" t="n">
        <v>140</v>
      </c>
      <c r="F47" s="35" t="n">
        <v>351</v>
      </c>
      <c r="G47" s="35" t="n">
        <v>326</v>
      </c>
      <c r="H47" s="30" t="n">
        <f aca="false">(C47/C$6)*100</f>
        <v>0.126111124715332</v>
      </c>
      <c r="I47" s="30" t="n">
        <f aca="false">(D47/D$6)*100</f>
        <v>0.0748167410163868</v>
      </c>
      <c r="J47" s="30" t="n">
        <f aca="false">(E47/E$6)*100</f>
        <v>0.0350104155986406</v>
      </c>
      <c r="K47" s="30" t="n">
        <f aca="false">(F47/F$6)*100</f>
        <v>0.10230909589073</v>
      </c>
      <c r="L47" s="30" t="n">
        <f aca="false">(G47/G$6)*100</f>
        <v>0.0788275490193708</v>
      </c>
      <c r="M47" s="31" t="n">
        <f aca="false">AVERAGE(H47:L47)</f>
        <v>0.0834149852480921</v>
      </c>
      <c r="N47" s="31" t="n">
        <f aca="false">((G47/C47)^(1/4)-1)*100</f>
        <v>-5.68514616977371</v>
      </c>
      <c r="O47" s="31" t="n">
        <f aca="false">(G47/F47-1)*100</f>
        <v>-7.12250712250713</v>
      </c>
      <c r="P47" s="31" t="n">
        <f aca="false">(M47-$M$3)/$M$4</f>
        <v>-0.174638368854271</v>
      </c>
      <c r="Q47" s="32" t="n">
        <f aca="false">(N47-$N$3)/$N$4</f>
        <v>-0.291532005819637</v>
      </c>
      <c r="R47" s="32" t="str">
        <f aca="false">IF(AND(P47&gt;0,Q47&gt;0), "ESTRELLA",
IF(AND(P47&gt;0,Q47&lt;0), "Consolidado",
IF(AND(P47&lt;0,Q47&lt;0), "estancado", "prometedor")))</f>
        <v>estancado</v>
      </c>
    </row>
    <row r="48" customFormat="false" ht="15" hidden="false" customHeight="false" outlineLevel="0" collapsed="false">
      <c r="A48" s="16" t="n">
        <v>42</v>
      </c>
      <c r="B48" s="28" t="s">
        <v>50</v>
      </c>
      <c r="C48" s="35" t="n">
        <v>254</v>
      </c>
      <c r="D48" s="35" t="n">
        <v>150</v>
      </c>
      <c r="E48" s="35" t="n">
        <v>92</v>
      </c>
      <c r="F48" s="35" t="n">
        <v>344</v>
      </c>
      <c r="G48" s="35" t="n">
        <v>291</v>
      </c>
      <c r="H48" s="30" t="n">
        <f aca="false">(C48/C$6)*100</f>
        <v>0.0777481205769278</v>
      </c>
      <c r="I48" s="30" t="n">
        <f aca="false">(D48/D$6)*100</f>
        <v>0.0420318769754982</v>
      </c>
      <c r="J48" s="30" t="n">
        <f aca="false">(E48/E$6)*100</f>
        <v>0.0230068445362495</v>
      </c>
      <c r="K48" s="30" t="n">
        <f aca="false">(F48/F$6)*100</f>
        <v>0.100268743551029</v>
      </c>
      <c r="L48" s="30" t="n">
        <f aca="false">(G48/G$6)*100</f>
        <v>0.0703644686031807</v>
      </c>
      <c r="M48" s="31" t="n">
        <f aca="false">AVERAGE(H48:L48)</f>
        <v>0.0626840108485771</v>
      </c>
      <c r="N48" s="31" t="n">
        <f aca="false">((G48/C48)^(1/4)-1)*100</f>
        <v>3.45817616639228</v>
      </c>
      <c r="O48" s="31" t="n">
        <f aca="false">(G48/F48-1)*100</f>
        <v>-15.4069767441861</v>
      </c>
      <c r="P48" s="31" t="n">
        <f aca="false">(M48-$M$3)/$M$4</f>
        <v>-0.181200228565063</v>
      </c>
      <c r="Q48" s="32" t="n">
        <f aca="false">(N48-$N$3)/$N$4</f>
        <v>-0.207291717266306</v>
      </c>
      <c r="R48" s="32" t="str">
        <f aca="false">IF(AND(P48&gt;0,Q48&gt;0), "ESTRELLA",
IF(AND(P48&gt;0,Q48&lt;0), "Consolidado",
IF(AND(P48&lt;0,Q48&lt;0), "estancado", "prometedor")))</f>
        <v>estancado</v>
      </c>
    </row>
    <row r="49" customFormat="false" ht="15" hidden="false" customHeight="false" outlineLevel="0" collapsed="false">
      <c r="A49" s="16" t="n">
        <v>43</v>
      </c>
      <c r="B49" s="69" t="s">
        <v>181</v>
      </c>
      <c r="C49" s="35" t="n">
        <f aca="false">D49+(D49/E49-1)*D49</f>
        <v>7.75087719298246</v>
      </c>
      <c r="D49" s="35" t="n">
        <v>47</v>
      </c>
      <c r="E49" s="35" t="n">
        <v>285</v>
      </c>
      <c r="F49" s="35" t="n">
        <v>286</v>
      </c>
      <c r="G49" s="35" t="n">
        <f aca="false">F49+(F49/E49-1)*F49</f>
        <v>287.00350877193</v>
      </c>
      <c r="H49" s="30" t="n">
        <f aca="false">(C49/C$6)*100</f>
        <v>0.00237250446683843</v>
      </c>
      <c r="I49" s="30" t="n">
        <f aca="false">(D49/D$6)*100</f>
        <v>0.0131699881189894</v>
      </c>
      <c r="J49" s="30" t="n">
        <f aca="false">(E49/E$6)*100</f>
        <v>0.0712712031829469</v>
      </c>
      <c r="K49" s="30" t="n">
        <f aca="false">(F49/F$6)*100</f>
        <v>0.0833629670220766</v>
      </c>
      <c r="L49" s="30" t="n">
        <f aca="false">(G49/G$6)*100</f>
        <v>0.0693981078418734</v>
      </c>
      <c r="M49" s="31" t="n">
        <f aca="false">AVERAGE(H49:L49)</f>
        <v>0.047914954126545</v>
      </c>
      <c r="N49" s="31" t="n">
        <f aca="false">((G49/C49)^(1/4)-1)*100</f>
        <v>146.680083974745</v>
      </c>
      <c r="O49" s="31" t="n">
        <f aca="false">(G49/F49-1)*100</f>
        <v>0.350877192982457</v>
      </c>
      <c r="P49" s="31" t="n">
        <f aca="false">(M49-$M$3)/$M$4</f>
        <v>-0.185874995722798</v>
      </c>
      <c r="Q49" s="32" t="n">
        <f aca="false">(N49-$N$3)/$N$4</f>
        <v>1.11225651666301</v>
      </c>
      <c r="R49" s="32" t="str">
        <f aca="false">IF(AND(P49&gt;0,Q49&gt;0), "ESTRELLA",
IF(AND(P49&gt;0,Q49&lt;0), "Consolidado",
IF(AND(P49&lt;0,Q49&lt;0), "estancado", "prometedor")))</f>
        <v>prometedor</v>
      </c>
    </row>
    <row r="50" customFormat="false" ht="15" hidden="false" customHeight="false" outlineLevel="0" collapsed="false">
      <c r="A50" s="16" t="n">
        <v>44</v>
      </c>
      <c r="B50" s="28" t="s">
        <v>51</v>
      </c>
      <c r="C50" s="35" t="n">
        <v>482</v>
      </c>
      <c r="D50" s="35" t="n">
        <v>995</v>
      </c>
      <c r="E50" s="35" t="n">
        <v>660</v>
      </c>
      <c r="F50" s="35" t="n">
        <v>624</v>
      </c>
      <c r="G50" s="35" t="n">
        <v>276</v>
      </c>
      <c r="H50" s="30" t="n">
        <f aca="false">(C50/C$6)*100</f>
        <v>0.147537772118422</v>
      </c>
      <c r="I50" s="30" t="n">
        <f aca="false">(D50/D$6)*100</f>
        <v>0.278811450604138</v>
      </c>
      <c r="J50" s="30" t="n">
        <f aca="false">(E50/E$6)*100</f>
        <v>0.165049102107877</v>
      </c>
      <c r="K50" s="30" t="n">
        <f aca="false">(F50/F$6)*100</f>
        <v>0.181882837139076</v>
      </c>
      <c r="L50" s="30" t="n">
        <f aca="false">(G50/G$6)*100</f>
        <v>0.0667374341390992</v>
      </c>
      <c r="M50" s="31" t="n">
        <f aca="false">AVERAGE(H50:L50)</f>
        <v>0.168003719221723</v>
      </c>
      <c r="N50" s="31" t="n">
        <f aca="false">((G50/C50)^(1/4)-1)*100</f>
        <v>-13.0107651271597</v>
      </c>
      <c r="O50" s="31" t="n">
        <f aca="false">(G50/F50-1)*100</f>
        <v>-55.7692307692308</v>
      </c>
      <c r="P50" s="31" t="n">
        <f aca="false">(M50-$M$3)/$M$4</f>
        <v>-0.147863968637878</v>
      </c>
      <c r="Q50" s="32" t="n">
        <f aca="false">(N50-$N$3)/$N$4</f>
        <v>-0.359025224598657</v>
      </c>
      <c r="R50" s="32" t="str">
        <f aca="false">IF(AND(P50&gt;0,Q50&gt;0), "ESTRELLA",
IF(AND(P50&gt;0,Q50&lt;0), "Consolidado",
IF(AND(P50&lt;0,Q50&lt;0), "estancado", "prometedor")))</f>
        <v>estancado</v>
      </c>
    </row>
    <row r="51" customFormat="false" ht="15" hidden="false" customHeight="false" outlineLevel="0" collapsed="false">
      <c r="A51" s="16" t="n">
        <v>45</v>
      </c>
      <c r="B51" s="28" t="s">
        <v>52</v>
      </c>
      <c r="C51" s="35" t="n">
        <v>139</v>
      </c>
      <c r="D51" s="35" t="n">
        <v>114</v>
      </c>
      <c r="E51" s="35" t="n">
        <v>166</v>
      </c>
      <c r="F51" s="35" t="n">
        <v>73</v>
      </c>
      <c r="G51" s="35" t="n">
        <v>266</v>
      </c>
      <c r="H51" s="30" t="n">
        <f aca="false">(C51/C$6)*100</f>
        <v>0.0425471998432794</v>
      </c>
      <c r="I51" s="30" t="n">
        <f aca="false">(D51/D$6)*100</f>
        <v>0.0319442265013786</v>
      </c>
      <c r="J51" s="30" t="n">
        <f aca="false">(E51/E$6)*100</f>
        <v>0.0415123499241024</v>
      </c>
      <c r="K51" s="30" t="n">
        <f aca="false">(F51/F$6)*100</f>
        <v>0.0212779601140265</v>
      </c>
      <c r="L51" s="30" t="n">
        <f aca="false">(G51/G$6)*100</f>
        <v>0.0643194111630449</v>
      </c>
      <c r="M51" s="31" t="n">
        <f aca="false">AVERAGE(H51:L51)</f>
        <v>0.0403202295091664</v>
      </c>
      <c r="N51" s="31" t="n">
        <f aca="false">((G51/C51)^(1/4)-1)*100</f>
        <v>17.6160822452646</v>
      </c>
      <c r="O51" s="31" t="n">
        <f aca="false">(G51/F51-1)*100</f>
        <v>264.383561643836</v>
      </c>
      <c r="P51" s="31" t="n">
        <f aca="false">(M51-$M$3)/$M$4</f>
        <v>-0.188278911550435</v>
      </c>
      <c r="Q51" s="32" t="n">
        <f aca="false">(N51-$N$3)/$N$4</f>
        <v>-0.0768505002179212</v>
      </c>
      <c r="R51" s="32" t="str">
        <f aca="false">IF(AND(P51&gt;0,Q51&gt;0), "ESTRELLA",
IF(AND(P51&gt;0,Q51&lt;0), "Consolidado",
IF(AND(P51&lt;0,Q51&lt;0), "estancado", "prometedor")))</f>
        <v>estancado</v>
      </c>
    </row>
    <row r="52" customFormat="false" ht="15" hidden="false" customHeight="false" outlineLevel="0" collapsed="false">
      <c r="A52" s="16" t="n">
        <v>46</v>
      </c>
      <c r="B52" s="28" t="s">
        <v>53</v>
      </c>
      <c r="C52" s="35" t="n">
        <f aca="false">D52+(D52/E52-1)*D52</f>
        <v>8291.10570528527</v>
      </c>
      <c r="D52" s="35" t="n">
        <v>4867</v>
      </c>
      <c r="E52" s="35" t="n">
        <v>2857</v>
      </c>
      <c r="F52" s="35" t="n">
        <v>15918</v>
      </c>
      <c r="G52" s="35" t="n">
        <v>234</v>
      </c>
      <c r="H52" s="30" t="n">
        <f aca="false">(C52/C$6)*100</f>
        <v>2.53786569326997</v>
      </c>
      <c r="I52" s="30" t="n">
        <f aca="false">(D52/D$6)*100</f>
        <v>1.36379430159833</v>
      </c>
      <c r="J52" s="30" t="n">
        <f aca="false">(E52/E$6)*100</f>
        <v>0.714462552609401</v>
      </c>
      <c r="K52" s="30" t="n">
        <f aca="false">(F52/F$6)*100</f>
        <v>4.63976122048047</v>
      </c>
      <c r="L52" s="30" t="n">
        <f aca="false">(G52/G$6)*100</f>
        <v>0.0565817376396711</v>
      </c>
      <c r="M52" s="31" t="n">
        <f aca="false">AVERAGE(H52:L52)</f>
        <v>1.86249310111957</v>
      </c>
      <c r="N52" s="31" t="n">
        <f aca="false">((G52/C52)^(1/4)-1)*100</f>
        <v>-59.012554583111</v>
      </c>
      <c r="O52" s="31" t="n">
        <f aca="false">(G52/F52-1)*100</f>
        <v>-98.5299660761402</v>
      </c>
      <c r="P52" s="31" t="n">
        <f aca="false">(M52-$M$3)/$M$4</f>
        <v>0.388483305308855</v>
      </c>
      <c r="Q52" s="32" t="n">
        <f aca="false">(N52-$N$3)/$N$4</f>
        <v>-0.782854099406095</v>
      </c>
      <c r="R52" s="32" t="str">
        <f aca="false">IF(AND(P52&gt;0,Q52&gt;0), "ESTRELLA",
IF(AND(P52&gt;0,Q52&lt;0), "Consolidado",
IF(AND(P52&lt;0,Q52&lt;0), "estancado", "prometedor")))</f>
        <v>Consolidado</v>
      </c>
    </row>
    <row r="53" customFormat="false" ht="15" hidden="false" customHeight="false" outlineLevel="0" collapsed="false">
      <c r="A53" s="16" t="n">
        <v>47</v>
      </c>
      <c r="B53" s="28" t="s">
        <v>54</v>
      </c>
      <c r="C53" s="35" t="n">
        <v>103</v>
      </c>
      <c r="D53" s="35" t="n">
        <v>10</v>
      </c>
      <c r="E53" s="35" t="n">
        <v>25</v>
      </c>
      <c r="F53" s="35" t="n">
        <v>22</v>
      </c>
      <c r="G53" s="35" t="n">
        <v>226</v>
      </c>
      <c r="H53" s="30" t="n">
        <f aca="false">(C53/C$6)*100</f>
        <v>0.0315277811788329</v>
      </c>
      <c r="I53" s="30" t="n">
        <f aca="false">(D53/D$6)*100</f>
        <v>0.00280212513169988</v>
      </c>
      <c r="J53" s="30" t="n">
        <f aca="false">(E53/E$6)*100</f>
        <v>0.00625185992832868</v>
      </c>
      <c r="K53" s="30" t="n">
        <f aca="false">(F53/F$6)*100</f>
        <v>0.00641253592477512</v>
      </c>
      <c r="L53" s="30" t="n">
        <f aca="false">(G53/G$6)*100</f>
        <v>0.0546473192588276</v>
      </c>
      <c r="M53" s="31" t="n">
        <f aca="false">AVERAGE(H53:L53)</f>
        <v>0.0203283242844928</v>
      </c>
      <c r="N53" s="31" t="n">
        <f aca="false">((G53/C53)^(1/4)-1)*100</f>
        <v>21.7076294606549</v>
      </c>
      <c r="O53" s="31" t="n">
        <f aca="false">(G53/F53-1)*100</f>
        <v>927.272727272727</v>
      </c>
      <c r="P53" s="31" t="n">
        <f aca="false">(M53-$M$3)/$M$4</f>
        <v>-0.194606837817076</v>
      </c>
      <c r="Q53" s="32" t="n">
        <f aca="false">(N53-$N$3)/$N$4</f>
        <v>-0.0391537959586039</v>
      </c>
      <c r="R53" s="32" t="str">
        <f aca="false">IF(AND(P53&gt;0,Q53&gt;0), "ESTRELLA",
IF(AND(P53&gt;0,Q53&lt;0), "Consolidado",
IF(AND(P53&lt;0,Q53&lt;0), "estancado", "prometedor")))</f>
        <v>estancado</v>
      </c>
    </row>
    <row r="54" customFormat="false" ht="15" hidden="false" customHeight="false" outlineLevel="0" collapsed="false">
      <c r="A54" s="16" t="n">
        <v>48</v>
      </c>
      <c r="B54" s="28" t="s">
        <v>55</v>
      </c>
      <c r="C54" s="35" t="n">
        <v>338</v>
      </c>
      <c r="D54" s="35" t="n">
        <v>739</v>
      </c>
      <c r="E54" s="35" t="n">
        <v>256</v>
      </c>
      <c r="F54" s="35" t="n">
        <v>170</v>
      </c>
      <c r="G54" s="35" t="n">
        <v>218</v>
      </c>
      <c r="H54" s="30" t="n">
        <f aca="false">(C54/C$6)*100</f>
        <v>0.103460097460636</v>
      </c>
      <c r="I54" s="30" t="n">
        <f aca="false">(D54/D$6)*100</f>
        <v>0.207077047232621</v>
      </c>
      <c r="J54" s="30" t="n">
        <f aca="false">(E54/E$6)*100</f>
        <v>0.0640190456660857</v>
      </c>
      <c r="K54" s="30" t="n">
        <f aca="false">(F54/F$6)*100</f>
        <v>0.0495514139641714</v>
      </c>
      <c r="L54" s="30" t="n">
        <f aca="false">(G54/G$6)*100</f>
        <v>0.0527129008779841</v>
      </c>
      <c r="M54" s="31" t="n">
        <f aca="false">AVERAGE(H54:L54)</f>
        <v>0.0953641010402997</v>
      </c>
      <c r="N54" s="31" t="n">
        <f aca="false">((G54/C54)^(1/4)-1)*100</f>
        <v>-10.3841252519719</v>
      </c>
      <c r="O54" s="31" t="n">
        <f aca="false">(G54/F54-1)*100</f>
        <v>28.2352941176471</v>
      </c>
      <c r="P54" s="31" t="n">
        <f aca="false">(M54-$M$3)/$M$4</f>
        <v>-0.170856181872346</v>
      </c>
      <c r="Q54" s="32" t="n">
        <f aca="false">(N54-$N$3)/$N$4</f>
        <v>-0.334825169861848</v>
      </c>
      <c r="R54" s="32" t="str">
        <f aca="false">IF(AND(P54&gt;0,Q54&gt;0), "ESTRELLA",
IF(AND(P54&gt;0,Q54&lt;0), "Consolidado",
IF(AND(P54&lt;0,Q54&lt;0), "estancado", "prometedor")))</f>
        <v>estancado</v>
      </c>
    </row>
    <row r="55" customFormat="false" ht="15" hidden="false" customHeight="false" outlineLevel="0" collapsed="false">
      <c r="A55" s="16" t="n">
        <v>49</v>
      </c>
      <c r="B55" s="28" t="s">
        <v>56</v>
      </c>
      <c r="C55" s="35" t="n">
        <v>133</v>
      </c>
      <c r="D55" s="35" t="n">
        <v>230</v>
      </c>
      <c r="E55" s="35" t="n">
        <v>331</v>
      </c>
      <c r="F55" s="35" t="n">
        <v>129</v>
      </c>
      <c r="G55" s="35" t="n">
        <v>213</v>
      </c>
      <c r="H55" s="30" t="n">
        <f aca="false">(C55/C$6)*100</f>
        <v>0.0407106300658716</v>
      </c>
      <c r="I55" s="30" t="n">
        <f aca="false">(D55/D$6)*100</f>
        <v>0.0644488780290973</v>
      </c>
      <c r="J55" s="30" t="n">
        <f aca="false">(E55/E$6)*100</f>
        <v>0.0827746254510717</v>
      </c>
      <c r="K55" s="30" t="n">
        <f aca="false">(F55/F$6)*100</f>
        <v>0.037600778831636</v>
      </c>
      <c r="L55" s="30" t="n">
        <f aca="false">(G55/G$6)*100</f>
        <v>0.051503889389957</v>
      </c>
      <c r="M55" s="31" t="n">
        <f aca="false">AVERAGE(H55:L55)</f>
        <v>0.0554077603535267</v>
      </c>
      <c r="N55" s="31" t="n">
        <f aca="false">((G55/C55)^(1/4)-1)*100</f>
        <v>12.494681543717</v>
      </c>
      <c r="O55" s="31" t="n">
        <f aca="false">(G55/F55-1)*100</f>
        <v>65.1162790697674</v>
      </c>
      <c r="P55" s="31" t="n">
        <f aca="false">(M55-$M$3)/$M$4</f>
        <v>-0.183503339554878</v>
      </c>
      <c r="Q55" s="32" t="n">
        <f aca="false">(N55-$N$3)/$N$4</f>
        <v>-0.124035566765243</v>
      </c>
      <c r="R55" s="32" t="str">
        <f aca="false">IF(AND(P55&gt;0,Q55&gt;0), "ESTRELLA",
IF(AND(P55&gt;0,Q55&lt;0), "Consolidado",
IF(AND(P55&lt;0,Q55&lt;0), "estancado", "prometedor")))</f>
        <v>estancado</v>
      </c>
    </row>
    <row r="56" customFormat="false" ht="15" hidden="false" customHeight="false" outlineLevel="0" collapsed="false">
      <c r="A56" s="16" t="n">
        <v>50</v>
      </c>
      <c r="B56" s="28" t="s">
        <v>57</v>
      </c>
      <c r="C56" s="35" t="n">
        <v>234</v>
      </c>
      <c r="D56" s="35" t="n">
        <v>176</v>
      </c>
      <c r="E56" s="35" t="n">
        <v>213</v>
      </c>
      <c r="F56" s="35" t="n">
        <v>245</v>
      </c>
      <c r="G56" s="35" t="n">
        <v>211</v>
      </c>
      <c r="H56" s="30" t="n">
        <f aca="false">(C56/C$6)*100</f>
        <v>0.071626221318902</v>
      </c>
      <c r="I56" s="30" t="n">
        <f aca="false">(D56/D$6)*100</f>
        <v>0.0493174023179179</v>
      </c>
      <c r="J56" s="30" t="n">
        <f aca="false">(E56/E$6)*100</f>
        <v>0.0532658465893603</v>
      </c>
      <c r="K56" s="30" t="n">
        <f aca="false">(F56/F$6)*100</f>
        <v>0.0714123318895412</v>
      </c>
      <c r="L56" s="30" t="n">
        <f aca="false">(G56/G$6)*100</f>
        <v>0.0510202847947461</v>
      </c>
      <c r="M56" s="31" t="n">
        <f aca="false">AVERAGE(H56:L56)</f>
        <v>0.0593284173820935</v>
      </c>
      <c r="N56" s="31" t="n">
        <f aca="false">((G56/C56)^(1/4)-1)*100</f>
        <v>-2.55340927108944</v>
      </c>
      <c r="O56" s="31" t="n">
        <f aca="false">(G56/F56-1)*100</f>
        <v>-13.8775510204082</v>
      </c>
      <c r="P56" s="31" t="n">
        <f aca="false">(M56-$M$3)/$M$4</f>
        <v>-0.182262355850987</v>
      </c>
      <c r="Q56" s="32" t="n">
        <f aca="false">(N56-$N$3)/$N$4</f>
        <v>-0.2626783342199</v>
      </c>
      <c r="R56" s="32" t="str">
        <f aca="false">IF(AND(P56&gt;0,Q56&gt;0), "ESTRELLA",
IF(AND(P56&gt;0,Q56&lt;0), "Consolidado",
IF(AND(P56&lt;0,Q56&lt;0), "estancado", "prometedor")))</f>
        <v>estancado</v>
      </c>
    </row>
    <row r="57" customFormat="false" ht="15" hidden="false" customHeight="false" outlineLevel="0" collapsed="false">
      <c r="A57" s="16" t="n">
        <v>51</v>
      </c>
      <c r="B57" s="28" t="s">
        <v>58</v>
      </c>
      <c r="C57" s="35" t="n">
        <v>101</v>
      </c>
      <c r="D57" s="35" t="n">
        <v>38</v>
      </c>
      <c r="E57" s="35" t="n">
        <v>67</v>
      </c>
      <c r="F57" s="35" t="n">
        <v>154</v>
      </c>
      <c r="G57" s="35" t="n">
        <v>210</v>
      </c>
      <c r="H57" s="30" t="n">
        <f aca="false">(C57/C$6)*100</f>
        <v>0.0309155912530303</v>
      </c>
      <c r="I57" s="30" t="n">
        <f aca="false">(D57/D$6)*100</f>
        <v>0.0106480755004595</v>
      </c>
      <c r="J57" s="30" t="n">
        <f aca="false">(E57/E$6)*100</f>
        <v>0.0167549846079209</v>
      </c>
      <c r="K57" s="30" t="n">
        <f aca="false">(F57/F$6)*100</f>
        <v>0.0448877514734259</v>
      </c>
      <c r="L57" s="30" t="n">
        <f aca="false">(G57/G$6)*100</f>
        <v>0.0507784824971407</v>
      </c>
      <c r="M57" s="31" t="n">
        <f aca="false">AVERAGE(H57:L57)</f>
        <v>0.0307969770663955</v>
      </c>
      <c r="N57" s="31" t="n">
        <f aca="false">((G57/C57)^(1/4)-1)*100</f>
        <v>20.0810509606021</v>
      </c>
      <c r="O57" s="31" t="n">
        <f aca="false">(G57/F57-1)*100</f>
        <v>36.3636363636364</v>
      </c>
      <c r="P57" s="31" t="n">
        <f aca="false">(M57-$M$3)/$M$4</f>
        <v>-0.191293253535314</v>
      </c>
      <c r="Q57" s="32" t="n">
        <f aca="false">(N57-$N$3)/$N$4</f>
        <v>-0.054139972444705</v>
      </c>
      <c r="R57" s="32" t="str">
        <f aca="false">IF(AND(P57&gt;0,Q57&gt;0), "ESTRELLA",
IF(AND(P57&gt;0,Q57&lt;0), "Consolidado",
IF(AND(P57&lt;0,Q57&lt;0), "estancado", "prometedor")))</f>
        <v>estancado</v>
      </c>
    </row>
    <row r="58" customFormat="false" ht="15" hidden="false" customHeight="false" outlineLevel="0" collapsed="false">
      <c r="A58" s="16" t="n">
        <v>52</v>
      </c>
      <c r="B58" s="28" t="s">
        <v>59</v>
      </c>
      <c r="C58" s="35" t="n">
        <v>510</v>
      </c>
      <c r="D58" s="35" t="n">
        <v>177</v>
      </c>
      <c r="E58" s="35" t="n">
        <v>91</v>
      </c>
      <c r="F58" s="35" t="n">
        <v>139</v>
      </c>
      <c r="G58" s="35" t="n">
        <v>188</v>
      </c>
      <c r="H58" s="30" t="n">
        <f aca="false">(C58/C$6)*100</f>
        <v>0.156108431079658</v>
      </c>
      <c r="I58" s="30" t="n">
        <f aca="false">(D58/D$6)*100</f>
        <v>0.0495976148310879</v>
      </c>
      <c r="J58" s="30" t="n">
        <f aca="false">(E58/E$6)*100</f>
        <v>0.0227567701391164</v>
      </c>
      <c r="K58" s="30" t="n">
        <f aca="false">(F58/F$6)*100</f>
        <v>0.0405155678883519</v>
      </c>
      <c r="L58" s="30" t="n">
        <f aca="false">(G58/G$6)*100</f>
        <v>0.0454588319498212</v>
      </c>
      <c r="M58" s="31" t="n">
        <f aca="false">AVERAGE(H58:L58)</f>
        <v>0.0628874431776071</v>
      </c>
      <c r="N58" s="31" t="n">
        <f aca="false">((G58/C58)^(1/4)-1)*100</f>
        <v>-22.0803634233539</v>
      </c>
      <c r="O58" s="31" t="n">
        <f aca="false">(G58/F58-1)*100</f>
        <v>35.2517985611511</v>
      </c>
      <c r="P58" s="31" t="n">
        <f aca="false">(M58-$M$3)/$M$4</f>
        <v>-0.18113583726449</v>
      </c>
      <c r="Q58" s="32" t="n">
        <f aca="false">(N58-$N$3)/$N$4</f>
        <v>-0.442586270512147</v>
      </c>
      <c r="R58" s="32" t="str">
        <f aca="false">IF(AND(P58&gt;0,Q58&gt;0), "ESTRELLA",
IF(AND(P58&gt;0,Q58&lt;0), "Consolidado",
IF(AND(P58&lt;0,Q58&lt;0), "estancado", "prometedor")))</f>
        <v>estancado</v>
      </c>
    </row>
    <row r="59" customFormat="false" ht="15" hidden="false" customHeight="false" outlineLevel="0" collapsed="false">
      <c r="A59" s="16" t="n">
        <v>53</v>
      </c>
      <c r="B59" s="28" t="s">
        <v>60</v>
      </c>
      <c r="C59" s="35" t="n">
        <v>113</v>
      </c>
      <c r="D59" s="35" t="n">
        <v>94</v>
      </c>
      <c r="E59" s="35" t="n">
        <v>119</v>
      </c>
      <c r="F59" s="35" t="n">
        <v>128</v>
      </c>
      <c r="G59" s="35" t="n">
        <v>186</v>
      </c>
      <c r="H59" s="30" t="n">
        <f aca="false">(C59/C$6)*100</f>
        <v>0.0345887308078458</v>
      </c>
      <c r="I59" s="30" t="n">
        <f aca="false">(D59/D$6)*100</f>
        <v>0.0263399762379789</v>
      </c>
      <c r="J59" s="30" t="n">
        <f aca="false">(E59/E$6)*100</f>
        <v>0.0297588532588445</v>
      </c>
      <c r="K59" s="30" t="n">
        <f aca="false">(F59/F$6)*100</f>
        <v>0.0373092999259644</v>
      </c>
      <c r="L59" s="30" t="n">
        <f aca="false">(G59/G$6)*100</f>
        <v>0.0449752273546103</v>
      </c>
      <c r="M59" s="31" t="n">
        <f aca="false">AVERAGE(H59:L59)</f>
        <v>0.0345944175170488</v>
      </c>
      <c r="N59" s="31" t="n">
        <f aca="false">((G59/C59)^(1/4)-1)*100</f>
        <v>13.2683633198689</v>
      </c>
      <c r="O59" s="31" t="n">
        <f aca="false">(G59/F59-1)*100</f>
        <v>45.3125</v>
      </c>
      <c r="P59" s="31" t="n">
        <f aca="false">(M59-$M$3)/$M$4</f>
        <v>-0.190091270887655</v>
      </c>
      <c r="Q59" s="32" t="n">
        <f aca="false">(N59-$N$3)/$N$4</f>
        <v>-0.116907394567519</v>
      </c>
      <c r="R59" s="32" t="str">
        <f aca="false">IF(AND(P59&gt;0,Q59&gt;0), "ESTRELLA",
IF(AND(P59&gt;0,Q59&lt;0), "Consolidado",
IF(AND(P59&lt;0,Q59&lt;0), "estancado", "prometedor")))</f>
        <v>estancado</v>
      </c>
    </row>
    <row r="60" customFormat="false" ht="15" hidden="false" customHeight="false" outlineLevel="0" collapsed="false">
      <c r="A60" s="16" t="n">
        <v>54</v>
      </c>
      <c r="B60" s="28" t="s">
        <v>61</v>
      </c>
      <c r="C60" s="35" t="n">
        <v>177</v>
      </c>
      <c r="D60" s="35" t="n">
        <v>124</v>
      </c>
      <c r="E60" s="35" t="n">
        <v>155</v>
      </c>
      <c r="F60" s="35" t="n">
        <v>93</v>
      </c>
      <c r="G60" s="35" t="n">
        <v>149</v>
      </c>
      <c r="H60" s="30" t="n">
        <f aca="false">(C60/C$6)*100</f>
        <v>0.0541788084335284</v>
      </c>
      <c r="I60" s="30" t="n">
        <f aca="false">(D60/D$6)*100</f>
        <v>0.0347463516330785</v>
      </c>
      <c r="J60" s="30" t="n">
        <f aca="false">(E60/E$6)*100</f>
        <v>0.0387615315556378</v>
      </c>
      <c r="K60" s="30" t="n">
        <f aca="false">(F60/F$6)*100</f>
        <v>0.0271075382274585</v>
      </c>
      <c r="L60" s="30" t="n">
        <f aca="false">(G60/G$6)*100</f>
        <v>0.0360285423432094</v>
      </c>
      <c r="M60" s="31" t="n">
        <f aca="false">AVERAGE(H60:L60)</f>
        <v>0.0381645544385825</v>
      </c>
      <c r="N60" s="31" t="n">
        <f aca="false">((G60/C60)^(1/4)-1)*100</f>
        <v>-4.21373248653092</v>
      </c>
      <c r="O60" s="31" t="n">
        <f aca="false">(G60/F60-1)*100</f>
        <v>60.2150537634409</v>
      </c>
      <c r="P60" s="31" t="n">
        <f aca="false">(M60-$M$3)/$M$4</f>
        <v>-0.188961235358406</v>
      </c>
      <c r="Q60" s="32" t="n">
        <f aca="false">(N60-$N$3)/$N$4</f>
        <v>-0.27797541132363</v>
      </c>
      <c r="R60" s="32" t="str">
        <f aca="false">IF(AND(P60&gt;0,Q60&gt;0), "ESTRELLA",
IF(AND(P60&gt;0,Q60&lt;0), "Consolidado",
IF(AND(P60&lt;0,Q60&lt;0), "estancado", "prometedor")))</f>
        <v>estancado</v>
      </c>
    </row>
    <row r="61" customFormat="false" ht="15" hidden="false" customHeight="false" outlineLevel="0" collapsed="false">
      <c r="A61" s="16" t="n">
        <v>55</v>
      </c>
      <c r="B61" s="28" t="s">
        <v>62</v>
      </c>
      <c r="C61" s="35" t="n">
        <v>48</v>
      </c>
      <c r="D61" s="35" t="n">
        <v>43</v>
      </c>
      <c r="E61" s="35" t="n">
        <v>45</v>
      </c>
      <c r="F61" s="35" t="n">
        <v>40</v>
      </c>
      <c r="G61" s="35" t="n">
        <v>146</v>
      </c>
      <c r="H61" s="30" t="n">
        <f aca="false">(C61/C$6)*100</f>
        <v>0.0146925582192619</v>
      </c>
      <c r="I61" s="30" t="n">
        <f aca="false">(D61/D$6)*100</f>
        <v>0.0120491380663095</v>
      </c>
      <c r="J61" s="30" t="n">
        <f aca="false">(E61/E$6)*100</f>
        <v>0.0112533478709916</v>
      </c>
      <c r="K61" s="30" t="n">
        <f aca="false">(F61/F$6)*100</f>
        <v>0.0116591562268639</v>
      </c>
      <c r="L61" s="30" t="n">
        <f aca="false">(G61/G$6)*100</f>
        <v>0.0353031354503931</v>
      </c>
      <c r="M61" s="31" t="n">
        <f aca="false">AVERAGE(H61:L61)</f>
        <v>0.016991467166764</v>
      </c>
      <c r="N61" s="31" t="n">
        <f aca="false">((G61/C61)^(1/4)-1)*100</f>
        <v>32.0620104864136</v>
      </c>
      <c r="O61" s="31" t="n">
        <f aca="false">(G61/F61-1)*100</f>
        <v>265</v>
      </c>
      <c r="P61" s="31" t="n">
        <f aca="false">(M61-$M$3)/$M$4</f>
        <v>-0.19566303459102</v>
      </c>
      <c r="Q61" s="32" t="n">
        <f aca="false">(N61-$N$3)/$N$4</f>
        <v>0.0562443550997794</v>
      </c>
      <c r="R61" s="32" t="str">
        <f aca="false">IF(AND(P61&gt;0,Q61&gt;0), "ESTRELLA",
IF(AND(P61&gt;0,Q61&lt;0), "Consolidado",
IF(AND(P61&lt;0,Q61&lt;0), "estancado", "prometedor")))</f>
        <v>prometedor</v>
      </c>
    </row>
    <row r="62" customFormat="false" ht="15" hidden="false" customHeight="false" outlineLevel="0" collapsed="false">
      <c r="A62" s="16" t="n">
        <v>56</v>
      </c>
      <c r="B62" s="28" t="s">
        <v>63</v>
      </c>
      <c r="C62" s="35" t="n">
        <v>5650</v>
      </c>
      <c r="D62" s="35" t="n">
        <v>1215</v>
      </c>
      <c r="E62" s="35" t="n">
        <v>604</v>
      </c>
      <c r="F62" s="35" t="n">
        <v>208</v>
      </c>
      <c r="G62" s="35" t="n">
        <v>126</v>
      </c>
      <c r="H62" s="30" t="n">
        <f aca="false">(C62/C$6)*100</f>
        <v>1.72943654039229</v>
      </c>
      <c r="I62" s="30" t="n">
        <f aca="false">(D62/D$6)*100</f>
        <v>0.340458203501536</v>
      </c>
      <c r="J62" s="30" t="n">
        <f aca="false">(E62/E$6)*100</f>
        <v>0.151044935868421</v>
      </c>
      <c r="K62" s="30" t="n">
        <f aca="false">(F62/F$6)*100</f>
        <v>0.0606276123796921</v>
      </c>
      <c r="L62" s="30" t="n">
        <f aca="false">(G62/G$6)*100</f>
        <v>0.0304670894982844</v>
      </c>
      <c r="M62" s="31" t="n">
        <f aca="false">AVERAGE(H62:L62)</f>
        <v>0.462406876328045</v>
      </c>
      <c r="N62" s="31" t="n">
        <f aca="false">((G62/C62)^(1/4)-1)*100</f>
        <v>-61.3561378415274</v>
      </c>
      <c r="O62" s="31" t="n">
        <f aca="false">(G62/F62-1)*100</f>
        <v>-39.4230769230769</v>
      </c>
      <c r="P62" s="31" t="n">
        <f aca="false">(M62-$M$3)/$M$4</f>
        <v>-0.0546781791946681</v>
      </c>
      <c r="Q62" s="32" t="n">
        <f aca="false">(N62-$N$3)/$N$4</f>
        <v>-0.804446264997463</v>
      </c>
      <c r="R62" s="32" t="str">
        <f aca="false">IF(AND(P62&gt;0,Q62&gt;0), "ESTRELLA",
IF(AND(P62&gt;0,Q62&lt;0), "Consolidado",
IF(AND(P62&lt;0,Q62&lt;0), "estancado", "prometedor")))</f>
        <v>estancado</v>
      </c>
    </row>
    <row r="63" customFormat="false" ht="15" hidden="false" customHeight="false" outlineLevel="0" collapsed="false">
      <c r="A63" s="16" t="n">
        <v>57</v>
      </c>
      <c r="B63" s="28" t="s">
        <v>66</v>
      </c>
      <c r="C63" s="35" t="n">
        <v>267</v>
      </c>
      <c r="D63" s="35" t="n">
        <v>412</v>
      </c>
      <c r="E63" s="35" t="n">
        <v>492</v>
      </c>
      <c r="F63" s="35" t="n">
        <v>44</v>
      </c>
      <c r="G63" s="35" t="n">
        <v>123</v>
      </c>
      <c r="H63" s="30" t="n">
        <f aca="false">(C63/C$6)*100</f>
        <v>0.0817273550946446</v>
      </c>
      <c r="I63" s="30" t="n">
        <f aca="false">(D63/D$6)*100</f>
        <v>0.115447555426035</v>
      </c>
      <c r="J63" s="30" t="n">
        <f aca="false">(E63/E$6)*100</f>
        <v>0.123036603389508</v>
      </c>
      <c r="K63" s="30" t="n">
        <f aca="false">(F63/F$6)*100</f>
        <v>0.0128250718495502</v>
      </c>
      <c r="L63" s="30" t="n">
        <f aca="false">(G63/G$6)*100</f>
        <v>0.0297416826054681</v>
      </c>
      <c r="M63" s="31" t="n">
        <f aca="false">AVERAGE(H63:L63)</f>
        <v>0.0725556536730413</v>
      </c>
      <c r="N63" s="31" t="n">
        <f aca="false">((G63/C63)^(1/4)-1)*100</f>
        <v>-17.6149399642377</v>
      </c>
      <c r="O63" s="31" t="n">
        <f aca="false">(G63/F63-1)*100</f>
        <v>179.545454545455</v>
      </c>
      <c r="P63" s="31" t="n">
        <f aca="false">(M63-$M$3)/$M$4</f>
        <v>-0.178075612515627</v>
      </c>
      <c r="Q63" s="32" t="n">
        <f aca="false">(N63-$N$3)/$N$4</f>
        <v>-0.401444927477477</v>
      </c>
      <c r="R63" s="32" t="str">
        <f aca="false">IF(AND(P63&gt;0,Q63&gt;0), "ESTRELLA",
IF(AND(P63&gt;0,Q63&lt;0), "Consolidado",
IF(AND(P63&lt;0,Q63&lt;0), "estancado", "prometedor")))</f>
        <v>estancado</v>
      </c>
    </row>
    <row r="64" customFormat="false" ht="15" hidden="false" customHeight="false" outlineLevel="0" collapsed="false">
      <c r="A64" s="16" t="n">
        <v>58</v>
      </c>
      <c r="B64" s="28" t="s">
        <v>65</v>
      </c>
      <c r="C64" s="35" t="n">
        <v>128</v>
      </c>
      <c r="D64" s="35" t="n">
        <v>115</v>
      </c>
      <c r="E64" s="35" t="n">
        <v>81</v>
      </c>
      <c r="F64" s="35" t="n">
        <v>88</v>
      </c>
      <c r="G64" s="35" t="n">
        <v>123</v>
      </c>
      <c r="H64" s="30" t="n">
        <f aca="false">(C64/C$6)*100</f>
        <v>0.0391801552513652</v>
      </c>
      <c r="I64" s="30" t="n">
        <f aca="false">(D64/D$6)*100</f>
        <v>0.0322244390145486</v>
      </c>
      <c r="J64" s="30" t="n">
        <f aca="false">(E64/E$6)*100</f>
        <v>0.0202560261677849</v>
      </c>
      <c r="K64" s="30" t="n">
        <f aca="false">(F64/F$6)*100</f>
        <v>0.0256501436991005</v>
      </c>
      <c r="L64" s="30" t="n">
        <f aca="false">(G64/G$6)*100</f>
        <v>0.0297416826054681</v>
      </c>
      <c r="M64" s="31" t="n">
        <f aca="false">AVERAGE(H64:L64)</f>
        <v>0.0294104893476535</v>
      </c>
      <c r="N64" s="31" t="n">
        <f aca="false">((G64/C64)^(1/4)-1)*100</f>
        <v>-0.991202596189333</v>
      </c>
      <c r="O64" s="31" t="n">
        <f aca="false">(G64/F64-1)*100</f>
        <v>39.7727272727273</v>
      </c>
      <c r="P64" s="31" t="n">
        <f aca="false">(M64-$M$3)/$M$4</f>
        <v>-0.191732110760536</v>
      </c>
      <c r="Q64" s="32" t="n">
        <f aca="false">(N64-$N$3)/$N$4</f>
        <v>-0.248285235493304</v>
      </c>
      <c r="R64" s="32" t="str">
        <f aca="false">IF(AND(P64&gt;0,Q64&gt;0), "ESTRELLA",
IF(AND(P64&gt;0,Q64&lt;0), "Consolidado",
IF(AND(P64&lt;0,Q64&lt;0), "estancado", "prometedor")))</f>
        <v>estancado</v>
      </c>
    </row>
    <row r="65" customFormat="false" ht="15" hidden="false" customHeight="false" outlineLevel="0" collapsed="false">
      <c r="A65" s="16" t="n">
        <v>59</v>
      </c>
      <c r="B65" s="28" t="s">
        <v>185</v>
      </c>
      <c r="C65" s="35" t="n">
        <v>74</v>
      </c>
      <c r="D65" s="35" t="n">
        <v>34</v>
      </c>
      <c r="E65" s="35" t="n">
        <v>50</v>
      </c>
      <c r="F65" s="35" t="n">
        <v>76</v>
      </c>
      <c r="G65" s="35" t="n">
        <f aca="false">F65+(F65/E65-1)*F65</f>
        <v>115.52</v>
      </c>
      <c r="H65" s="30" t="n">
        <f aca="false">(C65/C$6)*100</f>
        <v>0.0226510272546955</v>
      </c>
      <c r="I65" s="30" t="n">
        <f aca="false">(D65/D$6)*100</f>
        <v>0.0095272254477796</v>
      </c>
      <c r="J65" s="30" t="n">
        <f aca="false">(E65/E$6)*100</f>
        <v>0.0125037198566574</v>
      </c>
      <c r="K65" s="30" t="n">
        <f aca="false">(F65/F$6)*100</f>
        <v>0.0221523968310413</v>
      </c>
      <c r="L65" s="30" t="n">
        <f aca="false">(G65/G$6)*100</f>
        <v>0.0279330014193795</v>
      </c>
      <c r="M65" s="31" t="n">
        <f aca="false">AVERAGE(H65:L65)</f>
        <v>0.0189534741619107</v>
      </c>
      <c r="N65" s="31" t="n">
        <f aca="false">((G65/C65)^(1/4)-1)*100</f>
        <v>11.7780078334158</v>
      </c>
      <c r="O65" s="31" t="n">
        <f aca="false">(G65/F65-1)*100</f>
        <v>52</v>
      </c>
      <c r="P65" s="31" t="n">
        <f aca="false">(M65-$M$3)/$M$4</f>
        <v>-0.195042011458888</v>
      </c>
      <c r="Q65" s="32" t="n">
        <f aca="false">(N65-$N$3)/$N$4</f>
        <v>-0.130638505821165</v>
      </c>
      <c r="R65" s="32" t="str">
        <f aca="false">IF(AND(P65&gt;0,Q65&gt;0), "ESTRELLA",
IF(AND(P65&gt;0,Q65&lt;0), "Consolidado",
IF(AND(P65&lt;0,Q65&lt;0), "estancado", "prometedor")))</f>
        <v>estancado</v>
      </c>
    </row>
    <row r="66" customFormat="false" ht="15" hidden="false" customHeight="false" outlineLevel="0" collapsed="false">
      <c r="A66" s="16" t="n">
        <v>60</v>
      </c>
      <c r="B66" s="69" t="s">
        <v>67</v>
      </c>
      <c r="C66" s="35" t="n">
        <v>2</v>
      </c>
      <c r="D66" s="35" t="n">
        <v>169</v>
      </c>
      <c r="E66" s="35" t="n">
        <v>178</v>
      </c>
      <c r="F66" s="35" t="n">
        <v>136</v>
      </c>
      <c r="G66" s="35" t="n">
        <v>112</v>
      </c>
      <c r="H66" s="30" t="n">
        <f aca="false">(C66/C$6)*100</f>
        <v>0.000612189925802581</v>
      </c>
      <c r="I66" s="30" t="n">
        <f aca="false">(D66/D$6)*100</f>
        <v>0.047355914725728</v>
      </c>
      <c r="J66" s="30" t="n">
        <f aca="false">(E66/E$6)*100</f>
        <v>0.0445132426897002</v>
      </c>
      <c r="K66" s="30" t="n">
        <f aca="false">(F66/F$6)*100</f>
        <v>0.0396411311713371</v>
      </c>
      <c r="L66" s="30" t="n">
        <f aca="false">(G66/G$6)*100</f>
        <v>0.0270818573318084</v>
      </c>
      <c r="M66" s="31" t="n">
        <f aca="false">AVERAGE(H66:L66)</f>
        <v>0.0318408671688753</v>
      </c>
      <c r="N66" s="31" t="n">
        <f aca="false">((G66/C66)^(1/4)-1)*100</f>
        <v>173.556479973476</v>
      </c>
      <c r="O66" s="31" t="n">
        <f aca="false">(G66/F66-1)*100</f>
        <v>-17.6470588235294</v>
      </c>
      <c r="P66" s="31" t="n">
        <f aca="false">(M66-$M$3)/$M$4</f>
        <v>-0.190962836822913</v>
      </c>
      <c r="Q66" s="32" t="n">
        <f aca="false">(N66-$N$3)/$N$4</f>
        <v>1.35987715946276</v>
      </c>
      <c r="R66" s="32" t="str">
        <f aca="false">IF(AND(P66&gt;0,Q66&gt;0), "ESTRELLA",
IF(AND(P66&gt;0,Q66&lt;0), "Consolidado",
IF(AND(P66&lt;0,Q66&lt;0), "estancado", "prometedor")))</f>
        <v>prometedor</v>
      </c>
    </row>
    <row r="67" customFormat="false" ht="15" hidden="false" customHeight="false" outlineLevel="0" collapsed="false">
      <c r="A67" s="16" t="n">
        <v>61</v>
      </c>
      <c r="B67" s="28" t="s">
        <v>68</v>
      </c>
      <c r="C67" s="35" t="n">
        <v>30</v>
      </c>
      <c r="D67" s="35" t="n">
        <v>72</v>
      </c>
      <c r="E67" s="35" t="n">
        <v>50</v>
      </c>
      <c r="F67" s="35" t="n">
        <v>200</v>
      </c>
      <c r="G67" s="35" t="n">
        <v>107</v>
      </c>
      <c r="H67" s="30" t="n">
        <f aca="false">(C67/C$6)*100</f>
        <v>0.00918284888703872</v>
      </c>
      <c r="I67" s="30" t="n">
        <f aca="false">(D67/D$6)*100</f>
        <v>0.0201753009482391</v>
      </c>
      <c r="J67" s="30" t="n">
        <f aca="false">(E67/E$6)*100</f>
        <v>0.0125037198566574</v>
      </c>
      <c r="K67" s="30" t="n">
        <f aca="false">(F67/F$6)*100</f>
        <v>0.0582957811343193</v>
      </c>
      <c r="L67" s="30" t="n">
        <f aca="false">(G67/G$6)*100</f>
        <v>0.0258728458437812</v>
      </c>
      <c r="M67" s="31" t="n">
        <f aca="false">AVERAGE(H67:L67)</f>
        <v>0.0252060993340071</v>
      </c>
      <c r="N67" s="31" t="n">
        <f aca="false">((G67/C67)^(1/4)-1)*100</f>
        <v>37.4249636430261</v>
      </c>
      <c r="O67" s="31" t="n">
        <f aca="false">(G67/F67-1)*100</f>
        <v>-46.5</v>
      </c>
      <c r="P67" s="31" t="n">
        <f aca="false">(M67-$M$3)/$M$4</f>
        <v>-0.193062902883826</v>
      </c>
      <c r="Q67" s="32" t="n">
        <f aca="false">(N67-$N$3)/$N$4</f>
        <v>0.105654919968969</v>
      </c>
      <c r="R67" s="32" t="str">
        <f aca="false">IF(AND(P67&gt;0,Q67&gt;0), "ESTRELLA",
IF(AND(P67&gt;0,Q67&lt;0), "Consolidado",
IF(AND(P67&lt;0,Q67&lt;0), "estancado", "prometedor")))</f>
        <v>prometedor</v>
      </c>
    </row>
    <row r="68" customFormat="false" ht="15" hidden="false" customHeight="false" outlineLevel="0" collapsed="false">
      <c r="A68" s="16" t="n">
        <v>62</v>
      </c>
      <c r="B68" s="28" t="s">
        <v>160</v>
      </c>
      <c r="C68" s="35" t="n">
        <v>38</v>
      </c>
      <c r="D68" s="35" t="n">
        <v>169</v>
      </c>
      <c r="E68" s="35" t="n">
        <v>433</v>
      </c>
      <c r="F68" s="35" t="n">
        <v>215</v>
      </c>
      <c r="G68" s="35" t="n">
        <f aca="false">F68+(F68/E68-1)*F68</f>
        <v>106.75519630485</v>
      </c>
      <c r="H68" s="30" t="n">
        <f aca="false">(C68/C$6)*100</f>
        <v>0.011631608590249</v>
      </c>
      <c r="I68" s="30" t="n">
        <f aca="false">(D68/D$6)*100</f>
        <v>0.047355914725728</v>
      </c>
      <c r="J68" s="30" t="n">
        <f aca="false">(E68/E$6)*100</f>
        <v>0.108282213958653</v>
      </c>
      <c r="K68" s="30" t="n">
        <f aca="false">(F68/F$6)*100</f>
        <v>0.0626679647193933</v>
      </c>
      <c r="L68" s="30" t="n">
        <f aca="false">(G68/G$6)*100</f>
        <v>0.0258136517478316</v>
      </c>
      <c r="M68" s="31" t="n">
        <f aca="false">AVERAGE(H68:L68)</f>
        <v>0.0511502707483709</v>
      </c>
      <c r="N68" s="31" t="n">
        <f aca="false">((G68/C68)^(1/4)-1)*100</f>
        <v>29.4646962469806</v>
      </c>
      <c r="O68" s="31" t="n">
        <f aca="false">(G68/F68-1)*100</f>
        <v>-50.3464203233256</v>
      </c>
      <c r="P68" s="31" t="n">
        <f aca="false">(M68-$M$3)/$M$4</f>
        <v>-0.184850938995734</v>
      </c>
      <c r="Q68" s="32" t="n">
        <f aca="false">(N68-$N$3)/$N$4</f>
        <v>0.0323144866177218</v>
      </c>
      <c r="R68" s="32" t="str">
        <f aca="false">IF(AND(P68&gt;0,Q68&gt;0), "ESTRELLA",
IF(AND(P68&gt;0,Q68&lt;0), "Consolidado",
IF(AND(P68&lt;0,Q68&lt;0), "estancado", "prometedor")))</f>
        <v>prometedor</v>
      </c>
    </row>
    <row r="69" customFormat="false" ht="15" hidden="false" customHeight="false" outlineLevel="0" collapsed="false">
      <c r="A69" s="16" t="n">
        <v>63</v>
      </c>
      <c r="B69" s="69" t="s">
        <v>193</v>
      </c>
      <c r="C69" s="35" t="n">
        <v>2</v>
      </c>
      <c r="D69" s="35" t="n">
        <v>2</v>
      </c>
      <c r="E69" s="35" t="n">
        <v>15</v>
      </c>
      <c r="F69" s="35" t="n">
        <v>40</v>
      </c>
      <c r="G69" s="35" t="n">
        <f aca="false">F69+(F69/E69-1)*F69</f>
        <v>106.666666666667</v>
      </c>
      <c r="H69" s="30" t="n">
        <f aca="false">(C69/C$6)*100</f>
        <v>0.000612189925802581</v>
      </c>
      <c r="I69" s="30" t="n">
        <f aca="false">(D69/D$6)*100</f>
        <v>0.000560425026339976</v>
      </c>
      <c r="J69" s="30" t="n">
        <f aca="false">(E69/E$6)*100</f>
        <v>0.00375111595699721</v>
      </c>
      <c r="K69" s="30" t="n">
        <f aca="false">(F69/F$6)*100</f>
        <v>0.0116591562268639</v>
      </c>
      <c r="L69" s="30" t="n">
        <f aca="false">(G69/G$6)*100</f>
        <v>0.0257922450779128</v>
      </c>
      <c r="M69" s="31" t="n">
        <f aca="false">AVERAGE(H69:L69)</f>
        <v>0.00847502644278329</v>
      </c>
      <c r="N69" s="31" t="n">
        <f aca="false">((G69/C69)^(1/4)-1)*100</f>
        <v>170.240030961407</v>
      </c>
      <c r="O69" s="31" t="n">
        <f aca="false">(G69/F69-1)*100</f>
        <v>166.666666666667</v>
      </c>
      <c r="P69" s="31" t="n">
        <f aca="false">(M69-$M$3)/$M$4</f>
        <v>-0.198358696077503</v>
      </c>
      <c r="Q69" s="32" t="n">
        <f aca="false">(N69-$N$3)/$N$4</f>
        <v>1.32932167738771</v>
      </c>
      <c r="R69" s="32" t="str">
        <f aca="false">IF(AND(P69&gt;0,Q69&gt;0), "ESTRELLA",
IF(AND(P69&gt;0,Q69&lt;0), "Consolidado",
IF(AND(P69&lt;0,Q69&lt;0), "estancado", "prometedor")))</f>
        <v>prometedor</v>
      </c>
    </row>
    <row r="70" customFormat="false" ht="15" hidden="false" customHeight="false" outlineLevel="0" collapsed="false">
      <c r="A70" s="16" t="n">
        <v>64</v>
      </c>
      <c r="B70" s="28" t="s">
        <v>69</v>
      </c>
      <c r="C70" s="35" t="n">
        <v>103</v>
      </c>
      <c r="D70" s="35" t="n">
        <v>81</v>
      </c>
      <c r="E70" s="35" t="n">
        <v>117</v>
      </c>
      <c r="F70" s="35" t="n">
        <v>64</v>
      </c>
      <c r="G70" s="35" t="n">
        <v>106</v>
      </c>
      <c r="H70" s="30" t="n">
        <f aca="false">(C70/C$6)*100</f>
        <v>0.0315277811788329</v>
      </c>
      <c r="I70" s="30" t="n">
        <f aca="false">(D70/D$6)*100</f>
        <v>0.022697213566769</v>
      </c>
      <c r="J70" s="30" t="n">
        <f aca="false">(E70/E$6)*100</f>
        <v>0.0292587044645782</v>
      </c>
      <c r="K70" s="30" t="n">
        <f aca="false">(F70/F$6)*100</f>
        <v>0.0186546499629822</v>
      </c>
      <c r="L70" s="30" t="n">
        <f aca="false">(G70/G$6)*100</f>
        <v>0.0256310435461758</v>
      </c>
      <c r="M70" s="31" t="n">
        <f aca="false">AVERAGE(H70:L70)</f>
        <v>0.0255538785438676</v>
      </c>
      <c r="N70" s="31" t="n">
        <f aca="false">((G70/C70)^(1/4)-1)*100</f>
        <v>0.720334665177025</v>
      </c>
      <c r="O70" s="31" t="n">
        <f aca="false">(G70/F70-1)*100</f>
        <v>65.625</v>
      </c>
      <c r="P70" s="31" t="n">
        <f aca="false">(M70-$M$3)/$M$4</f>
        <v>-0.192952822270081</v>
      </c>
      <c r="Q70" s="32" t="n">
        <f aca="false">(N70-$N$3)/$N$4</f>
        <v>-0.232516307365617</v>
      </c>
      <c r="R70" s="32" t="str">
        <f aca="false">IF(AND(P70&gt;0,Q70&gt;0), "ESTRELLA",
IF(AND(P70&gt;0,Q70&lt;0), "Consolidado",
IF(AND(P70&lt;0,Q70&lt;0), "estancado", "prometedor")))</f>
        <v>estancado</v>
      </c>
    </row>
    <row r="71" customFormat="false" ht="15" hidden="false" customHeight="false" outlineLevel="0" collapsed="false">
      <c r="A71" s="16" t="n">
        <v>65</v>
      </c>
      <c r="B71" s="28" t="s">
        <v>70</v>
      </c>
      <c r="C71" s="35" t="n">
        <v>24</v>
      </c>
      <c r="D71" s="35" t="n">
        <v>7</v>
      </c>
      <c r="E71" s="35" t="n">
        <v>29</v>
      </c>
      <c r="F71" s="35" t="n">
        <v>34</v>
      </c>
      <c r="G71" s="35" t="n">
        <v>106</v>
      </c>
      <c r="H71" s="30" t="n">
        <f aca="false">(C71/C$6)*100</f>
        <v>0.00734627910963097</v>
      </c>
      <c r="I71" s="30" t="n">
        <f aca="false">(D71/D$6)*100</f>
        <v>0.00196148759218992</v>
      </c>
      <c r="J71" s="30" t="n">
        <f aca="false">(E71/E$6)*100</f>
        <v>0.00725215751686127</v>
      </c>
      <c r="K71" s="30" t="n">
        <f aca="false">(F71/F$6)*100</f>
        <v>0.00991028279283428</v>
      </c>
      <c r="L71" s="30" t="n">
        <f aca="false">(G71/G$6)*100</f>
        <v>0.0256310435461758</v>
      </c>
      <c r="M71" s="31" t="n">
        <f aca="false">AVERAGE(H71:L71)</f>
        <v>0.0104202501115384</v>
      </c>
      <c r="N71" s="31" t="n">
        <f aca="false">((G71/C71)^(1/4)-1)*100</f>
        <v>44.9685035500154</v>
      </c>
      <c r="O71" s="31" t="n">
        <f aca="false">(G71/F71-1)*100</f>
        <v>211.764705882353</v>
      </c>
      <c r="P71" s="31" t="n">
        <f aca="false">(M71-$M$3)/$M$4</f>
        <v>-0.197742985278073</v>
      </c>
      <c r="Q71" s="32" t="n">
        <f aca="false">(N71-$N$3)/$N$4</f>
        <v>0.17515591261852</v>
      </c>
      <c r="R71" s="32" t="str">
        <f aca="false">IF(AND(P71&gt;0,Q71&gt;0), "ESTRELLA",
IF(AND(P71&gt;0,Q71&lt;0), "Consolidado",
IF(AND(P71&lt;0,Q71&lt;0), "estancado", "prometedor")))</f>
        <v>prometedor</v>
      </c>
    </row>
    <row r="72" customFormat="false" ht="15" hidden="false" customHeight="false" outlineLevel="0" collapsed="false">
      <c r="A72" s="16" t="n">
        <v>66</v>
      </c>
      <c r="B72" s="28" t="s">
        <v>71</v>
      </c>
      <c r="C72" s="35" t="n">
        <v>92</v>
      </c>
      <c r="D72" s="35" t="n">
        <v>89</v>
      </c>
      <c r="E72" s="35" t="n">
        <v>102</v>
      </c>
      <c r="F72" s="35" t="n">
        <v>150</v>
      </c>
      <c r="G72" s="35" t="n">
        <v>105</v>
      </c>
      <c r="H72" s="30" t="n">
        <f aca="false">(C72/C$6)*100</f>
        <v>0.0281607365869187</v>
      </c>
      <c r="I72" s="30" t="n">
        <f aca="false">(D72/D$6)*100</f>
        <v>0.0249389136721289</v>
      </c>
      <c r="J72" s="30" t="n">
        <f aca="false">(E72/E$6)*100</f>
        <v>0.025507588507581</v>
      </c>
      <c r="K72" s="30" t="n">
        <f aca="false">(F72/F$6)*100</f>
        <v>0.0437218358507395</v>
      </c>
      <c r="L72" s="30" t="n">
        <f aca="false">(G72/G$6)*100</f>
        <v>0.0253892412485703</v>
      </c>
      <c r="M72" s="31" t="n">
        <f aca="false">AVERAGE(H72:L72)</f>
        <v>0.0295436631731877</v>
      </c>
      <c r="N72" s="31" t="n">
        <f aca="false">((G72/C72)^(1/4)-1)*100</f>
        <v>3.35949242415423</v>
      </c>
      <c r="O72" s="31" t="n">
        <f aca="false">(G72/F72-1)*100</f>
        <v>-30</v>
      </c>
      <c r="P72" s="31" t="n">
        <f aca="false">(M72-$M$3)/$M$4</f>
        <v>-0.191689957992245</v>
      </c>
      <c r="Q72" s="32" t="n">
        <f aca="false">(N72-$N$3)/$N$4</f>
        <v>-0.208200921450082</v>
      </c>
      <c r="R72" s="32" t="str">
        <f aca="false">IF(AND(P72&gt;0,Q72&gt;0), "ESTRELLA",
IF(AND(P72&gt;0,Q72&lt;0), "Consolidado",
IF(AND(P72&lt;0,Q72&lt;0), "estancado", "prometedor")))</f>
        <v>estancado</v>
      </c>
    </row>
    <row r="73" customFormat="false" ht="15" hidden="false" customHeight="false" outlineLevel="0" collapsed="false">
      <c r="A73" s="16" t="n">
        <v>67</v>
      </c>
      <c r="B73" s="28" t="s">
        <v>72</v>
      </c>
      <c r="C73" s="35" t="n">
        <v>323</v>
      </c>
      <c r="D73" s="35" t="n">
        <v>414</v>
      </c>
      <c r="E73" s="35" t="n">
        <v>246</v>
      </c>
      <c r="F73" s="35" t="n">
        <v>214</v>
      </c>
      <c r="G73" s="35" t="n">
        <v>99</v>
      </c>
      <c r="H73" s="30" t="n">
        <f aca="false">(C73/C$6)*100</f>
        <v>0.0988686730171168</v>
      </c>
      <c r="I73" s="30" t="n">
        <f aca="false">(D73/D$6)*100</f>
        <v>0.116007980452375</v>
      </c>
      <c r="J73" s="30" t="n">
        <f aca="false">(E73/E$6)*100</f>
        <v>0.0615183016947542</v>
      </c>
      <c r="K73" s="30" t="n">
        <f aca="false">(F73/F$6)*100</f>
        <v>0.0623764858137217</v>
      </c>
      <c r="L73" s="30" t="n">
        <f aca="false">(G73/G$6)*100</f>
        <v>0.0239384274629378</v>
      </c>
      <c r="M73" s="31" t="n">
        <f aca="false">AVERAGE(H73:L73)</f>
        <v>0.0725419736881811</v>
      </c>
      <c r="N73" s="31" t="n">
        <f aca="false">((G73/C73)^(1/4)-1)*100</f>
        <v>-25.5939639899141</v>
      </c>
      <c r="O73" s="31" t="n">
        <f aca="false">(G73/F73-1)*100</f>
        <v>-53.7383177570094</v>
      </c>
      <c r="P73" s="31" t="n">
        <f aca="false">(M73-$M$3)/$M$4</f>
        <v>-0.178079942564942</v>
      </c>
      <c r="Q73" s="32" t="n">
        <f aca="false">(N73-$N$3)/$N$4</f>
        <v>-0.474958171524257</v>
      </c>
      <c r="R73" s="32" t="str">
        <f aca="false">IF(AND(P73&gt;0,Q73&gt;0), "ESTRELLA",
IF(AND(P73&gt;0,Q73&lt;0), "Consolidado",
IF(AND(P73&lt;0,Q73&lt;0), "estancado", "prometedor")))</f>
        <v>estancado</v>
      </c>
    </row>
    <row r="74" customFormat="false" ht="15" hidden="false" customHeight="false" outlineLevel="0" collapsed="false">
      <c r="A74" s="16" t="n">
        <v>68</v>
      </c>
      <c r="B74" s="28" t="s">
        <v>73</v>
      </c>
      <c r="C74" s="35" t="n">
        <v>4466</v>
      </c>
      <c r="D74" s="35" t="n">
        <v>3720</v>
      </c>
      <c r="E74" s="35" t="n">
        <v>3887</v>
      </c>
      <c r="F74" s="35" t="n">
        <v>3477</v>
      </c>
      <c r="G74" s="35" t="n">
        <v>87</v>
      </c>
      <c r="H74" s="30" t="n">
        <f aca="false">(C74/C$6)*100</f>
        <v>1.36702010431716</v>
      </c>
      <c r="I74" s="30" t="n">
        <f aca="false">(D74/D$6)*100</f>
        <v>1.04239054899236</v>
      </c>
      <c r="J74" s="30" t="n">
        <f aca="false">(E74/E$6)*100</f>
        <v>0.972039181656543</v>
      </c>
      <c r="K74" s="30" t="n">
        <f aca="false">(F74/F$6)*100</f>
        <v>1.01347215502014</v>
      </c>
      <c r="L74" s="30" t="n">
        <f aca="false">(G74/G$6)*100</f>
        <v>0.0210367998916726</v>
      </c>
      <c r="M74" s="31" t="n">
        <f aca="false">AVERAGE(H74:L74)</f>
        <v>0.883191757975575</v>
      </c>
      <c r="N74" s="31" t="n">
        <f aca="false">((G74/C74)^(1/4)-1)*100</f>
        <v>-62.6405792925304</v>
      </c>
      <c r="O74" s="31" t="n">
        <f aca="false">(G74/F74-1)*100</f>
        <v>-97.4978429680759</v>
      </c>
      <c r="P74" s="31" t="n">
        <f aca="false">(M74-$M$3)/$M$4</f>
        <v>0.0785105126913087</v>
      </c>
      <c r="Q74" s="32" t="n">
        <f aca="false">(N74-$N$3)/$N$4</f>
        <v>-0.816280225836224</v>
      </c>
      <c r="R74" s="32" t="str">
        <f aca="false">IF(AND(P74&gt;0,Q74&gt;0), "ESTRELLA",
IF(AND(P74&gt;0,Q74&lt;0), "Consolidado",
IF(AND(P74&lt;0,Q74&lt;0), "estancado", "prometedor")))</f>
        <v>Consolidado</v>
      </c>
    </row>
    <row r="75" customFormat="false" ht="15" hidden="false" customHeight="false" outlineLevel="0" collapsed="false">
      <c r="B75" s="28" t="s">
        <v>74</v>
      </c>
      <c r="C75" s="35" t="n">
        <v>103</v>
      </c>
      <c r="D75" s="35" t="n">
        <v>88</v>
      </c>
      <c r="E75" s="35" t="n">
        <v>103</v>
      </c>
      <c r="F75" s="35" t="n">
        <v>118</v>
      </c>
      <c r="G75" s="35" t="n">
        <v>84</v>
      </c>
      <c r="H75" s="30" t="n">
        <f aca="false">(C75/C$6)*100</f>
        <v>0.0315277811788329</v>
      </c>
      <c r="I75" s="30" t="n">
        <f aca="false">(D75/D$6)*100</f>
        <v>0.024658701158959</v>
      </c>
      <c r="J75" s="30" t="n">
        <f aca="false">(E75/E$6)*100</f>
        <v>0.0257576629047142</v>
      </c>
      <c r="K75" s="30" t="n">
        <f aca="false">(F75/F$6)*100</f>
        <v>0.0343945108692484</v>
      </c>
      <c r="L75" s="30" t="n">
        <f aca="false">(G75/G$6)*100</f>
        <v>0.0203113929988563</v>
      </c>
      <c r="M75" s="31" t="n">
        <f aca="false">AVERAGE(H75:L75)</f>
        <v>0.0273300098221221</v>
      </c>
      <c r="N75" s="31" t="n">
        <f aca="false">((G75/C75)^(1/4)-1)*100</f>
        <v>-4.97004681002866</v>
      </c>
      <c r="O75" s="31" t="n">
        <f aca="false">(G75/F75-1)*100</f>
        <v>-28.8135593220339</v>
      </c>
      <c r="P75" s="31" t="n">
        <f aca="false">(M75-$M$3)/$M$4</f>
        <v>-0.192390633341994</v>
      </c>
      <c r="Q75" s="32" t="n">
        <f aca="false">(N75-$N$3)/$N$4</f>
        <v>-0.284943571747818</v>
      </c>
      <c r="R75" s="32" t="str">
        <f aca="false">IF(AND(P75&gt;0,Q75&gt;0), "ESTRELLA",
IF(AND(P75&gt;0,Q75&lt;0), "Consolidado",
IF(AND(P75&lt;0,Q75&lt;0), "estancado", "prometedor")))</f>
        <v>estancado</v>
      </c>
    </row>
    <row r="76" customFormat="false" ht="15" hidden="false" customHeight="true" outlineLevel="0" collapsed="false">
      <c r="B76" s="28" t="s">
        <v>75</v>
      </c>
      <c r="C76" s="35" t="n">
        <v>282</v>
      </c>
      <c r="D76" s="35" t="n">
        <v>160</v>
      </c>
      <c r="E76" s="35" t="n">
        <v>123</v>
      </c>
      <c r="F76" s="35" t="n">
        <v>282</v>
      </c>
      <c r="G76" s="35" t="n">
        <v>79</v>
      </c>
      <c r="H76" s="30" t="n">
        <f aca="false">(C76/C$6)*100</f>
        <v>0.0863187795381639</v>
      </c>
      <c r="I76" s="30" t="n">
        <f aca="false">(D76/D$6)*100</f>
        <v>0.0448340021071981</v>
      </c>
      <c r="J76" s="30" t="n">
        <f aca="false">(E76/E$6)*100</f>
        <v>0.0307591508473771</v>
      </c>
      <c r="K76" s="30" t="n">
        <f aca="false">(F76/F$6)*100</f>
        <v>0.0821970513993902</v>
      </c>
      <c r="L76" s="30" t="n">
        <f aca="false">(G76/G$6)*100</f>
        <v>0.0191023815108291</v>
      </c>
      <c r="M76" s="31" t="n">
        <f aca="false">AVERAGE(H76:L76)</f>
        <v>0.0526422730805917</v>
      </c>
      <c r="N76" s="31" t="n">
        <f aca="false">((G76/C76)^(1/4)-1)*100</f>
        <v>-27.2480738950664</v>
      </c>
      <c r="O76" s="31" t="n">
        <f aca="false">(G76/F76-1)*100</f>
        <v>-71.9858156028369</v>
      </c>
      <c r="P76" s="31" t="n">
        <f aca="false">(M76-$M$3)/$M$4</f>
        <v>-0.184378683818359</v>
      </c>
      <c r="Q76" s="32" t="n">
        <f aca="false">(N76-$N$3)/$N$4</f>
        <v>-0.490198003456879</v>
      </c>
      <c r="R76" s="32" t="str">
        <f aca="false">IF(AND(P76&gt;0,Q76&gt;0), "ESTRELLA",
IF(AND(P76&gt;0,Q76&lt;0), "Consolidado",
IF(AND(P76&lt;0,Q76&lt;0), "estancado", "prometedor")))</f>
        <v>estancado</v>
      </c>
    </row>
    <row r="77" customFormat="false" ht="15" hidden="false" customHeight="true" outlineLevel="0" collapsed="false">
      <c r="B77" s="28" t="s">
        <v>76</v>
      </c>
      <c r="C77" s="35" t="n">
        <v>39</v>
      </c>
      <c r="D77" s="35" t="n">
        <v>126</v>
      </c>
      <c r="E77" s="35" t="n">
        <v>65</v>
      </c>
      <c r="F77" s="35" t="n">
        <v>36</v>
      </c>
      <c r="G77" s="35" t="n">
        <v>75</v>
      </c>
      <c r="H77" s="30" t="n">
        <f aca="false">(C77/C$6)*100</f>
        <v>0.0119377035531503</v>
      </c>
      <c r="I77" s="30" t="n">
        <f aca="false">(D77/D$6)*100</f>
        <v>0.0353067766594185</v>
      </c>
      <c r="J77" s="30" t="n">
        <f aca="false">(E77/E$6)*100</f>
        <v>0.0162548358136546</v>
      </c>
      <c r="K77" s="30" t="n">
        <f aca="false">(F77/F$6)*100</f>
        <v>0.0104932406041775</v>
      </c>
      <c r="L77" s="30" t="n">
        <f aca="false">(G77/G$6)*100</f>
        <v>0.0181351723204074</v>
      </c>
      <c r="M77" s="31" t="n">
        <f aca="false">AVERAGE(H77:L77)</f>
        <v>0.0184255457901617</v>
      </c>
      <c r="N77" s="31" t="n">
        <f aca="false">((G77/C77)^(1/4)-1)*100</f>
        <v>17.7603706924818</v>
      </c>
      <c r="O77" s="31" t="n">
        <f aca="false">(G77/F77-1)*100</f>
        <v>108.333333333333</v>
      </c>
      <c r="P77" s="31" t="n">
        <f aca="false">(M77-$M$3)/$M$4</f>
        <v>-0.19520911368216</v>
      </c>
      <c r="Q77" s="32" t="n">
        <f aca="false">(N77-$N$3)/$N$4</f>
        <v>-0.0755211256228234</v>
      </c>
      <c r="R77" s="32" t="str">
        <f aca="false">IF(AND(P77&gt;0,Q77&gt;0), "ESTRELLA",
IF(AND(P77&gt;0,Q77&lt;0), "Consolidado",
IF(AND(P77&lt;0,Q77&lt;0), "estancado", "prometedor")))</f>
        <v>estancado</v>
      </c>
    </row>
    <row r="78" customFormat="false" ht="15" hidden="false" customHeight="true" outlineLevel="0" collapsed="false">
      <c r="B78" s="44" t="s">
        <v>172</v>
      </c>
      <c r="C78" s="35" t="n">
        <v>1</v>
      </c>
      <c r="D78" s="35" t="n">
        <v>1</v>
      </c>
      <c r="E78" s="35" t="n">
        <v>2</v>
      </c>
      <c r="F78" s="35" t="n">
        <v>12</v>
      </c>
      <c r="G78" s="35" t="n">
        <f aca="false">F78+(F78/E78-1)*F78</f>
        <v>72</v>
      </c>
      <c r="H78" s="30" t="n">
        <f aca="false">(C78/C$6)*100</f>
        <v>0.000306094962901291</v>
      </c>
      <c r="I78" s="30" t="n">
        <f aca="false">(D78/D$6)*100</f>
        <v>0.000280212513169988</v>
      </c>
      <c r="J78" s="30" t="n">
        <f aca="false">(E78/E$6)*100</f>
        <v>0.000500148794266294</v>
      </c>
      <c r="K78" s="30" t="n">
        <f aca="false">(F78/F$6)*100</f>
        <v>0.00349774686805916</v>
      </c>
      <c r="L78" s="30" t="n">
        <f aca="false">(G78/G$6)*100</f>
        <v>0.0174097654275911</v>
      </c>
      <c r="M78" s="31" t="n">
        <f aca="false">AVERAGE(H78:L78)</f>
        <v>0.00439879371319757</v>
      </c>
      <c r="N78" s="31" t="n">
        <f aca="false">((G78/C78)^(1/4)-1)*100</f>
        <v>191.295063024394</v>
      </c>
      <c r="O78" s="31" t="n">
        <f aca="false">(G78/F78-1)*100</f>
        <v>500</v>
      </c>
      <c r="P78" s="31" t="n">
        <f aca="false">(M78-$M$3)/$M$4</f>
        <v>-0.199648923290397</v>
      </c>
      <c r="Q78" s="32" t="n">
        <f aca="false">(N78-$N$3)/$N$4</f>
        <v>1.52330827342731</v>
      </c>
      <c r="R78" s="32" t="str">
        <f aca="false">IF(AND(P78&gt;0,Q78&gt;0), "ESTRELLA",
IF(AND(P78&gt;0,Q78&lt;0), "Consolidado",
IF(AND(P78&lt;0,Q78&lt;0), "estancado", "prometedor")))</f>
        <v>prometedor</v>
      </c>
    </row>
    <row r="79" customFormat="false" ht="15" hidden="false" customHeight="true" outlineLevel="0" collapsed="false">
      <c r="B79" s="28" t="s">
        <v>200</v>
      </c>
      <c r="C79" s="35" t="n">
        <v>146</v>
      </c>
      <c r="D79" s="35" t="n">
        <v>251</v>
      </c>
      <c r="E79" s="35" t="n">
        <v>321</v>
      </c>
      <c r="F79" s="35" t="n">
        <v>150</v>
      </c>
      <c r="G79" s="35" t="n">
        <f aca="false">F79+(F79/E79-1)*F79</f>
        <v>70.0934579439252</v>
      </c>
      <c r="H79" s="30" t="n">
        <f aca="false">(C79/C$6)*100</f>
        <v>0.0446898645835884</v>
      </c>
      <c r="I79" s="30" t="n">
        <f aca="false">(D79/D$6)*100</f>
        <v>0.070333340805667</v>
      </c>
      <c r="J79" s="30" t="n">
        <f aca="false">(E79/E$6)*100</f>
        <v>0.0802738814797402</v>
      </c>
      <c r="K79" s="30" t="n">
        <f aca="false">(F79/F$6)*100</f>
        <v>0.0437218358507395</v>
      </c>
      <c r="L79" s="30" t="n">
        <f aca="false">(G79/G$6)*100</f>
        <v>0.0169487591779508</v>
      </c>
      <c r="M79" s="31" t="n">
        <f aca="false">AVERAGE(H79:L79)</f>
        <v>0.0511935363795372</v>
      </c>
      <c r="N79" s="31" t="n">
        <f aca="false">((G79/C79)^(1/4)-1)*100</f>
        <v>-16.7601751949439</v>
      </c>
      <c r="O79" s="31" t="n">
        <f aca="false">(G79/F79-1)*100</f>
        <v>-53.2710280373832</v>
      </c>
      <c r="P79" s="31" t="n">
        <f aca="false">(M79-$M$3)/$M$4</f>
        <v>-0.184837244366792</v>
      </c>
      <c r="Q79" s="32" t="n">
        <f aca="false">(N79-$N$3)/$N$4</f>
        <v>-0.393569712302604</v>
      </c>
      <c r="R79" s="32" t="str">
        <f aca="false">IF(AND(P79&gt;0,Q79&gt;0), "ESTRELLA",
IF(AND(P79&gt;0,Q79&lt;0), "Consolidado",
IF(AND(P79&lt;0,Q79&lt;0), "estancado", "prometedor")))</f>
        <v>estancado</v>
      </c>
    </row>
    <row r="80" customFormat="false" ht="15" hidden="false" customHeight="true" outlineLevel="0" collapsed="false">
      <c r="B80" s="28" t="s">
        <v>78</v>
      </c>
      <c r="C80" s="35" t="n">
        <v>92</v>
      </c>
      <c r="D80" s="35" t="n">
        <v>30</v>
      </c>
      <c r="E80" s="35" t="n">
        <v>10</v>
      </c>
      <c r="F80" s="35" t="n">
        <v>11</v>
      </c>
      <c r="G80" s="35" t="n">
        <v>66</v>
      </c>
      <c r="H80" s="30" t="n">
        <f aca="false">(C80/C$6)*100</f>
        <v>0.0281607365869187</v>
      </c>
      <c r="I80" s="30" t="n">
        <f aca="false">(D80/D$6)*100</f>
        <v>0.00840637539509965</v>
      </c>
      <c r="J80" s="30" t="n">
        <f aca="false">(E80/E$6)*100</f>
        <v>0.00250074397133147</v>
      </c>
      <c r="K80" s="30" t="n">
        <f aca="false">(F80/F$6)*100</f>
        <v>0.00320626796238756</v>
      </c>
      <c r="L80" s="30" t="n">
        <f aca="false">(G80/G$6)*100</f>
        <v>0.0159589516419585</v>
      </c>
      <c r="M80" s="31" t="n">
        <f aca="false">AVERAGE(H80:L80)</f>
        <v>0.0116466151115392</v>
      </c>
      <c r="N80" s="31" t="n">
        <f aca="false">((G80/C80)^(1/4)-1)*100</f>
        <v>-7.96796460688704</v>
      </c>
      <c r="O80" s="31" t="n">
        <f aca="false">(G80/F80-1)*100</f>
        <v>500</v>
      </c>
      <c r="P80" s="31" t="n">
        <f aca="false">(M80-$M$3)/$M$4</f>
        <v>-0.197354810804016</v>
      </c>
      <c r="Q80" s="32" t="n">
        <f aca="false">(N80-$N$3)/$N$4</f>
        <v>-0.312564326106175</v>
      </c>
      <c r="R80" s="32" t="str">
        <f aca="false">IF(AND(P80&gt;0,Q80&gt;0), "ESTRELLA",
IF(AND(P80&gt;0,Q80&lt;0), "Consolidado",
IF(AND(P80&lt;0,Q80&lt;0), "estancado", "prometedor")))</f>
        <v>estancado</v>
      </c>
    </row>
    <row r="81" customFormat="false" ht="15" hidden="false" customHeight="true" outlineLevel="0" collapsed="false">
      <c r="B81" s="44" t="s">
        <v>77</v>
      </c>
      <c r="C81" s="35" t="n">
        <v>9</v>
      </c>
      <c r="D81" s="35" t="n">
        <v>8</v>
      </c>
      <c r="E81" s="35" t="n">
        <v>86</v>
      </c>
      <c r="F81" s="35" t="n">
        <v>36</v>
      </c>
      <c r="G81" s="35" t="n">
        <v>66</v>
      </c>
      <c r="H81" s="30" t="n">
        <f aca="false">(C81/C$6)*100</f>
        <v>0.00275485466611161</v>
      </c>
      <c r="I81" s="30" t="n">
        <f aca="false">(D81/D$6)*100</f>
        <v>0.00224170010535991</v>
      </c>
      <c r="J81" s="30" t="n">
        <f aca="false">(E81/E$6)*100</f>
        <v>0.0215063981534507</v>
      </c>
      <c r="K81" s="30" t="n">
        <f aca="false">(F81/F$6)*100</f>
        <v>0.0104932406041775</v>
      </c>
      <c r="L81" s="30" t="n">
        <f aca="false">(G81/G$6)*100</f>
        <v>0.0159589516419585</v>
      </c>
      <c r="M81" s="31" t="n">
        <f aca="false">AVERAGE(H81:L81)</f>
        <v>0.0105910290342116</v>
      </c>
      <c r="N81" s="31" t="n">
        <f aca="false">((G81/C81)^(1/4)-1)*100</f>
        <v>64.5604084081381</v>
      </c>
      <c r="O81" s="31" t="n">
        <f aca="false">(G81/F81-1)*100</f>
        <v>83.3333333333333</v>
      </c>
      <c r="P81" s="31" t="n">
        <f aca="false">(M81-$M$3)/$M$4</f>
        <v>-0.197688929578107</v>
      </c>
      <c r="Q81" s="32" t="n">
        <f aca="false">(N81-$N$3)/$N$4</f>
        <v>0.355662260079277</v>
      </c>
      <c r="R81" s="32" t="str">
        <f aca="false">IF(AND(P81&gt;0,Q81&gt;0), "ESTRELLA",
IF(AND(P81&gt;0,Q81&lt;0), "Consolidado",
IF(AND(P81&lt;0,Q81&lt;0), "estancado", "prometedor")))</f>
        <v>prometedor</v>
      </c>
    </row>
    <row r="82" customFormat="false" ht="15" hidden="false" customHeight="true" outlineLevel="0" collapsed="false">
      <c r="B82" s="28" t="s">
        <v>170</v>
      </c>
      <c r="C82" s="35" t="n">
        <v>713</v>
      </c>
      <c r="D82" s="35" t="n">
        <v>6</v>
      </c>
      <c r="E82" s="35" t="n">
        <v>3</v>
      </c>
      <c r="F82" s="35" t="n">
        <v>14</v>
      </c>
      <c r="G82" s="35" t="n">
        <f aca="false">F82+(F82/E82-1)*F82</f>
        <v>65.3333333333333</v>
      </c>
      <c r="H82" s="30" t="n">
        <f aca="false">(C82/C$6)*100</f>
        <v>0.21824570854862</v>
      </c>
      <c r="I82" s="30" t="n">
        <f aca="false">(D82/D$6)*100</f>
        <v>0.00168127507901993</v>
      </c>
      <c r="J82" s="30" t="n">
        <f aca="false">(E82/E$6)*100</f>
        <v>0.000750223191399441</v>
      </c>
      <c r="K82" s="30" t="n">
        <f aca="false">(F82/F$6)*100</f>
        <v>0.00408070467940235</v>
      </c>
      <c r="L82" s="30" t="n">
        <f aca="false">(G82/G$6)*100</f>
        <v>0.0157977501102215</v>
      </c>
      <c r="M82" s="31" t="n">
        <f aca="false">AVERAGE(H82:L82)</f>
        <v>0.0481111323217327</v>
      </c>
      <c r="N82" s="31" t="n">
        <f aca="false">((G82/C82)^(1/4)-1)*100</f>
        <v>-44.981173672543</v>
      </c>
      <c r="O82" s="31" t="n">
        <f aca="false">(G82/F82-1)*100</f>
        <v>366.666666666667</v>
      </c>
      <c r="P82" s="31" t="n">
        <f aca="false">(M82-$M$3)/$M$4</f>
        <v>-0.185812900532754</v>
      </c>
      <c r="Q82" s="32" t="n">
        <f aca="false">(N82-$N$3)/$N$4</f>
        <v>-0.653578598308143</v>
      </c>
      <c r="R82" s="32" t="str">
        <f aca="false">IF(AND(P82&gt;0,Q82&gt;0), "ESTRELLA",
IF(AND(P82&gt;0,Q82&lt;0), "Consolidado",
IF(AND(P82&lt;0,Q82&lt;0), "estancado", "prometedor")))</f>
        <v>estancado</v>
      </c>
    </row>
    <row r="83" customFormat="false" ht="15" hidden="false" customHeight="true" outlineLevel="0" collapsed="false">
      <c r="B83" s="44" t="s">
        <v>79</v>
      </c>
      <c r="C83" s="35" t="n">
        <v>2</v>
      </c>
      <c r="D83" s="35" t="n">
        <v>37</v>
      </c>
      <c r="E83" s="35" t="n">
        <v>86</v>
      </c>
      <c r="F83" s="35" t="n">
        <v>17</v>
      </c>
      <c r="G83" s="35" t="n">
        <v>65</v>
      </c>
      <c r="H83" s="30" t="n">
        <f aca="false">(C83/C$6)*100</f>
        <v>0.000612189925802581</v>
      </c>
      <c r="I83" s="30" t="n">
        <f aca="false">(D83/D$6)*100</f>
        <v>0.0103678629872896</v>
      </c>
      <c r="J83" s="30" t="n">
        <f aca="false">(E83/E$6)*100</f>
        <v>0.0215063981534507</v>
      </c>
      <c r="K83" s="30" t="n">
        <f aca="false">(F83/F$6)*100</f>
        <v>0.00495514139641714</v>
      </c>
      <c r="L83" s="30" t="n">
        <f aca="false">(G83/G$6)*100</f>
        <v>0.0157171493443531</v>
      </c>
      <c r="M83" s="31" t="n">
        <f aca="false">AVERAGE(H83:L83)</f>
        <v>0.0106317483614626</v>
      </c>
      <c r="N83" s="31" t="n">
        <f aca="false">((G83/C83)^(1/4)-1)*100</f>
        <v>138.76509639174</v>
      </c>
      <c r="O83" s="31" t="n">
        <f aca="false">(G83/F83-1)*100</f>
        <v>282.352941176471</v>
      </c>
      <c r="P83" s="31" t="n">
        <f aca="false">(M83-$M$3)/$M$4</f>
        <v>-0.197676040916543</v>
      </c>
      <c r="Q83" s="32" t="n">
        <f aca="false">(N83-$N$3)/$N$4</f>
        <v>1.03933326039203</v>
      </c>
      <c r="R83" s="32" t="str">
        <f aca="false">IF(AND(P83&gt;0,Q83&gt;0), "ESTRELLA",
IF(AND(P83&gt;0,Q83&lt;0), "Consolidado",
IF(AND(P83&lt;0,Q83&lt;0), "estancado", "prometedor")))</f>
        <v>prometedor</v>
      </c>
    </row>
    <row r="84" customFormat="false" ht="15" hidden="false" customHeight="true" outlineLevel="0" collapsed="false">
      <c r="B84" s="28" t="s">
        <v>80</v>
      </c>
      <c r="C84" s="35" t="n">
        <v>148</v>
      </c>
      <c r="D84" s="35" t="n">
        <v>79</v>
      </c>
      <c r="E84" s="35" t="n">
        <v>115</v>
      </c>
      <c r="F84" s="35" t="n">
        <v>44</v>
      </c>
      <c r="G84" s="35" t="n">
        <v>57</v>
      </c>
      <c r="H84" s="30" t="n">
        <f aca="false">(C84/C$6)*100</f>
        <v>0.045302054509391</v>
      </c>
      <c r="I84" s="30" t="n">
        <f aca="false">(D84/D$6)*100</f>
        <v>0.0221367885404291</v>
      </c>
      <c r="J84" s="30" t="n">
        <f aca="false">(E84/E$6)*100</f>
        <v>0.0287585556703119</v>
      </c>
      <c r="K84" s="30" t="n">
        <f aca="false">(F84/F$6)*100</f>
        <v>0.0128250718495502</v>
      </c>
      <c r="L84" s="30" t="n">
        <f aca="false">(G84/G$6)*100</f>
        <v>0.0137827309635096</v>
      </c>
      <c r="M84" s="31" t="n">
        <f aca="false">AVERAGE(H84:L84)</f>
        <v>0.0245610403066384</v>
      </c>
      <c r="N84" s="31" t="n">
        <f aca="false">((G84/C84)^(1/4)-1)*100</f>
        <v>-21.2223021572214</v>
      </c>
      <c r="O84" s="31" t="n">
        <f aca="false">(G84/F84-1)*100</f>
        <v>29.5454545454545</v>
      </c>
      <c r="P84" s="31" t="n">
        <f aca="false">(M84-$M$3)/$M$4</f>
        <v>-0.193267079820288</v>
      </c>
      <c r="Q84" s="32" t="n">
        <f aca="false">(N84-$N$3)/$N$4</f>
        <v>-0.434680683680813</v>
      </c>
      <c r="R84" s="32" t="str">
        <f aca="false">IF(AND(P84&gt;0,Q84&gt;0), "ESTRELLA",
IF(AND(P84&gt;0,Q84&lt;0), "Consolidado",
IF(AND(P84&lt;0,Q84&lt;0), "estancado", "prometedor")))</f>
        <v>estancado</v>
      </c>
    </row>
    <row r="85" customFormat="false" ht="15" hidden="false" customHeight="true" outlineLevel="0" collapsed="false">
      <c r="B85" s="44" t="s">
        <v>81</v>
      </c>
      <c r="C85" s="35" t="n">
        <v>1</v>
      </c>
      <c r="D85" s="35" t="n">
        <v>4</v>
      </c>
      <c r="E85" s="35" t="n">
        <v>3</v>
      </c>
      <c r="F85" s="35" t="n">
        <v>11</v>
      </c>
      <c r="G85" s="35" t="n">
        <v>49</v>
      </c>
      <c r="H85" s="30" t="n">
        <f aca="false">(C85/C$6)*100</f>
        <v>0.000306094962901291</v>
      </c>
      <c r="I85" s="30" t="n">
        <f aca="false">(D85/D$6)*100</f>
        <v>0.00112085005267995</v>
      </c>
      <c r="J85" s="30" t="n">
        <f aca="false">(E85/E$6)*100</f>
        <v>0.000750223191399441</v>
      </c>
      <c r="K85" s="30" t="n">
        <f aca="false">(F85/F$6)*100</f>
        <v>0.00320626796238756</v>
      </c>
      <c r="L85" s="30" t="n">
        <f aca="false">(G85/G$6)*100</f>
        <v>0.0118483125826662</v>
      </c>
      <c r="M85" s="31" t="n">
        <f aca="false">AVERAGE(H85:L85)</f>
        <v>0.00344634975040688</v>
      </c>
      <c r="N85" s="31" t="n">
        <f aca="false">((G85/C85)^(1/4)-1)*100</f>
        <v>164.575131106459</v>
      </c>
      <c r="O85" s="31" t="n">
        <f aca="false">(G85/F85-1)*100</f>
        <v>345.454545454545</v>
      </c>
      <c r="P85" s="31" t="n">
        <f aca="false">(M85-$M$3)/$M$4</f>
        <v>-0.199950395066194</v>
      </c>
      <c r="Q85" s="32" t="n">
        <f aca="false">(N85-$N$3)/$N$4</f>
        <v>1.27712918314314</v>
      </c>
      <c r="R85" s="32" t="str">
        <f aca="false">IF(AND(P85&gt;0,Q85&gt;0), "ESTRELLA",
IF(AND(P85&gt;0,Q85&lt;0), "Consolidado",
IF(AND(P85&lt;0,Q85&lt;0), "estancado", "prometedor")))</f>
        <v>prometedor</v>
      </c>
    </row>
    <row r="86" customFormat="false" ht="15" hidden="false" customHeight="true" outlineLevel="0" collapsed="false">
      <c r="B86" s="44" t="s">
        <v>82</v>
      </c>
      <c r="C86" s="35" t="n">
        <v>2</v>
      </c>
      <c r="D86" s="35" t="n">
        <v>978</v>
      </c>
      <c r="E86" s="35" t="n">
        <v>4841</v>
      </c>
      <c r="F86" s="35" t="n">
        <v>24</v>
      </c>
      <c r="G86" s="35" t="n">
        <v>47</v>
      </c>
      <c r="H86" s="30" t="n">
        <f aca="false">(C86/C$6)*100</f>
        <v>0.000612189925802581</v>
      </c>
      <c r="I86" s="30" t="n">
        <f aca="false">(D86/D$6)*100</f>
        <v>0.274047837880248</v>
      </c>
      <c r="J86" s="30" t="n">
        <f aca="false">(E86/E$6)*100</f>
        <v>1.21061015652157</v>
      </c>
      <c r="K86" s="30" t="n">
        <f aca="false">(F86/F$6)*100</f>
        <v>0.00699549373611832</v>
      </c>
      <c r="L86" s="30" t="n">
        <f aca="false">(G86/G$6)*100</f>
        <v>0.0113647079874553</v>
      </c>
      <c r="M86" s="31" t="n">
        <f aca="false">AVERAGE(H86:L86)</f>
        <v>0.300726077210238</v>
      </c>
      <c r="N86" s="31" t="n">
        <f aca="false">((G86/C86)^(1/4)-1)*100</f>
        <v>120.174473030284</v>
      </c>
      <c r="O86" s="31" t="n">
        <f aca="false">(G86/F86-1)*100</f>
        <v>95.8333333333333</v>
      </c>
      <c r="P86" s="31" t="n">
        <f aca="false">(M86-$M$3)/$M$4</f>
        <v>-0.105854100851516</v>
      </c>
      <c r="Q86" s="32" t="n">
        <f aca="false">(N86-$N$3)/$N$4</f>
        <v>0.868052032543287</v>
      </c>
      <c r="R86" s="32" t="str">
        <f aca="false">IF(AND(P86&gt;0,Q86&gt;0), "ESTRELLA",
IF(AND(P86&gt;0,Q86&lt;0), "Consolidado",
IF(AND(P86&lt;0,Q86&lt;0), "estancado", "prometedor")))</f>
        <v>prometedor</v>
      </c>
    </row>
    <row r="87" customFormat="false" ht="15" hidden="false" customHeight="true" outlineLevel="0" collapsed="false">
      <c r="B87" s="28" t="s">
        <v>83</v>
      </c>
      <c r="C87" s="35" t="n">
        <v>27</v>
      </c>
      <c r="D87" s="35" t="n">
        <v>52</v>
      </c>
      <c r="E87" s="35" t="n">
        <v>144</v>
      </c>
      <c r="F87" s="35" t="n">
        <v>99</v>
      </c>
      <c r="G87" s="35" t="n">
        <v>46</v>
      </c>
      <c r="H87" s="30" t="n">
        <f aca="false">(C87/C$6)*100</f>
        <v>0.00826456399833484</v>
      </c>
      <c r="I87" s="30" t="n">
        <f aca="false">(D87/D$6)*100</f>
        <v>0.0145710506848394</v>
      </c>
      <c r="J87" s="30" t="n">
        <f aca="false">(E87/E$6)*100</f>
        <v>0.0360107131871732</v>
      </c>
      <c r="K87" s="30" t="n">
        <f aca="false">(F87/F$6)*100</f>
        <v>0.0288564116614881</v>
      </c>
      <c r="L87" s="30" t="n">
        <f aca="false">(G87/G$6)*100</f>
        <v>0.0111229056898499</v>
      </c>
      <c r="M87" s="31" t="n">
        <f aca="false">AVERAGE(H87:L87)</f>
        <v>0.0197651290443371</v>
      </c>
      <c r="N87" s="31" t="n">
        <f aca="false">((G87/C87)^(1/4)-1)*100</f>
        <v>14.2479765173144</v>
      </c>
      <c r="O87" s="31" t="n">
        <f aca="false">(G87/F87-1)*100</f>
        <v>-53.5353535353535</v>
      </c>
      <c r="P87" s="31" t="n">
        <f aca="false">(M87-$M$3)/$M$4</f>
        <v>-0.194785102865523</v>
      </c>
      <c r="Q87" s="32" t="n">
        <f aca="false">(N87-$N$3)/$N$4</f>
        <v>-0.107881911773694</v>
      </c>
      <c r="R87" s="32" t="str">
        <f aca="false">IF(AND(P87&gt;0,Q87&gt;0), "ESTRELLA",
IF(AND(P87&gt;0,Q87&lt;0), "Consolidado",
IF(AND(P87&lt;0,Q87&lt;0), "estancado", "prometedor")))</f>
        <v>estancado</v>
      </c>
    </row>
    <row r="88" customFormat="false" ht="15" hidden="false" customHeight="true" outlineLevel="0" collapsed="false">
      <c r="B88" s="28" t="s">
        <v>84</v>
      </c>
      <c r="C88" s="35" t="n">
        <v>110</v>
      </c>
      <c r="D88" s="35" t="n">
        <v>43</v>
      </c>
      <c r="E88" s="35" t="n">
        <v>54</v>
      </c>
      <c r="F88" s="35" t="n">
        <v>22</v>
      </c>
      <c r="G88" s="35" t="n">
        <v>44</v>
      </c>
      <c r="H88" s="30" t="n">
        <f aca="false">(C88/C$6)*100</f>
        <v>0.033670445919142</v>
      </c>
      <c r="I88" s="30" t="n">
        <f aca="false">(D88/D$6)*100</f>
        <v>0.0120491380663095</v>
      </c>
      <c r="J88" s="30" t="n">
        <f aca="false">(E88/E$6)*100</f>
        <v>0.0135040174451899</v>
      </c>
      <c r="K88" s="30" t="n">
        <f aca="false">(F88/F$6)*100</f>
        <v>0.00641253592477512</v>
      </c>
      <c r="L88" s="30" t="n">
        <f aca="false">(G88/G$6)*100</f>
        <v>0.010639301094639</v>
      </c>
      <c r="M88" s="31" t="n">
        <f aca="false">AVERAGE(H88:L88)</f>
        <v>0.0152550876900111</v>
      </c>
      <c r="N88" s="31" t="n">
        <f aca="false">((G88/C88)^(1/4)-1)*100</f>
        <v>-20.4729271232949</v>
      </c>
      <c r="O88" s="31" t="n">
        <f aca="false">(G88/F88-1)*100</f>
        <v>100</v>
      </c>
      <c r="P88" s="31" t="n">
        <f aca="false">(M88-$M$3)/$M$4</f>
        <v>-0.196212641103072</v>
      </c>
      <c r="Q88" s="32" t="n">
        <f aca="false">(N88-$N$3)/$N$4</f>
        <v>-0.427776457101932</v>
      </c>
      <c r="R88" s="32" t="str">
        <f aca="false">IF(AND(P88&gt;0,Q88&gt;0), "ESTRELLA",
IF(AND(P88&gt;0,Q88&lt;0), "Consolidado",
IF(AND(P88&lt;0,Q88&lt;0), "estancado", "prometedor")))</f>
        <v>estancado</v>
      </c>
    </row>
    <row r="89" customFormat="false" ht="15" hidden="false" customHeight="true" outlineLevel="0" collapsed="false">
      <c r="B89" s="28" t="s">
        <v>85</v>
      </c>
      <c r="C89" s="35" t="n">
        <v>25</v>
      </c>
      <c r="D89" s="35" t="n">
        <v>589</v>
      </c>
      <c r="E89" s="35" t="n">
        <v>1611</v>
      </c>
      <c r="F89" s="35" t="n">
        <v>286</v>
      </c>
      <c r="G89" s="35" t="n">
        <v>39</v>
      </c>
      <c r="H89" s="30" t="n">
        <f aca="false">(C89/C$6)*100</f>
        <v>0.00765237407253226</v>
      </c>
      <c r="I89" s="30" t="n">
        <f aca="false">(D89/D$6)*100</f>
        <v>0.165045170257123</v>
      </c>
      <c r="J89" s="30" t="n">
        <f aca="false">(E89/E$6)*100</f>
        <v>0.4028698537815</v>
      </c>
      <c r="K89" s="30" t="n">
        <f aca="false">(F89/F$6)*100</f>
        <v>0.0833629670220766</v>
      </c>
      <c r="L89" s="30" t="n">
        <f aca="false">(G89/G$6)*100</f>
        <v>0.00943028960661184</v>
      </c>
      <c r="M89" s="31" t="n">
        <f aca="false">AVERAGE(H89:L89)</f>
        <v>0.133672130947969</v>
      </c>
      <c r="N89" s="31" t="n">
        <f aca="false">((G89/C89)^(1/4)-1)*100</f>
        <v>11.7586506575522</v>
      </c>
      <c r="O89" s="31" t="n">
        <f aca="false">(G89/F89-1)*100</f>
        <v>-86.3636363636364</v>
      </c>
      <c r="P89" s="31" t="n">
        <f aca="false">(M89-$M$3)/$M$4</f>
        <v>-0.158730754808155</v>
      </c>
      <c r="Q89" s="32" t="n">
        <f aca="false">(N89-$N$3)/$N$4</f>
        <v>-0.130816849536981</v>
      </c>
      <c r="R89" s="32" t="str">
        <f aca="false">IF(AND(P89&gt;0,Q89&gt;0), "ESTRELLA",
IF(AND(P89&gt;0,Q89&lt;0), "Consolidado",
IF(AND(P89&lt;0,Q89&lt;0), "estancado", "prometedor")))</f>
        <v>estancado</v>
      </c>
    </row>
    <row r="90" customFormat="false" ht="15" hidden="false" customHeight="true" outlineLevel="0" collapsed="false">
      <c r="B90" s="28" t="s">
        <v>161</v>
      </c>
      <c r="C90" s="35" t="n">
        <v>274</v>
      </c>
      <c r="D90" s="35" t="n">
        <v>663</v>
      </c>
      <c r="E90" s="35" t="n">
        <v>442</v>
      </c>
      <c r="F90" s="35" t="n">
        <v>131</v>
      </c>
      <c r="G90" s="35" t="n">
        <f aca="false">F90+(F90/E90-1)*F90</f>
        <v>38.8257918552036</v>
      </c>
      <c r="H90" s="30" t="n">
        <f aca="false">(C90/C$6)*100</f>
        <v>0.0838700198349536</v>
      </c>
      <c r="I90" s="30" t="n">
        <f aca="false">(D90/D$6)*100</f>
        <v>0.185780896231702</v>
      </c>
      <c r="J90" s="30" t="n">
        <f aca="false">(E90/E$6)*100</f>
        <v>0.110532883532851</v>
      </c>
      <c r="K90" s="30" t="n">
        <f aca="false">(F90/F$6)*100</f>
        <v>0.0381837366429791</v>
      </c>
      <c r="L90" s="30" t="n">
        <f aca="false">(G90/G$6)*100</f>
        <v>0.00938816567693849</v>
      </c>
      <c r="M90" s="31" t="n">
        <f aca="false">AVERAGE(H90:L90)</f>
        <v>0.0855511403838849</v>
      </c>
      <c r="N90" s="31" t="n">
        <f aca="false">((G90/C90)^(1/4)-1)*100</f>
        <v>-38.6460624726535</v>
      </c>
      <c r="O90" s="31" t="n">
        <f aca="false">(G90/F90-1)*100</f>
        <v>-70.3619909502262</v>
      </c>
      <c r="P90" s="31" t="n">
        <f aca="false">(M90-$M$3)/$M$4</f>
        <v>-0.173962223582398</v>
      </c>
      <c r="Q90" s="32" t="n">
        <f aca="false">(N90-$N$3)/$N$4</f>
        <v>-0.595211237312324</v>
      </c>
      <c r="R90" s="32" t="str">
        <f aca="false">IF(AND(P90&gt;0,Q90&gt;0), "ESTRELLA",
IF(AND(P90&gt;0,Q90&lt;0), "Consolidado",
IF(AND(P90&lt;0,Q90&lt;0), "estancado", "prometedor")))</f>
        <v>estancado</v>
      </c>
    </row>
    <row r="91" customFormat="false" ht="15" hidden="false" customHeight="true" outlineLevel="0" collapsed="false">
      <c r="B91" s="28" t="s">
        <v>86</v>
      </c>
      <c r="C91" s="35" t="n">
        <v>60</v>
      </c>
      <c r="D91" s="35" t="n">
        <v>53</v>
      </c>
      <c r="E91" s="35" t="n">
        <v>45</v>
      </c>
      <c r="F91" s="35" t="n">
        <v>132</v>
      </c>
      <c r="G91" s="35" t="n">
        <v>38</v>
      </c>
      <c r="H91" s="30" t="n">
        <f aca="false">(C91/C$6)*100</f>
        <v>0.0183656977740774</v>
      </c>
      <c r="I91" s="30" t="n">
        <f aca="false">(D91/D$6)*100</f>
        <v>0.0148512631980094</v>
      </c>
      <c r="J91" s="30" t="n">
        <f aca="false">(E91/E$6)*100</f>
        <v>0.0112533478709916</v>
      </c>
      <c r="K91" s="30" t="n">
        <f aca="false">(F91/F$6)*100</f>
        <v>0.0384752155486507</v>
      </c>
      <c r="L91" s="30" t="n">
        <f aca="false">(G91/G$6)*100</f>
        <v>0.00918848730900641</v>
      </c>
      <c r="M91" s="31" t="n">
        <f aca="false">AVERAGE(H91:L91)</f>
        <v>0.0184268023401471</v>
      </c>
      <c r="N91" s="31" t="n">
        <f aca="false">((G91/C91)^(1/4)-1)*100</f>
        <v>-10.7911200746124</v>
      </c>
      <c r="O91" s="31" t="n">
        <f aca="false">(G91/F91-1)*100</f>
        <v>-71.2121212121212</v>
      </c>
      <c r="P91" s="31" t="n">
        <f aca="false">(M91-$M$3)/$M$4</f>
        <v>-0.195208715953401</v>
      </c>
      <c r="Q91" s="32" t="n">
        <f aca="false">(N91-$N$3)/$N$4</f>
        <v>-0.338574940463649</v>
      </c>
      <c r="R91" s="32" t="str">
        <f aca="false">IF(AND(P91&gt;0,Q91&gt;0), "ESTRELLA",
IF(AND(P91&gt;0,Q91&lt;0), "Consolidado",
IF(AND(P91&lt;0,Q91&lt;0), "estancado", "prometedor")))</f>
        <v>estancado</v>
      </c>
    </row>
    <row r="92" customFormat="false" ht="15" hidden="false" customHeight="true" outlineLevel="0" collapsed="false">
      <c r="B92" s="28" t="s">
        <v>201</v>
      </c>
      <c r="C92" s="35" t="n">
        <v>14</v>
      </c>
      <c r="D92" s="35" t="n">
        <v>53</v>
      </c>
      <c r="E92" s="35" t="n">
        <v>20</v>
      </c>
      <c r="F92" s="35" t="n">
        <v>27</v>
      </c>
      <c r="G92" s="35" t="n">
        <f aca="false">F92+(F92/E92-1)*F92</f>
        <v>36.45</v>
      </c>
      <c r="H92" s="30" t="n">
        <f aca="false">(C92/C$6)*100</f>
        <v>0.00428532948061807</v>
      </c>
      <c r="I92" s="30" t="n">
        <f aca="false">(D92/D$6)*100</f>
        <v>0.0148512631980094</v>
      </c>
      <c r="J92" s="30" t="n">
        <f aca="false">(E92/E$6)*100</f>
        <v>0.00500148794266294</v>
      </c>
      <c r="K92" s="30" t="n">
        <f aca="false">(F92/F$6)*100</f>
        <v>0.00786993045313311</v>
      </c>
      <c r="L92" s="30" t="n">
        <f aca="false">(G92/G$6)*100</f>
        <v>0.00881369374771799</v>
      </c>
      <c r="M92" s="31" t="n">
        <f aca="false">AVERAGE(H92:L92)</f>
        <v>0.0081643409644283</v>
      </c>
      <c r="N92" s="31" t="n">
        <f aca="false">((G92/C92)^(1/4)-1)*100</f>
        <v>27.025927377108</v>
      </c>
      <c r="O92" s="31" t="n">
        <f aca="false">(G92/F92-1)*100</f>
        <v>35</v>
      </c>
      <c r="P92" s="31" t="n">
        <f aca="false">(M92-$M$3)/$M$4</f>
        <v>-0.198457035619285</v>
      </c>
      <c r="Q92" s="32" t="n">
        <f aca="false">(N92-$N$3)/$N$4</f>
        <v>0.00984534621562399</v>
      </c>
      <c r="R92" s="32" t="str">
        <f aca="false">IF(AND(P92&gt;0,Q92&gt;0), "ESTRELLA",
IF(AND(P92&gt;0,Q92&lt;0), "Consolidado",
IF(AND(P92&lt;0,Q92&lt;0), "estancado", "prometedor")))</f>
        <v>prometedor</v>
      </c>
    </row>
    <row r="93" customFormat="false" ht="15" hidden="false" customHeight="true" outlineLevel="0" collapsed="false">
      <c r="B93" s="28" t="s">
        <v>87</v>
      </c>
      <c r="C93" s="35" t="n">
        <v>26</v>
      </c>
      <c r="D93" s="35" t="n">
        <v>6</v>
      </c>
      <c r="E93" s="35" t="n">
        <v>4</v>
      </c>
      <c r="F93" s="35" t="n">
        <v>11</v>
      </c>
      <c r="G93" s="35" t="n">
        <v>34</v>
      </c>
      <c r="H93" s="30" t="n">
        <f aca="false">(C93/C$6)*100</f>
        <v>0.00795846903543355</v>
      </c>
      <c r="I93" s="30" t="n">
        <f aca="false">(D93/D$6)*100</f>
        <v>0.00168127507901993</v>
      </c>
      <c r="J93" s="30" t="n">
        <f aca="false">(E93/E$6)*100</f>
        <v>0.00100029758853259</v>
      </c>
      <c r="K93" s="30" t="n">
        <f aca="false">(F93/F$6)*100</f>
        <v>0.00320626796238756</v>
      </c>
      <c r="L93" s="30" t="n">
        <f aca="false">(G93/G$6)*100</f>
        <v>0.00822127811858468</v>
      </c>
      <c r="M93" s="31" t="n">
        <f aca="false">AVERAGE(H93:L93)</f>
        <v>0.00441351755679166</v>
      </c>
      <c r="N93" s="31" t="n">
        <f aca="false">((G93/C93)^(1/4)-1)*100</f>
        <v>6.93660504213378</v>
      </c>
      <c r="O93" s="31" t="n">
        <f aca="false">(G93/F93-1)*100</f>
        <v>209.090909090909</v>
      </c>
      <c r="P93" s="31" t="n">
        <f aca="false">(M93-$M$3)/$M$4</f>
        <v>-0.199644262834299</v>
      </c>
      <c r="Q93" s="32" t="n">
        <f aca="false">(N93-$N$3)/$N$4</f>
        <v>-0.175243864042794</v>
      </c>
      <c r="R93" s="32" t="str">
        <f aca="false">IF(AND(P93&gt;0,Q93&gt;0), "ESTRELLA",
IF(AND(P93&gt;0,Q93&lt;0), "Consolidado",
IF(AND(P93&lt;0,Q93&lt;0), "estancado", "prometedor")))</f>
        <v>estancado</v>
      </c>
    </row>
    <row r="94" customFormat="false" ht="15" hidden="false" customHeight="true" outlineLevel="0" collapsed="false">
      <c r="B94" s="44" t="s">
        <v>88</v>
      </c>
      <c r="C94" s="35" t="n">
        <v>1</v>
      </c>
      <c r="D94" s="35" t="n">
        <v>25</v>
      </c>
      <c r="E94" s="35" t="n">
        <v>4</v>
      </c>
      <c r="F94" s="35" t="n">
        <v>12</v>
      </c>
      <c r="G94" s="35" t="n">
        <v>33</v>
      </c>
      <c r="H94" s="30" t="n">
        <f aca="false">(C94/C$6)*100</f>
        <v>0.000306094962901291</v>
      </c>
      <c r="I94" s="30" t="n">
        <f aca="false">(D94/D$6)*100</f>
        <v>0.0070053128292497</v>
      </c>
      <c r="J94" s="30" t="n">
        <f aca="false">(E94/E$6)*100</f>
        <v>0.00100029758853259</v>
      </c>
      <c r="K94" s="30" t="n">
        <f aca="false">(F94/F$6)*100</f>
        <v>0.00349774686805916</v>
      </c>
      <c r="L94" s="30" t="n">
        <f aca="false">(G94/G$6)*100</f>
        <v>0.00797947582097925</v>
      </c>
      <c r="M94" s="31" t="n">
        <f aca="false">AVERAGE(H94:L94)</f>
        <v>0.0039577856139444</v>
      </c>
      <c r="N94" s="31" t="n">
        <f aca="false">((G94/C94)^(1/4)-1)*100</f>
        <v>139.678172692843</v>
      </c>
      <c r="O94" s="31" t="n">
        <f aca="false">(G94/F94-1)*100</f>
        <v>175</v>
      </c>
      <c r="P94" s="31" t="n">
        <f aca="false">(M94-$M$3)/$M$4</f>
        <v>-0.199788513124568</v>
      </c>
      <c r="Q94" s="32" t="n">
        <f aca="false">(N94-$N$3)/$N$4</f>
        <v>1.04774571794828</v>
      </c>
      <c r="R94" s="32" t="str">
        <f aca="false">IF(AND(P94&gt;0,Q94&gt;0), "ESTRELLA",
IF(AND(P94&gt;0,Q94&lt;0), "Consolidado",
IF(AND(P94&lt;0,Q94&lt;0), "estancado", "prometedor")))</f>
        <v>prometedor</v>
      </c>
    </row>
    <row r="95" customFormat="false" ht="15" hidden="false" customHeight="true" outlineLevel="0" collapsed="false">
      <c r="B95" s="28" t="s">
        <v>89</v>
      </c>
      <c r="C95" s="35" t="n">
        <v>20</v>
      </c>
      <c r="D95" s="35" t="n">
        <v>25</v>
      </c>
      <c r="E95" s="35" t="n">
        <v>11</v>
      </c>
      <c r="F95" s="35" t="n">
        <v>12</v>
      </c>
      <c r="G95" s="35" t="n">
        <v>32</v>
      </c>
      <c r="H95" s="30" t="n">
        <f aca="false">(C95/C$6)*100</f>
        <v>0.00612189925802581</v>
      </c>
      <c r="I95" s="30" t="n">
        <f aca="false">(D95/D$6)*100</f>
        <v>0.0070053128292497</v>
      </c>
      <c r="J95" s="30" t="n">
        <f aca="false">(E95/E$6)*100</f>
        <v>0.00275081836846462</v>
      </c>
      <c r="K95" s="30" t="n">
        <f aca="false">(F95/F$6)*100</f>
        <v>0.00349774686805916</v>
      </c>
      <c r="L95" s="30" t="n">
        <f aca="false">(G95/G$6)*100</f>
        <v>0.00773767352337382</v>
      </c>
      <c r="M95" s="31" t="n">
        <f aca="false">AVERAGE(H95:L95)</f>
        <v>0.00542269016943462</v>
      </c>
      <c r="N95" s="31" t="n">
        <f aca="false">((G95/C95)^(1/4)-1)*100</f>
        <v>12.4682650380698</v>
      </c>
      <c r="O95" s="31" t="n">
        <f aca="false">(G95/F95-1)*100</f>
        <v>166.666666666667</v>
      </c>
      <c r="P95" s="31" t="n">
        <f aca="false">(M95-$M$3)/$M$4</f>
        <v>-0.199324835055338</v>
      </c>
      <c r="Q95" s="32" t="n">
        <f aca="false">(N95-$N$3)/$N$4</f>
        <v>-0.124278950294388</v>
      </c>
      <c r="R95" s="32" t="str">
        <f aca="false">IF(AND(P95&gt;0,Q95&gt;0), "ESTRELLA",
IF(AND(P95&gt;0,Q95&lt;0), "Consolidado",
IF(AND(P95&lt;0,Q95&lt;0), "estancado", "prometedor")))</f>
        <v>estancado</v>
      </c>
    </row>
    <row r="96" customFormat="false" ht="15" hidden="false" customHeight="true" outlineLevel="0" collapsed="false">
      <c r="B96" s="28" t="s">
        <v>91</v>
      </c>
      <c r="C96" s="35" t="n">
        <v>10</v>
      </c>
      <c r="D96" s="35" t="n">
        <v>77</v>
      </c>
      <c r="E96" s="35" t="n">
        <v>38</v>
      </c>
      <c r="F96" s="35" t="n">
        <v>31</v>
      </c>
      <c r="G96" s="35" t="n">
        <v>30</v>
      </c>
      <c r="H96" s="30" t="n">
        <f aca="false">(C96/C$6)*100</f>
        <v>0.0030609496290129</v>
      </c>
      <c r="I96" s="30" t="n">
        <f aca="false">(D96/D$6)*100</f>
        <v>0.0215763635140891</v>
      </c>
      <c r="J96" s="30" t="n">
        <f aca="false">(E96/E$6)*100</f>
        <v>0.00950282709105959</v>
      </c>
      <c r="K96" s="30" t="n">
        <f aca="false">(F96/F$6)*100</f>
        <v>0.00903584607581949</v>
      </c>
      <c r="L96" s="30" t="n">
        <f aca="false">(G96/G$6)*100</f>
        <v>0.00725406892816296</v>
      </c>
      <c r="M96" s="31" t="n">
        <f aca="false">AVERAGE(H96:L96)</f>
        <v>0.0100860110476288</v>
      </c>
      <c r="N96" s="31" t="n">
        <f aca="false">((G96/C96)^(1/4)-1)*100</f>
        <v>31.6074012952492</v>
      </c>
      <c r="O96" s="31" t="n">
        <f aca="false">(G96/F96-1)*100</f>
        <v>-3.2258064516129</v>
      </c>
      <c r="P96" s="31" t="n">
        <f aca="false">(M96-$M$3)/$M$4</f>
        <v>-0.197848780104933</v>
      </c>
      <c r="Q96" s="32" t="n">
        <f aca="false">(N96-$N$3)/$N$4</f>
        <v>0.0520558984278315</v>
      </c>
      <c r="R96" s="32" t="str">
        <f aca="false">IF(AND(P96&gt;0,Q96&gt;0), "ESTRELLA",
IF(AND(P96&gt;0,Q96&lt;0), "Consolidado",
IF(AND(P96&lt;0,Q96&lt;0), "estancado", "prometedor")))</f>
        <v>prometedor</v>
      </c>
    </row>
    <row r="97" customFormat="false" ht="15" hidden="false" customHeight="true" outlineLevel="0" collapsed="false">
      <c r="B97" s="28" t="s">
        <v>92</v>
      </c>
      <c r="C97" s="35" t="n">
        <v>414</v>
      </c>
      <c r="D97" s="35" t="n">
        <v>314</v>
      </c>
      <c r="E97" s="35" t="n">
        <v>257</v>
      </c>
      <c r="F97" s="35" t="n">
        <v>647</v>
      </c>
      <c r="G97" s="35" t="n">
        <v>29</v>
      </c>
      <c r="H97" s="30" t="n">
        <f aca="false">(C97/C$6)*100</f>
        <v>0.126723314641134</v>
      </c>
      <c r="I97" s="30" t="n">
        <f aca="false">(D97/D$6)*100</f>
        <v>0.0879867291353763</v>
      </c>
      <c r="J97" s="30" t="n">
        <f aca="false">(E97/E$6)*100</f>
        <v>0.0642691200632188</v>
      </c>
      <c r="K97" s="30" t="n">
        <f aca="false">(F97/F$6)*100</f>
        <v>0.188586851969523</v>
      </c>
      <c r="L97" s="30" t="n">
        <f aca="false">(G97/G$6)*100</f>
        <v>0.00701226663055752</v>
      </c>
      <c r="M97" s="31" t="n">
        <f aca="false">AVERAGE(H97:L97)</f>
        <v>0.094915656487962</v>
      </c>
      <c r="N97" s="31" t="n">
        <f aca="false">((G97/C97)^(1/4)-1)*100</f>
        <v>-48.554260513935</v>
      </c>
      <c r="O97" s="31" t="n">
        <f aca="false">(G97/F97-1)*100</f>
        <v>-95.5177743431221</v>
      </c>
      <c r="P97" s="31" t="n">
        <f aca="false">(M97-$M$3)/$M$4</f>
        <v>-0.170998125525539</v>
      </c>
      <c r="Q97" s="32" t="n">
        <f aca="false">(N97-$N$3)/$N$4</f>
        <v>-0.686498564976538</v>
      </c>
      <c r="R97" s="32" t="str">
        <f aca="false">IF(AND(P97&gt;0,Q97&gt;0), "ESTRELLA",
IF(AND(P97&gt;0,Q97&lt;0), "Consolidado",
IF(AND(P97&lt;0,Q97&lt;0), "estancado", "prometedor")))</f>
        <v>estancado</v>
      </c>
    </row>
    <row r="98" customFormat="false" ht="15" hidden="false" customHeight="true" outlineLevel="0" collapsed="false">
      <c r="B98" s="28" t="s">
        <v>93</v>
      </c>
      <c r="C98" s="35" t="n">
        <v>6</v>
      </c>
      <c r="D98" s="35" t="n">
        <v>3</v>
      </c>
      <c r="E98" s="35" t="n">
        <v>30</v>
      </c>
      <c r="F98" s="35" t="n">
        <v>5</v>
      </c>
      <c r="G98" s="35" t="n">
        <v>27</v>
      </c>
      <c r="H98" s="30" t="n">
        <f aca="false">(C98/C$6)*100</f>
        <v>0.00183656977740774</v>
      </c>
      <c r="I98" s="30" t="n">
        <f aca="false">(D98/D$6)*100</f>
        <v>0.000840637539509964</v>
      </c>
      <c r="J98" s="30" t="n">
        <f aca="false">(E98/E$6)*100</f>
        <v>0.00750223191399441</v>
      </c>
      <c r="K98" s="30" t="n">
        <f aca="false">(F98/F$6)*100</f>
        <v>0.00145739452835798</v>
      </c>
      <c r="L98" s="30" t="n">
        <f aca="false">(G98/G$6)*100</f>
        <v>0.00652866203534666</v>
      </c>
      <c r="M98" s="31" t="n">
        <f aca="false">AVERAGE(H98:L98)</f>
        <v>0.00363309915892335</v>
      </c>
      <c r="N98" s="31" t="n">
        <f aca="false">((G98/C98)^(1/4)-1)*100</f>
        <v>45.647531512197</v>
      </c>
      <c r="O98" s="31" t="n">
        <f aca="false">(G98/F98-1)*100</f>
        <v>440</v>
      </c>
      <c r="P98" s="31" t="n">
        <f aca="false">(M98-$M$3)/$M$4</f>
        <v>-0.199891284317411</v>
      </c>
      <c r="Q98" s="32" t="n">
        <f aca="false">(N98-$N$3)/$N$4</f>
        <v>0.18141200962209</v>
      </c>
      <c r="R98" s="32" t="str">
        <f aca="false">IF(AND(P98&gt;0,Q98&gt;0), "ESTRELLA",
IF(AND(P98&gt;0,Q98&lt;0), "Consolidado",
IF(AND(P98&lt;0,Q98&lt;0), "estancado", "prometedor")))</f>
        <v>prometedor</v>
      </c>
    </row>
    <row r="99" customFormat="false" ht="15" hidden="false" customHeight="true" outlineLevel="0" collapsed="false">
      <c r="B99" s="28" t="s">
        <v>95</v>
      </c>
      <c r="C99" s="35" t="n">
        <v>49</v>
      </c>
      <c r="D99" s="35" t="n">
        <v>21</v>
      </c>
      <c r="E99" s="35" t="n">
        <v>29</v>
      </c>
      <c r="F99" s="35" t="n">
        <v>42</v>
      </c>
      <c r="G99" s="35" t="n">
        <v>26</v>
      </c>
      <c r="H99" s="30" t="n">
        <f aca="false">(C99/C$6)*100</f>
        <v>0.0149986531821632</v>
      </c>
      <c r="I99" s="30" t="n">
        <f aca="false">(D99/D$6)*100</f>
        <v>0.00588446277656975</v>
      </c>
      <c r="J99" s="30" t="n">
        <f aca="false">(E99/E$6)*100</f>
        <v>0.00725215751686127</v>
      </c>
      <c r="K99" s="30" t="n">
        <f aca="false">(F99/F$6)*100</f>
        <v>0.0122421140382071</v>
      </c>
      <c r="L99" s="30" t="n">
        <f aca="false">(G99/G$6)*100</f>
        <v>0.00628685973774123</v>
      </c>
      <c r="M99" s="31" t="n">
        <f aca="false">AVERAGE(H99:L99)</f>
        <v>0.00933284945030851</v>
      </c>
      <c r="N99" s="31" t="n">
        <f aca="false">((G99/C99)^(1/4)-1)*100</f>
        <v>-14.6518096803053</v>
      </c>
      <c r="O99" s="31" t="n">
        <f aca="false">(G99/F99-1)*100</f>
        <v>-38.0952380952381</v>
      </c>
      <c r="P99" s="31" t="n">
        <f aca="false">(M99-$M$3)/$M$4</f>
        <v>-0.198087174144978</v>
      </c>
      <c r="Q99" s="32" t="n">
        <f aca="false">(N99-$N$3)/$N$4</f>
        <v>-0.374144681356629</v>
      </c>
      <c r="R99" s="32" t="str">
        <f aca="false">IF(AND(P99&gt;0,Q99&gt;0), "ESTRELLA",
IF(AND(P99&gt;0,Q99&lt;0), "Consolidado",
IF(AND(P99&lt;0,Q99&lt;0), "estancado", "prometedor")))</f>
        <v>estancado</v>
      </c>
    </row>
    <row r="100" customFormat="false" ht="15" hidden="false" customHeight="true" outlineLevel="0" collapsed="false">
      <c r="B100" s="28" t="s">
        <v>94</v>
      </c>
      <c r="C100" s="35" t="n">
        <v>10</v>
      </c>
      <c r="D100" s="35" t="n">
        <v>41</v>
      </c>
      <c r="E100" s="35" t="n">
        <v>20</v>
      </c>
      <c r="F100" s="35" t="n">
        <v>71</v>
      </c>
      <c r="G100" s="35" t="n">
        <v>26</v>
      </c>
      <c r="H100" s="30" t="n">
        <f aca="false">(C100/C$6)*100</f>
        <v>0.0030609496290129</v>
      </c>
      <c r="I100" s="30" t="n">
        <f aca="false">(D100/D$6)*100</f>
        <v>0.0114887130399695</v>
      </c>
      <c r="J100" s="30" t="n">
        <f aca="false">(E100/E$6)*100</f>
        <v>0.00500148794266294</v>
      </c>
      <c r="K100" s="30" t="n">
        <f aca="false">(F100/F$6)*100</f>
        <v>0.0206950023026834</v>
      </c>
      <c r="L100" s="30" t="n">
        <f aca="false">(G100/G$6)*100</f>
        <v>0.00628685973774123</v>
      </c>
      <c r="M100" s="31" t="n">
        <f aca="false">AVERAGE(H100:L100)</f>
        <v>0.00930660253041399</v>
      </c>
      <c r="N100" s="31" t="n">
        <f aca="false">((G100/C100)^(1/4)-1)*100</f>
        <v>26.9823432473866</v>
      </c>
      <c r="O100" s="31" t="n">
        <f aca="false">(G100/F100-1)*100</f>
        <v>-63.3802816901409</v>
      </c>
      <c r="P100" s="31" t="n">
        <f aca="false">(M100-$M$3)/$M$4</f>
        <v>-0.198095481936154</v>
      </c>
      <c r="Q100" s="32" t="n">
        <f aca="false">(N100-$N$3)/$N$4</f>
        <v>0.00944379199615235</v>
      </c>
      <c r="R100" s="32" t="str">
        <f aca="false">IF(AND(P100&gt;0,Q100&gt;0), "ESTRELLA",
IF(AND(P100&gt;0,Q100&lt;0), "Consolidado",
IF(AND(P100&lt;0,Q100&lt;0), "estancado", "prometedor")))</f>
        <v>prometedor</v>
      </c>
    </row>
    <row r="101" customFormat="false" ht="15" hidden="false" customHeight="true" outlineLevel="0" collapsed="false">
      <c r="B101" s="28" t="s">
        <v>96</v>
      </c>
      <c r="C101" s="35" t="n">
        <v>11</v>
      </c>
      <c r="D101" s="35" t="n">
        <v>23</v>
      </c>
      <c r="E101" s="35" t="n">
        <v>21</v>
      </c>
      <c r="F101" s="35" t="n">
        <v>26</v>
      </c>
      <c r="G101" s="35" t="n">
        <v>25</v>
      </c>
      <c r="H101" s="30" t="n">
        <f aca="false">(C101/C$6)*100</f>
        <v>0.0033670445919142</v>
      </c>
      <c r="I101" s="30" t="n">
        <f aca="false">(D101/D$6)*100</f>
        <v>0.00644488780290973</v>
      </c>
      <c r="J101" s="30" t="n">
        <f aca="false">(E101/E$6)*100</f>
        <v>0.00525156233979609</v>
      </c>
      <c r="K101" s="30" t="n">
        <f aca="false">(F101/F$6)*100</f>
        <v>0.00757845154746151</v>
      </c>
      <c r="L101" s="30" t="n">
        <f aca="false">(G101/G$6)*100</f>
        <v>0.0060450574401358</v>
      </c>
      <c r="M101" s="31" t="n">
        <f aca="false">AVERAGE(H101:L101)</f>
        <v>0.00573740074444346</v>
      </c>
      <c r="N101" s="31" t="n">
        <f aca="false">((G101/C101)^(1/4)-1)*100</f>
        <v>22.7826014909612</v>
      </c>
      <c r="O101" s="31" t="n">
        <f aca="false">(G101/F101-1)*100</f>
        <v>-3.84615384615384</v>
      </c>
      <c r="P101" s="31" t="n">
        <f aca="false">(M101-$M$3)/$M$4</f>
        <v>-0.19922522147216</v>
      </c>
      <c r="Q101" s="32" t="n">
        <f aca="false">(N101-$N$3)/$N$4</f>
        <v>-0.0292497424110687</v>
      </c>
      <c r="R101" s="32" t="str">
        <f aca="false">IF(AND(P101&gt;0,Q101&gt;0), "ESTRELLA",
IF(AND(P101&gt;0,Q101&lt;0), "Consolidado",
IF(AND(P101&lt;0,Q101&lt;0), "estancado", "prometedor")))</f>
        <v>estancado</v>
      </c>
    </row>
    <row r="102" customFormat="false" ht="15" hidden="false" customHeight="true" outlineLevel="0" collapsed="false">
      <c r="B102" s="28" t="s">
        <v>97</v>
      </c>
      <c r="C102" s="35" t="n">
        <f aca="false">D102+(D102/E102-1)*D102</f>
        <v>4.18840579710145</v>
      </c>
      <c r="D102" s="35" t="n">
        <v>17</v>
      </c>
      <c r="E102" s="35" t="n">
        <v>69</v>
      </c>
      <c r="F102" s="35" t="n">
        <v>39</v>
      </c>
      <c r="G102" s="35" t="n">
        <v>23</v>
      </c>
      <c r="H102" s="30" t="n">
        <f aca="false">(C102/C$6)*100</f>
        <v>0.00128204991707932</v>
      </c>
      <c r="I102" s="30" t="n">
        <f aca="false">(D102/D$6)*100</f>
        <v>0.0047636127238898</v>
      </c>
      <c r="J102" s="30" t="n">
        <f aca="false">(E102/E$6)*100</f>
        <v>0.0172551334021872</v>
      </c>
      <c r="K102" s="30" t="n">
        <f aca="false">(F102/F$6)*100</f>
        <v>0.0113676773211923</v>
      </c>
      <c r="L102" s="30" t="n">
        <f aca="false">(G102/G$6)*100</f>
        <v>0.00556145284492493</v>
      </c>
      <c r="M102" s="31" t="n">
        <f aca="false">AVERAGE(H102:L102)</f>
        <v>0.00804598524185469</v>
      </c>
      <c r="N102" s="31" t="n">
        <f aca="false">((G102/C102)^(1/4)-1)*100</f>
        <v>53.0804643741019</v>
      </c>
      <c r="O102" s="31" t="n">
        <f aca="false">(G102/F102-1)*100</f>
        <v>-41.025641025641</v>
      </c>
      <c r="P102" s="31" t="n">
        <f aca="false">(M102-$M$3)/$M$4</f>
        <v>-0.198494498096086</v>
      </c>
      <c r="Q102" s="32" t="n">
        <f aca="false">(N102-$N$3)/$N$4</f>
        <v>0.249893944969342</v>
      </c>
      <c r="R102" s="32" t="str">
        <f aca="false">IF(AND(P102&gt;0,Q102&gt;0), "ESTRELLA",
IF(AND(P102&gt;0,Q102&lt;0), "Consolidado",
IF(AND(P102&lt;0,Q102&lt;0), "estancado", "prometedor")))</f>
        <v>prometedor</v>
      </c>
    </row>
    <row r="103" customFormat="false" ht="15" hidden="false" customHeight="true" outlineLevel="0" collapsed="false">
      <c r="B103" s="28" t="s">
        <v>99</v>
      </c>
      <c r="C103" s="35" t="n">
        <v>81</v>
      </c>
      <c r="D103" s="35" t="n">
        <v>44</v>
      </c>
      <c r="E103" s="35" t="n">
        <v>11</v>
      </c>
      <c r="F103" s="35" t="n">
        <v>3</v>
      </c>
      <c r="G103" s="35" t="n">
        <v>22</v>
      </c>
      <c r="H103" s="30" t="n">
        <f aca="false">(C103/C$6)*100</f>
        <v>0.0247936919950045</v>
      </c>
      <c r="I103" s="30" t="n">
        <f aca="false">(D103/D$6)*100</f>
        <v>0.0123293505794795</v>
      </c>
      <c r="J103" s="30" t="n">
        <f aca="false">(E103/E$6)*100</f>
        <v>0.00275081836846462</v>
      </c>
      <c r="K103" s="30" t="n">
        <f aca="false">(F103/F$6)*100</f>
        <v>0.00087443671701479</v>
      </c>
      <c r="L103" s="30" t="n">
        <f aca="false">(G103/G$6)*100</f>
        <v>0.0053196505473195</v>
      </c>
      <c r="M103" s="31" t="n">
        <f aca="false">AVERAGE(H103:L103)</f>
        <v>0.00921358964145658</v>
      </c>
      <c r="N103" s="31" t="n">
        <f aca="false">((G103/C103)^(1/4)-1)*100</f>
        <v>-27.8087743110669</v>
      </c>
      <c r="O103" s="31" t="n">
        <f aca="false">(G103/F103-1)*100</f>
        <v>633.333333333333</v>
      </c>
      <c r="P103" s="31" t="n">
        <f aca="false">(M103-$M$3)/$M$4</f>
        <v>-0.198124922787167</v>
      </c>
      <c r="Q103" s="32" t="n">
        <f aca="false">(N103-$N$3)/$N$4</f>
        <v>-0.495363911766709</v>
      </c>
      <c r="R103" s="32" t="str">
        <f aca="false">IF(AND(P103&gt;0,Q103&gt;0), "ESTRELLA",
IF(AND(P103&gt;0,Q103&lt;0), "Consolidado",
IF(AND(P103&lt;0,Q103&lt;0), "estancado", "prometedor")))</f>
        <v>estancado</v>
      </c>
    </row>
    <row r="104" customFormat="false" ht="15" hidden="false" customHeight="true" outlineLevel="0" collapsed="false">
      <c r="B104" s="28" t="s">
        <v>98</v>
      </c>
      <c r="C104" s="35" t="n">
        <v>66</v>
      </c>
      <c r="D104" s="35" t="n">
        <v>45</v>
      </c>
      <c r="E104" s="35" t="n">
        <v>9</v>
      </c>
      <c r="F104" s="35" t="n">
        <v>38</v>
      </c>
      <c r="G104" s="35" t="n">
        <v>22</v>
      </c>
      <c r="H104" s="30" t="n">
        <f aca="false">(C104/C$6)*100</f>
        <v>0.0202022675514852</v>
      </c>
      <c r="I104" s="30" t="n">
        <f aca="false">(D104/D$6)*100</f>
        <v>0.0126095630926495</v>
      </c>
      <c r="J104" s="30" t="n">
        <f aca="false">(E104/E$6)*100</f>
        <v>0.00225066957419832</v>
      </c>
      <c r="K104" s="30" t="n">
        <f aca="false">(F104/F$6)*100</f>
        <v>0.0110761984155207</v>
      </c>
      <c r="L104" s="30" t="n">
        <f aca="false">(G104/G$6)*100</f>
        <v>0.0053196505473195</v>
      </c>
      <c r="M104" s="31" t="n">
        <f aca="false">AVERAGE(H104:L104)</f>
        <v>0.0102916698362346</v>
      </c>
      <c r="N104" s="31" t="n">
        <f aca="false">((G104/C104)^(1/4)-1)*100</f>
        <v>-24.0164314348407</v>
      </c>
      <c r="O104" s="31" t="n">
        <f aca="false">(G104/F104-1)*100</f>
        <v>-42.1052631578947</v>
      </c>
      <c r="P104" s="31" t="n">
        <f aca="false">(M104-$M$3)/$M$4</f>
        <v>-0.197783684075527</v>
      </c>
      <c r="Q104" s="32" t="n">
        <f aca="false">(N104-$N$3)/$N$4</f>
        <v>-0.46042387066996</v>
      </c>
      <c r="R104" s="32" t="str">
        <f aca="false">IF(AND(P104&gt;0,Q104&gt;0), "ESTRELLA",
IF(AND(P104&gt;0,Q104&lt;0), "Consolidado",
IF(AND(P104&lt;0,Q104&lt;0), "estancado", "prometedor")))</f>
        <v>estancado</v>
      </c>
    </row>
    <row r="105" customFormat="false" ht="15" hidden="false" customHeight="true" outlineLevel="0" collapsed="false">
      <c r="B105" s="28" t="s">
        <v>100</v>
      </c>
      <c r="C105" s="35" t="n">
        <v>141</v>
      </c>
      <c r="D105" s="35" t="n">
        <v>35</v>
      </c>
      <c r="E105" s="35" t="n">
        <v>2</v>
      </c>
      <c r="F105" s="35" t="n">
        <v>54</v>
      </c>
      <c r="G105" s="35" t="n">
        <v>21</v>
      </c>
      <c r="H105" s="30" t="n">
        <f aca="false">(C105/C$6)*100</f>
        <v>0.043159389769082</v>
      </c>
      <c r="I105" s="30" t="n">
        <f aca="false">(D105/D$6)*100</f>
        <v>0.00980743796094958</v>
      </c>
      <c r="J105" s="30" t="n">
        <f aca="false">(E105/E$6)*100</f>
        <v>0.000500148794266294</v>
      </c>
      <c r="K105" s="30" t="n">
        <f aca="false">(F105/F$6)*100</f>
        <v>0.0157398609062662</v>
      </c>
      <c r="L105" s="30" t="n">
        <f aca="false">(G105/G$6)*100</f>
        <v>0.00507784824971407</v>
      </c>
      <c r="M105" s="31" t="n">
        <f aca="false">AVERAGE(H105:L105)</f>
        <v>0.0148569371360556</v>
      </c>
      <c r="N105" s="31" t="n">
        <f aca="false">((G105/C105)^(1/4)-1)*100</f>
        <v>-37.8773396823687</v>
      </c>
      <c r="O105" s="31" t="n">
        <f aca="false">(G105/F105-1)*100</f>
        <v>-61.1111111111111</v>
      </c>
      <c r="P105" s="31" t="n">
        <f aca="false">(M105-$M$3)/$M$4</f>
        <v>-0.196338665477444</v>
      </c>
      <c r="Q105" s="32" t="n">
        <f aca="false">(N105-$N$3)/$N$4</f>
        <v>-0.588128753802477</v>
      </c>
      <c r="R105" s="32" t="str">
        <f aca="false">IF(AND(P105&gt;0,Q105&gt;0), "ESTRELLA",
IF(AND(P105&gt;0,Q105&lt;0), "Consolidado",
IF(AND(P105&lt;0,Q105&lt;0), "estancado", "prometedor")))</f>
        <v>estancado</v>
      </c>
    </row>
    <row r="106" customFormat="false" ht="15" hidden="false" customHeight="true" outlineLevel="0" collapsed="false">
      <c r="B106" s="28" t="s">
        <v>179</v>
      </c>
      <c r="C106" s="35" t="n">
        <v>6</v>
      </c>
      <c r="D106" s="35" t="n">
        <v>7</v>
      </c>
      <c r="E106" s="35" t="n">
        <v>22</v>
      </c>
      <c r="F106" s="35" t="n">
        <v>20</v>
      </c>
      <c r="G106" s="35" t="n">
        <f aca="false">F106+(F106/E106-1)*F106</f>
        <v>18.1818181818182</v>
      </c>
      <c r="H106" s="30" t="n">
        <f aca="false">(C106/C$6)*100</f>
        <v>0.00183656977740774</v>
      </c>
      <c r="I106" s="30" t="n">
        <f aca="false">(D106/D$6)*100</f>
        <v>0.00196148759218992</v>
      </c>
      <c r="J106" s="30" t="n">
        <f aca="false">(E106/E$6)*100</f>
        <v>0.00550163673692924</v>
      </c>
      <c r="K106" s="30" t="n">
        <f aca="false">(F106/F$6)*100</f>
        <v>0.00582957811343193</v>
      </c>
      <c r="L106" s="30" t="n">
        <f aca="false">(G106/G$6)*100</f>
        <v>0.00439640541100786</v>
      </c>
      <c r="M106" s="31" t="n">
        <f aca="false">AVERAGE(H106:L106)</f>
        <v>0.00390513552619334</v>
      </c>
      <c r="N106" s="31" t="n">
        <f aca="false">((G106/C106)^(1/4)-1)*100</f>
        <v>31.9384917132593</v>
      </c>
      <c r="O106" s="31" t="n">
        <f aca="false">(G106/F106-1)*100</f>
        <v>-9.0909090909091</v>
      </c>
      <c r="P106" s="31" t="n">
        <f aca="false">(M106-$M$3)/$M$4</f>
        <v>-0.199805178163216</v>
      </c>
      <c r="Q106" s="32" t="n">
        <f aca="false">(N106-$N$3)/$N$4</f>
        <v>0.0551063380082115</v>
      </c>
      <c r="R106" s="32" t="str">
        <f aca="false">IF(AND(P106&gt;0,Q106&gt;0), "ESTRELLA",
IF(AND(P106&gt;0,Q106&lt;0), "Consolidado",
IF(AND(P106&lt;0,Q106&lt;0), "estancado", "prometedor")))</f>
        <v>prometedor</v>
      </c>
    </row>
    <row r="107" customFormat="false" ht="15" hidden="false" customHeight="true" outlineLevel="0" collapsed="false">
      <c r="B107" s="28" t="s">
        <v>102</v>
      </c>
      <c r="C107" s="35" t="n">
        <v>86</v>
      </c>
      <c r="D107" s="35" t="n">
        <v>37</v>
      </c>
      <c r="E107" s="35" t="n">
        <v>43</v>
      </c>
      <c r="F107" s="35" t="n">
        <v>39</v>
      </c>
      <c r="G107" s="35" t="n">
        <v>17</v>
      </c>
      <c r="H107" s="30" t="n">
        <f aca="false">(C107/C$6)*100</f>
        <v>0.026324166809511</v>
      </c>
      <c r="I107" s="30" t="n">
        <f aca="false">(D107/D$6)*100</f>
        <v>0.0103678629872896</v>
      </c>
      <c r="J107" s="30" t="n">
        <f aca="false">(E107/E$6)*100</f>
        <v>0.0107531990767253</v>
      </c>
      <c r="K107" s="30" t="n">
        <f aca="false">(F107/F$6)*100</f>
        <v>0.0113676773211923</v>
      </c>
      <c r="L107" s="30" t="n">
        <f aca="false">(G107/G$6)*100</f>
        <v>0.00411063905929234</v>
      </c>
      <c r="M107" s="31" t="n">
        <f aca="false">AVERAGE(H107:L107)</f>
        <v>0.0125847090508021</v>
      </c>
      <c r="N107" s="31" t="n">
        <f aca="false">((G107/C107)^(1/4)-1)*100</f>
        <v>-33.3212242298158</v>
      </c>
      <c r="O107" s="31" t="n">
        <f aca="false">(G107/F107-1)*100</f>
        <v>-56.4102564102564</v>
      </c>
      <c r="P107" s="31" t="n">
        <f aca="false">(M107-$M$3)/$M$4</f>
        <v>-0.197057881161136</v>
      </c>
      <c r="Q107" s="32" t="n">
        <f aca="false">(N107-$N$3)/$N$4</f>
        <v>-0.546151837065416</v>
      </c>
      <c r="R107" s="32" t="str">
        <f aca="false">IF(AND(P107&gt;0,Q107&gt;0), "ESTRELLA",
IF(AND(P107&gt;0,Q107&lt;0), "Consolidado",
IF(AND(P107&lt;0,Q107&lt;0), "estancado", "prometedor")))</f>
        <v>estancado</v>
      </c>
    </row>
    <row r="108" customFormat="false" ht="15" hidden="false" customHeight="true" outlineLevel="0" collapsed="false">
      <c r="B108" s="28" t="s">
        <v>101</v>
      </c>
      <c r="C108" s="35" t="n">
        <v>4</v>
      </c>
      <c r="D108" s="35" t="n">
        <v>1</v>
      </c>
      <c r="E108" s="35" t="n">
        <f aca="false">D108+(D108/C108-1)*D108</f>
        <v>0.25</v>
      </c>
      <c r="F108" s="35" t="n">
        <v>14</v>
      </c>
      <c r="G108" s="35" t="n">
        <v>17</v>
      </c>
      <c r="H108" s="30" t="n">
        <f aca="false">(C108/C$6)*100</f>
        <v>0.00122437985160516</v>
      </c>
      <c r="I108" s="30" t="n">
        <f aca="false">(D108/D$6)*100</f>
        <v>0.000280212513169988</v>
      </c>
      <c r="J108" s="30" t="n">
        <f aca="false">(E108/E$6)*100</f>
        <v>6.25185992832868E-005</v>
      </c>
      <c r="K108" s="30" t="n">
        <f aca="false">(F108/F$6)*100</f>
        <v>0.00408070467940235</v>
      </c>
      <c r="L108" s="30" t="n">
        <f aca="false">(G108/G$6)*100</f>
        <v>0.00411063905929234</v>
      </c>
      <c r="M108" s="31" t="n">
        <f aca="false">AVERAGE(H108:L108)</f>
        <v>0.00195169094055063</v>
      </c>
      <c r="N108" s="31" t="n">
        <f aca="false">((G108/C108)^(1/4)-1)*100</f>
        <v>43.581085551295</v>
      </c>
      <c r="O108" s="31" t="n">
        <f aca="false">(G108/F108-1)*100</f>
        <v>21.4285714285714</v>
      </c>
      <c r="P108" s="31" t="n">
        <f aca="false">(M108-$M$3)/$M$4</f>
        <v>-0.200423491083621</v>
      </c>
      <c r="Q108" s="32" t="n">
        <f aca="false">(N108-$N$3)/$N$4</f>
        <v>0.162373196636388</v>
      </c>
      <c r="R108" s="32" t="str">
        <f aca="false">IF(AND(P108&gt;0,Q108&gt;0), "ESTRELLA",
IF(AND(P108&gt;0,Q108&lt;0), "Consolidado",
IF(AND(P108&lt;0,Q108&lt;0), "estancado", "prometedor")))</f>
        <v>prometedor</v>
      </c>
    </row>
    <row r="109" customFormat="false" ht="15" hidden="false" customHeight="true" outlineLevel="0" collapsed="false">
      <c r="B109" s="28" t="s">
        <v>103</v>
      </c>
      <c r="C109" s="35" t="n">
        <v>9</v>
      </c>
      <c r="D109" s="35" t="n">
        <v>5</v>
      </c>
      <c r="E109" s="35" t="n">
        <v>14</v>
      </c>
      <c r="F109" s="35" t="n">
        <v>38</v>
      </c>
      <c r="G109" s="35" t="n">
        <v>16</v>
      </c>
      <c r="H109" s="30" t="n">
        <f aca="false">(C109/C$6)*100</f>
        <v>0.00275485466611161</v>
      </c>
      <c r="I109" s="30" t="n">
        <f aca="false">(D109/D$6)*100</f>
        <v>0.00140106256584994</v>
      </c>
      <c r="J109" s="30" t="n">
        <f aca="false">(E109/E$6)*100</f>
        <v>0.00350104155986406</v>
      </c>
      <c r="K109" s="30" t="n">
        <f aca="false">(F109/F$6)*100</f>
        <v>0.0110761984155207</v>
      </c>
      <c r="L109" s="30" t="n">
        <f aca="false">(G109/G$6)*100</f>
        <v>0.00386883676168691</v>
      </c>
      <c r="M109" s="31" t="n">
        <f aca="false">AVERAGE(H109:L109)</f>
        <v>0.00452039879380664</v>
      </c>
      <c r="N109" s="31" t="n">
        <f aca="false">((G109/C109)^(1/4)-1)*100</f>
        <v>15.4700538379251</v>
      </c>
      <c r="O109" s="31" t="n">
        <f aca="false">(G109/F109-1)*100</f>
        <v>-57.8947368421053</v>
      </c>
      <c r="P109" s="31" t="n">
        <f aca="false">(M109-$M$3)/$M$4</f>
        <v>-0.199610432312419</v>
      </c>
      <c r="Q109" s="32" t="n">
        <f aca="false">(N109-$N$3)/$N$4</f>
        <v>-0.0966225311746393</v>
      </c>
      <c r="R109" s="32" t="str">
        <f aca="false">IF(AND(P109&gt;0,Q109&gt;0), "ESTRELLA",
IF(AND(P109&gt;0,Q109&lt;0), "Consolidado",
IF(AND(P109&lt;0,Q109&lt;0), "estancado", "prometedor")))</f>
        <v>estancado</v>
      </c>
    </row>
    <row r="110" customFormat="false" ht="15" hidden="false" customHeight="true" outlineLevel="0" collapsed="false">
      <c r="B110" s="28" t="s">
        <v>105</v>
      </c>
      <c r="C110" s="35" t="n">
        <v>5279</v>
      </c>
      <c r="D110" s="35" t="n">
        <v>4203</v>
      </c>
      <c r="E110" s="35" t="n">
        <v>4706</v>
      </c>
      <c r="F110" s="35" t="n">
        <v>5079</v>
      </c>
      <c r="G110" s="35" t="n">
        <v>14</v>
      </c>
      <c r="H110" s="30" t="n">
        <f aca="false">(C110/C$6)*100</f>
        <v>1.61587530915591</v>
      </c>
      <c r="I110" s="30" t="n">
        <f aca="false">(D110/D$6)*100</f>
        <v>1.17773319285346</v>
      </c>
      <c r="J110" s="30" t="n">
        <f aca="false">(E110/E$6)*100</f>
        <v>1.17685011290859</v>
      </c>
      <c r="K110" s="30" t="n">
        <f aca="false">(F110/F$6)*100</f>
        <v>1.48042136190604</v>
      </c>
      <c r="L110" s="30" t="n">
        <f aca="false">(G110/G$6)*100</f>
        <v>0.00338523216647605</v>
      </c>
      <c r="M110" s="31" t="n">
        <f aca="false">AVERAGE(H110:L110)</f>
        <v>1.0908530417981</v>
      </c>
      <c r="N110" s="31" t="n">
        <f aca="false">((G110/C110)^(1/4)-1)*100</f>
        <v>-77.3068860740798</v>
      </c>
      <c r="O110" s="31" t="n">
        <f aca="false">(G110/F110-1)*100</f>
        <v>-99.7243551880291</v>
      </c>
      <c r="P110" s="31" t="n">
        <f aca="false">(M110-$M$3)/$M$4</f>
        <v>0.144240380740256</v>
      </c>
      <c r="Q110" s="32" t="n">
        <f aca="false">(N110-$N$3)/$N$4</f>
        <v>-0.951405497577161</v>
      </c>
      <c r="R110" s="32" t="str">
        <f aca="false">IF(AND(P110&gt;0,Q110&gt;0), "ESTRELLA",
IF(AND(P110&gt;0,Q110&lt;0), "Consolidado",
IF(AND(P110&lt;0,Q110&lt;0), "estancado", "prometedor")))</f>
        <v>Consolidado</v>
      </c>
    </row>
    <row r="111" customFormat="false" ht="15" hidden="false" customHeight="true" outlineLevel="0" collapsed="false">
      <c r="B111" s="28" t="s">
        <v>104</v>
      </c>
      <c r="C111" s="35" t="n">
        <v>74</v>
      </c>
      <c r="D111" s="35" t="n">
        <v>27</v>
      </c>
      <c r="E111" s="35" t="n">
        <v>42</v>
      </c>
      <c r="F111" s="35" t="n">
        <v>14</v>
      </c>
      <c r="G111" s="35" t="n">
        <v>14</v>
      </c>
      <c r="H111" s="30" t="n">
        <f aca="false">(C111/C$6)*100</f>
        <v>0.0226510272546955</v>
      </c>
      <c r="I111" s="30" t="n">
        <f aca="false">(D111/D$6)*100</f>
        <v>0.00756573785558968</v>
      </c>
      <c r="J111" s="30" t="n">
        <f aca="false">(E111/E$6)*100</f>
        <v>0.0105031246795922</v>
      </c>
      <c r="K111" s="30" t="n">
        <f aca="false">(F111/F$6)*100</f>
        <v>0.00408070467940235</v>
      </c>
      <c r="L111" s="30" t="n">
        <f aca="false">(G111/G$6)*100</f>
        <v>0.00338523216647605</v>
      </c>
      <c r="M111" s="31" t="n">
        <f aca="false">AVERAGE(H111:L111)</f>
        <v>0.00963716532715115</v>
      </c>
      <c r="N111" s="31" t="n">
        <f aca="false">((G111/C111)^(1/4)-1)*100</f>
        <v>-34.0485909020254</v>
      </c>
      <c r="O111" s="31" t="n">
        <f aca="false">(G111/F111-1)*100</f>
        <v>0</v>
      </c>
      <c r="P111" s="31" t="n">
        <f aca="false">(M111-$M$3)/$M$4</f>
        <v>-0.19799085073764</v>
      </c>
      <c r="Q111" s="32" t="n">
        <f aca="false">(N111-$N$3)/$N$4</f>
        <v>-0.552853293723971</v>
      </c>
      <c r="R111" s="32" t="str">
        <f aca="false">IF(AND(P111&gt;0,Q111&gt;0), "ESTRELLA",
IF(AND(P111&gt;0,Q111&lt;0), "Consolidado",
IF(AND(P111&lt;0,Q111&lt;0), "estancado", "prometedor")))</f>
        <v>estancado</v>
      </c>
    </row>
    <row r="112" customFormat="false" ht="15" hidden="false" customHeight="true" outlineLevel="0" collapsed="false">
      <c r="B112" s="28" t="s">
        <v>107</v>
      </c>
      <c r="C112" s="35" t="n">
        <f aca="false">D112+(D112/E112-1)*D112</f>
        <v>120.526887871854</v>
      </c>
      <c r="D112" s="35" t="n">
        <v>459</v>
      </c>
      <c r="E112" s="35" t="n">
        <v>1748</v>
      </c>
      <c r="F112" s="35" t="n">
        <v>112</v>
      </c>
      <c r="G112" s="35" t="n">
        <v>13</v>
      </c>
      <c r="H112" s="30" t="n">
        <f aca="false">(C112/C$6)*100</f>
        <v>0.0368926732717432</v>
      </c>
      <c r="I112" s="30" t="n">
        <f aca="false">(D112/D$6)*100</f>
        <v>0.128617543545025</v>
      </c>
      <c r="J112" s="30" t="n">
        <f aca="false">(E112/E$6)*100</f>
        <v>0.437130046188741</v>
      </c>
      <c r="K112" s="30" t="n">
        <f aca="false">(F112/F$6)*100</f>
        <v>0.0326456374352188</v>
      </c>
      <c r="L112" s="30" t="n">
        <f aca="false">(G112/G$6)*100</f>
        <v>0.00314342986887061</v>
      </c>
      <c r="M112" s="31" t="n">
        <f aca="false">AVERAGE(H112:L112)</f>
        <v>0.12768586606192</v>
      </c>
      <c r="N112" s="31" t="n">
        <f aca="false">((G112/C112)^(1/4)-1)*100</f>
        <v>-42.6920527608182</v>
      </c>
      <c r="O112" s="31" t="n">
        <f aca="false">(G112/F112-1)*100</f>
        <v>-88.3928571428571</v>
      </c>
      <c r="P112" s="31" t="n">
        <f aca="false">(M112-$M$3)/$M$4</f>
        <v>-0.160625553847356</v>
      </c>
      <c r="Q112" s="32" t="n">
        <f aca="false">(N112-$N$3)/$N$4</f>
        <v>-0.632488211351707</v>
      </c>
      <c r="R112" s="32" t="str">
        <f aca="false">IF(AND(P112&gt;0,Q112&gt;0), "ESTRELLA",
IF(AND(P112&gt;0,Q112&lt;0), "Consolidado",
IF(AND(P112&lt;0,Q112&lt;0), "estancado", "prometedor")))</f>
        <v>estancado</v>
      </c>
    </row>
    <row r="113" customFormat="false" ht="15" hidden="false" customHeight="true" outlineLevel="0" collapsed="false">
      <c r="B113" s="28" t="s">
        <v>106</v>
      </c>
      <c r="C113" s="35" t="n">
        <f aca="false">D113+(D113/E113-1)*D113</f>
        <v>8</v>
      </c>
      <c r="D113" s="35" t="n">
        <v>4</v>
      </c>
      <c r="E113" s="35" t="n">
        <v>2</v>
      </c>
      <c r="F113" s="35" t="n">
        <v>42</v>
      </c>
      <c r="G113" s="35" t="n">
        <v>13</v>
      </c>
      <c r="H113" s="30" t="n">
        <f aca="false">(C113/C$6)*100</f>
        <v>0.00244875970321032</v>
      </c>
      <c r="I113" s="30" t="n">
        <f aca="false">(D113/D$6)*100</f>
        <v>0.00112085005267995</v>
      </c>
      <c r="J113" s="30" t="n">
        <f aca="false">(E113/E$6)*100</f>
        <v>0.000500148794266294</v>
      </c>
      <c r="K113" s="30" t="n">
        <f aca="false">(F113/F$6)*100</f>
        <v>0.0122421140382071</v>
      </c>
      <c r="L113" s="30" t="n">
        <f aca="false">(G113/G$6)*100</f>
        <v>0.00314342986887061</v>
      </c>
      <c r="M113" s="31" t="n">
        <f aca="false">AVERAGE(H113:L113)</f>
        <v>0.00389106049144685</v>
      </c>
      <c r="N113" s="31" t="n">
        <f aca="false">((G113/C113)^(1/4)-1)*100</f>
        <v>12.9050432176613</v>
      </c>
      <c r="O113" s="31" t="n">
        <f aca="false">(G113/F113-1)*100</f>
        <v>-69.0476190476191</v>
      </c>
      <c r="P113" s="31" t="n">
        <f aca="false">(M113-$M$3)/$M$4</f>
        <v>-0.199809633255469</v>
      </c>
      <c r="Q113" s="32" t="n">
        <f aca="false">(N113-$N$3)/$N$4</f>
        <v>-0.120254776309288</v>
      </c>
      <c r="R113" s="32" t="str">
        <f aca="false">IF(AND(P113&gt;0,Q113&gt;0), "ESTRELLA",
IF(AND(P113&gt;0,Q113&lt;0), "Consolidado",
IF(AND(P113&lt;0,Q113&lt;0), "estancado", "prometedor")))</f>
        <v>estancado</v>
      </c>
    </row>
    <row r="114" customFormat="false" ht="15" hidden="false" customHeight="true" outlineLevel="0" collapsed="false">
      <c r="B114" s="28" t="s">
        <v>108</v>
      </c>
      <c r="C114" s="35" t="n">
        <v>239</v>
      </c>
      <c r="D114" s="35" t="n">
        <f aca="false">E114+(E114/C114-1)*E114</f>
        <v>17.6778242677824</v>
      </c>
      <c r="E114" s="35" t="n">
        <v>65</v>
      </c>
      <c r="F114" s="35" t="n">
        <v>33</v>
      </c>
      <c r="G114" s="35" t="n">
        <v>12</v>
      </c>
      <c r="H114" s="30" t="n">
        <f aca="false">(C114/C$6)*100</f>
        <v>0.0731566961334084</v>
      </c>
      <c r="I114" s="30" t="n">
        <f aca="false">(D114/D$6)*100</f>
        <v>0.00495354756545271</v>
      </c>
      <c r="J114" s="30" t="n">
        <f aca="false">(E114/E$6)*100</f>
        <v>0.0162548358136546</v>
      </c>
      <c r="K114" s="30" t="n">
        <f aca="false">(F114/F$6)*100</f>
        <v>0.00961880388716269</v>
      </c>
      <c r="L114" s="30" t="n">
        <f aca="false">(G114/G$6)*100</f>
        <v>0.00290162757126518</v>
      </c>
      <c r="M114" s="31" t="n">
        <f aca="false">AVERAGE(H114:L114)</f>
        <v>0.0213771021941887</v>
      </c>
      <c r="N114" s="31" t="n">
        <f aca="false">((G114/C114)^(1/4)-1)*100</f>
        <v>-52.6635334977376</v>
      </c>
      <c r="O114" s="31" t="n">
        <f aca="false">(G114/F114-1)*100</f>
        <v>-63.6363636363636</v>
      </c>
      <c r="P114" s="31" t="n">
        <f aca="false">(M114-$M$3)/$M$4</f>
        <v>-0.194274873994316</v>
      </c>
      <c r="Q114" s="32" t="n">
        <f aca="false">(N114-$N$3)/$N$4</f>
        <v>-0.724358582284546</v>
      </c>
      <c r="R114" s="32" t="str">
        <f aca="false">IF(AND(P114&gt;0,Q114&gt;0), "ESTRELLA",
IF(AND(P114&gt;0,Q114&lt;0), "Consolidado",
IF(AND(P114&lt;0,Q114&lt;0), "estancado", "prometedor")))</f>
        <v>estancado</v>
      </c>
    </row>
    <row r="115" customFormat="false" ht="15" hidden="false" customHeight="true" outlineLevel="0" collapsed="false">
      <c r="B115" s="28" t="s">
        <v>111</v>
      </c>
      <c r="C115" s="35" t="n">
        <v>177</v>
      </c>
      <c r="D115" s="35" t="n">
        <v>12</v>
      </c>
      <c r="E115" s="35" t="n">
        <v>50</v>
      </c>
      <c r="F115" s="35" t="n">
        <v>22</v>
      </c>
      <c r="G115" s="35" t="n">
        <v>12</v>
      </c>
      <c r="H115" s="30" t="n">
        <f aca="false">(C115/C$6)*100</f>
        <v>0.0541788084335284</v>
      </c>
      <c r="I115" s="30" t="n">
        <f aca="false">(D115/D$6)*100</f>
        <v>0.00336255015803986</v>
      </c>
      <c r="J115" s="30" t="n">
        <f aca="false">(E115/E$6)*100</f>
        <v>0.0125037198566574</v>
      </c>
      <c r="K115" s="30" t="n">
        <f aca="false">(F115/F$6)*100</f>
        <v>0.00641253592477512</v>
      </c>
      <c r="L115" s="30" t="n">
        <f aca="false">(G115/G$6)*100</f>
        <v>0.00290162757126518</v>
      </c>
      <c r="M115" s="31" t="n">
        <f aca="false">AVERAGE(H115:L115)</f>
        <v>0.0158718483888532</v>
      </c>
      <c r="N115" s="31" t="n">
        <f aca="false">((G115/C115)^(1/4)-1)*100</f>
        <v>-48.9727698222167</v>
      </c>
      <c r="O115" s="31" t="n">
        <f aca="false">(G115/F115-1)*100</f>
        <v>-45.4545454545455</v>
      </c>
      <c r="P115" s="31" t="n">
        <f aca="false">(M115-$M$3)/$M$4</f>
        <v>-0.196017421278719</v>
      </c>
      <c r="Q115" s="32" t="n">
        <f aca="false">(N115-$N$3)/$N$4</f>
        <v>-0.69035442213608</v>
      </c>
      <c r="R115" s="32" t="str">
        <f aca="false">IF(AND(P115&gt;0,Q115&gt;0), "ESTRELLA",
IF(AND(P115&gt;0,Q115&lt;0), "Consolidado",
IF(AND(P115&lt;0,Q115&lt;0), "estancado", "prometedor")))</f>
        <v>estancado</v>
      </c>
    </row>
    <row r="116" customFormat="false" ht="15" hidden="false" customHeight="true" outlineLevel="0" collapsed="false">
      <c r="B116" s="28" t="s">
        <v>112</v>
      </c>
      <c r="C116" s="35" t="n">
        <v>46</v>
      </c>
      <c r="D116" s="35" t="n">
        <v>87</v>
      </c>
      <c r="E116" s="35" t="n">
        <v>47</v>
      </c>
      <c r="F116" s="35" t="n">
        <v>56</v>
      </c>
      <c r="G116" s="35" t="n">
        <v>12</v>
      </c>
      <c r="H116" s="30" t="n">
        <f aca="false">(C116/C$6)*100</f>
        <v>0.0140803682934594</v>
      </c>
      <c r="I116" s="30" t="n">
        <f aca="false">(D116/D$6)*100</f>
        <v>0.024378488645789</v>
      </c>
      <c r="J116" s="30" t="n">
        <f aca="false">(E116/E$6)*100</f>
        <v>0.0117534966652579</v>
      </c>
      <c r="K116" s="30" t="n">
        <f aca="false">(F116/F$6)*100</f>
        <v>0.0163228187176094</v>
      </c>
      <c r="L116" s="30" t="n">
        <f aca="false">(G116/G$6)*100</f>
        <v>0.00290162757126518</v>
      </c>
      <c r="M116" s="31" t="n">
        <f aca="false">AVERAGE(H116:L116)</f>
        <v>0.0138873599786762</v>
      </c>
      <c r="N116" s="31" t="n">
        <f aca="false">((G116/C116)^(1/4)-1)*100</f>
        <v>-28.5329503578573</v>
      </c>
      <c r="O116" s="31" t="n">
        <f aca="false">(G116/F116-1)*100</f>
        <v>-78.5714285714286</v>
      </c>
      <c r="P116" s="31" t="n">
        <f aca="false">(M116-$M$3)/$M$4</f>
        <v>-0.196645560327773</v>
      </c>
      <c r="Q116" s="32" t="n">
        <f aca="false">(N116-$N$3)/$N$4</f>
        <v>-0.502035972195305</v>
      </c>
      <c r="R116" s="32" t="str">
        <f aca="false">IF(AND(P116&gt;0,Q116&gt;0), "ESTRELLA",
IF(AND(P116&gt;0,Q116&lt;0), "Consolidado",
IF(AND(P116&lt;0,Q116&lt;0), "estancado", "prometedor")))</f>
        <v>estancado</v>
      </c>
    </row>
    <row r="117" customFormat="false" ht="15" hidden="false" customHeight="true" outlineLevel="0" collapsed="false">
      <c r="B117" s="28" t="s">
        <v>113</v>
      </c>
      <c r="C117" s="35" t="n">
        <v>45</v>
      </c>
      <c r="D117" s="35" t="n">
        <v>70</v>
      </c>
      <c r="E117" s="35" t="n">
        <v>78</v>
      </c>
      <c r="F117" s="35" t="n">
        <v>24</v>
      </c>
      <c r="G117" s="35" t="n">
        <v>11</v>
      </c>
      <c r="H117" s="30" t="n">
        <f aca="false">(C117/C$6)*100</f>
        <v>0.0137742733305581</v>
      </c>
      <c r="I117" s="30" t="n">
        <f aca="false">(D117/D$6)*100</f>
        <v>0.0196148759218992</v>
      </c>
      <c r="J117" s="30" t="n">
        <f aca="false">(E117/E$6)*100</f>
        <v>0.0195058029763855</v>
      </c>
      <c r="K117" s="30" t="n">
        <f aca="false">(F117/F$6)*100</f>
        <v>0.00699549373611832</v>
      </c>
      <c r="L117" s="30" t="n">
        <f aca="false">(G117/G$6)*100</f>
        <v>0.00265982527365975</v>
      </c>
      <c r="M117" s="31" t="n">
        <f aca="false">AVERAGE(H117:L117)</f>
        <v>0.0125100542477242</v>
      </c>
      <c r="N117" s="31" t="n">
        <f aca="false">((G117/C117)^(1/4)-1)*100</f>
        <v>-29.685475719945</v>
      </c>
      <c r="O117" s="31" t="n">
        <f aca="false">(G117/F117-1)*100</f>
        <v>-54.1666666666667</v>
      </c>
      <c r="P117" s="31" t="n">
        <f aca="false">(M117-$M$3)/$M$4</f>
        <v>-0.197081511229608</v>
      </c>
      <c r="Q117" s="32" t="n">
        <f aca="false">(N117-$N$3)/$N$4</f>
        <v>-0.512654548845859</v>
      </c>
      <c r="R117" s="32" t="str">
        <f aca="false">IF(AND(P117&gt;0,Q117&gt;0), "ESTRELLA",
IF(AND(P117&gt;0,Q117&lt;0), "Consolidado",
IF(AND(P117&lt;0,Q117&lt;0), "estancado", "prometedor")))</f>
        <v>estancado</v>
      </c>
    </row>
    <row r="118" customFormat="false" ht="15" hidden="false" customHeight="true" outlineLevel="0" collapsed="false">
      <c r="B118" s="28" t="s">
        <v>114</v>
      </c>
      <c r="C118" s="35" t="n">
        <v>60</v>
      </c>
      <c r="D118" s="35" t="n">
        <v>39</v>
      </c>
      <c r="E118" s="35" t="n">
        <v>22</v>
      </c>
      <c r="F118" s="35" t="n">
        <v>36</v>
      </c>
      <c r="G118" s="35" t="n">
        <v>11</v>
      </c>
      <c r="H118" s="30" t="n">
        <f aca="false">(C118/C$6)*100</f>
        <v>0.0183656977740774</v>
      </c>
      <c r="I118" s="30" t="n">
        <f aca="false">(D118/D$6)*100</f>
        <v>0.0109282880136295</v>
      </c>
      <c r="J118" s="30" t="n">
        <f aca="false">(E118/E$6)*100</f>
        <v>0.00550163673692924</v>
      </c>
      <c r="K118" s="30" t="n">
        <f aca="false">(F118/F$6)*100</f>
        <v>0.0104932406041775</v>
      </c>
      <c r="L118" s="30" t="n">
        <f aca="false">(G118/G$6)*100</f>
        <v>0.00265982527365975</v>
      </c>
      <c r="M118" s="31" t="n">
        <f aca="false">AVERAGE(H118:L118)</f>
        <v>0.00958973768049469</v>
      </c>
      <c r="N118" s="31" t="n">
        <f aca="false">((G118/C118)^(1/4)-1)*100</f>
        <v>-34.5649620395283</v>
      </c>
      <c r="O118" s="31" t="n">
        <f aca="false">(G118/F118-1)*100</f>
        <v>-69.4444444444444</v>
      </c>
      <c r="P118" s="31" t="n">
        <f aca="false">(M118-$M$3)/$M$4</f>
        <v>-0.198005862746134</v>
      </c>
      <c r="Q118" s="32" t="n">
        <f aca="false">(N118-$N$3)/$N$4</f>
        <v>-0.557610782525585</v>
      </c>
      <c r="R118" s="32" t="str">
        <f aca="false">IF(AND(P118&gt;0,Q118&gt;0), "ESTRELLA",
IF(AND(P118&gt;0,Q118&lt;0), "Consolidado",
IF(AND(P118&lt;0,Q118&lt;0), "estancado", "prometedor")))</f>
        <v>estancado</v>
      </c>
    </row>
    <row r="119" customFormat="false" ht="15" hidden="false" customHeight="true" outlineLevel="0" collapsed="false">
      <c r="B119" s="28" t="s">
        <v>167</v>
      </c>
      <c r="C119" s="35" t="n">
        <v>4</v>
      </c>
      <c r="D119" s="35" t="n">
        <v>2</v>
      </c>
      <c r="E119" s="35" t="n">
        <v>6</v>
      </c>
      <c r="F119" s="35" t="n">
        <v>8</v>
      </c>
      <c r="G119" s="35" t="n">
        <f aca="false">F119+(F119/E119-1)*F119</f>
        <v>10.6666666666667</v>
      </c>
      <c r="H119" s="30" t="n">
        <f aca="false">(C119/C$6)*100</f>
        <v>0.00122437985160516</v>
      </c>
      <c r="I119" s="30" t="n">
        <f aca="false">(D119/D$6)*100</f>
        <v>0.000560425026339976</v>
      </c>
      <c r="J119" s="30" t="n">
        <f aca="false">(E119/E$6)*100</f>
        <v>0.00150044638279888</v>
      </c>
      <c r="K119" s="30" t="n">
        <f aca="false">(F119/F$6)*100</f>
        <v>0.00233183124537277</v>
      </c>
      <c r="L119" s="30" t="n">
        <f aca="false">(G119/G$6)*100</f>
        <v>0.00257922450779128</v>
      </c>
      <c r="M119" s="31" t="n">
        <f aca="false">AVERAGE(H119:L119)</f>
        <v>0.00163926140278161</v>
      </c>
      <c r="N119" s="31" t="n">
        <f aca="false">((G119/C119)^(1/4)-1)*100</f>
        <v>27.7886208492545</v>
      </c>
      <c r="O119" s="31" t="n">
        <f aca="false">(G119/F119-1)*100</f>
        <v>33.3333333333333</v>
      </c>
      <c r="P119" s="31" t="n">
        <f aca="false">(M119-$M$3)/$M$4</f>
        <v>-0.200522382662802</v>
      </c>
      <c r="Q119" s="32" t="n">
        <f aca="false">(N119-$N$3)/$N$4</f>
        <v>0.0168722797315985</v>
      </c>
      <c r="R119" s="32" t="str">
        <f aca="false">IF(AND(P119&gt;0,Q119&gt;0), "ESTRELLA",
IF(AND(P119&gt;0,Q119&lt;0), "Consolidado",
IF(AND(P119&lt;0,Q119&lt;0), "estancado", "prometedor")))</f>
        <v>prometedor</v>
      </c>
    </row>
    <row r="120" customFormat="false" ht="15" hidden="false" customHeight="true" outlineLevel="0" collapsed="false">
      <c r="B120" s="28" t="s">
        <v>115</v>
      </c>
      <c r="C120" s="35" t="n">
        <v>2</v>
      </c>
      <c r="D120" s="35" t="n">
        <v>3</v>
      </c>
      <c r="E120" s="35" t="n">
        <v>3</v>
      </c>
      <c r="F120" s="35" t="n">
        <v>4</v>
      </c>
      <c r="G120" s="35" t="n">
        <v>10</v>
      </c>
      <c r="H120" s="30" t="n">
        <f aca="false">(C120/C$6)*100</f>
        <v>0.000612189925802581</v>
      </c>
      <c r="I120" s="30" t="n">
        <f aca="false">(D120/D$6)*100</f>
        <v>0.000840637539509964</v>
      </c>
      <c r="J120" s="30" t="n">
        <f aca="false">(E120/E$6)*100</f>
        <v>0.000750223191399441</v>
      </c>
      <c r="K120" s="30" t="n">
        <f aca="false">(F120/F$6)*100</f>
        <v>0.00116591562268639</v>
      </c>
      <c r="L120" s="30" t="n">
        <f aca="false">(G120/G$6)*100</f>
        <v>0.00241802297605432</v>
      </c>
      <c r="M120" s="31" t="n">
        <f aca="false">AVERAGE(H120:L120)</f>
        <v>0.00115739785109054</v>
      </c>
      <c r="N120" s="31" t="n">
        <f aca="false">((G120/C120)^(1/4)-1)*100</f>
        <v>49.5348781221221</v>
      </c>
      <c r="O120" s="31" t="n">
        <f aca="false">(G120/F120-1)*100</f>
        <v>150</v>
      </c>
      <c r="P120" s="31" t="n">
        <f aca="false">(M120-$M$3)/$M$4</f>
        <v>-0.200674904245484</v>
      </c>
      <c r="Q120" s="32" t="n">
        <f aca="false">(N120-$N$3)/$N$4</f>
        <v>0.217227349832902</v>
      </c>
      <c r="R120" s="32" t="str">
        <f aca="false">IF(AND(P120&gt;0,Q120&gt;0), "ESTRELLA",
IF(AND(P120&gt;0,Q120&lt;0), "Consolidado",
IF(AND(P120&lt;0,Q120&lt;0), "estancado", "prometedor")))</f>
        <v>prometedor</v>
      </c>
    </row>
    <row r="121" customFormat="false" ht="15" hidden="false" customHeight="true" outlineLevel="0" collapsed="false">
      <c r="B121" s="28" t="s">
        <v>118</v>
      </c>
      <c r="C121" s="35" t="n">
        <v>84</v>
      </c>
      <c r="D121" s="35" t="n">
        <v>200</v>
      </c>
      <c r="E121" s="35" t="n">
        <v>209</v>
      </c>
      <c r="F121" s="35" t="n">
        <v>199</v>
      </c>
      <c r="G121" s="35" t="n">
        <v>9</v>
      </c>
      <c r="H121" s="30" t="n">
        <f aca="false">(C121/C$6)*100</f>
        <v>0.0257119768837084</v>
      </c>
      <c r="I121" s="30" t="n">
        <f aca="false">(D121/D$6)*100</f>
        <v>0.0560425026339976</v>
      </c>
      <c r="J121" s="30" t="n">
        <f aca="false">(E121/E$6)*100</f>
        <v>0.0522655490008278</v>
      </c>
      <c r="K121" s="30" t="n">
        <f aca="false">(F121/F$6)*100</f>
        <v>0.0580043022286477</v>
      </c>
      <c r="L121" s="30" t="n">
        <f aca="false">(G121/G$6)*100</f>
        <v>0.00217622067844889</v>
      </c>
      <c r="M121" s="31" t="n">
        <f aca="false">AVERAGE(H121:L121)</f>
        <v>0.0388401102851261</v>
      </c>
      <c r="N121" s="31" t="n">
        <f aca="false">((G121/C121)^(1/4)-1)*100</f>
        <v>-42.7875157545149</v>
      </c>
      <c r="O121" s="31" t="n">
        <f aca="false">(G121/F121-1)*100</f>
        <v>-95.4773869346734</v>
      </c>
      <c r="P121" s="31" t="n">
        <f aca="false">(M121-$M$3)/$M$4</f>
        <v>-0.188747405433849</v>
      </c>
      <c r="Q121" s="32" t="n">
        <f aca="false">(N121-$N$3)/$N$4</f>
        <v>-0.633367741771778</v>
      </c>
      <c r="R121" s="32" t="str">
        <f aca="false">IF(AND(P121&gt;0,Q121&gt;0), "ESTRELLA",
IF(AND(P121&gt;0,Q121&lt;0), "Consolidado",
IF(AND(P121&lt;0,Q121&lt;0), "estancado", "prometedor")))</f>
        <v>estancado</v>
      </c>
    </row>
    <row r="122" customFormat="false" ht="15" hidden="false" customHeight="true" outlineLevel="0" collapsed="false">
      <c r="B122" s="28" t="s">
        <v>164</v>
      </c>
      <c r="C122" s="35" t="n">
        <v>6</v>
      </c>
      <c r="D122" s="35" t="n">
        <v>32</v>
      </c>
      <c r="E122" s="35" t="n">
        <v>4</v>
      </c>
      <c r="F122" s="35" t="n">
        <v>6</v>
      </c>
      <c r="G122" s="35" t="n">
        <f aca="false">F122+(F122/E122-1)*F122</f>
        <v>9</v>
      </c>
      <c r="H122" s="30" t="n">
        <f aca="false">(C122/C$6)*100</f>
        <v>0.00183656977740774</v>
      </c>
      <c r="I122" s="30" t="n">
        <f aca="false">(D122/D$6)*100</f>
        <v>0.00896680042143962</v>
      </c>
      <c r="J122" s="30" t="n">
        <f aca="false">(E122/E$6)*100</f>
        <v>0.00100029758853259</v>
      </c>
      <c r="K122" s="30" t="n">
        <f aca="false">(F122/F$6)*100</f>
        <v>0.00174887343402958</v>
      </c>
      <c r="L122" s="30" t="n">
        <f aca="false">(G122/G$6)*100</f>
        <v>0.00217622067844889</v>
      </c>
      <c r="M122" s="31" t="n">
        <f aca="false">AVERAGE(H122:L122)</f>
        <v>0.00314575237997168</v>
      </c>
      <c r="N122" s="31" t="n">
        <f aca="false">((G122/C122)^(1/4)-1)*100</f>
        <v>10.6681919700321</v>
      </c>
      <c r="O122" s="31" t="n">
        <f aca="false">(G122/F122-1)*100</f>
        <v>50</v>
      </c>
      <c r="P122" s="31" t="n">
        <f aca="false">(M122-$M$3)/$M$4</f>
        <v>-0.200045541475438</v>
      </c>
      <c r="Q122" s="32" t="n">
        <f aca="false">(N122-$N$3)/$N$4</f>
        <v>-0.14086358650138</v>
      </c>
      <c r="R122" s="32" t="str">
        <f aca="false">IF(AND(P122&gt;0,Q122&gt;0), "ESTRELLA",
IF(AND(P122&gt;0,Q122&lt;0), "Consolidado",
IF(AND(P122&lt;0,Q122&lt;0), "estancado", "prometedor")))</f>
        <v>estancado</v>
      </c>
    </row>
    <row r="123" customFormat="false" ht="15" hidden="false" customHeight="true" outlineLevel="0" collapsed="false">
      <c r="B123" s="28" t="s">
        <v>117</v>
      </c>
      <c r="C123" s="35" t="n">
        <v>14</v>
      </c>
      <c r="D123" s="35" t="n">
        <v>11</v>
      </c>
      <c r="E123" s="35" t="n">
        <v>7</v>
      </c>
      <c r="F123" s="35" t="n">
        <v>10</v>
      </c>
      <c r="G123" s="35" t="n">
        <v>9</v>
      </c>
      <c r="H123" s="30" t="n">
        <f aca="false">(C123/C$6)*100</f>
        <v>0.00428532948061807</v>
      </c>
      <c r="I123" s="30" t="n">
        <f aca="false">(D123/D$6)*100</f>
        <v>0.00308233764486987</v>
      </c>
      <c r="J123" s="30" t="n">
        <f aca="false">(E123/E$6)*100</f>
        <v>0.00175052077993203</v>
      </c>
      <c r="K123" s="30" t="n">
        <f aca="false">(F123/F$6)*100</f>
        <v>0.00291478905671597</v>
      </c>
      <c r="L123" s="30" t="n">
        <f aca="false">(G123/G$6)*100</f>
        <v>0.00217622067844889</v>
      </c>
      <c r="M123" s="31" t="n">
        <f aca="false">AVERAGE(H123:L123)</f>
        <v>0.00284183952811696</v>
      </c>
      <c r="N123" s="31" t="n">
        <f aca="false">((G123/C123)^(1/4)-1)*100</f>
        <v>-10.4576231197053</v>
      </c>
      <c r="O123" s="31" t="n">
        <f aca="false">(G123/F123-1)*100</f>
        <v>-10</v>
      </c>
      <c r="P123" s="31" t="n">
        <f aca="false">(M123-$M$3)/$M$4</f>
        <v>-0.200141737315524</v>
      </c>
      <c r="Q123" s="32" t="n">
        <f aca="false">(N123-$N$3)/$N$4</f>
        <v>-0.335502328706115</v>
      </c>
      <c r="R123" s="32" t="str">
        <f aca="false">IF(AND(P123&gt;0,Q123&gt;0), "ESTRELLA",
IF(AND(P123&gt;0,Q123&lt;0), "Consolidado",
IF(AND(P123&lt;0,Q123&lt;0), "estancado", "prometedor")))</f>
        <v>estancado</v>
      </c>
    </row>
    <row r="124" customFormat="false" ht="15" hidden="false" customHeight="true" outlineLevel="0" collapsed="false">
      <c r="B124" s="44" t="s">
        <v>116</v>
      </c>
      <c r="C124" s="35" t="n">
        <v>1</v>
      </c>
      <c r="D124" s="35" t="n">
        <v>3</v>
      </c>
      <c r="E124" s="35" t="n">
        <v>6</v>
      </c>
      <c r="F124" s="35" t="n">
        <v>7</v>
      </c>
      <c r="G124" s="35" t="n">
        <v>9</v>
      </c>
      <c r="H124" s="30" t="n">
        <f aca="false">(C124/C$6)*100</f>
        <v>0.000306094962901291</v>
      </c>
      <c r="I124" s="30" t="n">
        <f aca="false">(D124/D$6)*100</f>
        <v>0.000840637539509964</v>
      </c>
      <c r="J124" s="30" t="n">
        <f aca="false">(E124/E$6)*100</f>
        <v>0.00150044638279888</v>
      </c>
      <c r="K124" s="30" t="n">
        <f aca="false">(F124/F$6)*100</f>
        <v>0.00204035233970118</v>
      </c>
      <c r="L124" s="30" t="n">
        <f aca="false">(G124/G$6)*100</f>
        <v>0.00217622067844889</v>
      </c>
      <c r="M124" s="31" t="n">
        <f aca="false">AVERAGE(H124:L124)</f>
        <v>0.00137275038067204</v>
      </c>
      <c r="N124" s="31" t="n">
        <f aca="false">((G124/C124)^(1/4)-1)*100</f>
        <v>73.2050807568877</v>
      </c>
      <c r="O124" s="31" t="n">
        <f aca="false">(G124/F124-1)*100</f>
        <v>28.5714285714286</v>
      </c>
      <c r="P124" s="31" t="n">
        <f aca="false">(M124-$M$3)/$M$4</f>
        <v>-0.200606739910309</v>
      </c>
      <c r="Q124" s="32" t="n">
        <f aca="false">(N124-$N$3)/$N$4</f>
        <v>0.435308330329605</v>
      </c>
      <c r="R124" s="32" t="str">
        <f aca="false">IF(AND(P124&gt;0,Q124&gt;0), "ESTRELLA",
IF(AND(P124&gt;0,Q124&lt;0), "Consolidado",
IF(AND(P124&lt;0,Q124&lt;0), "estancado", "prometedor")))</f>
        <v>prometedor</v>
      </c>
    </row>
    <row r="125" customFormat="false" ht="15" hidden="false" customHeight="true" outlineLevel="0" collapsed="false">
      <c r="B125" s="28" t="s">
        <v>119</v>
      </c>
      <c r="C125" s="35" t="n">
        <v>34</v>
      </c>
      <c r="D125" s="35" t="n">
        <v>24</v>
      </c>
      <c r="E125" s="35" t="n">
        <v>1760</v>
      </c>
      <c r="F125" s="35" t="n">
        <v>11</v>
      </c>
      <c r="G125" s="35" t="n">
        <v>8</v>
      </c>
      <c r="H125" s="30" t="n">
        <f aca="false">(C125/C$6)*100</f>
        <v>0.0104072287386439</v>
      </c>
      <c r="I125" s="30" t="n">
        <f aca="false">(D125/D$6)*100</f>
        <v>0.00672510031607971</v>
      </c>
      <c r="J125" s="30" t="n">
        <f aca="false">(E125/E$6)*100</f>
        <v>0.440130938954339</v>
      </c>
      <c r="K125" s="30" t="n">
        <f aca="false">(F125/F$6)*100</f>
        <v>0.00320626796238756</v>
      </c>
      <c r="L125" s="30" t="n">
        <f aca="false">(G125/G$6)*100</f>
        <v>0.00193441838084345</v>
      </c>
      <c r="M125" s="31" t="n">
        <f aca="false">AVERAGE(H125:L125)</f>
        <v>0.0924807908704587</v>
      </c>
      <c r="N125" s="31" t="n">
        <f aca="false">((G125/C125)^(1/4)-1)*100</f>
        <v>-30.3529433448429</v>
      </c>
      <c r="O125" s="31" t="n">
        <f aca="false">(G125/F125-1)*100</f>
        <v>-27.2727272727273</v>
      </c>
      <c r="P125" s="31" t="n">
        <f aca="false">(M125-$M$3)/$M$4</f>
        <v>-0.171768819960291</v>
      </c>
      <c r="Q125" s="32" t="n">
        <f aca="false">(N125-$N$3)/$N$4</f>
        <v>-0.518804136846164</v>
      </c>
      <c r="R125" s="32" t="str">
        <f aca="false">IF(AND(P125&gt;0,Q125&gt;0), "ESTRELLA",
IF(AND(P125&gt;0,Q125&lt;0), "Consolidado",
IF(AND(P125&lt;0,Q125&lt;0), "estancado", "prometedor")))</f>
        <v>estancado</v>
      </c>
    </row>
    <row r="126" customFormat="false" ht="15" hidden="false" customHeight="true" outlineLevel="0" collapsed="false">
      <c r="B126" s="28" t="s">
        <v>120</v>
      </c>
      <c r="C126" s="35" t="n">
        <v>3</v>
      </c>
      <c r="D126" s="35" t="n">
        <v>2</v>
      </c>
      <c r="E126" s="35" t="n">
        <v>5</v>
      </c>
      <c r="F126" s="35" t="n">
        <v>43</v>
      </c>
      <c r="G126" s="35" t="n">
        <v>8</v>
      </c>
      <c r="H126" s="30" t="n">
        <f aca="false">(C126/C$6)*100</f>
        <v>0.000918284888703872</v>
      </c>
      <c r="I126" s="30" t="n">
        <f aca="false">(D126/D$6)*100</f>
        <v>0.000560425026339976</v>
      </c>
      <c r="J126" s="30" t="n">
        <f aca="false">(E126/E$6)*100</f>
        <v>0.00125037198566574</v>
      </c>
      <c r="K126" s="30" t="n">
        <f aca="false">(F126/F$6)*100</f>
        <v>0.0125335929438787</v>
      </c>
      <c r="L126" s="30" t="n">
        <f aca="false">(G126/G$6)*100</f>
        <v>0.00193441838084345</v>
      </c>
      <c r="M126" s="31" t="n">
        <f aca="false">AVERAGE(H126:L126)</f>
        <v>0.00343941864508634</v>
      </c>
      <c r="N126" s="31" t="n">
        <f aca="false">((G126/C126)^(1/4)-1)*100</f>
        <v>27.7886208492545</v>
      </c>
      <c r="O126" s="31" t="n">
        <f aca="false">(G126/F126-1)*100</f>
        <v>-81.3953488372093</v>
      </c>
      <c r="P126" s="31" t="n">
        <f aca="false">(M126-$M$3)/$M$4</f>
        <v>-0.199952588930307</v>
      </c>
      <c r="Q126" s="32" t="n">
        <f aca="false">(N126-$N$3)/$N$4</f>
        <v>0.0168722797315985</v>
      </c>
      <c r="R126" s="32" t="str">
        <f aca="false">IF(AND(P126&gt;0,Q126&gt;0), "ESTRELLA",
IF(AND(P126&gt;0,Q126&lt;0), "Consolidado",
IF(AND(P126&lt;0,Q126&lt;0), "estancado", "prometedor")))</f>
        <v>prometedor</v>
      </c>
    </row>
    <row r="127" customFormat="false" ht="15" hidden="false" customHeight="true" outlineLevel="0" collapsed="false">
      <c r="B127" s="28" t="s">
        <v>122</v>
      </c>
      <c r="C127" s="35" t="n">
        <v>6</v>
      </c>
      <c r="D127" s="35" t="n">
        <v>5</v>
      </c>
      <c r="E127" s="35" t="n">
        <v>9</v>
      </c>
      <c r="F127" s="35" t="n">
        <v>14</v>
      </c>
      <c r="G127" s="35" t="n">
        <v>7</v>
      </c>
      <c r="H127" s="30" t="n">
        <f aca="false">(C127/C$6)*100</f>
        <v>0.00183656977740774</v>
      </c>
      <c r="I127" s="30" t="n">
        <f aca="false">(D127/D$6)*100</f>
        <v>0.00140106256584994</v>
      </c>
      <c r="J127" s="30" t="n">
        <f aca="false">(E127/E$6)*100</f>
        <v>0.00225066957419832</v>
      </c>
      <c r="K127" s="30" t="n">
        <f aca="false">(F127/F$6)*100</f>
        <v>0.00408070467940235</v>
      </c>
      <c r="L127" s="30" t="n">
        <f aca="false">(G127/G$6)*100</f>
        <v>0.00169261608323802</v>
      </c>
      <c r="M127" s="31" t="n">
        <f aca="false">AVERAGE(H127:L127)</f>
        <v>0.00225232453601928</v>
      </c>
      <c r="N127" s="31" t="n">
        <f aca="false">((G127/C127)^(1/4)-1)*100</f>
        <v>3.92898776254118</v>
      </c>
      <c r="O127" s="31" t="n">
        <f aca="false">(G127/F127-1)*100</f>
        <v>-50</v>
      </c>
      <c r="P127" s="31" t="n">
        <f aca="false">(M127-$M$3)/$M$4</f>
        <v>-0.200328333208269</v>
      </c>
      <c r="Q127" s="32" t="n">
        <f aca="false">(N127-$N$3)/$N$4</f>
        <v>-0.202953982769409</v>
      </c>
      <c r="R127" s="32" t="str">
        <f aca="false">IF(AND(P127&gt;0,Q127&gt;0), "ESTRELLA",
IF(AND(P127&gt;0,Q127&lt;0), "Consolidado",
IF(AND(P127&lt;0,Q127&lt;0), "estancado", "prometedor")))</f>
        <v>estancado</v>
      </c>
    </row>
    <row r="128" customFormat="false" ht="15" hidden="false" customHeight="true" outlineLevel="0" collapsed="false">
      <c r="B128" s="44" t="s">
        <v>121</v>
      </c>
      <c r="C128" s="35" t="n">
        <v>1</v>
      </c>
      <c r="D128" s="35" t="n">
        <v>2</v>
      </c>
      <c r="E128" s="35" t="n">
        <v>1</v>
      </c>
      <c r="F128" s="35" t="n">
        <v>2</v>
      </c>
      <c r="G128" s="35" t="n">
        <v>7</v>
      </c>
      <c r="H128" s="30" t="n">
        <f aca="false">(C128/C$6)*100</f>
        <v>0.000306094962901291</v>
      </c>
      <c r="I128" s="30" t="n">
        <f aca="false">(D128/D$6)*100</f>
        <v>0.000560425026339976</v>
      </c>
      <c r="J128" s="30" t="n">
        <f aca="false">(E128/E$6)*100</f>
        <v>0.000250074397133147</v>
      </c>
      <c r="K128" s="30" t="n">
        <f aca="false">(F128/F$6)*100</f>
        <v>0.000582957811343193</v>
      </c>
      <c r="L128" s="30" t="n">
        <f aca="false">(G128/G$6)*100</f>
        <v>0.00169261608323802</v>
      </c>
      <c r="M128" s="31" t="n">
        <f aca="false">AVERAGE(H128:L128)</f>
        <v>0.000678433656191126</v>
      </c>
      <c r="N128" s="31" t="n">
        <f aca="false">((G128/C128)^(1/4)-1)*100</f>
        <v>62.6576561697786</v>
      </c>
      <c r="O128" s="31" t="n">
        <f aca="false">(G128/F128-1)*100</f>
        <v>250</v>
      </c>
      <c r="P128" s="31" t="n">
        <f aca="false">(M128-$M$3)/$M$4</f>
        <v>-0.20082650811093</v>
      </c>
      <c r="Q128" s="32" t="n">
        <f aca="false">(N128-$N$3)/$N$4</f>
        <v>0.338131608559873</v>
      </c>
      <c r="R128" s="32" t="str">
        <f aca="false">IF(AND(P128&gt;0,Q128&gt;0), "ESTRELLA",
IF(AND(P128&gt;0,Q128&lt;0), "Consolidado",
IF(AND(P128&lt;0,Q128&lt;0), "estancado", "prometedor")))</f>
        <v>prometedor</v>
      </c>
    </row>
    <row r="129" customFormat="false" ht="15" hidden="false" customHeight="true" outlineLevel="0" collapsed="false">
      <c r="B129" s="28" t="s">
        <v>128</v>
      </c>
      <c r="C129" s="35" t="n">
        <v>10</v>
      </c>
      <c r="D129" s="35" t="n">
        <v>5</v>
      </c>
      <c r="E129" s="35" t="n">
        <v>12</v>
      </c>
      <c r="F129" s="35" t="n">
        <v>60</v>
      </c>
      <c r="G129" s="35" t="n">
        <v>6</v>
      </c>
      <c r="H129" s="30" t="n">
        <f aca="false">(C129/C$6)*100</f>
        <v>0.0030609496290129</v>
      </c>
      <c r="I129" s="30" t="n">
        <f aca="false">(D129/D$6)*100</f>
        <v>0.00140106256584994</v>
      </c>
      <c r="J129" s="30" t="n">
        <f aca="false">(E129/E$6)*100</f>
        <v>0.00300089276559777</v>
      </c>
      <c r="K129" s="30" t="n">
        <f aca="false">(F129/F$6)*100</f>
        <v>0.0174887343402958</v>
      </c>
      <c r="L129" s="30" t="n">
        <f aca="false">(G129/G$6)*100</f>
        <v>0.00145081378563259</v>
      </c>
      <c r="M129" s="31" t="n">
        <f aca="false">AVERAGE(H129:L129)</f>
        <v>0.0052804906172778</v>
      </c>
      <c r="N129" s="31" t="n">
        <f aca="false">((G129/C129)^(1/4)-1)*100</f>
        <v>-11.9888263206607</v>
      </c>
      <c r="O129" s="31" t="n">
        <f aca="false">(G129/F129-1)*100</f>
        <v>-90</v>
      </c>
      <c r="P129" s="31" t="n">
        <f aca="false">(M129-$M$3)/$M$4</f>
        <v>-0.19936984468654</v>
      </c>
      <c r="Q129" s="32" t="n">
        <f aca="false">(N129-$N$3)/$N$4</f>
        <v>-0.349609782729917</v>
      </c>
      <c r="R129" s="32" t="str">
        <f aca="false">IF(AND(P129&gt;0,Q129&gt;0), "ESTRELLA",
IF(AND(P129&gt;0,Q129&lt;0), "Consolidado",
IF(AND(P129&lt;0,Q129&lt;0), "estancado", "prometedor")))</f>
        <v>estancado</v>
      </c>
    </row>
    <row r="130" customFormat="false" ht="15" hidden="false" customHeight="true" outlineLevel="0" collapsed="false">
      <c r="B130" s="28" t="s">
        <v>125</v>
      </c>
      <c r="C130" s="35" t="n">
        <f aca="false">D130+(D130/E130-1)*D130</f>
        <v>18.7777777777778</v>
      </c>
      <c r="D130" s="35" t="n">
        <v>13</v>
      </c>
      <c r="E130" s="35" t="n">
        <v>9</v>
      </c>
      <c r="F130" s="35" t="n">
        <v>13</v>
      </c>
      <c r="G130" s="35" t="n">
        <v>6</v>
      </c>
      <c r="H130" s="30" t="n">
        <f aca="false">(C130/C$6)*100</f>
        <v>0.00574778319225757</v>
      </c>
      <c r="I130" s="30" t="n">
        <f aca="false">(D130/D$6)*100</f>
        <v>0.00364276267120985</v>
      </c>
      <c r="J130" s="30" t="n">
        <f aca="false">(E130/E$6)*100</f>
        <v>0.00225066957419832</v>
      </c>
      <c r="K130" s="30" t="n">
        <f aca="false">(F130/F$6)*100</f>
        <v>0.00378922577373076</v>
      </c>
      <c r="L130" s="30" t="n">
        <f aca="false">(G130/G$6)*100</f>
        <v>0.00145081378563259</v>
      </c>
      <c r="M130" s="31" t="n">
        <f aca="false">AVERAGE(H130:L130)</f>
        <v>0.00337625099940582</v>
      </c>
      <c r="N130" s="31" t="n">
        <f aca="false">((G130/C130)^(1/4)-1)*100</f>
        <v>-24.8157686932163</v>
      </c>
      <c r="O130" s="31" t="n">
        <f aca="false">(G130/F130-1)*100</f>
        <v>-53.8461538461539</v>
      </c>
      <c r="P130" s="31" t="n">
        <f aca="false">(M130-$M$3)/$M$4</f>
        <v>-0.199972583032911</v>
      </c>
      <c r="Q130" s="32" t="n">
        <f aca="false">(N130-$N$3)/$N$4</f>
        <v>-0.467788414849994</v>
      </c>
      <c r="R130" s="32" t="str">
        <f aca="false">IF(AND(P130&gt;0,Q130&gt;0), "ESTRELLA",
IF(AND(P130&gt;0,Q130&lt;0), "Consolidado",
IF(AND(P130&lt;0,Q130&lt;0), "estancado", "prometedor")))</f>
        <v>estancado</v>
      </c>
    </row>
    <row r="131" customFormat="false" ht="15" hidden="false" customHeight="true" outlineLevel="0" collapsed="false">
      <c r="B131" s="28" t="s">
        <v>129</v>
      </c>
      <c r="C131" s="35" t="n">
        <v>12</v>
      </c>
      <c r="D131" s="35" t="n">
        <v>4</v>
      </c>
      <c r="E131" s="35" t="n">
        <v>5</v>
      </c>
      <c r="F131" s="35" t="n">
        <v>6</v>
      </c>
      <c r="G131" s="35" t="n">
        <v>6</v>
      </c>
      <c r="H131" s="30" t="n">
        <f aca="false">(C131/C$6)*100</f>
        <v>0.00367313955481549</v>
      </c>
      <c r="I131" s="30" t="n">
        <f aca="false">(D131/D$6)*100</f>
        <v>0.00112085005267995</v>
      </c>
      <c r="J131" s="30" t="n">
        <f aca="false">(E131/E$6)*100</f>
        <v>0.00125037198566574</v>
      </c>
      <c r="K131" s="30" t="n">
        <f aca="false">(F131/F$6)*100</f>
        <v>0.00174887343402958</v>
      </c>
      <c r="L131" s="30" t="n">
        <f aca="false">(G131/G$6)*100</f>
        <v>0.00145081378563259</v>
      </c>
      <c r="M131" s="31" t="n">
        <f aca="false">AVERAGE(H131:L131)</f>
        <v>0.00184880976256467</v>
      </c>
      <c r="N131" s="31" t="n">
        <f aca="false">((G131/C131)^(1/4)-1)*100</f>
        <v>-15.9103584746286</v>
      </c>
      <c r="O131" s="31" t="n">
        <f aca="false">(G131/F131-1)*100</f>
        <v>0</v>
      </c>
      <c r="P131" s="31" t="n">
        <f aca="false">(M131-$M$3)/$M$4</f>
        <v>-0.200456055489124</v>
      </c>
      <c r="Q131" s="32" t="n">
        <f aca="false">(N131-$N$3)/$N$4</f>
        <v>-0.385740085050632</v>
      </c>
      <c r="R131" s="32" t="str">
        <f aca="false">IF(AND(P131&gt;0,Q131&gt;0), "ESTRELLA",
IF(AND(P131&gt;0,Q131&lt;0), "Consolidado",
IF(AND(P131&lt;0,Q131&lt;0), "estancado", "prometedor")))</f>
        <v>estancado</v>
      </c>
    </row>
    <row r="132" customFormat="false" ht="15" hidden="false" customHeight="true" outlineLevel="0" collapsed="false">
      <c r="B132" s="28" t="s">
        <v>127</v>
      </c>
      <c r="C132" s="35" t="n">
        <v>12</v>
      </c>
      <c r="D132" s="35" t="n">
        <v>4</v>
      </c>
      <c r="E132" s="35" t="n">
        <v>3</v>
      </c>
      <c r="F132" s="35" t="n">
        <v>2</v>
      </c>
      <c r="G132" s="35" t="n">
        <v>6</v>
      </c>
      <c r="H132" s="30" t="n">
        <f aca="false">(C132/C$6)*100</f>
        <v>0.00367313955481549</v>
      </c>
      <c r="I132" s="30" t="n">
        <f aca="false">(D132/D$6)*100</f>
        <v>0.00112085005267995</v>
      </c>
      <c r="J132" s="30" t="n">
        <f aca="false">(E132/E$6)*100</f>
        <v>0.000750223191399441</v>
      </c>
      <c r="K132" s="30" t="n">
        <f aca="false">(F132/F$6)*100</f>
        <v>0.000582957811343193</v>
      </c>
      <c r="L132" s="30" t="n">
        <f aca="false">(G132/G$6)*100</f>
        <v>0.00145081378563259</v>
      </c>
      <c r="M132" s="31" t="n">
        <f aca="false">AVERAGE(H132:L132)</f>
        <v>0.00151559687917413</v>
      </c>
      <c r="N132" s="31" t="n">
        <f aca="false">((G132/C132)^(1/4)-1)*100</f>
        <v>-15.9103584746286</v>
      </c>
      <c r="O132" s="31" t="n">
        <f aca="false">(G132/F132-1)*100</f>
        <v>200</v>
      </c>
      <c r="P132" s="31" t="n">
        <f aca="false">(M132-$M$3)/$M$4</f>
        <v>-0.200561525504787</v>
      </c>
      <c r="Q132" s="32" t="n">
        <f aca="false">(N132-$N$3)/$N$4</f>
        <v>-0.385740085050632</v>
      </c>
      <c r="R132" s="32" t="str">
        <f aca="false">IF(AND(P132&gt;0,Q132&gt;0), "ESTRELLA",
IF(AND(P132&gt;0,Q132&lt;0), "Consolidado",
IF(AND(P132&lt;0,Q132&lt;0), "estancado", "prometedor")))</f>
        <v>estancado</v>
      </c>
    </row>
    <row r="133" customFormat="false" ht="15" hidden="false" customHeight="true" outlineLevel="0" collapsed="false">
      <c r="B133" s="28" t="s">
        <v>130</v>
      </c>
      <c r="C133" s="35" t="n">
        <v>1942</v>
      </c>
      <c r="D133" s="35" t="n">
        <v>1539</v>
      </c>
      <c r="E133" s="35" t="n">
        <v>1968</v>
      </c>
      <c r="F133" s="35" t="n">
        <v>1777</v>
      </c>
      <c r="G133" s="35" t="n">
        <v>5</v>
      </c>
      <c r="H133" s="30" t="n">
        <f aca="false">(C133/C$6)*100</f>
        <v>0.594436417954306</v>
      </c>
      <c r="I133" s="30" t="n">
        <f aca="false">(D133/D$6)*100</f>
        <v>0.431247057768612</v>
      </c>
      <c r="J133" s="30" t="n">
        <f aca="false">(E133/E$6)*100</f>
        <v>0.492146413558034</v>
      </c>
      <c r="K133" s="30" t="n">
        <f aca="false">(F133/F$6)*100</f>
        <v>0.517958015378427</v>
      </c>
      <c r="L133" s="30" t="n">
        <f aca="false">(G133/G$6)*100</f>
        <v>0.00120901148802716</v>
      </c>
      <c r="M133" s="31" t="n">
        <f aca="false">AVERAGE(H133:L133)</f>
        <v>0.407399383229481</v>
      </c>
      <c r="N133" s="31" t="n">
        <f aca="false">((G133/C133)^(1/4)-1)*100</f>
        <v>-77.4742015108763</v>
      </c>
      <c r="O133" s="31" t="n">
        <f aca="false">(G133/F133-1)*100</f>
        <v>-99.7186268992684</v>
      </c>
      <c r="P133" s="31" t="n">
        <f aca="false">(M133-$M$3)/$M$4</f>
        <v>-0.0720893942103765</v>
      </c>
      <c r="Q133" s="32" t="n">
        <f aca="false">(N133-$N$3)/$N$4</f>
        <v>-0.952947027029689</v>
      </c>
      <c r="R133" s="32" t="str">
        <f aca="false">IF(AND(P133&gt;0,Q133&gt;0), "ESTRELLA",
IF(AND(P133&gt;0,Q133&lt;0), "Consolidado",
IF(AND(P133&lt;0,Q133&lt;0), "estancado", "prometedor")))</f>
        <v>estancado</v>
      </c>
    </row>
    <row r="134" customFormat="false" ht="15" hidden="false" customHeight="true" outlineLevel="0" collapsed="false">
      <c r="B134" s="28" t="s">
        <v>169</v>
      </c>
      <c r="C134" s="35" t="n">
        <v>13</v>
      </c>
      <c r="D134" s="35" t="n">
        <v>1121</v>
      </c>
      <c r="E134" s="35" t="n">
        <v>14</v>
      </c>
      <c r="F134" s="35" t="n">
        <v>8</v>
      </c>
      <c r="G134" s="35" t="n">
        <f aca="false">F134+(F134/E134-1)*F134</f>
        <v>4.57142857142857</v>
      </c>
      <c r="H134" s="30" t="n">
        <f aca="false">(C134/C$6)*100</f>
        <v>0.00397923451771678</v>
      </c>
      <c r="I134" s="30" t="n">
        <f aca="false">(D134/D$6)*100</f>
        <v>0.314118227263557</v>
      </c>
      <c r="J134" s="30" t="n">
        <f aca="false">(E134/E$6)*100</f>
        <v>0.00350104155986406</v>
      </c>
      <c r="K134" s="30" t="n">
        <f aca="false">(F134/F$6)*100</f>
        <v>0.00233183124537277</v>
      </c>
      <c r="L134" s="30" t="n">
        <f aca="false">(G134/G$6)*100</f>
        <v>0.00110538193191055</v>
      </c>
      <c r="M134" s="31" t="n">
        <f aca="false">AVERAGE(H134:L134)</f>
        <v>0.0650071433036842</v>
      </c>
      <c r="N134" s="31" t="n">
        <f aca="false">((G134/C134)^(1/4)-1)*100</f>
        <v>-22.9935422624258</v>
      </c>
      <c r="O134" s="31" t="n">
        <f aca="false">(G134/F134-1)*100</f>
        <v>-42.8571428571429</v>
      </c>
      <c r="P134" s="31" t="n">
        <f aca="false">(M134-$M$3)/$M$4</f>
        <v>-0.180464900405073</v>
      </c>
      <c r="Q134" s="32" t="n">
        <f aca="false">(N134-$N$3)/$N$4</f>
        <v>-0.450999672782779</v>
      </c>
      <c r="R134" s="32" t="str">
        <f aca="false">IF(AND(P134&gt;0,Q134&gt;0), "ESTRELLA",
IF(AND(P134&gt;0,Q134&lt;0), "Consolidado",
IF(AND(P134&lt;0,Q134&lt;0), "estancado", "prometedor")))</f>
        <v>estancado</v>
      </c>
    </row>
    <row r="135" customFormat="false" ht="15" hidden="false" customHeight="true" outlineLevel="0" collapsed="false">
      <c r="B135" s="28" t="s">
        <v>184</v>
      </c>
      <c r="C135" s="35" t="n">
        <v>7</v>
      </c>
      <c r="D135" s="35" t="n">
        <v>2</v>
      </c>
      <c r="E135" s="35" t="n">
        <v>2</v>
      </c>
      <c r="F135" s="35" t="n">
        <v>3</v>
      </c>
      <c r="G135" s="35" t="n">
        <f aca="false">F135+(F135/E135-1)*F135</f>
        <v>4.5</v>
      </c>
      <c r="H135" s="30" t="n">
        <f aca="false">(C135/C$6)*100</f>
        <v>0.00214266474030903</v>
      </c>
      <c r="I135" s="30" t="n">
        <f aca="false">(D135/D$6)*100</f>
        <v>0.000560425026339976</v>
      </c>
      <c r="J135" s="30" t="n">
        <f aca="false">(E135/E$6)*100</f>
        <v>0.000500148794266294</v>
      </c>
      <c r="K135" s="30" t="n">
        <f aca="false">(F135/F$6)*100</f>
        <v>0.00087443671701479</v>
      </c>
      <c r="L135" s="30" t="n">
        <f aca="false">(G135/G$6)*100</f>
        <v>0.00108811033922444</v>
      </c>
      <c r="M135" s="31" t="n">
        <f aca="false">AVERAGE(H135:L135)</f>
        <v>0.00103315712343091</v>
      </c>
      <c r="N135" s="31" t="n">
        <f aca="false">((G135/C135)^(1/4)-1)*100</f>
        <v>-10.4576231197053</v>
      </c>
      <c r="O135" s="31" t="n">
        <f aca="false">(G135/F135-1)*100</f>
        <v>50</v>
      </c>
      <c r="P135" s="31" t="n">
        <f aca="false">(M135-$M$3)/$M$4</f>
        <v>-0.200714229470124</v>
      </c>
      <c r="Q135" s="32" t="n">
        <f aca="false">(N135-$N$3)/$N$4</f>
        <v>-0.335502328706115</v>
      </c>
      <c r="R135" s="32" t="str">
        <f aca="false">IF(AND(P135&gt;0,Q135&gt;0), "ESTRELLA",
IF(AND(P135&gt;0,Q135&lt;0), "Consolidado",
IF(AND(P135&lt;0,Q135&lt;0), "estancado", "prometedor")))</f>
        <v>estancado</v>
      </c>
    </row>
    <row r="136" customFormat="false" ht="15" hidden="false" customHeight="true" outlineLevel="0" collapsed="false">
      <c r="B136" s="28" t="s">
        <v>134</v>
      </c>
      <c r="C136" s="35" t="n">
        <v>1</v>
      </c>
      <c r="D136" s="35" t="n">
        <v>58</v>
      </c>
      <c r="E136" s="35" t="n">
        <v>3</v>
      </c>
      <c r="F136" s="35" t="n">
        <v>15</v>
      </c>
      <c r="G136" s="35" t="n">
        <v>4</v>
      </c>
      <c r="H136" s="30" t="n">
        <f aca="false">(C136/C$6)*100</f>
        <v>0.000306094962901291</v>
      </c>
      <c r="I136" s="30" t="n">
        <f aca="false">(D136/D$6)*100</f>
        <v>0.0162523257638593</v>
      </c>
      <c r="J136" s="30" t="n">
        <f aca="false">(E136/E$6)*100</f>
        <v>0.000750223191399441</v>
      </c>
      <c r="K136" s="30" t="n">
        <f aca="false">(F136/F$6)*100</f>
        <v>0.00437218358507395</v>
      </c>
      <c r="L136" s="30" t="n">
        <f aca="false">(G136/G$6)*100</f>
        <v>0.000967209190421727</v>
      </c>
      <c r="M136" s="31" t="n">
        <f aca="false">AVERAGE(H136:L136)</f>
        <v>0.00452960733873114</v>
      </c>
      <c r="N136" s="31" t="n">
        <f aca="false">((G136/C136)^(1/4)-1)*100</f>
        <v>41.4213562373095</v>
      </c>
      <c r="O136" s="31" t="n">
        <f aca="false">(G136/F136-1)*100</f>
        <v>-73.3333333333333</v>
      </c>
      <c r="P136" s="31" t="n">
        <f aca="false">(M136-$M$3)/$M$4</f>
        <v>-0.19960751758305</v>
      </c>
      <c r="Q136" s="32" t="n">
        <f aca="false">(N136-$N$3)/$N$4</f>
        <v>0.142474934941338</v>
      </c>
      <c r="R136" s="32" t="str">
        <f aca="false">IF(AND(P136&gt;0,Q136&gt;0), "ESTRELLA",
IF(AND(P136&gt;0,Q136&lt;0), "Consolidado",
IF(AND(P136&lt;0,Q136&lt;0), "estancado", "prometedor")))</f>
        <v>prometedor</v>
      </c>
    </row>
    <row r="137" customFormat="false" ht="15" hidden="false" customHeight="true" outlineLevel="0" collapsed="false">
      <c r="B137" s="28" t="s">
        <v>132</v>
      </c>
      <c r="C137" s="35" t="n">
        <v>2</v>
      </c>
      <c r="D137" s="35" t="n">
        <v>1</v>
      </c>
      <c r="E137" s="35" t="n">
        <v>5</v>
      </c>
      <c r="F137" s="35" t="n">
        <v>2</v>
      </c>
      <c r="G137" s="35" t="n">
        <v>4</v>
      </c>
      <c r="H137" s="30" t="n">
        <f aca="false">(C137/C$6)*100</f>
        <v>0.000612189925802581</v>
      </c>
      <c r="I137" s="30" t="n">
        <f aca="false">(D137/D$6)*100</f>
        <v>0.000280212513169988</v>
      </c>
      <c r="J137" s="30" t="n">
        <f aca="false">(E137/E$6)*100</f>
        <v>0.00125037198566574</v>
      </c>
      <c r="K137" s="30" t="n">
        <f aca="false">(F137/F$6)*100</f>
        <v>0.000582957811343193</v>
      </c>
      <c r="L137" s="30" t="n">
        <f aca="false">(G137/G$6)*100</f>
        <v>0.000967209190421727</v>
      </c>
      <c r="M137" s="31" t="n">
        <f aca="false">AVERAGE(H137:L137)</f>
        <v>0.000738588285280645</v>
      </c>
      <c r="N137" s="31" t="n">
        <f aca="false">((G137/C137)^(1/4)-1)*100</f>
        <v>18.9207115002721</v>
      </c>
      <c r="O137" s="31" t="n">
        <f aca="false">(G137/F137-1)*100</f>
        <v>100</v>
      </c>
      <c r="P137" s="31" t="n">
        <f aca="false">(M137-$M$3)/$M$4</f>
        <v>-0.200807467701664</v>
      </c>
      <c r="Q137" s="32" t="n">
        <f aca="false">(N137-$N$3)/$N$4</f>
        <v>-0.0648305428264776</v>
      </c>
      <c r="R137" s="32" t="str">
        <f aca="false">IF(AND(P137&gt;0,Q137&gt;0), "ESTRELLA",
IF(AND(P137&gt;0,Q137&lt;0), "Consolidado",
IF(AND(P137&lt;0,Q137&lt;0), "estancado", "prometedor")))</f>
        <v>estancado</v>
      </c>
    </row>
    <row r="138" customFormat="false" ht="15" hidden="false" customHeight="true" outlineLevel="0" collapsed="false">
      <c r="B138" s="28" t="s">
        <v>133</v>
      </c>
      <c r="C138" s="35" t="n">
        <v>1</v>
      </c>
      <c r="D138" s="35" t="n">
        <v>2</v>
      </c>
      <c r="E138" s="35" t="n">
        <v>4</v>
      </c>
      <c r="F138" s="35" t="n">
        <v>3</v>
      </c>
      <c r="G138" s="35" t="n">
        <v>4</v>
      </c>
      <c r="H138" s="30" t="n">
        <f aca="false">(C138/C$6)*100</f>
        <v>0.000306094962901291</v>
      </c>
      <c r="I138" s="30" t="n">
        <f aca="false">(D138/D$6)*100</f>
        <v>0.000560425026339976</v>
      </c>
      <c r="J138" s="30" t="n">
        <f aca="false">(E138/E$6)*100</f>
        <v>0.00100029758853259</v>
      </c>
      <c r="K138" s="30" t="n">
        <f aca="false">(F138/F$6)*100</f>
        <v>0.00087443671701479</v>
      </c>
      <c r="L138" s="30" t="n">
        <f aca="false">(G138/G$6)*100</f>
        <v>0.000967209190421727</v>
      </c>
      <c r="M138" s="31" t="n">
        <f aca="false">AVERAGE(H138:L138)</f>
        <v>0.000741692697042074</v>
      </c>
      <c r="N138" s="31" t="n">
        <f aca="false">((G138/C138)^(1/4)-1)*100</f>
        <v>41.4213562373095</v>
      </c>
      <c r="O138" s="31" t="n">
        <f aca="false">(G138/F138-1)*100</f>
        <v>33.3333333333333</v>
      </c>
      <c r="P138" s="31" t="n">
        <f aca="false">(M138-$M$3)/$M$4</f>
        <v>-0.200806485079522</v>
      </c>
      <c r="Q138" s="32" t="n">
        <f aca="false">(N138-$N$3)/$N$4</f>
        <v>0.142474934941338</v>
      </c>
      <c r="R138" s="32" t="str">
        <f aca="false">IF(AND(P138&gt;0,Q138&gt;0), "ESTRELLA",
IF(AND(P138&gt;0,Q138&lt;0), "Consolidado",
IF(AND(P138&lt;0,Q138&lt;0), "estancado", "prometedor")))</f>
        <v>prometedor</v>
      </c>
    </row>
    <row r="139" customFormat="false" ht="15" hidden="false" customHeight="true" outlineLevel="0" collapsed="false">
      <c r="B139" s="28" t="s">
        <v>135</v>
      </c>
      <c r="C139" s="35" t="n">
        <v>102</v>
      </c>
      <c r="D139" s="35" t="n">
        <v>77</v>
      </c>
      <c r="E139" s="35" t="n">
        <v>125</v>
      </c>
      <c r="F139" s="35" t="n">
        <v>95</v>
      </c>
      <c r="G139" s="35" t="n">
        <v>3</v>
      </c>
      <c r="H139" s="30" t="n">
        <f aca="false">(C139/C$6)*100</f>
        <v>0.0312216862159316</v>
      </c>
      <c r="I139" s="30" t="n">
        <f aca="false">(D139/D$6)*100</f>
        <v>0.0215763635140891</v>
      </c>
      <c r="J139" s="30" t="n">
        <f aca="false">(E139/E$6)*100</f>
        <v>0.0312592996416434</v>
      </c>
      <c r="K139" s="30" t="n">
        <f aca="false">(F139/F$6)*100</f>
        <v>0.0276904960388017</v>
      </c>
      <c r="L139" s="30" t="n">
        <f aca="false">(G139/G$6)*100</f>
        <v>0.000725406892816296</v>
      </c>
      <c r="M139" s="31" t="n">
        <f aca="false">AVERAGE(H139:L139)</f>
        <v>0.0224946504606564</v>
      </c>
      <c r="N139" s="31" t="n">
        <f aca="false">((G139/C139)^(1/4)-1)*100</f>
        <v>-58.5876123433448</v>
      </c>
      <c r="O139" s="31" t="n">
        <f aca="false">(G139/F139-1)*100</f>
        <v>-96.8421052631579</v>
      </c>
      <c r="P139" s="31" t="n">
        <f aca="false">(M139-$M$3)/$M$4</f>
        <v>-0.193921142674056</v>
      </c>
      <c r="Q139" s="32" t="n">
        <f aca="false">(N139-$N$3)/$N$4</f>
        <v>-0.778938973636679</v>
      </c>
      <c r="R139" s="32" t="str">
        <f aca="false">IF(AND(P139&gt;0,Q139&gt;0), "ESTRELLA",
IF(AND(P139&gt;0,Q139&lt;0), "Consolidado",
IF(AND(P139&lt;0,Q139&lt;0), "estancado", "prometedor")))</f>
        <v>estancado</v>
      </c>
    </row>
    <row r="140" customFormat="false" ht="15" hidden="false" customHeight="true" outlineLevel="0" collapsed="false">
      <c r="B140" s="28" t="s">
        <v>137</v>
      </c>
      <c r="C140" s="35" t="n">
        <v>26</v>
      </c>
      <c r="D140" s="35" t="n">
        <v>53</v>
      </c>
      <c r="E140" s="35" t="n">
        <v>10</v>
      </c>
      <c r="F140" s="35" t="n">
        <v>6</v>
      </c>
      <c r="G140" s="35" t="n">
        <v>3</v>
      </c>
      <c r="H140" s="30" t="n">
        <f aca="false">(C140/C$6)*100</f>
        <v>0.00795846903543355</v>
      </c>
      <c r="I140" s="30" t="n">
        <f aca="false">(D140/D$6)*100</f>
        <v>0.0148512631980094</v>
      </c>
      <c r="J140" s="30" t="n">
        <f aca="false">(E140/E$6)*100</f>
        <v>0.00250074397133147</v>
      </c>
      <c r="K140" s="30" t="n">
        <f aca="false">(F140/F$6)*100</f>
        <v>0.00174887343402958</v>
      </c>
      <c r="L140" s="30" t="n">
        <f aca="false">(G140/G$6)*100</f>
        <v>0.000725406892816296</v>
      </c>
      <c r="M140" s="31" t="n">
        <f aca="false">AVERAGE(H140:L140)</f>
        <v>0.00555695130632405</v>
      </c>
      <c r="N140" s="31" t="n">
        <f aca="false">((G140/C140)^(1/4)-1)*100</f>
        <v>-41.7176604584735</v>
      </c>
      <c r="O140" s="31" t="n">
        <f aca="false">(G140/F140-1)*100</f>
        <v>-50</v>
      </c>
      <c r="P140" s="31" t="n">
        <f aca="false">(M140-$M$3)/$M$4</f>
        <v>-0.199282338126448</v>
      </c>
      <c r="Q140" s="32" t="n">
        <f aca="false">(N140-$N$3)/$N$4</f>
        <v>-0.62351083029745</v>
      </c>
      <c r="R140" s="32" t="str">
        <f aca="false">IF(AND(P140&gt;0,Q140&gt;0), "ESTRELLA",
IF(AND(P140&gt;0,Q140&lt;0), "Consolidado",
IF(AND(P140&lt;0,Q140&lt;0), "estancado", "prometedor")))</f>
        <v>estancado</v>
      </c>
    </row>
    <row r="141" customFormat="false" ht="15" hidden="false" customHeight="true" outlineLevel="0" collapsed="false">
      <c r="B141" s="28" t="s">
        <v>136</v>
      </c>
      <c r="C141" s="35" t="n">
        <v>1</v>
      </c>
      <c r="D141" s="35" t="n">
        <v>3</v>
      </c>
      <c r="E141" s="35" t="n">
        <v>2</v>
      </c>
      <c r="F141" s="35" t="n">
        <v>1</v>
      </c>
      <c r="G141" s="35" t="n">
        <v>3</v>
      </c>
      <c r="H141" s="30" t="n">
        <f aca="false">(C141/C$6)*100</f>
        <v>0.000306094962901291</v>
      </c>
      <c r="I141" s="30" t="n">
        <f aca="false">(D141/D$6)*100</f>
        <v>0.000840637539509964</v>
      </c>
      <c r="J141" s="30" t="n">
        <f aca="false">(E141/E$6)*100</f>
        <v>0.000500148794266294</v>
      </c>
      <c r="K141" s="30" t="n">
        <f aca="false">(F141/F$6)*100</f>
        <v>0.000291478905671597</v>
      </c>
      <c r="L141" s="30" t="n">
        <f aca="false">(G141/G$6)*100</f>
        <v>0.000725406892816296</v>
      </c>
      <c r="M141" s="31" t="n">
        <f aca="false">AVERAGE(H141:L141)</f>
        <v>0.000532753419033088</v>
      </c>
      <c r="N141" s="31" t="n">
        <f aca="false">((G141/C141)^(1/4)-1)*100</f>
        <v>31.6074012952492</v>
      </c>
      <c r="O141" s="31" t="n">
        <f aca="false">(G141/F141-1)*100</f>
        <v>200</v>
      </c>
      <c r="P141" s="31" t="n">
        <f aca="false">(M141-$M$3)/$M$4</f>
        <v>-0.200872619463944</v>
      </c>
      <c r="Q141" s="32" t="n">
        <f aca="false">(N141-$N$3)/$N$4</f>
        <v>0.0520558984278315</v>
      </c>
      <c r="R141" s="32" t="str">
        <f aca="false">IF(AND(P141&gt;0,Q141&gt;0), "ESTRELLA",
IF(AND(P141&gt;0,Q141&lt;0), "Consolidado",
IF(AND(P141&lt;0,Q141&lt;0), "estancado", "prometedor")))</f>
        <v>prometedor</v>
      </c>
    </row>
    <row r="142" customFormat="false" ht="15" hidden="false" customHeight="true" outlineLevel="0" collapsed="false">
      <c r="B142" s="28" t="s">
        <v>138</v>
      </c>
      <c r="C142" s="35" t="n">
        <v>33</v>
      </c>
      <c r="D142" s="35" t="n">
        <v>6</v>
      </c>
      <c r="E142" s="35" t="n">
        <v>8</v>
      </c>
      <c r="F142" s="35" t="n">
        <v>3</v>
      </c>
      <c r="G142" s="35" t="n">
        <v>2</v>
      </c>
      <c r="H142" s="30" t="n">
        <f aca="false">(C142/C$6)*100</f>
        <v>0.0101011337757426</v>
      </c>
      <c r="I142" s="30" t="n">
        <f aca="false">(D142/D$6)*100</f>
        <v>0.00168127507901993</v>
      </c>
      <c r="J142" s="30" t="n">
        <f aca="false">(E142/E$6)*100</f>
        <v>0.00200059517706518</v>
      </c>
      <c r="K142" s="30" t="n">
        <f aca="false">(F142/F$6)*100</f>
        <v>0.00087443671701479</v>
      </c>
      <c r="L142" s="30" t="n">
        <f aca="false">(G142/G$6)*100</f>
        <v>0.000483604595210864</v>
      </c>
      <c r="M142" s="31" t="n">
        <f aca="false">AVERAGE(H142:L142)</f>
        <v>0.00302820906881067</v>
      </c>
      <c r="N142" s="31" t="n">
        <f aca="false">((G142/C142)^(1/4)-1)*100</f>
        <v>-50.3831699965964</v>
      </c>
      <c r="O142" s="31" t="n">
        <f aca="false">(G142/F142-1)*100</f>
        <v>-33.3333333333333</v>
      </c>
      <c r="P142" s="31" t="n">
        <f aca="false">(M142-$M$3)/$M$4</f>
        <v>-0.200082746804185</v>
      </c>
      <c r="Q142" s="32" t="n">
        <f aca="false">(N142-$N$3)/$N$4</f>
        <v>-0.703348880090981</v>
      </c>
      <c r="R142" s="32" t="str">
        <f aca="false">IF(AND(P142&gt;0,Q142&gt;0), "ESTRELLA",
IF(AND(P142&gt;0,Q142&lt;0), "Consolidado",
IF(AND(P142&lt;0,Q142&lt;0), "estancado", "prometedor")))</f>
        <v>estancado</v>
      </c>
    </row>
    <row r="143" customFormat="false" ht="15" hidden="false" customHeight="true" outlineLevel="0" collapsed="false">
      <c r="B143" s="28" t="s">
        <v>139</v>
      </c>
      <c r="C143" s="35" t="n">
        <v>2</v>
      </c>
      <c r="D143" s="35" t="n">
        <v>14</v>
      </c>
      <c r="E143" s="35" t="n">
        <v>3</v>
      </c>
      <c r="F143" s="35" t="n">
        <v>40</v>
      </c>
      <c r="G143" s="35" t="n">
        <v>2</v>
      </c>
      <c r="H143" s="30" t="n">
        <f aca="false">(C143/C$6)*100</f>
        <v>0.000612189925802581</v>
      </c>
      <c r="I143" s="30" t="n">
        <f aca="false">(D143/D$6)*100</f>
        <v>0.00392297518437983</v>
      </c>
      <c r="J143" s="30" t="n">
        <f aca="false">(E143/E$6)*100</f>
        <v>0.000750223191399441</v>
      </c>
      <c r="K143" s="30" t="n">
        <f aca="false">(F143/F$6)*100</f>
        <v>0.0116591562268639</v>
      </c>
      <c r="L143" s="30" t="n">
        <f aca="false">(G143/G$6)*100</f>
        <v>0.000483604595210864</v>
      </c>
      <c r="M143" s="31" t="n">
        <f aca="false">AVERAGE(H143:L143)</f>
        <v>0.00348562982473132</v>
      </c>
      <c r="N143" s="31" t="n">
        <f aca="false">((G143/C143)^(1/4)-1)*100</f>
        <v>0</v>
      </c>
      <c r="O143" s="31" t="n">
        <f aca="false">(G143/F143-1)*100</f>
        <v>-95</v>
      </c>
      <c r="P143" s="31" t="n">
        <f aca="false">(M143-$M$3)/$M$4</f>
        <v>-0.199937961963332</v>
      </c>
      <c r="Q143" s="32" t="n">
        <f aca="false">(N143-$N$3)/$N$4</f>
        <v>-0.239152975943892</v>
      </c>
      <c r="R143" s="32" t="str">
        <f aca="false">IF(AND(P143&gt;0,Q143&gt;0), "ESTRELLA",
IF(AND(P143&gt;0,Q143&lt;0), "Consolidado",
IF(AND(P143&lt;0,Q143&lt;0), "estancado", "prometedor")))</f>
        <v>estancado</v>
      </c>
    </row>
    <row r="144" customFormat="false" ht="15" hidden="false" customHeight="true" outlineLevel="0" collapsed="false">
      <c r="B144" s="28" t="s">
        <v>202</v>
      </c>
      <c r="C144" s="35" t="n">
        <v>4</v>
      </c>
      <c r="D144" s="35" t="n">
        <f aca="false">E144+(E144/C144-1)*E144</f>
        <v>16</v>
      </c>
      <c r="E144" s="35" t="n">
        <v>8</v>
      </c>
      <c r="F144" s="35" t="n">
        <f aca="false">E144+(E144/D144-1)*E144</f>
        <v>4</v>
      </c>
      <c r="G144" s="35" t="n">
        <f aca="false">F144+(F144/E144-1)*F144</f>
        <v>2</v>
      </c>
      <c r="H144" s="30" t="n">
        <f aca="false">(C144/C$6)*100</f>
        <v>0.00122437985160516</v>
      </c>
      <c r="I144" s="30" t="n">
        <f aca="false">(D144/D$6)*100</f>
        <v>0.00448340021071981</v>
      </c>
      <c r="J144" s="30" t="n">
        <f aca="false">(E144/E$6)*100</f>
        <v>0.00200059517706518</v>
      </c>
      <c r="K144" s="30" t="n">
        <f aca="false">(F144/F$6)*100</f>
        <v>0.00116591562268639</v>
      </c>
      <c r="L144" s="30" t="n">
        <f aca="false">(G144/G$6)*100</f>
        <v>0.000483604595210864</v>
      </c>
      <c r="M144" s="31" t="n">
        <f aca="false">AVERAGE(H144:L144)</f>
        <v>0.00187157909145748</v>
      </c>
      <c r="N144" s="31" t="n">
        <f aca="false">((G144/C144)^(1/4)-1)*100</f>
        <v>-15.9103584746286</v>
      </c>
      <c r="O144" s="31" t="n">
        <f aca="false">(G144/F144-1)*100</f>
        <v>-50</v>
      </c>
      <c r="P144" s="31" t="n">
        <f aca="false">(M144-$M$3)/$M$4</f>
        <v>-0.200448848440433</v>
      </c>
      <c r="Q144" s="32" t="n">
        <f aca="false">(N144-$N$3)/$N$4</f>
        <v>-0.385740085050632</v>
      </c>
      <c r="R144" s="32" t="str">
        <f aca="false">IF(AND(P144&gt;0,Q144&gt;0), "ESTRELLA",
IF(AND(P144&gt;0,Q144&lt;0), "Consolidado",
IF(AND(P144&lt;0,Q144&lt;0), "estancado", "prometedor")))</f>
        <v>estancado</v>
      </c>
    </row>
    <row r="145" customFormat="false" ht="15" hidden="false" customHeight="true" outlineLevel="0" collapsed="false">
      <c r="B145" s="28" t="s">
        <v>142</v>
      </c>
      <c r="C145" s="35" t="n">
        <f aca="false">D145+(D145/E145-1)*D145</f>
        <v>1.28571428571429</v>
      </c>
      <c r="D145" s="35" t="n">
        <v>3</v>
      </c>
      <c r="E145" s="35" t="n">
        <v>7</v>
      </c>
      <c r="F145" s="35" t="n">
        <f aca="false">E145+(E145/D145-1)*E145</f>
        <v>16.3333333333333</v>
      </c>
      <c r="G145" s="35" t="n">
        <v>2</v>
      </c>
      <c r="H145" s="30" t="n">
        <f aca="false">(C145/C$6)*100</f>
        <v>0.000393550666587375</v>
      </c>
      <c r="I145" s="30" t="n">
        <f aca="false">(D145/D$6)*100</f>
        <v>0.000840637539509964</v>
      </c>
      <c r="J145" s="30" t="n">
        <f aca="false">(E145/E$6)*100</f>
        <v>0.00175052077993203</v>
      </c>
      <c r="K145" s="30" t="n">
        <f aca="false">(F145/F$6)*100</f>
        <v>0.0047608221259694</v>
      </c>
      <c r="L145" s="30" t="n">
        <f aca="false">(G145/G$6)*100</f>
        <v>0.000483604595210864</v>
      </c>
      <c r="M145" s="31" t="n">
        <f aca="false">AVERAGE(H145:L145)</f>
        <v>0.00164582714144193</v>
      </c>
      <c r="N145" s="31" t="n">
        <f aca="false">((G145/C145)^(1/4)-1)*100</f>
        <v>11.6789652944836</v>
      </c>
      <c r="O145" s="31" t="n">
        <f aca="false">(G145/F145-1)*100</f>
        <v>-87.7551020408163</v>
      </c>
      <c r="P145" s="31" t="n">
        <f aca="false">(M145-$M$3)/$M$4</f>
        <v>-0.200520304446161</v>
      </c>
      <c r="Q145" s="32" t="n">
        <f aca="false">(N145-$N$3)/$N$4</f>
        <v>-0.13155101571111</v>
      </c>
      <c r="R145" s="32" t="str">
        <f aca="false">IF(AND(P145&gt;0,Q145&gt;0), "ESTRELLA",
IF(AND(P145&gt;0,Q145&lt;0), "Consolidado",
IF(AND(P145&lt;0,Q145&lt;0), "estancado", "prometedor")))</f>
        <v>estancado</v>
      </c>
    </row>
    <row r="146" customFormat="false" ht="15" hidden="false" customHeight="true" outlineLevel="0" collapsed="false">
      <c r="B146" s="28" t="s">
        <v>141</v>
      </c>
      <c r="C146" s="35" t="n">
        <v>3</v>
      </c>
      <c r="D146" s="35" t="n">
        <v>2</v>
      </c>
      <c r="E146" s="35" t="n">
        <f aca="false">D146+(D146/C146-1)*D146</f>
        <v>1.33333333333333</v>
      </c>
      <c r="F146" s="35" t="n">
        <f aca="false">E146+(E146/D146-1)*E146</f>
        <v>0.888888888888889</v>
      </c>
      <c r="G146" s="35" t="n">
        <v>2</v>
      </c>
      <c r="H146" s="30" t="n">
        <f aca="false">(C146/C$6)*100</f>
        <v>0.000918284888703872</v>
      </c>
      <c r="I146" s="30" t="n">
        <f aca="false">(D146/D$6)*100</f>
        <v>0.000560425026339976</v>
      </c>
      <c r="J146" s="30" t="n">
        <f aca="false">(E146/E$6)*100</f>
        <v>0.000333432529510862</v>
      </c>
      <c r="K146" s="30" t="n">
        <f aca="false">(F146/F$6)*100</f>
        <v>0.000259092360596975</v>
      </c>
      <c r="L146" s="30" t="n">
        <f aca="false">(G146/G$6)*100</f>
        <v>0.000483604595210864</v>
      </c>
      <c r="M146" s="31" t="n">
        <f aca="false">AVERAGE(H146:L146)</f>
        <v>0.00051096788007251</v>
      </c>
      <c r="N146" s="31" t="n">
        <f aca="false">((G146/C146)^(1/4)-1)*100</f>
        <v>-9.63979963901552</v>
      </c>
      <c r="O146" s="31" t="n">
        <f aca="false">(G146/F146-1)*100</f>
        <v>125</v>
      </c>
      <c r="P146" s="31" t="n">
        <f aca="false">(M146-$M$3)/$M$4</f>
        <v>-0.200879515119094</v>
      </c>
      <c r="Q146" s="32" t="n">
        <f aca="false">(N146-$N$3)/$N$4</f>
        <v>-0.327967465177735</v>
      </c>
      <c r="R146" s="32" t="str">
        <f aca="false">IF(AND(P146&gt;0,Q146&gt;0), "ESTRELLA",
IF(AND(P146&gt;0,Q146&lt;0), "Consolidado",
IF(AND(P146&lt;0,Q146&lt;0), "estancado", "prometedor")))</f>
        <v>estancado</v>
      </c>
    </row>
    <row r="147" customFormat="false" ht="15" hidden="false" customHeight="true" outlineLevel="0" collapsed="false">
      <c r="B147" s="28" t="s">
        <v>180</v>
      </c>
      <c r="C147" s="35" t="n">
        <v>1</v>
      </c>
      <c r="D147" s="35" t="n">
        <v>3</v>
      </c>
      <c r="E147" s="35" t="n">
        <v>6</v>
      </c>
      <c r="F147" s="35" t="n">
        <v>3</v>
      </c>
      <c r="G147" s="35" t="n">
        <f aca="false">F147+(F147/E147-1)*F147</f>
        <v>1.5</v>
      </c>
      <c r="H147" s="30" t="n">
        <f aca="false">(C147/C$6)*100</f>
        <v>0.000306094962901291</v>
      </c>
      <c r="I147" s="30" t="n">
        <f aca="false">(D147/D$6)*100</f>
        <v>0.000840637539509964</v>
      </c>
      <c r="J147" s="30" t="n">
        <f aca="false">(E147/E$6)*100</f>
        <v>0.00150044638279888</v>
      </c>
      <c r="K147" s="30" t="n">
        <f aca="false">(F147/F$6)*100</f>
        <v>0.00087443671701479</v>
      </c>
      <c r="L147" s="30" t="n">
        <f aca="false">(G147/G$6)*100</f>
        <v>0.000362703446408148</v>
      </c>
      <c r="M147" s="31" t="n">
        <f aca="false">AVERAGE(H147:L147)</f>
        <v>0.000776863809726615</v>
      </c>
      <c r="N147" s="31" t="n">
        <f aca="false">((G147/C147)^(1/4)-1)*100</f>
        <v>10.6681919700321</v>
      </c>
      <c r="O147" s="31" t="n">
        <f aca="false">(G147/F147-1)*100</f>
        <v>-50</v>
      </c>
      <c r="P147" s="31" t="n">
        <f aca="false">(M147-$M$3)/$M$4</f>
        <v>-0.200795352563372</v>
      </c>
      <c r="Q147" s="32" t="n">
        <f aca="false">(N147-$N$3)/$N$4</f>
        <v>-0.14086358650138</v>
      </c>
      <c r="R147" s="32" t="str">
        <f aca="false">IF(AND(P147&gt;0,Q147&gt;0), "ESTRELLA",
IF(AND(P147&gt;0,Q147&lt;0), "Consolidado",
IF(AND(P147&lt;0,Q147&lt;0), "estancado", "prometedor")))</f>
        <v>estancado</v>
      </c>
    </row>
    <row r="148" customFormat="false" ht="15" hidden="false" customHeight="true" outlineLevel="0" collapsed="false">
      <c r="B148" s="28" t="s">
        <v>199</v>
      </c>
      <c r="C148" s="35" t="n">
        <v>13</v>
      </c>
      <c r="D148" s="35" t="n">
        <v>29</v>
      </c>
      <c r="E148" s="35" t="n">
        <v>649</v>
      </c>
      <c r="F148" s="35" t="n">
        <v>31</v>
      </c>
      <c r="G148" s="35" t="n">
        <f aca="false">F148+(F148/E148-1)*F148</f>
        <v>1.48073959938367</v>
      </c>
      <c r="H148" s="30" t="n">
        <f aca="false">(C148/C$6)*100</f>
        <v>0.00397923451771678</v>
      </c>
      <c r="I148" s="30" t="n">
        <f aca="false">(D148/D$6)*100</f>
        <v>0.00812616288192966</v>
      </c>
      <c r="J148" s="30" t="n">
        <f aca="false">(E148/E$6)*100</f>
        <v>0.162298283739412</v>
      </c>
      <c r="K148" s="30" t="n">
        <f aca="false">(F148/F$6)*100</f>
        <v>0.00903584607581949</v>
      </c>
      <c r="L148" s="30" t="n">
        <f aca="false">(G148/G$6)*100</f>
        <v>0.000358046237286318</v>
      </c>
      <c r="M148" s="31" t="n">
        <f aca="false">AVERAGE(H148:L148)</f>
        <v>0.0367595146904329</v>
      </c>
      <c r="N148" s="31" t="n">
        <f aca="false">((G148/C148)^(1/4)-1)*100</f>
        <v>-41.9056583256477</v>
      </c>
      <c r="O148" s="31" t="n">
        <f aca="false">(G148/F148-1)*100</f>
        <v>-95.2234206471495</v>
      </c>
      <c r="P148" s="31" t="n">
        <f aca="false">(M148-$M$3)/$M$4</f>
        <v>-0.189405964754032</v>
      </c>
      <c r="Q148" s="32" t="n">
        <f aca="false">(N148-$N$3)/$N$4</f>
        <v>-0.625242913450149</v>
      </c>
      <c r="R148" s="32" t="str">
        <f aca="false">IF(AND(P148&gt;0,Q148&gt;0), "ESTRELLA",
IF(AND(P148&gt;0,Q148&lt;0), "Consolidado",
IF(AND(P148&lt;0,Q148&lt;0), "estancado", "prometedor")))</f>
        <v>estancado</v>
      </c>
    </row>
    <row r="149" customFormat="false" ht="15" hidden="false" customHeight="true" outlineLevel="0" collapsed="false">
      <c r="B149" s="28" t="s">
        <v>158</v>
      </c>
      <c r="C149" s="35" t="n">
        <v>25</v>
      </c>
      <c r="D149" s="35" t="n">
        <v>18</v>
      </c>
      <c r="E149" s="35" t="n">
        <v>20</v>
      </c>
      <c r="F149" s="35" t="n">
        <v>88</v>
      </c>
      <c r="G149" s="35" t="n">
        <v>1</v>
      </c>
      <c r="H149" s="30" t="n">
        <f aca="false">(C149/C$6)*100</f>
        <v>0.00765237407253226</v>
      </c>
      <c r="I149" s="30" t="n">
        <f aca="false">(D149/D$6)*100</f>
        <v>0.00504382523705979</v>
      </c>
      <c r="J149" s="30" t="n">
        <f aca="false">(E149/E$6)*100</f>
        <v>0.00500148794266294</v>
      </c>
      <c r="K149" s="30" t="n">
        <f aca="false">(F149/F$6)*100</f>
        <v>0.0256501436991005</v>
      </c>
      <c r="L149" s="30" t="n">
        <f aca="false">(G149/G$6)*100</f>
        <v>0.000241802297605432</v>
      </c>
      <c r="M149" s="31" t="n">
        <f aca="false">AVERAGE(H149:L149)</f>
        <v>0.00871792664979218</v>
      </c>
      <c r="N149" s="31" t="n">
        <f aca="false">((G149/C149)^(1/4)-1)*100</f>
        <v>-55.2786404500042</v>
      </c>
      <c r="O149" s="31" t="n">
        <f aca="false">(G149/F149-1)*100</f>
        <v>-98.8636363636364</v>
      </c>
      <c r="P149" s="31" t="n">
        <f aca="false">(M149-$M$3)/$M$4</f>
        <v>-0.198281812229624</v>
      </c>
      <c r="Q149" s="32" t="n">
        <f aca="false">(N149-$N$3)/$N$4</f>
        <v>-0.748452380595187</v>
      </c>
      <c r="R149" s="32" t="str">
        <f aca="false">IF(AND(P149&gt;0,Q149&gt;0), "ESTRELLA",
IF(AND(P149&gt;0,Q149&lt;0), "Consolidado",
IF(AND(P149&lt;0,Q149&lt;0), "estancado", "prometedor")))</f>
        <v>estancado</v>
      </c>
    </row>
    <row r="150" customFormat="false" ht="15" hidden="false" customHeight="true" outlineLevel="0" collapsed="false">
      <c r="B150" s="28" t="s">
        <v>153</v>
      </c>
      <c r="C150" s="35" t="n">
        <v>30</v>
      </c>
      <c r="D150" s="35" t="n">
        <v>12</v>
      </c>
      <c r="E150" s="35" t="n">
        <v>18</v>
      </c>
      <c r="F150" s="35" t="n">
        <v>10</v>
      </c>
      <c r="G150" s="35" t="n">
        <v>1</v>
      </c>
      <c r="H150" s="30" t="n">
        <f aca="false">(C150/C$6)*100</f>
        <v>0.00918284888703872</v>
      </c>
      <c r="I150" s="30" t="n">
        <f aca="false">(D150/D$6)*100</f>
        <v>0.00336255015803986</v>
      </c>
      <c r="J150" s="30" t="n">
        <f aca="false">(E150/E$6)*100</f>
        <v>0.00450133914839665</v>
      </c>
      <c r="K150" s="30" t="n">
        <f aca="false">(F150/F$6)*100</f>
        <v>0.00291478905671597</v>
      </c>
      <c r="L150" s="30" t="n">
        <f aca="false">(G150/G$6)*100</f>
        <v>0.000241802297605432</v>
      </c>
      <c r="M150" s="31" t="n">
        <f aca="false">AVERAGE(H150:L150)</f>
        <v>0.00404066590955932</v>
      </c>
      <c r="N150" s="31" t="n">
        <f aca="false">((G150/C150)^(1/4)-1)*100</f>
        <v>-57.2712993603766</v>
      </c>
      <c r="O150" s="31" t="n">
        <f aca="false">(G150/F150-1)*100</f>
        <v>-90</v>
      </c>
      <c r="P150" s="31" t="n">
        <f aca="false">(M150-$M$3)/$M$4</f>
        <v>-0.199762279486817</v>
      </c>
      <c r="Q150" s="32" t="n">
        <f aca="false">(N150-$N$3)/$N$4</f>
        <v>-0.766811370405069</v>
      </c>
      <c r="R150" s="32" t="str">
        <f aca="false">IF(AND(P150&gt;0,Q150&gt;0), "ESTRELLA",
IF(AND(P150&gt;0,Q150&lt;0), "Consolidado",
IF(AND(P150&lt;0,Q150&lt;0), "estancado", "prometedor")))</f>
        <v>estancado</v>
      </c>
    </row>
    <row r="151" customFormat="false" ht="15" hidden="false" customHeight="true" outlineLevel="0" collapsed="false">
      <c r="B151" s="44" t="s">
        <v>151</v>
      </c>
      <c r="C151" s="35" t="n">
        <f aca="false">D151+(D151/E151-1)*D151</f>
        <v>0.0112359550561798</v>
      </c>
      <c r="D151" s="35" t="n">
        <v>1</v>
      </c>
      <c r="E151" s="35" t="n">
        <v>89</v>
      </c>
      <c r="F151" s="35" t="n">
        <v>36</v>
      </c>
      <c r="G151" s="35" t="n">
        <v>1</v>
      </c>
      <c r="H151" s="30" t="n">
        <f aca="false">(C151/C$6)*100</f>
        <v>3.43926924608192E-006</v>
      </c>
      <c r="I151" s="30" t="n">
        <f aca="false">(D151/D$6)*100</f>
        <v>0.000280212513169988</v>
      </c>
      <c r="J151" s="30" t="n">
        <f aca="false">(E151/E$6)*100</f>
        <v>0.0222566213448501</v>
      </c>
      <c r="K151" s="30" t="n">
        <f aca="false">(F151/F$6)*100</f>
        <v>0.0104932406041775</v>
      </c>
      <c r="L151" s="30" t="n">
        <f aca="false">(G151/G$6)*100</f>
        <v>0.000241802297605432</v>
      </c>
      <c r="M151" s="31" t="n">
        <f aca="false">AVERAGE(H151:L151)</f>
        <v>0.00665506320580981</v>
      </c>
      <c r="N151" s="31" t="n">
        <f aca="false">((G151/C151)^(1/4)-1)*100</f>
        <v>207.147865564073</v>
      </c>
      <c r="O151" s="31" t="n">
        <f aca="false">(G151/F151-1)*100</f>
        <v>-97.2222222222222</v>
      </c>
      <c r="P151" s="31" t="n">
        <f aca="false">(M151-$M$3)/$M$4</f>
        <v>-0.198934758891033</v>
      </c>
      <c r="Q151" s="32" t="n">
        <f aca="false">(N151-$N$3)/$N$4</f>
        <v>1.66936510170287</v>
      </c>
      <c r="R151" s="32" t="str">
        <f aca="false">IF(AND(P151&gt;0,Q151&gt;0), "ESTRELLA",
IF(AND(P151&gt;0,Q151&lt;0), "Consolidado",
IF(AND(P151&lt;0,Q151&lt;0), "estancado", "prometedor")))</f>
        <v>prometedor</v>
      </c>
    </row>
    <row r="152" customFormat="false" ht="15" hidden="false" customHeight="true" outlineLevel="0" collapsed="false">
      <c r="B152" s="28" t="s">
        <v>147</v>
      </c>
      <c r="C152" s="35" t="n">
        <v>24</v>
      </c>
      <c r="D152" s="35" t="n">
        <v>10</v>
      </c>
      <c r="E152" s="35" t="n">
        <v>18</v>
      </c>
      <c r="F152" s="35" t="n">
        <v>3</v>
      </c>
      <c r="G152" s="35" t="n">
        <v>1</v>
      </c>
      <c r="H152" s="30" t="n">
        <f aca="false">(C152/C$6)*100</f>
        <v>0.00734627910963097</v>
      </c>
      <c r="I152" s="30" t="n">
        <f aca="false">(D152/D$6)*100</f>
        <v>0.00280212513169988</v>
      </c>
      <c r="J152" s="30" t="n">
        <f aca="false">(E152/E$6)*100</f>
        <v>0.00450133914839665</v>
      </c>
      <c r="K152" s="30" t="n">
        <f aca="false">(F152/F$6)*100</f>
        <v>0.00087443671701479</v>
      </c>
      <c r="L152" s="30" t="n">
        <f aca="false">(G152/G$6)*100</f>
        <v>0.000241802297605432</v>
      </c>
      <c r="M152" s="31" t="n">
        <f aca="false">AVERAGE(H152:L152)</f>
        <v>0.00315319648086954</v>
      </c>
      <c r="N152" s="31" t="n">
        <f aca="false">((G152/C152)^(1/4)-1)*100</f>
        <v>-54.8198998195078</v>
      </c>
      <c r="O152" s="31" t="n">
        <f aca="false">(G152/F152-1)*100</f>
        <v>-66.6666666666667</v>
      </c>
      <c r="P152" s="31" t="n">
        <f aca="false">(M152-$M$3)/$M$4</f>
        <v>-0.200043185235696</v>
      </c>
      <c r="Q152" s="32" t="n">
        <f aca="false">(N152-$N$3)/$N$4</f>
        <v>-0.744225859680431</v>
      </c>
      <c r="R152" s="32" t="str">
        <f aca="false">IF(AND(P152&gt;0,Q152&gt;0), "ESTRELLA",
IF(AND(P152&gt;0,Q152&lt;0), "Consolidado",
IF(AND(P152&lt;0,Q152&lt;0), "estancado", "prometedor")))</f>
        <v>estancado</v>
      </c>
    </row>
    <row r="153" customFormat="false" ht="15" hidden="false" customHeight="true" outlineLevel="0" collapsed="false">
      <c r="B153" s="28" t="s">
        <v>146</v>
      </c>
      <c r="C153" s="35" t="n">
        <v>18</v>
      </c>
      <c r="D153" s="35" t="n">
        <v>4</v>
      </c>
      <c r="E153" s="35" t="n">
        <v>10</v>
      </c>
      <c r="F153" s="35" t="n">
        <v>7</v>
      </c>
      <c r="G153" s="35" t="n">
        <v>1</v>
      </c>
      <c r="H153" s="30" t="n">
        <f aca="false">(C153/C$6)*100</f>
        <v>0.00550970933222323</v>
      </c>
      <c r="I153" s="30" t="n">
        <f aca="false">(D153/D$6)*100</f>
        <v>0.00112085005267995</v>
      </c>
      <c r="J153" s="30" t="n">
        <f aca="false">(E153/E$6)*100</f>
        <v>0.00250074397133147</v>
      </c>
      <c r="K153" s="30" t="n">
        <f aca="false">(F153/F$6)*100</f>
        <v>0.00204035233970118</v>
      </c>
      <c r="L153" s="30" t="n">
        <f aca="false">(G153/G$6)*100</f>
        <v>0.000241802297605432</v>
      </c>
      <c r="M153" s="31" t="n">
        <f aca="false">AVERAGE(H153:L153)</f>
        <v>0.00228269159870825</v>
      </c>
      <c r="N153" s="31" t="n">
        <f aca="false">((G153/C153)^(1/4)-1)*100</f>
        <v>-51.4508228292677</v>
      </c>
      <c r="O153" s="31" t="n">
        <f aca="false">(G153/F153-1)*100</f>
        <v>-85.7142857142857</v>
      </c>
      <c r="P153" s="31" t="n">
        <f aca="false">(M153-$M$3)/$M$4</f>
        <v>-0.200318721291273</v>
      </c>
      <c r="Q153" s="32" t="n">
        <f aca="false">(N153-$N$3)/$N$4</f>
        <v>-0.713185499581388</v>
      </c>
      <c r="R153" s="32" t="str">
        <f aca="false">IF(AND(P153&gt;0,Q153&gt;0), "ESTRELLA",
IF(AND(P153&gt;0,Q153&lt;0), "Consolidado",
IF(AND(P153&lt;0,Q153&lt;0), "estancado", "prometedor")))</f>
        <v>estancado</v>
      </c>
    </row>
    <row r="154" customFormat="false" ht="15" hidden="false" customHeight="true" outlineLevel="0" collapsed="false">
      <c r="B154" s="28" t="s">
        <v>156</v>
      </c>
      <c r="C154" s="35" t="n">
        <v>1</v>
      </c>
      <c r="D154" s="35" t="n">
        <v>13</v>
      </c>
      <c r="E154" s="35" t="n">
        <v>5</v>
      </c>
      <c r="F154" s="35" t="n">
        <v>20</v>
      </c>
      <c r="G154" s="35" t="n">
        <v>1</v>
      </c>
      <c r="H154" s="30" t="n">
        <f aca="false">(C154/C$6)*100</f>
        <v>0.000306094962901291</v>
      </c>
      <c r="I154" s="30" t="n">
        <f aca="false">(D154/D$6)*100</f>
        <v>0.00364276267120985</v>
      </c>
      <c r="J154" s="30" t="n">
        <f aca="false">(E154/E$6)*100</f>
        <v>0.00125037198566574</v>
      </c>
      <c r="K154" s="30" t="n">
        <f aca="false">(F154/F$6)*100</f>
        <v>0.00582957811343193</v>
      </c>
      <c r="L154" s="30" t="n">
        <f aca="false">(G154/G$6)*100</f>
        <v>0.000241802297605432</v>
      </c>
      <c r="M154" s="31" t="n">
        <f aca="false">AVERAGE(H154:L154)</f>
        <v>0.00225412200616285</v>
      </c>
      <c r="N154" s="31" t="n">
        <f aca="false">((G154/C154)^(1/4)-1)*100</f>
        <v>0</v>
      </c>
      <c r="O154" s="31" t="n">
        <f aca="false">(G154/F154-1)*100</f>
        <v>-95</v>
      </c>
      <c r="P154" s="31" t="n">
        <f aca="false">(M154-$M$3)/$M$4</f>
        <v>-0.200327764265069</v>
      </c>
      <c r="Q154" s="32" t="n">
        <f aca="false">(N154-$N$3)/$N$4</f>
        <v>-0.239152975943892</v>
      </c>
      <c r="R154" s="32" t="str">
        <f aca="false">IF(AND(P154&gt;0,Q154&gt;0), "ESTRELLA",
IF(AND(P154&gt;0,Q154&lt;0), "Consolidado",
IF(AND(P154&lt;0,Q154&lt;0), "estancado", "prometedor")))</f>
        <v>estancado</v>
      </c>
    </row>
    <row r="155" customFormat="false" ht="15" hidden="false" customHeight="true" outlineLevel="0" collapsed="false">
      <c r="B155" s="28" t="s">
        <v>154</v>
      </c>
      <c r="C155" s="35" t="n">
        <v>11</v>
      </c>
      <c r="D155" s="35" t="n">
        <f aca="false">E155+(E155/F155-1)*E155</f>
        <v>1</v>
      </c>
      <c r="E155" s="35" t="n">
        <v>2</v>
      </c>
      <c r="F155" s="35" t="n">
        <v>4</v>
      </c>
      <c r="G155" s="35" t="n">
        <v>1</v>
      </c>
      <c r="H155" s="30" t="n">
        <f aca="false">(C155/C$6)*100</f>
        <v>0.0033670445919142</v>
      </c>
      <c r="I155" s="30" t="n">
        <f aca="false">(D155/D$6)*100</f>
        <v>0.000280212513169988</v>
      </c>
      <c r="J155" s="30" t="n">
        <f aca="false">(E155/E$6)*100</f>
        <v>0.000500148794266294</v>
      </c>
      <c r="K155" s="30" t="n">
        <f aca="false">(F155/F$6)*100</f>
        <v>0.00116591562268639</v>
      </c>
      <c r="L155" s="30" t="n">
        <f aca="false">(G155/G$6)*100</f>
        <v>0.000241802297605432</v>
      </c>
      <c r="M155" s="31" t="n">
        <f aca="false">AVERAGE(H155:L155)</f>
        <v>0.00111102476392846</v>
      </c>
      <c r="N155" s="31" t="n">
        <f aca="false">((G155/C155)^(1/4)-1)*100</f>
        <v>-45.0899513223888</v>
      </c>
      <c r="O155" s="31" t="n">
        <f aca="false">(G155/F155-1)*100</f>
        <v>-75</v>
      </c>
      <c r="P155" s="31" t="n">
        <f aca="false">(M155-$M$3)/$M$4</f>
        <v>-0.200689582460142</v>
      </c>
      <c r="Q155" s="32" t="n">
        <f aca="false">(N155-$N$3)/$N$4</f>
        <v>-0.654580800819906</v>
      </c>
      <c r="R155" s="32" t="str">
        <f aca="false">IF(AND(P155&gt;0,Q155&gt;0), "ESTRELLA",
IF(AND(P155&gt;0,Q155&lt;0), "Consolidado",
IF(AND(P155&lt;0,Q155&lt;0), "estancado", "prometedor")))</f>
        <v>estancado</v>
      </c>
    </row>
    <row r="156" customFormat="false" ht="15" hidden="false" customHeight="true" outlineLevel="0" collapsed="false">
      <c r="B156" s="28" t="s">
        <v>144</v>
      </c>
      <c r="C156" s="35" t="n">
        <v>4</v>
      </c>
      <c r="D156" s="35" t="n">
        <v>5</v>
      </c>
      <c r="E156" s="35" t="n">
        <v>4</v>
      </c>
      <c r="F156" s="35" t="n">
        <v>2</v>
      </c>
      <c r="G156" s="35" t="n">
        <v>1</v>
      </c>
      <c r="H156" s="30" t="n">
        <f aca="false">(C156/C$6)*100</f>
        <v>0.00122437985160516</v>
      </c>
      <c r="I156" s="30" t="n">
        <f aca="false">(D156/D$6)*100</f>
        <v>0.00140106256584994</v>
      </c>
      <c r="J156" s="30" t="n">
        <f aca="false">(E156/E$6)*100</f>
        <v>0.00100029758853259</v>
      </c>
      <c r="K156" s="30" t="n">
        <f aca="false">(F156/F$6)*100</f>
        <v>0.000582957811343193</v>
      </c>
      <c r="L156" s="30" t="n">
        <f aca="false">(G156/G$6)*100</f>
        <v>0.000241802297605432</v>
      </c>
      <c r="M156" s="31" t="n">
        <f aca="false">AVERAGE(H156:L156)</f>
        <v>0.000890100022987263</v>
      </c>
      <c r="N156" s="31" t="n">
        <f aca="false">((G156/C156)^(1/4)-1)*100</f>
        <v>-29.2893218813452</v>
      </c>
      <c r="O156" s="31" t="n">
        <f aca="false">(G156/F156-1)*100</f>
        <v>-50</v>
      </c>
      <c r="P156" s="31" t="n">
        <f aca="false">(M156-$M$3)/$M$4</f>
        <v>-0.200759510536303</v>
      </c>
      <c r="Q156" s="32" t="n">
        <f aca="false">(N156-$N$3)/$N$4</f>
        <v>-0.509004659620894</v>
      </c>
      <c r="R156" s="32" t="str">
        <f aca="false">IF(AND(P156&gt;0,Q156&gt;0), "ESTRELLA",
IF(AND(P156&gt;0,Q156&lt;0), "Consolidado",
IF(AND(P156&lt;0,Q156&lt;0), "estancado", "prometedor")))</f>
        <v>estancado</v>
      </c>
    </row>
    <row r="157" customFormat="false" ht="15" hidden="false" customHeight="true" outlineLevel="0" collapsed="false">
      <c r="B157" s="28" t="s">
        <v>145</v>
      </c>
      <c r="C157" s="35" t="n">
        <v>4</v>
      </c>
      <c r="D157" s="35" t="n">
        <v>3</v>
      </c>
      <c r="E157" s="35" t="n">
        <v>2</v>
      </c>
      <c r="F157" s="35" t="n">
        <v>1</v>
      </c>
      <c r="G157" s="35" t="n">
        <v>1</v>
      </c>
      <c r="H157" s="30" t="n">
        <f aca="false">(C157/C$6)*100</f>
        <v>0.00122437985160516</v>
      </c>
      <c r="I157" s="30" t="n">
        <f aca="false">(D157/D$6)*100</f>
        <v>0.000840637539509964</v>
      </c>
      <c r="J157" s="30" t="n">
        <f aca="false">(E157/E$6)*100</f>
        <v>0.000500148794266294</v>
      </c>
      <c r="K157" s="30" t="n">
        <f aca="false">(F157/F$6)*100</f>
        <v>0.000291478905671597</v>
      </c>
      <c r="L157" s="30" t="n">
        <f aca="false">(G157/G$6)*100</f>
        <v>0.000241802297605432</v>
      </c>
      <c r="M157" s="31" t="n">
        <f aca="false">AVERAGE(H157:L157)</f>
        <v>0.00061968947773169</v>
      </c>
      <c r="N157" s="31" t="n">
        <f aca="false">((G157/C157)^(1/4)-1)*100</f>
        <v>-29.2893218813452</v>
      </c>
      <c r="O157" s="31" t="n">
        <f aca="false">(G157/F157-1)*100</f>
        <v>0</v>
      </c>
      <c r="P157" s="31" t="n">
        <f aca="false">(M157-$M$3)/$M$4</f>
        <v>-0.200845102078123</v>
      </c>
      <c r="Q157" s="32" t="n">
        <f aca="false">(N157-$N$3)/$N$4</f>
        <v>-0.509004659620894</v>
      </c>
      <c r="R157" s="32" t="str">
        <f aca="false">IF(AND(P157&gt;0,Q157&gt;0), "ESTRELLA",
IF(AND(P157&gt;0,Q157&lt;0), "Consolidado",
IF(AND(P157&lt;0,Q157&lt;0), "estancado", "prometedor")))</f>
        <v>estancado</v>
      </c>
    </row>
    <row r="158" customFormat="false" ht="15" hidden="false" customHeight="true" outlineLevel="0" collapsed="false">
      <c r="B158" s="28" t="s">
        <v>149</v>
      </c>
      <c r="C158" s="35" t="n">
        <v>2</v>
      </c>
      <c r="D158" s="35" t="n">
        <v>3</v>
      </c>
      <c r="E158" s="35" t="n">
        <v>1</v>
      </c>
      <c r="F158" s="35" t="n">
        <v>1</v>
      </c>
      <c r="G158" s="35" t="n">
        <v>1</v>
      </c>
      <c r="H158" s="30" t="n">
        <f aca="false">(C158/C$6)*100</f>
        <v>0.000612189925802581</v>
      </c>
      <c r="I158" s="30" t="n">
        <f aca="false">(D158/D$6)*100</f>
        <v>0.000840637539509964</v>
      </c>
      <c r="J158" s="30" t="n">
        <f aca="false">(E158/E$6)*100</f>
        <v>0.000250074397133147</v>
      </c>
      <c r="K158" s="30" t="n">
        <f aca="false">(F158/F$6)*100</f>
        <v>0.000291478905671597</v>
      </c>
      <c r="L158" s="30" t="n">
        <f aca="false">(G158/G$6)*100</f>
        <v>0.000241802297605432</v>
      </c>
      <c r="M158" s="31" t="n">
        <f aca="false">AVERAGE(H158:L158)</f>
        <v>0.000447236613144544</v>
      </c>
      <c r="N158" s="31" t="n">
        <f aca="false">((G158/C158)^(1/4)-1)*100</f>
        <v>-15.9103584746286</v>
      </c>
      <c r="O158" s="31" t="n">
        <f aca="false">(G158/F158-1)*100</f>
        <v>0</v>
      </c>
      <c r="P158" s="31" t="n">
        <f aca="false">(M158-$M$3)/$M$4</f>
        <v>-0.200899687621588</v>
      </c>
      <c r="Q158" s="32" t="n">
        <f aca="false">(N158-$N$3)/$N$4</f>
        <v>-0.385740085050632</v>
      </c>
      <c r="R158" s="32" t="str">
        <f aca="false">IF(AND(P158&gt;0,Q158&gt;0), "ESTRELLA",
IF(AND(P158&gt;0,Q158&lt;0), "Consolidado",
IF(AND(P158&lt;0,Q158&lt;0), "estancado", "prometedor")))</f>
        <v>estancado</v>
      </c>
    </row>
    <row r="159" customFormat="false" ht="15" hidden="false" customHeight="true" outlineLevel="0" collapsed="false">
      <c r="B159" s="28" t="s">
        <v>150</v>
      </c>
      <c r="C159" s="35" t="n">
        <v>1</v>
      </c>
      <c r="D159" s="35" t="n">
        <v>1</v>
      </c>
      <c r="E159" s="35" t="n">
        <f aca="false">D159+(D159/C159-1)*D159</f>
        <v>1</v>
      </c>
      <c r="F159" s="35" t="n">
        <f aca="false">E159+(E159/D159-1)*E159</f>
        <v>1</v>
      </c>
      <c r="G159" s="35" t="n">
        <v>1</v>
      </c>
      <c r="H159" s="30" t="n">
        <f aca="false">(C159/C$6)*100</f>
        <v>0.000306094962901291</v>
      </c>
      <c r="I159" s="30" t="n">
        <f aca="false">(D159/D$6)*100</f>
        <v>0.000280212513169988</v>
      </c>
      <c r="J159" s="30" t="n">
        <f aca="false">(E159/E$6)*100</f>
        <v>0.000250074397133147</v>
      </c>
      <c r="K159" s="30" t="n">
        <f aca="false">(F159/F$6)*100</f>
        <v>0.000291478905671597</v>
      </c>
      <c r="L159" s="30" t="n">
        <f aca="false">(G159/G$6)*100</f>
        <v>0.000241802297605432</v>
      </c>
      <c r="M159" s="31" t="n">
        <f aca="false">AVERAGE(H159:L159)</f>
        <v>0.000273932615296291</v>
      </c>
      <c r="N159" s="31" t="n">
        <f aca="false">((G159/C159)^(1/4)-1)*100</f>
        <v>0</v>
      </c>
      <c r="O159" s="31" t="n">
        <f aca="false">(G159/F159-1)*100</f>
        <v>0</v>
      </c>
      <c r="P159" s="31" t="n">
        <f aca="false">(M159-$M$3)/$M$4</f>
        <v>-0.200954542569516</v>
      </c>
      <c r="Q159" s="32" t="n">
        <f aca="false">(N159-$N$3)/$N$4</f>
        <v>-0.239152975943892</v>
      </c>
      <c r="R159" s="32" t="str">
        <f aca="false">IF(AND(P159&gt;0,Q159&gt;0), "ESTRELLA",
IF(AND(P159&gt;0,Q159&lt;0), "Consolidado",
IF(AND(P159&lt;0,Q159&lt;0), "estancado", "prometedor")))</f>
        <v>estancado</v>
      </c>
    </row>
    <row r="160" customFormat="false" ht="15" hidden="false" customHeight="true" outlineLevel="0" collapsed="false">
      <c r="B160" s="28" t="s">
        <v>168</v>
      </c>
      <c r="C160" s="35" t="n">
        <v>1</v>
      </c>
      <c r="D160" s="35" t="n">
        <f aca="false">E160+(E160/F160-1)*E160</f>
        <v>1</v>
      </c>
      <c r="E160" s="35" t="n">
        <v>1</v>
      </c>
      <c r="F160" s="35" t="n">
        <v>1</v>
      </c>
      <c r="G160" s="35" t="n">
        <f aca="false">F160+(F160/E160-1)*F160</f>
        <v>1</v>
      </c>
      <c r="H160" s="30" t="n">
        <f aca="false">(C160/C$6)*100</f>
        <v>0.000306094962901291</v>
      </c>
      <c r="I160" s="30" t="n">
        <f aca="false">(D160/D$6)*100</f>
        <v>0.000280212513169988</v>
      </c>
      <c r="J160" s="30" t="n">
        <f aca="false">(E160/E$6)*100</f>
        <v>0.000250074397133147</v>
      </c>
      <c r="K160" s="30" t="n">
        <f aca="false">(F160/F$6)*100</f>
        <v>0.000291478905671597</v>
      </c>
      <c r="L160" s="30" t="n">
        <f aca="false">(G160/G$6)*100</f>
        <v>0.000241802297605432</v>
      </c>
      <c r="M160" s="31" t="n">
        <f aca="false">AVERAGE(H160:L160)</f>
        <v>0.000273932615296291</v>
      </c>
      <c r="N160" s="31" t="n">
        <f aca="false">((G160/C160)^(1/4)-1)*100</f>
        <v>0</v>
      </c>
      <c r="O160" s="31" t="n">
        <f aca="false">(G160/F160-1)*100</f>
        <v>0</v>
      </c>
      <c r="P160" s="31" t="n">
        <f aca="false">(M160-$M$3)/$M$4</f>
        <v>-0.200954542569516</v>
      </c>
      <c r="Q160" s="32" t="n">
        <f aca="false">(N160-$N$3)/$N$4</f>
        <v>-0.239152975943892</v>
      </c>
      <c r="R160" s="32" t="str">
        <f aca="false">IF(AND(P160&gt;0,Q160&gt;0), "ESTRELLA",
IF(AND(P160&gt;0,Q160&lt;0), "Consolidado",
IF(AND(P160&lt;0,Q160&lt;0), "estancado", "prometedor")))</f>
        <v>estancado</v>
      </c>
    </row>
    <row r="161" customFormat="false" ht="15" hidden="false" customHeight="true" outlineLevel="0" collapsed="false">
      <c r="B161" s="28" t="s">
        <v>195</v>
      </c>
      <c r="C161" s="35" t="n">
        <v>1</v>
      </c>
      <c r="D161" s="35" t="n">
        <f aca="false">E161+(E161/F161-1)*E161</f>
        <v>1</v>
      </c>
      <c r="E161" s="35" t="n">
        <v>1</v>
      </c>
      <c r="F161" s="35" t="n">
        <v>1</v>
      </c>
      <c r="G161" s="35" t="n">
        <f aca="false">F161+(F161/E161-1)*F161</f>
        <v>1</v>
      </c>
      <c r="H161" s="30" t="n">
        <f aca="false">(C161/C$6)*100</f>
        <v>0.000306094962901291</v>
      </c>
      <c r="I161" s="30" t="n">
        <f aca="false">(D161/D$6)*100</f>
        <v>0.000280212513169988</v>
      </c>
      <c r="J161" s="30" t="n">
        <f aca="false">(E161/E$6)*100</f>
        <v>0.000250074397133147</v>
      </c>
      <c r="K161" s="30" t="n">
        <f aca="false">(F161/F$6)*100</f>
        <v>0.000291478905671597</v>
      </c>
      <c r="L161" s="30" t="n">
        <f aca="false">(G161/G$6)*100</f>
        <v>0.000241802297605432</v>
      </c>
      <c r="M161" s="31" t="n">
        <f aca="false">AVERAGE(H161:L161)</f>
        <v>0.000273932615296291</v>
      </c>
      <c r="N161" s="31" t="n">
        <f aca="false">((G161/C161)^(1/4)-1)*100</f>
        <v>0</v>
      </c>
      <c r="O161" s="31" t="n">
        <f aca="false">(G161/F161-1)*100</f>
        <v>0</v>
      </c>
      <c r="P161" s="31" t="n">
        <f aca="false">(M161-$M$3)/$M$4</f>
        <v>-0.200954542569516</v>
      </c>
      <c r="Q161" s="32" t="n">
        <f aca="false">(N161-$N$3)/$N$4</f>
        <v>-0.239152975943892</v>
      </c>
      <c r="R161" s="32" t="str">
        <f aca="false">IF(AND(P161&gt;0,Q161&gt;0), "ESTRELLA",
IF(AND(P161&gt;0,Q161&lt;0), "Consolidado",
IF(AND(P161&lt;0,Q161&lt;0), "estancado", "prometedor")))</f>
        <v>estancado</v>
      </c>
    </row>
    <row r="162" customFormat="false" ht="15" hidden="false" customHeight="true" outlineLevel="0" collapsed="false">
      <c r="B162" s="28" t="s">
        <v>208</v>
      </c>
      <c r="C162" s="35" t="n">
        <v>1</v>
      </c>
      <c r="D162" s="35" t="n">
        <f aca="false">E162+(E162/C162-1)*E162</f>
        <v>1</v>
      </c>
      <c r="E162" s="35" t="n">
        <v>1</v>
      </c>
      <c r="F162" s="35" t="n">
        <f aca="false">E162+(E162/D162-1)*E162</f>
        <v>1</v>
      </c>
      <c r="G162" s="35" t="n">
        <f aca="false">F162+(F162/E162-1)*F162</f>
        <v>1</v>
      </c>
      <c r="H162" s="30" t="n">
        <f aca="false">(C162/C$6)*100</f>
        <v>0.000306094962901291</v>
      </c>
      <c r="I162" s="30" t="n">
        <f aca="false">(D162/D$6)*100</f>
        <v>0.000280212513169988</v>
      </c>
      <c r="J162" s="30" t="n">
        <f aca="false">(E162/E$6)*100</f>
        <v>0.000250074397133147</v>
      </c>
      <c r="K162" s="30" t="n">
        <f aca="false">(F162/F$6)*100</f>
        <v>0.000291478905671597</v>
      </c>
      <c r="L162" s="30" t="n">
        <f aca="false">(G162/G$6)*100</f>
        <v>0.000241802297605432</v>
      </c>
      <c r="M162" s="31" t="n">
        <f aca="false">AVERAGE(H162:L162)</f>
        <v>0.000273932615296291</v>
      </c>
      <c r="N162" s="31" t="n">
        <f aca="false">((G162/C162)^(1/4)-1)*100</f>
        <v>0</v>
      </c>
      <c r="O162" s="31" t="n">
        <f aca="false">(G162/F162-1)*100</f>
        <v>0</v>
      </c>
      <c r="P162" s="31" t="n">
        <f aca="false">(M162-$M$3)/$M$4</f>
        <v>-0.200954542569516</v>
      </c>
      <c r="Q162" s="32" t="n">
        <f aca="false">(N162-$N$3)/$N$4</f>
        <v>-0.239152975943892</v>
      </c>
      <c r="R162" s="32" t="str">
        <f aca="false">IF(AND(P162&gt;0,Q162&gt;0), "ESTRELLA",
IF(AND(P162&gt;0,Q162&lt;0), "Consolidado",
IF(AND(P162&lt;0,Q162&lt;0), "estancado", "prometedor")))</f>
        <v>estancado</v>
      </c>
    </row>
    <row r="163" customFormat="false" ht="15" hidden="false" customHeight="true" outlineLevel="0" collapsed="false">
      <c r="B163" s="28" t="s">
        <v>177</v>
      </c>
      <c r="C163" s="35" t="n">
        <f aca="false">D163+(D163/E163-1)*D163</f>
        <v>120.333333333333</v>
      </c>
      <c r="D163" s="35" t="n">
        <v>19</v>
      </c>
      <c r="E163" s="35" t="n">
        <v>3</v>
      </c>
      <c r="F163" s="35" t="n">
        <f aca="false">E163+(E163/D163-1)*E163</f>
        <v>0.473684210526316</v>
      </c>
      <c r="G163" s="35" t="n">
        <f aca="false">F163+(F163/E163-1)*F163</f>
        <v>0.0747922437673131</v>
      </c>
      <c r="H163" s="30" t="n">
        <f aca="false">(C163/C$6)*100</f>
        <v>0.0368334272024552</v>
      </c>
      <c r="I163" s="30" t="n">
        <f aca="false">(D163/D$6)*100</f>
        <v>0.00532403775022977</v>
      </c>
      <c r="J163" s="30" t="n">
        <f aca="false">(E163/E$6)*100</f>
        <v>0.000750223191399441</v>
      </c>
      <c r="K163" s="30" t="n">
        <f aca="false">(F163/F$6)*100</f>
        <v>0.000138068955318125</v>
      </c>
      <c r="L163" s="30" t="n">
        <f aca="false">(G163/G$6)*100</f>
        <v>1.80849363860018E-005</v>
      </c>
      <c r="M163" s="31" t="n">
        <f aca="false">AVERAGE(H163:L163)</f>
        <v>0.00861276840715771</v>
      </c>
      <c r="N163" s="31" t="n">
        <f aca="false">((G163/C163)^(1/4)-1)*100</f>
        <v>-84.2105263157895</v>
      </c>
      <c r="O163" s="31" t="n">
        <f aca="false">(G163/F163-1)*100</f>
        <v>-84.2105263157895</v>
      </c>
      <c r="P163" s="31" t="n">
        <f aca="false">(M163-$M$3)/$M$4</f>
        <v>-0.198315097381701</v>
      </c>
      <c r="Q163" s="32" t="n">
        <f aca="false">(N163-$N$3)/$N$4</f>
        <v>-1.01501089446114</v>
      </c>
      <c r="R163" s="32" t="str">
        <f aca="false">IF(AND(P163&gt;0,Q163&gt;0), "ESTRELLA",
IF(AND(P163&gt;0,Q163&lt;0), "Consolidado",
IF(AND(P163&lt;0,Q163&lt;0), "estancado", "prometedor")))</f>
        <v>estancado</v>
      </c>
    </row>
    <row r="164" customFormat="false" ht="15" hidden="false" customHeight="true" outlineLevel="0" collapsed="false">
      <c r="B164" s="28" t="s">
        <v>192</v>
      </c>
      <c r="C164" s="35" t="n">
        <v>178</v>
      </c>
      <c r="D164" s="35" t="n">
        <v>1</v>
      </c>
      <c r="E164" s="35" t="n">
        <v>29</v>
      </c>
      <c r="F164" s="35" t="n">
        <v>1</v>
      </c>
      <c r="G164" s="35" t="n">
        <f aca="false">F164+(F164/E164-1)*F164</f>
        <v>0.0344827586206896</v>
      </c>
      <c r="H164" s="30" t="n">
        <f aca="false">(C164/C$6)*100</f>
        <v>0.0544849033964297</v>
      </c>
      <c r="I164" s="30" t="n">
        <f aca="false">(D164/D$6)*100</f>
        <v>0.000280212513169988</v>
      </c>
      <c r="J164" s="30" t="n">
        <f aca="false">(E164/E$6)*100</f>
        <v>0.00725215751686127</v>
      </c>
      <c r="K164" s="30" t="n">
        <f aca="false">(F164/F$6)*100</f>
        <v>0.000291478905671597</v>
      </c>
      <c r="L164" s="30" t="n">
        <f aca="false">(G164/G$6)*100</f>
        <v>8.33801026225626E-006</v>
      </c>
      <c r="M164" s="31" t="n">
        <f aca="false">AVERAGE(H164:L164)</f>
        <v>0.012463418068479</v>
      </c>
      <c r="N164" s="31" t="n">
        <f aca="false">((G164/C164)^(1/4)-1)*100</f>
        <v>-88.2023502144494</v>
      </c>
      <c r="O164" s="31" t="n">
        <f aca="false">(G164/F164-1)*100</f>
        <v>-96.551724137931</v>
      </c>
      <c r="P164" s="31" t="n">
        <f aca="false">(M164-$M$3)/$M$4</f>
        <v>-0.197096272719336</v>
      </c>
      <c r="Q164" s="32" t="n">
        <f aca="false">(N164-$N$3)/$N$4</f>
        <v>-1.05178881661173</v>
      </c>
      <c r="R164" s="32" t="str">
        <f aca="false">IF(AND(P164&gt;0,Q164&gt;0), "ESTRELLA",
IF(AND(P164&gt;0,Q164&lt;0), "Consolidado",
IF(AND(P164&lt;0,Q164&lt;0), "estancado", "prometedor")))</f>
        <v>estancado</v>
      </c>
    </row>
    <row r="166" customFormat="false" ht="15" hidden="false" customHeight="true" outlineLevel="0" collapsed="false">
      <c r="F166" s="35"/>
    </row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5:R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2022-10-22T05:21:40Z</dcterms:created>
  <dc:creator>HP</dc:creator>
  <dc:description/>
  <dc:language>es-PE</dc:language>
  <cp:lastModifiedBy>Edison Achalma</cp:lastModifiedBy>
  <dcterms:modified xsi:type="dcterms:W3CDTF">2025-06-07T01:31:44Z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