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ORTACION JENGIBRE CANTIDADES" sheetId="1" state="visible" r:id="rId3"/>
  </sheets>
  <definedNames>
    <definedName function="false" hidden="true" localSheetId="0" name="_xlnm._FilterDatabase" vbProcedure="false">'IMPORTACION JENGIBRE CANTIDADES'!$A$1:$R$75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<sst xmlns="http://schemas.openxmlformats.org/spreadsheetml/2006/main" count="95" uniqueCount="92">
  <si>
    <t xml:space="preserve">Min</t>
  </si>
  <si>
    <t xml:space="preserve">MÁX</t>
  </si>
  <si>
    <t xml:space="preserve">Media</t>
  </si>
  <si>
    <t xml:space="preserve">des. Estandar</t>
  </si>
  <si>
    <t xml:space="preserve">Importadores</t>
  </si>
  <si>
    <t xml:space="preserve">Par2017</t>
  </si>
  <si>
    <t xml:space="preserve">Par2018</t>
  </si>
  <si>
    <t xml:space="preserve">Par2019</t>
  </si>
  <si>
    <t xml:space="preserve">Par2020</t>
  </si>
  <si>
    <t xml:space="preserve">Par2021</t>
  </si>
  <si>
    <t xml:space="preserve">PPP</t>
  </si>
  <si>
    <t xml:space="preserve">TCP</t>
  </si>
  <si>
    <t xml:space="preserve">VARICION ANUAL</t>
  </si>
  <si>
    <t xml:space="preserve">INDICE DE PART PROM</t>
  </si>
  <si>
    <t xml:space="preserve">ITCP</t>
  </si>
  <si>
    <t xml:space="preserve">SEGMENTOS</t>
  </si>
  <si>
    <t xml:space="preserve">segmento</t>
  </si>
  <si>
    <t xml:space="preserve">cant. Mercados</t>
  </si>
  <si>
    <t xml:space="preserve">Mundo</t>
  </si>
  <si>
    <t xml:space="preserve">-</t>
  </si>
  <si>
    <t xml:space="preserve">Consolidado</t>
  </si>
  <si>
    <t xml:space="preserve">Trinidad y Tobago</t>
  </si>
  <si>
    <t xml:space="preserve">Estrella</t>
  </si>
  <si>
    <t xml:space="preserve">Burkina Faso</t>
  </si>
  <si>
    <t xml:space="preserve">estancado</t>
  </si>
  <si>
    <t xml:space="preserve">Bangladesh</t>
  </si>
  <si>
    <t xml:space="preserve">prometedor</t>
  </si>
  <si>
    <t xml:space="preserve">Estados Unidos de América</t>
  </si>
  <si>
    <t xml:space="preserve">Pakistán</t>
  </si>
  <si>
    <t xml:space="preserve">Emiratos Árabes Unidos</t>
  </si>
  <si>
    <t xml:space="preserve">Países Bajos</t>
  </si>
  <si>
    <t xml:space="preserve">Japón</t>
  </si>
  <si>
    <t xml:space="preserve">Malasia</t>
  </si>
  <si>
    <t xml:space="preserve">Arabia Saudita</t>
  </si>
  <si>
    <t xml:space="preserve">Reino Unido</t>
  </si>
  <si>
    <t xml:space="preserve">Alemania</t>
  </si>
  <si>
    <t xml:space="preserve">India</t>
  </si>
  <si>
    <t xml:space="preserve">Canadá</t>
  </si>
  <si>
    <t xml:space="preserve">Rusia, Federación de</t>
  </si>
  <si>
    <t xml:space="preserve">Singapur</t>
  </si>
  <si>
    <t xml:space="preserve">Sudán</t>
  </si>
  <si>
    <t xml:space="preserve">Indonesia</t>
  </si>
  <si>
    <t xml:space="preserve">España</t>
  </si>
  <si>
    <t xml:space="preserve">Yemen</t>
  </si>
  <si>
    <t xml:space="preserve">Italia</t>
  </si>
  <si>
    <t xml:space="preserve">Francia</t>
  </si>
  <si>
    <t xml:space="preserve">Corea, República de</t>
  </si>
  <si>
    <t xml:space="preserve">Marruecos</t>
  </si>
  <si>
    <t xml:space="preserve">Kuwait</t>
  </si>
  <si>
    <t xml:space="preserve">Omán</t>
  </si>
  <si>
    <t xml:space="preserve">Qatar</t>
  </si>
  <si>
    <t xml:space="preserve">Filipinas</t>
  </si>
  <si>
    <t xml:space="preserve">Viet Nam</t>
  </si>
  <si>
    <t xml:space="preserve">Tailandia</t>
  </si>
  <si>
    <t xml:space="preserve">Polonia</t>
  </si>
  <si>
    <t xml:space="preserve">Irán, República Islámica del</t>
  </si>
  <si>
    <t xml:space="preserve">Türkiye</t>
  </si>
  <si>
    <t xml:space="preserve">Suecia</t>
  </si>
  <si>
    <t xml:space="preserve">Austria</t>
  </si>
  <si>
    <t xml:space="preserve">Ucrania</t>
  </si>
  <si>
    <t xml:space="preserve">Dinamarca</t>
  </si>
  <si>
    <t xml:space="preserve">Sudáfrica</t>
  </si>
  <si>
    <t xml:space="preserve">Bélgica</t>
  </si>
  <si>
    <t xml:space="preserve">República Checa</t>
  </si>
  <si>
    <t xml:space="preserve">Bahrein</t>
  </si>
  <si>
    <t xml:space="preserve">Suiza</t>
  </si>
  <si>
    <t xml:space="preserve">Egipto</t>
  </si>
  <si>
    <t xml:space="preserve">Nueva Zelandia</t>
  </si>
  <si>
    <t xml:space="preserve">Belarús</t>
  </si>
  <si>
    <t xml:space="preserve">Lituania</t>
  </si>
  <si>
    <t xml:space="preserve">China</t>
  </si>
  <si>
    <t xml:space="preserve">Kenya</t>
  </si>
  <si>
    <t xml:space="preserve">Chile</t>
  </si>
  <si>
    <t xml:space="preserve">Argelia</t>
  </si>
  <si>
    <t xml:space="preserve">Argentina</t>
  </si>
  <si>
    <t xml:space="preserve">Iraq</t>
  </si>
  <si>
    <t xml:space="preserve">Portugal</t>
  </si>
  <si>
    <t xml:space="preserve">Líbano</t>
  </si>
  <si>
    <t xml:space="preserve">Jordania</t>
  </si>
  <si>
    <t xml:space="preserve">Noruega</t>
  </si>
  <si>
    <t xml:space="preserve">Burundi</t>
  </si>
  <si>
    <t xml:space="preserve">Macao, China</t>
  </si>
  <si>
    <t xml:space="preserve">Colombia</t>
  </si>
  <si>
    <t xml:space="preserve">Grecia</t>
  </si>
  <si>
    <t xml:space="preserve">Benin</t>
  </si>
  <si>
    <t xml:space="preserve">Brunei Darussalam</t>
  </si>
  <si>
    <t xml:space="preserve">Australia</t>
  </si>
  <si>
    <t xml:space="preserve">Rumania</t>
  </si>
  <si>
    <t xml:space="preserve">Taipei Chino</t>
  </si>
  <si>
    <t xml:space="preserve">Hungría</t>
  </si>
  <si>
    <t xml:space="preserve">Maldivas</t>
  </si>
  <si>
    <t xml:space="preserve">Irlanda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</si>
</sst>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FFFFFF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i val="true"/>
      <sz val="11"/>
      <color rgb="FFFF0000"/>
      <name val="Calibri"/>
      <family val="2"/>
      <charset val="1"/>
    </font>
    <font>
      <sz val="8"/>
      <color rgb="FF002B54"/>
      <name val="Calibri"/>
      <family val="2"/>
      <charset val="1"/>
    </font>
    <font>
      <sz val="8"/>
      <color rgb="FF8A2BE2"/>
      <name val="Calibri"/>
      <family val="2"/>
      <charset val="1"/>
    </font>
    <font>
      <b val="true"/>
      <i val="true"/>
      <sz val="11"/>
      <name val="Calibri"/>
      <family val="2"/>
      <charset val="1"/>
    </font>
    <font>
      <sz val="11"/>
      <name val="Calibri"/>
      <family val="2"/>
      <charset val="1"/>
    </font>
    <font>
      <b val="true"/>
      <sz val="8"/>
      <color theme="0"/>
      <name val="Calibri"/>
      <family val="2"/>
      <charset val="1"/>
    </font>
    <font>
      <b val="true"/>
      <sz val="11"/>
      <color theme="1" tint="0.0499"/>
      <name val="Calibri"/>
      <family val="2"/>
      <charset val="1"/>
    </font>
    <font>
      <b val="true"/>
      <sz val="8"/>
      <color theme="1" tint="0.0499"/>
      <name val="Calibri"/>
      <family val="2"/>
      <charset val="1"/>
    </font>
    <font>
      <b val="true"/>
      <i val="true"/>
      <sz val="11"/>
      <color theme="1" tint="0.0499"/>
      <name val="Calibri"/>
      <family val="2"/>
      <charset val="1"/>
    </font>
    <font>
      <sz val="8"/>
      <color rgb="FFDAA520"/>
      <name val="Calibri"/>
      <family val="2"/>
      <charset val="1"/>
    </font>
    <font>
      <b val="true"/>
      <i val="true"/>
      <sz val="11"/>
      <color theme="1"/>
      <name val="Calibri"/>
      <family val="2"/>
      <charset val="1"/>
    </font>
    <font>
      <sz val="8"/>
      <color rgb="FFFF0000"/>
      <name val="Calibri"/>
      <family val="2"/>
      <charset val="1"/>
    </font>
    <font>
      <b val="true"/>
      <sz val="8"/>
      <color rgb="FFFF0000"/>
      <name val="Calibri"/>
      <family val="2"/>
      <charset val="1"/>
    </font>
    <font>
      <sz val="8"/>
      <color rgb="FF3CB371"/>
      <name val="Calibri"/>
      <family val="2"/>
      <charset val="1"/>
    </font>
    <font>
      <b val="true"/>
      <sz val="11"/>
      <color rgb="FF00B050"/>
      <name val="Calibri"/>
      <family val="2"/>
      <charset val="1"/>
    </font>
    <font>
      <b val="true"/>
      <sz val="8"/>
      <color rgb="FF00B050"/>
      <name val="Calibri"/>
      <family val="2"/>
      <charset val="1"/>
    </font>
    <font>
      <sz val="11"/>
      <color rgb="FF00B050"/>
      <name val="Calibri"/>
      <family val="2"/>
      <charset val="1"/>
    </font>
    <font>
      <sz val="8"/>
      <color rgb="FF00B050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5D7B9D"/>
        <bgColor rgb="FF808080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3CB371"/>
      </patternFill>
    </fill>
    <fill>
      <patternFill patternType="solid">
        <fgColor rgb="FF00B0F0"/>
        <bgColor rgb="FF33CCCC"/>
      </patternFill>
    </fill>
    <fill>
      <patternFill patternType="solid">
        <fgColor rgb="FF92D050"/>
        <bgColor rgb="FFC0C0C0"/>
      </patternFill>
    </fill>
    <fill>
      <patternFill patternType="solid">
        <fgColor rgb="FFF7F6F3"/>
        <bgColor rgb="FFFFFFFF"/>
      </patternFill>
    </fill>
    <fill>
      <patternFill patternType="solid">
        <fgColor theme="8" tint="-0.5"/>
        <bgColor rgb="FF333399"/>
      </patternFill>
    </fill>
    <fill>
      <patternFill patternType="solid">
        <fgColor rgb="FFFFFFFF"/>
        <bgColor rgb="FFF7F6F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1" fillId="7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11" fillId="7" borderId="1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8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0" fillId="7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9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6" fillId="9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16" fillId="7" borderId="1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5" fontId="1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9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9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20" fillId="7" borderId="1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5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7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6" fillId="7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9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21" fillId="7" borderId="1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5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22" fillId="9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0" fillId="9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21" fillId="9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2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4" fillId="7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24" fillId="7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24" fillId="7" borderId="1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5" fontId="23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4" fillId="9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26" fillId="9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26" fillId="7" borderId="1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5" fontId="2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7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20" fillId="7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20" fillId="7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8" fillId="7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24" fillId="9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B050"/>
          <bgColor rgb="FF000000"/>
        </patternFill>
      </fill>
    </dxf>
    <dxf>
      <fill>
        <patternFill patternType="solid">
          <fgColor rgb="FF0D0D0D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203864"/>
          <bgColor rgb="FF000000"/>
        </patternFill>
      </fill>
    </dxf>
    <dxf>
      <fill>
        <patternFill patternType="solid">
          <fgColor rgb="FF5D7B9D"/>
          <bgColor rgb="FF000000"/>
        </patternFill>
      </fill>
    </dxf>
    <dxf>
      <fill>
        <patternFill patternType="solid">
          <fgColor rgb="FFF7F6F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2B54"/>
          <bgColor rgb="FF000000"/>
        </patternFill>
      </fill>
    </dxf>
    <dxf>
      <fill>
        <patternFill patternType="solid">
          <fgColor rgb="FF3CB371"/>
          <bgColor rgb="FF000000"/>
        </patternFill>
      </fill>
    </dxf>
    <dxf>
      <fill>
        <patternFill patternType="solid">
          <fgColor rgb="FF8A2BE2"/>
          <bgColor rgb="FF000000"/>
        </patternFill>
      </fill>
    </dxf>
    <dxf>
      <fill>
        <patternFill patternType="solid">
          <fgColor rgb="FFDAA52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B0F0"/>
          <bgColor rgb="FF000000"/>
        </patternFill>
      </fill>
    </dxf>
    <dxf>
      <fill>
        <patternFill patternType="solid">
          <fgColor rgb="FF92D05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B050"/>
      <rgbColor rgb="FFC0C0C0"/>
      <rgbColor rgb="FF808080"/>
      <rgbColor rgb="FF9999FF"/>
      <rgbColor rgb="FF8A2BE2"/>
      <rgbColor rgb="FFF7F6F3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DAA520"/>
      <rgbColor rgb="FFFF6600"/>
      <rgbColor rgb="FF5D7B9D"/>
      <rgbColor rgb="FF969696"/>
      <rgbColor rgb="FF002B54"/>
      <rgbColor rgb="FF3CB371"/>
      <rgbColor rgb="FF0D0D0D"/>
      <rgbColor rgb="FF333300"/>
      <rgbColor rgb="FF993300"/>
      <rgbColor rgb="FF993366"/>
      <rgbColor rgb="FF333399"/>
      <rgbColor rgb="FF20386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48576"/>
  <sheetViews>
    <sheetView showFormulas="false" showGridLines="false" showRowColHeaders="true" showZeros="true" rightToLeft="false" tabSelected="true" showOutlineSymbols="true" defaultGridColor="true" view="normal" topLeftCell="G1" colorId="64" zoomScale="90" zoomScaleNormal="90" zoomScalePageLayoutView="100" workbookViewId="0">
      <selection pane="topLeft" activeCell="T19" activeCellId="0" sqref="T19"/>
    </sheetView>
  </sheetViews>
  <sheetFormatPr defaultColWidth="10.6796875" defaultRowHeight="15" customHeight="true" zeroHeight="false" outlineLevelRow="0" outlineLevelCol="0"/>
  <cols>
    <col collapsed="false" customWidth="true" hidden="false" outlineLevel="0" max="2" min="2" style="1" width="45.71"/>
    <col collapsed="false" customWidth="true" hidden="false" outlineLevel="0" max="4" min="3" style="2" width="14"/>
    <col collapsed="false" customWidth="true" hidden="false" outlineLevel="0" max="5" min="5" style="2" width="22"/>
    <col collapsed="false" customWidth="true" hidden="false" outlineLevel="0" max="6" min="6" style="2" width="14"/>
    <col collapsed="false" customWidth="true" hidden="false" outlineLevel="0" max="7" min="7" style="2" width="21.57"/>
    <col collapsed="false" customWidth="true" hidden="false" outlineLevel="0" max="15" min="15" style="1" width="17.15"/>
    <col collapsed="false" customWidth="true" hidden="false" outlineLevel="0" max="16" min="16" style="1" width="25.35"/>
    <col collapsed="false" customWidth="true" hidden="false" outlineLevel="0" max="17" min="17" style="1" width="22.15"/>
    <col collapsed="false" customWidth="true" hidden="false" outlineLevel="0" max="18" min="18" style="0" width="14.84"/>
    <col collapsed="false" customWidth="true" hidden="false" outlineLevel="0" max="20" min="20" style="1" width="11.43"/>
    <col collapsed="false" customWidth="true" hidden="false" outlineLevel="0" max="21" min="21" style="1" width="14.42"/>
  </cols>
  <sheetData>
    <row r="1" customFormat="false" ht="15" hidden="false" customHeight="false" outlineLevel="0" collapsed="false">
      <c r="L1" s="1" t="s">
        <v>0</v>
      </c>
      <c r="M1" s="3" t="n">
        <f aca="false">MIN(M7:M74)</f>
        <v>0.0532986140434304</v>
      </c>
      <c r="N1" s="3" t="n">
        <f aca="false">MIN(N7:N74)</f>
        <v>-29.3936921703879</v>
      </c>
      <c r="P1" s="3"/>
      <c r="Q1" s="3"/>
    </row>
    <row r="2" customFormat="false" ht="15" hidden="false" customHeight="false" outlineLevel="0" collapsed="false">
      <c r="L2" s="1" t="s">
        <v>1</v>
      </c>
      <c r="M2" s="3" t="n">
        <f aca="false">MAX(M7:M74)</f>
        <v>28.9073339046937</v>
      </c>
      <c r="N2" s="3" t="n">
        <f aca="false">MAX(N7:N74)</f>
        <v>478.514252391008</v>
      </c>
      <c r="P2" s="3"/>
      <c r="Q2" s="3"/>
    </row>
    <row r="3" customFormat="false" ht="15" hidden="false" customHeight="false" outlineLevel="0" collapsed="false">
      <c r="L3" s="1" t="s">
        <v>2</v>
      </c>
      <c r="M3" s="3" t="n">
        <f aca="false">AVERAGE(M7:M74)</f>
        <v>1.47058823529412</v>
      </c>
      <c r="N3" s="3" t="n">
        <f aca="false">AVERAGE(N7:N74)</f>
        <v>28.6321129385621</v>
      </c>
      <c r="P3" s="3"/>
      <c r="Q3" s="3"/>
    </row>
    <row r="4" customFormat="false" ht="15" hidden="false" customHeight="false" outlineLevel="0" collapsed="false">
      <c r="L4" s="1" t="s">
        <v>3</v>
      </c>
      <c r="M4" s="3" t="n">
        <f aca="false">STDEV(M7:M74)</f>
        <v>4.04481396856984</v>
      </c>
      <c r="N4" s="3" t="n">
        <f aca="false">STDEV(N7:N74)</f>
        <v>86.3885074950146</v>
      </c>
    </row>
    <row r="5" customFormat="false" ht="15" hidden="false" customHeight="false" outlineLevel="0" collapsed="false">
      <c r="B5" s="4" t="s">
        <v>4</v>
      </c>
      <c r="C5" s="5" t="n">
        <v>2017</v>
      </c>
      <c r="D5" s="5" t="n">
        <v>2018</v>
      </c>
      <c r="E5" s="5" t="n">
        <v>2019</v>
      </c>
      <c r="F5" s="5" t="n">
        <v>2020</v>
      </c>
      <c r="G5" s="5" t="n">
        <v>2021</v>
      </c>
      <c r="H5" s="6" t="s">
        <v>5</v>
      </c>
      <c r="I5" s="6" t="s">
        <v>6</v>
      </c>
      <c r="J5" s="6" t="s">
        <v>7</v>
      </c>
      <c r="K5" s="6" t="s">
        <v>8</v>
      </c>
      <c r="L5" s="6" t="s">
        <v>9</v>
      </c>
      <c r="M5" s="7" t="s">
        <v>10</v>
      </c>
      <c r="N5" s="8" t="s">
        <v>11</v>
      </c>
      <c r="O5" s="6" t="s">
        <v>12</v>
      </c>
      <c r="P5" s="9" t="s">
        <v>13</v>
      </c>
      <c r="Q5" s="9" t="s">
        <v>14</v>
      </c>
      <c r="R5" s="10" t="s">
        <v>15</v>
      </c>
      <c r="T5" s="11" t="s">
        <v>16</v>
      </c>
      <c r="U5" s="11" t="s">
        <v>17</v>
      </c>
    </row>
    <row r="6" customFormat="false" ht="15" hidden="false" customHeight="false" outlineLevel="0" collapsed="false">
      <c r="B6" s="12" t="s">
        <v>18</v>
      </c>
      <c r="C6" s="13" t="n">
        <f aca="false">SUM(C7:C74)</f>
        <v>1159210</v>
      </c>
      <c r="D6" s="13" t="n">
        <f aca="false">SUM(D7:D74)</f>
        <v>1265950</v>
      </c>
      <c r="E6" s="13" t="n">
        <f aca="false">SUM(E7:E74)</f>
        <v>1252138.38085954</v>
      </c>
      <c r="F6" s="13" t="n">
        <f aca="false">SUM(F7:F74)</f>
        <v>1986920.17056294</v>
      </c>
      <c r="G6" s="13" t="n">
        <f aca="false">SUM(G7:G74)</f>
        <v>2327631</v>
      </c>
      <c r="H6" s="14" t="n">
        <f aca="false">(C6/C$6)*100</f>
        <v>100</v>
      </c>
      <c r="I6" s="14" t="n">
        <f aca="false">(D6/D$6)*100</f>
        <v>100</v>
      </c>
      <c r="J6" s="14" t="n">
        <f aca="false">(E6/E$6)*100</f>
        <v>100</v>
      </c>
      <c r="K6" s="14" t="n">
        <f aca="false">(F6/F$6)*100</f>
        <v>100</v>
      </c>
      <c r="L6" s="14" t="n">
        <f aca="false">(G6/G$6)*100</f>
        <v>100</v>
      </c>
      <c r="M6" s="15" t="s">
        <v>19</v>
      </c>
      <c r="N6" s="15" t="s">
        <v>19</v>
      </c>
      <c r="O6" s="15" t="s">
        <v>19</v>
      </c>
      <c r="P6" s="15"/>
      <c r="Q6" s="15"/>
      <c r="R6" s="15" t="s">
        <v>19</v>
      </c>
      <c r="T6" s="16" t="s">
        <v>20</v>
      </c>
      <c r="U6" s="17" t="n">
        <f aca="false">COUNTIF($R$7:$R$74,T6)</f>
        <v>10</v>
      </c>
    </row>
    <row r="7" customFormat="false" ht="15" hidden="false" customHeight="false" outlineLevel="0" collapsed="false">
      <c r="A7" s="1" t="n">
        <v>1</v>
      </c>
      <c r="B7" s="18" t="s">
        <v>21</v>
      </c>
      <c r="C7" s="19" t="n">
        <v>455285</v>
      </c>
      <c r="D7" s="19" t="n">
        <v>485294</v>
      </c>
      <c r="E7" s="19" t="n">
        <v>390637</v>
      </c>
      <c r="F7" s="19" t="n">
        <v>397862</v>
      </c>
      <c r="G7" s="19" t="n">
        <v>365559</v>
      </c>
      <c r="H7" s="14" t="n">
        <f aca="false">(C7/C$6)*100</f>
        <v>39.2754548356208</v>
      </c>
      <c r="I7" s="14" t="n">
        <f aca="false">(D7/D$6)*100</f>
        <v>38.3343733954738</v>
      </c>
      <c r="J7" s="14" t="n">
        <f aca="false">(E7/E$6)*100</f>
        <v>31.197590136311</v>
      </c>
      <c r="K7" s="14" t="n">
        <f aca="false">(F7/F$6)*100</f>
        <v>20.024055616048</v>
      </c>
      <c r="L7" s="14" t="n">
        <f aca="false">(G7/G$6)*100</f>
        <v>15.7051955400147</v>
      </c>
      <c r="M7" s="20" t="n">
        <f aca="false">AVERAGE(H7:L7)</f>
        <v>28.9073339046937</v>
      </c>
      <c r="N7" s="15" t="n">
        <f aca="false">((G7/C7)^(1/4)-1)*100</f>
        <v>-5.3395565541592</v>
      </c>
      <c r="O7" s="15" t="n">
        <f aca="false">(G7/F7-1)*100</f>
        <v>-8.11914683985905</v>
      </c>
      <c r="P7" s="20" t="n">
        <f aca="false">(M7-$M$3)/$M$4</f>
        <v>6.78319099038826</v>
      </c>
      <c r="Q7" s="20" t="n">
        <f aca="false">(N7-$N$3)/$N$4</f>
        <v>-0.393242926377467</v>
      </c>
      <c r="R7" s="21" t="str">
        <f aca="false">IF(AND(P7&gt;0,Q7&gt;0), "ESTRELLA",
IF(AND(P7&gt;0,Q7&lt;0), "Consolidado",
IF(AND(P7&lt;0,Q7&lt;0), "estancado", "prometedor")))</f>
        <v>Consolidado</v>
      </c>
      <c r="T7" s="16" t="s">
        <v>22</v>
      </c>
      <c r="U7" s="17" t="n">
        <f aca="false">COUNTIF($R$7:$R$74,T7)</f>
        <v>2</v>
      </c>
    </row>
    <row r="8" s="22" customFormat="true" ht="15" hidden="false" customHeight="false" outlineLevel="0" collapsed="false">
      <c r="A8" s="22" t="n">
        <v>2</v>
      </c>
      <c r="B8" s="23" t="s">
        <v>23</v>
      </c>
      <c r="C8" s="24" t="n">
        <v>781</v>
      </c>
      <c r="D8" s="24" t="n">
        <v>914</v>
      </c>
      <c r="E8" s="24" t="n">
        <v>352</v>
      </c>
      <c r="F8" s="24" t="n">
        <v>651647</v>
      </c>
      <c r="G8" s="24" t="n">
        <v>874797</v>
      </c>
      <c r="H8" s="25" t="n">
        <f aca="false">(C8/C$6)*100</f>
        <v>0.0673734698630964</v>
      </c>
      <c r="I8" s="25" t="n">
        <f aca="false">(D8/D$6)*100</f>
        <v>0.0721987440262254</v>
      </c>
      <c r="J8" s="25" t="n">
        <f aca="false">(E8/E$6)*100</f>
        <v>0.0281119088257934</v>
      </c>
      <c r="K8" s="25" t="n">
        <f aca="false">(F8/F$6)*100</f>
        <v>32.7968385270039</v>
      </c>
      <c r="L8" s="25" t="n">
        <f aca="false">(G8/G$6)*100</f>
        <v>37.5831478443104</v>
      </c>
      <c r="M8" s="26" t="n">
        <f aca="false">AVERAGE(H8:L8)</f>
        <v>14.1095340988059</v>
      </c>
      <c r="N8" s="27" t="n">
        <f aca="false">((G8/C8)^(1/4)-1)*100</f>
        <v>478.514252391008</v>
      </c>
      <c r="O8" s="27" t="n">
        <f aca="false">(G8/F8-1)*100</f>
        <v>34.2440002025637</v>
      </c>
      <c r="P8" s="20" t="n">
        <f aca="false">(M8-$M$3)/$M$4</f>
        <v>3.12472859363187</v>
      </c>
      <c r="Q8" s="26" t="n">
        <f aca="false">(N8-$N$3)/$N$4</f>
        <v>5.20766190431532</v>
      </c>
      <c r="R8" s="27" t="str">
        <f aca="false">IF(AND(P8&gt;0,Q8&gt;0), "ESTRELLA",
IF(AND(P8&gt;0,Q8&lt;0), "Consolidado",
IF(AND(P8&lt;0,Q8&lt;0), "estancado", "prometedor")))</f>
        <v>ESTRELLA</v>
      </c>
      <c r="T8" s="28" t="s">
        <v>24</v>
      </c>
      <c r="U8" s="27" t="n">
        <f aca="false">COUNTIF($R$7:$R$74,T8)</f>
        <v>47</v>
      </c>
    </row>
    <row r="9" customFormat="false" ht="15" hidden="false" customHeight="false" outlineLevel="0" collapsed="false">
      <c r="A9" s="1" t="n">
        <v>3</v>
      </c>
      <c r="B9" s="18" t="s">
        <v>25</v>
      </c>
      <c r="C9" s="29" t="n">
        <v>71807</v>
      </c>
      <c r="D9" s="29" t="n">
        <v>85387</v>
      </c>
      <c r="E9" s="29" t="n">
        <v>115226</v>
      </c>
      <c r="F9" s="29" t="n">
        <v>132589</v>
      </c>
      <c r="G9" s="29" t="n">
        <v>159004</v>
      </c>
      <c r="H9" s="14" t="n">
        <f aca="false">(C9/C$6)*100</f>
        <v>6.19447727331545</v>
      </c>
      <c r="I9" s="14" t="n">
        <f aca="false">(D9/D$6)*100</f>
        <v>6.74489513803863</v>
      </c>
      <c r="J9" s="14" t="n">
        <f aca="false">(E9/E$6)*100</f>
        <v>9.20233751807066</v>
      </c>
      <c r="K9" s="14" t="n">
        <f aca="false">(F9/F$6)*100</f>
        <v>6.6730914489853</v>
      </c>
      <c r="L9" s="14" t="n">
        <f aca="false">(G9/G$6)*100</f>
        <v>6.83115150124741</v>
      </c>
      <c r="M9" s="20" t="n">
        <f aca="false">AVERAGE(H9:L9)</f>
        <v>7.12919057593149</v>
      </c>
      <c r="N9" s="15" t="n">
        <f aca="false">((G9/C9)^(1/4)-1)*100</f>
        <v>21.9860915673019</v>
      </c>
      <c r="O9" s="15" t="n">
        <f aca="false">(G9/F9-1)*100</f>
        <v>19.9224671729932</v>
      </c>
      <c r="P9" s="20" t="n">
        <f aca="false">(M9-$M$3)/$M$4</f>
        <v>1.39897715558922</v>
      </c>
      <c r="Q9" s="20" t="n">
        <f aca="false">(N9-$N$3)/$N$4</f>
        <v>-0.0769317767371286</v>
      </c>
      <c r="R9" s="21" t="str">
        <f aca="false">IF(AND(P9&gt;0,Q9&gt;0), "ESTRELLA",
IF(AND(P9&gt;0,Q9&lt;0), "Consolidado",
IF(AND(P9&lt;0,Q9&lt;0), "estancado", "prometedor")))</f>
        <v>Consolidado</v>
      </c>
      <c r="T9" s="30" t="s">
        <v>26</v>
      </c>
      <c r="U9" s="17" t="n">
        <f aca="false">COUNTIF($R$7:$R$74,T9)</f>
        <v>9</v>
      </c>
    </row>
    <row r="10" customFormat="false" ht="15" hidden="false" customHeight="false" outlineLevel="0" collapsed="false">
      <c r="A10" s="1" t="n">
        <v>4</v>
      </c>
      <c r="B10" s="18" t="s">
        <v>27</v>
      </c>
      <c r="C10" s="31" t="n">
        <v>82777</v>
      </c>
      <c r="D10" s="31" t="n">
        <v>87880</v>
      </c>
      <c r="E10" s="31" t="n">
        <v>89405</v>
      </c>
      <c r="F10" s="31" t="n">
        <v>106366</v>
      </c>
      <c r="G10" s="31" t="n">
        <v>108575</v>
      </c>
      <c r="H10" s="32" t="n">
        <f aca="false">(C10/C$6)*100</f>
        <v>7.14081141467034</v>
      </c>
      <c r="I10" s="32" t="n">
        <f aca="false">(D10/D$6)*100</f>
        <v>6.94182234685414</v>
      </c>
      <c r="J10" s="32" t="n">
        <f aca="false">(E10/E$6)*100</f>
        <v>7.14018525161949</v>
      </c>
      <c r="K10" s="32" t="n">
        <f aca="false">(F10/F$6)*100</f>
        <v>5.35331019211828</v>
      </c>
      <c r="L10" s="32" t="n">
        <f aca="false">(G10/G$6)*100</f>
        <v>4.66461393579996</v>
      </c>
      <c r="M10" s="33" t="n">
        <f aca="false">AVERAGE(H10:L10)</f>
        <v>6.24814862821244</v>
      </c>
      <c r="N10" s="34" t="n">
        <f aca="false">((G10/C10)^(1/4)-1)*100</f>
        <v>7.01755852211841</v>
      </c>
      <c r="O10" s="34" t="n">
        <f aca="false">(G10/F10-1)*100</f>
        <v>2.07679145591637</v>
      </c>
      <c r="P10" s="20" t="n">
        <f aca="false">(M10-$M$3)/$M$4</f>
        <v>1.1811570148942</v>
      </c>
      <c r="Q10" s="20" t="n">
        <f aca="false">(N10-$N$3)/$N$4</f>
        <v>-0.25020173450376</v>
      </c>
      <c r="R10" s="21" t="str">
        <f aca="false">IF(AND(P10&gt;0,Q10&gt;0), "ESTRELLA",
IF(AND(P10&gt;0,Q10&lt;0), "Consolidado",
IF(AND(P10&lt;0,Q10&lt;0), "estancado", "prometedor")))</f>
        <v>Consolidado</v>
      </c>
      <c r="U10" s="35" t="n">
        <f aca="false">SUM(U6:U9)</f>
        <v>68</v>
      </c>
    </row>
    <row r="11" s="36" customFormat="true" ht="15" hidden="false" customHeight="false" outlineLevel="0" collapsed="false">
      <c r="A11" s="36" t="n">
        <v>5</v>
      </c>
      <c r="B11" s="18" t="s">
        <v>28</v>
      </c>
      <c r="C11" s="19" t="n">
        <v>79109</v>
      </c>
      <c r="D11" s="19" t="n">
        <v>92824</v>
      </c>
      <c r="E11" s="19" t="n">
        <v>89265</v>
      </c>
      <c r="F11" s="19" t="n">
        <v>81761</v>
      </c>
      <c r="G11" s="19" t="n">
        <v>81915</v>
      </c>
      <c r="H11" s="14" t="n">
        <f aca="false">(C11/C$6)*100</f>
        <v>6.82438902355915</v>
      </c>
      <c r="I11" s="14" t="n">
        <f aca="false">(D11/D$6)*100</f>
        <v>7.33235909791066</v>
      </c>
      <c r="J11" s="14" t="n">
        <f aca="false">(E11/E$6)*100</f>
        <v>7.12900437879105</v>
      </c>
      <c r="K11" s="14" t="n">
        <f aca="false">(F11/F$6)*100</f>
        <v>4.11496149726212</v>
      </c>
      <c r="L11" s="14" t="n">
        <f aca="false">(G11/G$6)*100</f>
        <v>3.5192433852273</v>
      </c>
      <c r="M11" s="20" t="n">
        <f aca="false">AVERAGE(H11:L11)</f>
        <v>5.78399147655006</v>
      </c>
      <c r="N11" s="15" t="n">
        <f aca="false">((G11/C11)^(1/4)-1)*100</f>
        <v>0.875194525966538</v>
      </c>
      <c r="O11" s="15" t="n">
        <f aca="false">(G11/F11-1)*100</f>
        <v>0.188353860642598</v>
      </c>
      <c r="P11" s="20" t="n">
        <f aca="false">(M11-$M$3)/$M$4</f>
        <v>1.0664033685537</v>
      </c>
      <c r="Q11" s="20" t="n">
        <f aca="false">(N11-$N$3)/$N$4</f>
        <v>-0.321303367976318</v>
      </c>
      <c r="R11" s="21" t="str">
        <f aca="false">IF(AND(P11&gt;0,Q11&gt;0), "ESTRELLA",
IF(AND(P11&gt;0,Q11&lt;0), "Consolidado",
IF(AND(P11&lt;0,Q11&lt;0), "estancado", "prometedor")))</f>
        <v>Consolidado</v>
      </c>
    </row>
    <row r="12" s="22" customFormat="true" ht="15" hidden="false" customHeight="false" outlineLevel="0" collapsed="false">
      <c r="A12" s="22" t="n">
        <v>6</v>
      </c>
      <c r="B12" s="37" t="s">
        <v>29</v>
      </c>
      <c r="C12" s="38" t="n">
        <v>51665</v>
      </c>
      <c r="D12" s="38" t="n">
        <v>52326</v>
      </c>
      <c r="E12" s="38" t="n">
        <v>48084</v>
      </c>
      <c r="F12" s="38" t="n">
        <v>55954</v>
      </c>
      <c r="G12" s="38" t="n">
        <v>147245</v>
      </c>
      <c r="H12" s="25" t="n">
        <f aca="false">(C12/C$6)*100</f>
        <v>4.45691462288973</v>
      </c>
      <c r="I12" s="25" t="n">
        <f aca="false">(D12/D$6)*100</f>
        <v>4.13333859947075</v>
      </c>
      <c r="J12" s="25" t="n">
        <f aca="false">(E12/E$6)*100</f>
        <v>3.84015063630526</v>
      </c>
      <c r="K12" s="25" t="n">
        <f aca="false">(F12/F$6)*100</f>
        <v>2.8161171661037</v>
      </c>
      <c r="L12" s="25" t="n">
        <f aca="false">(G12/G$6)*100</f>
        <v>6.32595974190067</v>
      </c>
      <c r="M12" s="26" t="n">
        <f aca="false">AVERAGE(H12:L12)</f>
        <v>4.31449615333402</v>
      </c>
      <c r="N12" s="27" t="n">
        <f aca="false">((G12/C12)^(1/4)-1)*100</f>
        <v>29.9304763504102</v>
      </c>
      <c r="O12" s="27" t="n">
        <f aca="false">(G12/F12-1)*100</f>
        <v>163.153661936591</v>
      </c>
      <c r="P12" s="20" t="n">
        <f aca="false">(M12-$M$3)/$M$4</f>
        <v>0.703099806354122</v>
      </c>
      <c r="Q12" s="26" t="n">
        <f aca="false">(N12-$N$3)/$N$4</f>
        <v>0.0150293534348073</v>
      </c>
      <c r="R12" s="27" t="str">
        <f aca="false">IF(AND(P12&gt;0,Q12&gt;0), "ESTRELLA",
IF(AND(P12&gt;0,Q12&lt;0), "Consolidado",
IF(AND(P12&lt;0,Q12&lt;0), "estancado", "prometedor")))</f>
        <v>ESTRELLA</v>
      </c>
    </row>
    <row r="13" s="39" customFormat="true" ht="15" hidden="false" customHeight="false" outlineLevel="0" collapsed="false">
      <c r="A13" s="39" t="n">
        <v>7</v>
      </c>
      <c r="B13" s="18" t="s">
        <v>30</v>
      </c>
      <c r="C13" s="40" t="n">
        <v>48288</v>
      </c>
      <c r="D13" s="40" t="n">
        <v>60388</v>
      </c>
      <c r="E13" s="40" t="n">
        <v>64323</v>
      </c>
      <c r="F13" s="40" t="n">
        <v>78428</v>
      </c>
      <c r="G13" s="40" t="n">
        <v>77768</v>
      </c>
      <c r="H13" s="41" t="n">
        <f aca="false">(C13/C$6)*100</f>
        <v>4.16559553489014</v>
      </c>
      <c r="I13" s="41" t="n">
        <f aca="false">(D13/D$6)*100</f>
        <v>4.77017259765394</v>
      </c>
      <c r="J13" s="41" t="n">
        <f aca="false">(E13/E$6)*100</f>
        <v>5.13705202102702</v>
      </c>
      <c r="K13" s="41" t="n">
        <f aca="false">(F13/F$6)*100</f>
        <v>3.94721444585161</v>
      </c>
      <c r="L13" s="41" t="n">
        <f aca="false">(G13/G$6)*100</f>
        <v>3.34107940648668</v>
      </c>
      <c r="M13" s="42" t="n">
        <f aca="false">AVERAGE(H13:L13)</f>
        <v>4.27222280118188</v>
      </c>
      <c r="N13" s="9" t="n">
        <f aca="false">((G13/C13)^(1/4)-1)*100</f>
        <v>12.6523946651601</v>
      </c>
      <c r="O13" s="9" t="n">
        <f aca="false">(G13/F13-1)*100</f>
        <v>-0.841536186056002</v>
      </c>
      <c r="P13" s="20" t="n">
        <f aca="false">(M13-$M$3)/$M$4</f>
        <v>0.692648558786093</v>
      </c>
      <c r="Q13" s="42" t="n">
        <f aca="false">(N13-$N$3)/$N$4</f>
        <v>-0.184975047454364</v>
      </c>
      <c r="R13" s="21" t="str">
        <f aca="false">IF(AND(P13&gt;0,Q13&gt;0), "ESTRELLA",
IF(AND(P13&gt;0,Q13&lt;0), "Consolidado",
IF(AND(P13&lt;0,Q13&lt;0), "estancado", "prometedor")))</f>
        <v>Consolidado</v>
      </c>
    </row>
    <row r="14" s="39" customFormat="true" ht="15" hidden="false" customHeight="false" outlineLevel="0" collapsed="false">
      <c r="A14" s="39" t="n">
        <v>8</v>
      </c>
      <c r="B14" s="18" t="s">
        <v>31</v>
      </c>
      <c r="C14" s="40" t="n">
        <v>66873</v>
      </c>
      <c r="D14" s="40" t="n">
        <v>64322</v>
      </c>
      <c r="E14" s="40" t="n">
        <v>64220</v>
      </c>
      <c r="F14" s="40" t="n">
        <v>57164</v>
      </c>
      <c r="G14" s="40" t="n">
        <v>54219</v>
      </c>
      <c r="H14" s="41" t="n">
        <f aca="false">(C14/C$6)*100</f>
        <v>5.76884257382183</v>
      </c>
      <c r="I14" s="41" t="n">
        <f aca="false">(D14/D$6)*100</f>
        <v>5.08092736679964</v>
      </c>
      <c r="J14" s="41" t="n">
        <f aca="false">(E14/E$6)*100</f>
        <v>5.12882609316038</v>
      </c>
      <c r="K14" s="41" t="n">
        <f aca="false">(F14/F$6)*100</f>
        <v>2.87701543559266</v>
      </c>
      <c r="L14" s="41" t="n">
        <f aca="false">(G14/G$6)*100</f>
        <v>2.32936406157162</v>
      </c>
      <c r="M14" s="42" t="n">
        <f aca="false">AVERAGE(H14:L14)</f>
        <v>4.23699510618923</v>
      </c>
      <c r="N14" s="9" t="n">
        <f aca="false">((G14/C14)^(1/4)-1)*100</f>
        <v>-5.10896706206174</v>
      </c>
      <c r="O14" s="9" t="n">
        <f aca="false">(G14/F14-1)*100</f>
        <v>-5.15184381778742</v>
      </c>
      <c r="P14" s="20" t="n">
        <f aca="false">(M14-$M$3)/$M$4</f>
        <v>0.683939210156864</v>
      </c>
      <c r="Q14" s="42" t="n">
        <f aca="false">(N14-$N$3)/$N$4</f>
        <v>-0.39057371146933</v>
      </c>
      <c r="R14" s="21" t="str">
        <f aca="false">IF(AND(P14&gt;0,Q14&gt;0), "ESTRELLA",
IF(AND(P14&gt;0,Q14&lt;0), "Consolidado",
IF(AND(P14&lt;0,Q14&lt;0), "estancado", "prometedor")))</f>
        <v>Consolidado</v>
      </c>
    </row>
    <row r="15" customFormat="false" ht="15" hidden="false" customHeight="false" outlineLevel="0" collapsed="false">
      <c r="A15" s="1" t="n">
        <v>9</v>
      </c>
      <c r="B15" s="18" t="s">
        <v>32</v>
      </c>
      <c r="C15" s="19" t="n">
        <v>41232</v>
      </c>
      <c r="D15" s="19" t="n">
        <v>45261</v>
      </c>
      <c r="E15" s="19" t="n">
        <v>59547</v>
      </c>
      <c r="F15" s="19" t="n">
        <v>50613</v>
      </c>
      <c r="G15" s="19" t="n">
        <v>51754</v>
      </c>
      <c r="H15" s="14" t="n">
        <f aca="false">(C15/C$6)*100</f>
        <v>3.55690513366862</v>
      </c>
      <c r="I15" s="14" t="n">
        <f aca="false">(D15/D$6)*100</f>
        <v>3.57525968640152</v>
      </c>
      <c r="J15" s="14" t="n">
        <f aca="false">(E15/E$6)*100</f>
        <v>4.7556245308225</v>
      </c>
      <c r="K15" s="14" t="n">
        <f aca="false">(F15/F$6)*100</f>
        <v>2.54730918483051</v>
      </c>
      <c r="L15" s="14" t="n">
        <f aca="false">(G15/G$6)*100</f>
        <v>2.22346239588663</v>
      </c>
      <c r="M15" s="20" t="n">
        <f aca="false">AVERAGE(H15:L15)</f>
        <v>3.33171218632196</v>
      </c>
      <c r="N15" s="15" t="n">
        <f aca="false">((G15/C15)^(1/4)-1)*100</f>
        <v>5.84671403204768</v>
      </c>
      <c r="O15" s="15" t="n">
        <f aca="false">(G15/F15-1)*100</f>
        <v>2.25436152767076</v>
      </c>
      <c r="P15" s="20" t="n">
        <f aca="false">(M15-$M$3)/$M$4</f>
        <v>0.460125970066774</v>
      </c>
      <c r="Q15" s="20" t="n">
        <f aca="false">(N15-$N$3)/$N$4</f>
        <v>-0.263754978147173</v>
      </c>
      <c r="R15" s="21" t="str">
        <f aca="false">IF(AND(P15&gt;0,Q15&gt;0), "ESTRELLA",
IF(AND(P15&gt;0,Q15&lt;0), "Consolidado",
IF(AND(P15&lt;0,Q15&lt;0), "estancado", "prometedor")))</f>
        <v>Consolidado</v>
      </c>
    </row>
    <row r="16" customFormat="false" ht="15" hidden="false" customHeight="false" outlineLevel="0" collapsed="false">
      <c r="A16" s="1" t="n">
        <v>10</v>
      </c>
      <c r="B16" s="18" t="s">
        <v>33</v>
      </c>
      <c r="C16" s="19" t="n">
        <v>30791</v>
      </c>
      <c r="D16" s="19" t="n">
        <v>28092</v>
      </c>
      <c r="E16" s="19" t="n">
        <v>28632</v>
      </c>
      <c r="F16" s="19" t="n">
        <v>38201</v>
      </c>
      <c r="G16" s="19" t="n">
        <v>22002</v>
      </c>
      <c r="H16" s="14" t="n">
        <f aca="false">(C16/C$6)*100</f>
        <v>2.65620551927606</v>
      </c>
      <c r="I16" s="14" t="n">
        <f aca="false">(D16/D$6)*100</f>
        <v>2.21904498597891</v>
      </c>
      <c r="J16" s="14" t="n">
        <f aca="false">(E16/E$6)*100</f>
        <v>2.28664822017079</v>
      </c>
      <c r="K16" s="14" t="n">
        <f aca="false">(F16/F$6)*100</f>
        <v>1.92262379565943</v>
      </c>
      <c r="L16" s="14" t="n">
        <f aca="false">(G16/G$6)*100</f>
        <v>0.945252920243802</v>
      </c>
      <c r="M16" s="20" t="n">
        <f aca="false">AVERAGE(H16:L16)</f>
        <v>2.0059550882658</v>
      </c>
      <c r="N16" s="15" t="n">
        <f aca="false">((G16/C16)^(1/4)-1)*100</f>
        <v>-8.05892196796649</v>
      </c>
      <c r="O16" s="15" t="n">
        <f aca="false">(G16/F16-1)*100</f>
        <v>-42.4046490929557</v>
      </c>
      <c r="P16" s="20" t="n">
        <f aca="false">(M16-$M$3)/$M$4</f>
        <v>0.132358832107419</v>
      </c>
      <c r="Q16" s="20" t="n">
        <f aca="false">(N16-$N$3)/$N$4</f>
        <v>-0.424721250203865</v>
      </c>
      <c r="R16" s="21" t="str">
        <f aca="false">IF(AND(P16&gt;0,Q16&gt;0), "ESTRELLA",
IF(AND(P16&gt;0,Q16&lt;0), "Consolidado",
IF(AND(P16&lt;0,Q16&lt;0), "estancado", "prometedor")))</f>
        <v>Consolidado</v>
      </c>
    </row>
    <row r="17" customFormat="false" ht="15" hidden="false" customHeight="false" outlineLevel="0" collapsed="false">
      <c r="A17" s="1" t="n">
        <v>11</v>
      </c>
      <c r="B17" s="18" t="s">
        <v>34</v>
      </c>
      <c r="C17" s="43" t="n">
        <v>23594</v>
      </c>
      <c r="D17" s="44" t="n">
        <v>25900</v>
      </c>
      <c r="E17" s="44" t="n">
        <f aca="false">D17+(D17/C17-1)*D17</f>
        <v>28431.3808595406</v>
      </c>
      <c r="F17" s="44" t="n">
        <f aca="false">E17+(E17/D17-1)*E17</f>
        <v>31210.170562944</v>
      </c>
      <c r="G17" s="43" t="n">
        <v>30077</v>
      </c>
      <c r="H17" s="14" t="n">
        <f aca="false">(C17/C$6)*100</f>
        <v>2.03535166190768</v>
      </c>
      <c r="I17" s="14" t="n">
        <f aca="false">(D17/D$6)*100</f>
        <v>2.04589438761405</v>
      </c>
      <c r="J17" s="14" t="n">
        <f aca="false">(E17/E$6)*100</f>
        <v>2.27062609805344</v>
      </c>
      <c r="K17" s="14" t="n">
        <f aca="false">(F17/F$6)*100</f>
        <v>1.57078130391627</v>
      </c>
      <c r="L17" s="14" t="n">
        <f aca="false">(G17/G$6)*100</f>
        <v>1.2921721699015</v>
      </c>
      <c r="M17" s="20" t="n">
        <f aca="false">AVERAGE(H17:L17)</f>
        <v>1.84296512427859</v>
      </c>
      <c r="N17" s="15" t="n">
        <f aca="false">((G17/C17)^(1/4)-1)*100</f>
        <v>6.25716761121895</v>
      </c>
      <c r="O17" s="15" t="n">
        <f aca="false">(G17/F17-1)*100</f>
        <v>-3.6307733745275</v>
      </c>
      <c r="P17" s="20" t="n">
        <f aca="false">(M17-$M$3)/$M$4</f>
        <v>0.092062797418625</v>
      </c>
      <c r="Q17" s="20" t="n">
        <f aca="false">(N17-$N$3)/$N$4</f>
        <v>-0.259003726029581</v>
      </c>
      <c r="R17" s="21" t="str">
        <f aca="false">IF(AND(P17&gt;0,Q17&gt;0), "ESTRELLA",
IF(AND(P17&gt;0,Q17&lt;0), "Consolidado",
IF(AND(P17&lt;0,Q17&lt;0), "estancado", "prometedor")))</f>
        <v>Consolidado</v>
      </c>
    </row>
    <row r="18" customFormat="false" ht="15" hidden="false" customHeight="false" outlineLevel="0" collapsed="false">
      <c r="A18" s="1" t="n">
        <v>12</v>
      </c>
      <c r="B18" s="18" t="s">
        <v>35</v>
      </c>
      <c r="C18" s="31" t="n">
        <v>22054</v>
      </c>
      <c r="D18" s="31" t="n">
        <v>22931</v>
      </c>
      <c r="E18" s="31" t="n">
        <v>25613</v>
      </c>
      <c r="F18" s="31" t="n">
        <v>28280</v>
      </c>
      <c r="G18" s="31" t="n">
        <v>35358</v>
      </c>
      <c r="H18" s="32" t="n">
        <f aca="false">(C18/C$6)*100</f>
        <v>1.90250256640298</v>
      </c>
      <c r="I18" s="32" t="n">
        <f aca="false">(D18/D$6)*100</f>
        <v>1.81136695762076</v>
      </c>
      <c r="J18" s="32" t="n">
        <f aca="false">(E18/E$6)*100</f>
        <v>2.0455406839632</v>
      </c>
      <c r="K18" s="32" t="n">
        <f aca="false">(F18/F$6)*100</f>
        <v>1.42330831499826</v>
      </c>
      <c r="L18" s="32" t="n">
        <f aca="false">(G18/G$6)*100</f>
        <v>1.51905521107083</v>
      </c>
      <c r="M18" s="33" t="n">
        <f aca="false">AVERAGE(H18:L18)</f>
        <v>1.74035474681121</v>
      </c>
      <c r="N18" s="34" t="n">
        <f aca="false">((G18/C18)^(1/4)-1)*100</f>
        <v>12.5252743076953</v>
      </c>
      <c r="O18" s="34" t="n">
        <f aca="false">(G18/F18-1)*100</f>
        <v>25.02828854314</v>
      </c>
      <c r="P18" s="20" t="n">
        <f aca="false">(M18-$M$3)/$M$4</f>
        <v>0.0666944174968997</v>
      </c>
      <c r="Q18" s="20" t="n">
        <f aca="false">(N18-$N$3)/$N$4</f>
        <v>-0.1864465436192</v>
      </c>
      <c r="R18" s="21" t="str">
        <f aca="false">IF(AND(P18&gt;0,Q18&gt;0), "ESTRELLA",
IF(AND(P18&gt;0,Q18&lt;0), "Consolidado",
IF(AND(P18&lt;0,Q18&lt;0), "estancado", "prometedor")))</f>
        <v>Consolidado</v>
      </c>
    </row>
    <row r="19" customFormat="false" ht="15" hidden="false" customHeight="false" outlineLevel="0" collapsed="false">
      <c r="A19" s="1" t="n">
        <v>13</v>
      </c>
      <c r="B19" s="45" t="s">
        <v>36</v>
      </c>
      <c r="C19" s="43" t="n">
        <v>17796</v>
      </c>
      <c r="D19" s="43" t="n">
        <v>21406</v>
      </c>
      <c r="E19" s="43" t="n">
        <v>22078</v>
      </c>
      <c r="F19" s="43" t="n">
        <v>15983</v>
      </c>
      <c r="G19" s="43" t="n">
        <v>10972</v>
      </c>
      <c r="H19" s="14" t="n">
        <f aca="false">(C19/C$6)*100</f>
        <v>1.53518344389714</v>
      </c>
      <c r="I19" s="14" t="n">
        <f aca="false">(D19/D$6)*100</f>
        <v>1.69090406414155</v>
      </c>
      <c r="J19" s="14" t="n">
        <f aca="false">(E19/E$6)*100</f>
        <v>1.76322364504508</v>
      </c>
      <c r="K19" s="14" t="n">
        <f aca="false">(F19/F$6)*100</f>
        <v>0.804410777886039</v>
      </c>
      <c r="L19" s="14" t="n">
        <f aca="false">(G19/G$6)*100</f>
        <v>0.471380558172666</v>
      </c>
      <c r="M19" s="20" t="n">
        <f aca="false">AVERAGE(H19:L19)</f>
        <v>1.25302049782849</v>
      </c>
      <c r="N19" s="15" t="n">
        <f aca="false">((G19/C19)^(1/4)-1)*100</f>
        <v>-11.3883444872926</v>
      </c>
      <c r="O19" s="15" t="n">
        <f aca="false">(G19/F19-1)*100</f>
        <v>-31.3520615654132</v>
      </c>
      <c r="P19" s="20" t="n">
        <f aca="false">(M19-$M$3)/$M$4</f>
        <v>-0.0537893062959705</v>
      </c>
      <c r="Q19" s="20" t="n">
        <f aca="false">(N19-$N$3)/$N$4</f>
        <v>-0.46326135948308</v>
      </c>
      <c r="R19" s="15" t="str">
        <f aca="false">IF(AND(P19&gt;0,Q19&gt;0), "ESTRELLA",
IF(AND(P19&gt;0,Q19&lt;0), "Consolidado",
IF(AND(P19&lt;0,Q19&lt;0), "estancado", "prometedor")))</f>
        <v>estancado</v>
      </c>
    </row>
    <row r="20" s="39" customFormat="true" ht="15" hidden="false" customHeight="false" outlineLevel="0" collapsed="false">
      <c r="A20" s="39" t="n">
        <v>14</v>
      </c>
      <c r="B20" s="46" t="s">
        <v>37</v>
      </c>
      <c r="C20" s="40" t="n">
        <v>15983</v>
      </c>
      <c r="D20" s="40" t="n">
        <v>17333</v>
      </c>
      <c r="E20" s="40" t="n">
        <v>18153</v>
      </c>
      <c r="F20" s="40" t="n">
        <v>20156</v>
      </c>
      <c r="G20" s="40" t="n">
        <v>21247</v>
      </c>
      <c r="H20" s="41" t="n">
        <f aca="false">(C20/C$6)*100</f>
        <v>1.37878382691661</v>
      </c>
      <c r="I20" s="41" t="n">
        <f aca="false">(D20/D$6)*100</f>
        <v>1.36916939847545</v>
      </c>
      <c r="J20" s="41" t="n">
        <f aca="false">(E20/E$6)*100</f>
        <v>1.44975988896201</v>
      </c>
      <c r="K20" s="41" t="n">
        <f aca="false">(F20/F$6)*100</f>
        <v>1.01443431390046</v>
      </c>
      <c r="L20" s="41" t="n">
        <f aca="false">(G20/G$6)*100</f>
        <v>0.912816507427509</v>
      </c>
      <c r="M20" s="42" t="n">
        <f aca="false">AVERAGE(H20:L20)</f>
        <v>1.22499278713641</v>
      </c>
      <c r="N20" s="9" t="n">
        <f aca="false">((G20/C20)^(1/4)-1)*100</f>
        <v>7.37664484409695</v>
      </c>
      <c r="O20" s="9" t="n">
        <f aca="false">(G20/F20-1)*100</f>
        <v>5.41278031355428</v>
      </c>
      <c r="P20" s="20" t="n">
        <f aca="false">(M20-$M$3)/$M$4</f>
        <v>-0.0607186016627972</v>
      </c>
      <c r="Q20" s="42" t="n">
        <f aca="false">(N20-$N$3)/$N$4</f>
        <v>-0.246045089917681</v>
      </c>
      <c r="R20" s="9" t="str">
        <f aca="false">IF(AND(P20&gt;0,Q20&gt;0), "ESTRELLA",
IF(AND(P20&gt;0,Q20&lt;0), "Consolidado",
IF(AND(P20&lt;0,Q20&lt;0), "estancado", "prometedor")))</f>
        <v>estancado</v>
      </c>
    </row>
    <row r="21" customFormat="false" ht="15" hidden="false" customHeight="false" outlineLevel="0" collapsed="false">
      <c r="A21" s="1" t="n">
        <v>15</v>
      </c>
      <c r="B21" s="12" t="s">
        <v>38</v>
      </c>
      <c r="C21" s="19" t="n">
        <v>10403</v>
      </c>
      <c r="D21" s="19" t="n">
        <v>10665</v>
      </c>
      <c r="E21" s="19" t="n">
        <v>11468</v>
      </c>
      <c r="F21" s="19" t="n">
        <v>14684</v>
      </c>
      <c r="G21" s="19" t="n">
        <v>11891</v>
      </c>
      <c r="H21" s="14" t="n">
        <f aca="false">(C21/C$6)*100</f>
        <v>0.897421519828159</v>
      </c>
      <c r="I21" s="14" t="n">
        <f aca="false">(D21/D$6)*100</f>
        <v>0.842450333741459</v>
      </c>
      <c r="J21" s="14" t="n">
        <f aca="false">(E21/E$6)*100</f>
        <v>0.915873211403974</v>
      </c>
      <c r="K21" s="14" t="n">
        <f aca="false">(F21/F$6)*100</f>
        <v>0.739033214194995</v>
      </c>
      <c r="L21" s="14" t="n">
        <f aca="false">(G21/G$6)*100</f>
        <v>0.510862761322564</v>
      </c>
      <c r="M21" s="20" t="n">
        <f aca="false">AVERAGE(H21:L21)</f>
        <v>0.78112820809823</v>
      </c>
      <c r="N21" s="15" t="n">
        <f aca="false">((G21/C21)^(1/4)-1)*100</f>
        <v>3.39866824298818</v>
      </c>
      <c r="O21" s="15" t="n">
        <f aca="false">(G21/F21-1)*100</f>
        <v>-19.020702805775</v>
      </c>
      <c r="P21" s="20" t="n">
        <f aca="false">(M21-$M$3)/$M$4</f>
        <v>-0.170455312049781</v>
      </c>
      <c r="Q21" s="20" t="n">
        <f aca="false">(N21-$N$3)/$N$4</f>
        <v>-0.292092610779624</v>
      </c>
      <c r="R21" s="15" t="str">
        <f aca="false">IF(AND(P21&gt;0,Q21&gt;0), "ESTRELLA",
IF(AND(P21&gt;0,Q21&lt;0), "Consolidado",
IF(AND(P21&lt;0,Q21&lt;0), "estancado", "prometedor")))</f>
        <v>estancado</v>
      </c>
    </row>
    <row r="22" customFormat="false" ht="15" hidden="false" customHeight="false" outlineLevel="0" collapsed="false">
      <c r="A22" s="1" t="n">
        <v>16</v>
      </c>
      <c r="B22" s="12" t="s">
        <v>39</v>
      </c>
      <c r="C22" s="19" t="n">
        <v>10356</v>
      </c>
      <c r="D22" s="19" t="n">
        <v>9965</v>
      </c>
      <c r="E22" s="19" t="n">
        <v>10383</v>
      </c>
      <c r="F22" s="19" t="n">
        <v>10962</v>
      </c>
      <c r="G22" s="19" t="n">
        <v>10807</v>
      </c>
      <c r="H22" s="14" t="n">
        <f aca="false">(C22/C$6)*100</f>
        <v>0.893367034445873</v>
      </c>
      <c r="I22" s="14" t="n">
        <f aca="false">(D22/D$6)*100</f>
        <v>0.787155890832971</v>
      </c>
      <c r="J22" s="14" t="n">
        <f aca="false">(E22/E$6)*100</f>
        <v>0.82922144698356</v>
      </c>
      <c r="K22" s="14" t="n">
        <f aca="false">(F22/F$6)*100</f>
        <v>0.551708124081009</v>
      </c>
      <c r="L22" s="14" t="n">
        <f aca="false">(G22/G$6)*100</f>
        <v>0.46429180570288</v>
      </c>
      <c r="M22" s="20" t="n">
        <f aca="false">AVERAGE(H22:L22)</f>
        <v>0.705148860409259</v>
      </c>
      <c r="N22" s="15" t="n">
        <f aca="false">((G22/C22)^(1/4)-1)*100</f>
        <v>1.07139907211389</v>
      </c>
      <c r="O22" s="15" t="n">
        <f aca="false">(G22/F22-1)*100</f>
        <v>-1.41397555190659</v>
      </c>
      <c r="P22" s="20" t="n">
        <f aca="false">(M22-$M$3)/$M$4</f>
        <v>-0.189239698248842</v>
      </c>
      <c r="Q22" s="20" t="n">
        <f aca="false">(N22-$N$3)/$N$4</f>
        <v>-0.319032179923223</v>
      </c>
      <c r="R22" s="15" t="str">
        <f aca="false">IF(AND(P22&gt;0,Q22&gt;0), "ESTRELLA",
IF(AND(P22&gt;0,Q22&lt;0), "Consolidado",
IF(AND(P22&lt;0,Q22&lt;0), "estancado", "prometedor")))</f>
        <v>estancado</v>
      </c>
    </row>
    <row r="23" customFormat="false" ht="15" hidden="false" customHeight="false" outlineLevel="0" collapsed="false">
      <c r="A23" s="47" t="n">
        <v>17</v>
      </c>
      <c r="B23" s="48" t="s">
        <v>40</v>
      </c>
      <c r="C23" s="49" t="n">
        <v>7020</v>
      </c>
      <c r="D23" s="49" t="n">
        <v>3968</v>
      </c>
      <c r="E23" s="49" t="n">
        <v>1266</v>
      </c>
      <c r="F23" s="49" t="n">
        <v>2175</v>
      </c>
      <c r="G23" s="49" t="n">
        <v>55104</v>
      </c>
      <c r="H23" s="50" t="n">
        <f aca="false">(C23/C$6)*100</f>
        <v>0.605584837949983</v>
      </c>
      <c r="I23" s="50" t="n">
        <f aca="false">(D23/D$6)*100</f>
        <v>0.313440499229827</v>
      </c>
      <c r="J23" s="50" t="n">
        <f aca="false">(E23/E$6)*100</f>
        <v>0.101107035720041</v>
      </c>
      <c r="K23" s="50" t="n">
        <f aca="false">(F23/F$6)*100</f>
        <v>0.109465897635121</v>
      </c>
      <c r="L23" s="50" t="n">
        <f aca="false">(G23/G$6)*100</f>
        <v>2.36738555209138</v>
      </c>
      <c r="M23" s="51" t="n">
        <f aca="false">AVERAGE(H23:L23)</f>
        <v>0.69939676452527</v>
      </c>
      <c r="N23" s="52" t="n">
        <f aca="false">((G23/C23)^(1/4)-1)*100</f>
        <v>67.3830600817275</v>
      </c>
      <c r="O23" s="52" t="n">
        <f aca="false">(G23/F23-1)*100</f>
        <v>2433.51724137931</v>
      </c>
      <c r="P23" s="20" t="n">
        <f aca="false">(M23-$M$3)/$M$4</f>
        <v>-0.190661789828006</v>
      </c>
      <c r="Q23" s="51" t="n">
        <f aca="false">(N23-$N$3)/$N$4</f>
        <v>0.448565998728496</v>
      </c>
      <c r="R23" s="52" t="str">
        <f aca="false">IF(AND(P23&gt;0,Q23&gt;0), "ESTRELLA",
IF(AND(P23&gt;0,Q23&lt;0), "Consolidado",
IF(AND(P23&lt;0,Q23&lt;0), "estancado", "prometedor")))</f>
        <v>prometedor</v>
      </c>
    </row>
    <row r="24" s="53" customFormat="true" ht="15" hidden="false" customHeight="false" outlineLevel="0" collapsed="false">
      <c r="A24" s="53" t="n">
        <v>18</v>
      </c>
      <c r="B24" s="54" t="s">
        <v>41</v>
      </c>
      <c r="C24" s="55" t="n">
        <v>54</v>
      </c>
      <c r="D24" s="55" t="n">
        <v>3886</v>
      </c>
      <c r="E24" s="55" t="n">
        <v>21783</v>
      </c>
      <c r="F24" s="55" t="n">
        <v>19252</v>
      </c>
      <c r="G24" s="55" t="n">
        <v>8444</v>
      </c>
      <c r="H24" s="56" t="n">
        <f aca="false">(C24/C$6)*100</f>
        <v>0.00465834490730756</v>
      </c>
      <c r="I24" s="56" t="n">
        <f aca="false">(D24/D$6)*100</f>
        <v>0.306963150203405</v>
      </c>
      <c r="J24" s="56" t="n">
        <f aca="false">(E24/E$6)*100</f>
        <v>1.73966394872801</v>
      </c>
      <c r="K24" s="56" t="n">
        <f aca="false">(F24/F$6)*100</f>
        <v>0.968936763802918</v>
      </c>
      <c r="L24" s="56" t="n">
        <f aca="false">(G24/G$6)*100</f>
        <v>0.362772277908311</v>
      </c>
      <c r="M24" s="57" t="n">
        <f aca="false">AVERAGE(H24:L24)</f>
        <v>0.676598897109989</v>
      </c>
      <c r="N24" s="58" t="n">
        <f aca="false">((G24/C24)^(1/4)-1)*100</f>
        <v>253.621462695269</v>
      </c>
      <c r="O24" s="58" t="n">
        <f aca="false">(G24/F24-1)*100</f>
        <v>-56.1396218574693</v>
      </c>
      <c r="P24" s="20" t="n">
        <f aca="false">(M24-$M$3)/$M$4</f>
        <v>-0.196298110210707</v>
      </c>
      <c r="Q24" s="57" t="n">
        <f aca="false">(N24-$N$3)/$N$4</f>
        <v>2.60438982314506</v>
      </c>
      <c r="R24" s="58" t="str">
        <f aca="false">IF(AND(P24&gt;0,Q24&gt;0), "ESTRELLA",
IF(AND(P24&gt;0,Q24&lt;0), "Consolidado",
IF(AND(P24&lt;0,Q24&lt;0), "estancado", "prometedor")))</f>
        <v>prometedor</v>
      </c>
    </row>
    <row r="25" customFormat="false" ht="15" hidden="false" customHeight="false" outlineLevel="0" collapsed="false">
      <c r="A25" s="1" t="n">
        <v>19</v>
      </c>
      <c r="B25" s="12" t="s">
        <v>42</v>
      </c>
      <c r="C25" s="19" t="n">
        <v>8019</v>
      </c>
      <c r="D25" s="19" t="n">
        <v>7705</v>
      </c>
      <c r="E25" s="59" t="n">
        <v>8846</v>
      </c>
      <c r="F25" s="19" t="n">
        <v>10541</v>
      </c>
      <c r="G25" s="19" t="n">
        <v>10839</v>
      </c>
      <c r="H25" s="14" t="n">
        <f aca="false">(C25/C$6)*100</f>
        <v>0.691764218735173</v>
      </c>
      <c r="I25" s="14" t="n">
        <f aca="false">(D25/D$6)*100</f>
        <v>0.608633832299854</v>
      </c>
      <c r="J25" s="14" t="n">
        <f aca="false">(E25/E$6)*100</f>
        <v>0.706471436002752</v>
      </c>
      <c r="K25" s="14" t="n">
        <f aca="false">(F25/F$6)*100</f>
        <v>0.530519552630717</v>
      </c>
      <c r="L25" s="14" t="n">
        <f aca="false">(G25/G$6)*100</f>
        <v>0.465666594060656</v>
      </c>
      <c r="M25" s="20" t="n">
        <f aca="false">AVERAGE(H25:L25)</f>
        <v>0.60061112674583</v>
      </c>
      <c r="N25" s="15" t="n">
        <f aca="false">((G25/C25)^(1/4)-1)*100</f>
        <v>7.82444979268009</v>
      </c>
      <c r="O25" s="15" t="n">
        <f aca="false">(G25/F25-1)*100</f>
        <v>2.82705625652215</v>
      </c>
      <c r="P25" s="20" t="n">
        <f aca="false">(M25-$M$3)/$M$4</f>
        <v>-0.215084578749092</v>
      </c>
      <c r="Q25" s="20" t="n">
        <f aca="false">(N25-$N$3)/$N$4</f>
        <v>-0.24086147277267</v>
      </c>
      <c r="R25" s="15" t="str">
        <f aca="false">IF(AND(P25&gt;0,Q25&gt;0), "ESTRELLA",
IF(AND(P25&gt;0,Q25&lt;0), "Consolidado",
IF(AND(P25&lt;0,Q25&lt;0), "estancado", "prometedor")))</f>
        <v>estancado</v>
      </c>
    </row>
    <row r="26" customFormat="false" ht="15" hidden="false" customHeight="false" outlineLevel="0" collapsed="false">
      <c r="A26" s="1" t="n">
        <v>20</v>
      </c>
      <c r="B26" s="45" t="s">
        <v>43</v>
      </c>
      <c r="C26" s="29" t="n">
        <v>2716</v>
      </c>
      <c r="D26" s="29" t="n">
        <v>11596</v>
      </c>
      <c r="E26" s="29" t="n">
        <v>12727</v>
      </c>
      <c r="F26" s="29" t="n">
        <v>12400</v>
      </c>
      <c r="G26" s="29" t="n">
        <v>675</v>
      </c>
      <c r="H26" s="14" t="n">
        <f aca="false">(C26/C$6)*100</f>
        <v>0.234297495708284</v>
      </c>
      <c r="I26" s="14" t="n">
        <f aca="false">(D26/D$6)*100</f>
        <v>0.915991942809748</v>
      </c>
      <c r="J26" s="14" t="n">
        <f aca="false">(E26/E$6)*100</f>
        <v>1.01642120348259</v>
      </c>
      <c r="K26" s="14" t="n">
        <f aca="false">(F26/F$6)*100</f>
        <v>0.624081439391034</v>
      </c>
      <c r="L26" s="14" t="n">
        <f aca="false">(G26/G$6)*100</f>
        <v>0.028999441921851</v>
      </c>
      <c r="M26" s="20" t="n">
        <f aca="false">AVERAGE(H26:L26)</f>
        <v>0.563958304662702</v>
      </c>
      <c r="N26" s="15" t="n">
        <f aca="false">((G26/C26)^(1/4)-1)*100</f>
        <v>-29.3936921703879</v>
      </c>
      <c r="O26" s="15" t="n">
        <f aca="false">(G26/F26-1)*100</f>
        <v>-94.5564516129032</v>
      </c>
      <c r="P26" s="20" t="n">
        <f aca="false">(M26-$M$3)/$M$4</f>
        <v>-0.224146261775293</v>
      </c>
      <c r="Q26" s="20" t="n">
        <f aca="false">(N26-$N$3)/$N$4</f>
        <v>-0.671684310697214</v>
      </c>
      <c r="R26" s="15" t="str">
        <f aca="false">IF(AND(P26&gt;0,Q26&gt;0), "ESTRELLA",
IF(AND(P26&gt;0,Q26&lt;0), "Consolidado",
IF(AND(P26&lt;0,Q26&lt;0), "estancado", "prometedor")))</f>
        <v>estancado</v>
      </c>
    </row>
    <row r="27" customFormat="false" ht="15" hidden="false" customHeight="false" outlineLevel="0" collapsed="false">
      <c r="A27" s="1" t="n">
        <v>21</v>
      </c>
      <c r="B27" s="12" t="s">
        <v>44</v>
      </c>
      <c r="C27" s="19" t="n">
        <v>9652</v>
      </c>
      <c r="D27" s="59" t="n">
        <v>8668</v>
      </c>
      <c r="E27" s="19" t="n">
        <v>7754</v>
      </c>
      <c r="F27" s="19" t="n">
        <v>7242</v>
      </c>
      <c r="G27" s="19" t="n">
        <v>6946</v>
      </c>
      <c r="H27" s="14" t="n">
        <f aca="false">(C27/C$6)*100</f>
        <v>0.832636019358011</v>
      </c>
      <c r="I27" s="14" t="n">
        <f aca="false">(D27/D$6)*100</f>
        <v>0.684703187329673</v>
      </c>
      <c r="J27" s="14" t="n">
        <f aca="false">(E27/E$6)*100</f>
        <v>0.619260627940915</v>
      </c>
      <c r="K27" s="14" t="n">
        <f aca="false">(F27/F$6)*100</f>
        <v>0.364483692263699</v>
      </c>
      <c r="L27" s="14" t="n">
        <f aca="false">(G27/G$6)*100</f>
        <v>0.298414997909892</v>
      </c>
      <c r="M27" s="20" t="n">
        <f aca="false">AVERAGE(H27:L27)</f>
        <v>0.559899704960438</v>
      </c>
      <c r="N27" s="15" t="n">
        <f aca="false">((G27/C27)^(1/4)-1)*100</f>
        <v>-7.89581447873227</v>
      </c>
      <c r="O27" s="15" t="n">
        <f aca="false">(G27/F27-1)*100</f>
        <v>-4.08726871030102</v>
      </c>
      <c r="P27" s="20" t="n">
        <f aca="false">(M27-$M$3)/$M$4</f>
        <v>-0.225149670024424</v>
      </c>
      <c r="Q27" s="20" t="n">
        <f aca="false">(N27-$N$3)/$N$4</f>
        <v>-0.422833180899697</v>
      </c>
      <c r="R27" s="15" t="str">
        <f aca="false">IF(AND(P27&gt;0,Q27&gt;0), "ESTRELLA",
IF(AND(P27&gt;0,Q27&lt;0), "Consolidado",
IF(AND(P27&lt;0,Q27&lt;0), "estancado", "prometedor")))</f>
        <v>estancado</v>
      </c>
    </row>
    <row r="28" customFormat="false" ht="15" hidden="false" customHeight="false" outlineLevel="0" collapsed="false">
      <c r="A28" s="1" t="n">
        <v>22</v>
      </c>
      <c r="B28" s="12" t="s">
        <v>45</v>
      </c>
      <c r="C28" s="19" t="n">
        <v>6458</v>
      </c>
      <c r="D28" s="19" t="n">
        <v>7649</v>
      </c>
      <c r="E28" s="19" t="n">
        <v>9320</v>
      </c>
      <c r="F28" s="19" t="n">
        <v>9168</v>
      </c>
      <c r="G28" s="19" t="n">
        <v>8828</v>
      </c>
      <c r="H28" s="14" t="n">
        <f aca="false">(C28/C$6)*100</f>
        <v>0.557103544655412</v>
      </c>
      <c r="I28" s="14" t="n">
        <f aca="false">(D28/D$6)*100</f>
        <v>0.604210276867175</v>
      </c>
      <c r="J28" s="14" t="n">
        <f aca="false">(E28/E$6)*100</f>
        <v>0.744326676864758</v>
      </c>
      <c r="K28" s="14" t="n">
        <f aca="false">(F28/F$6)*100</f>
        <v>0.461417631962661</v>
      </c>
      <c r="L28" s="14" t="n">
        <f aca="false">(G28/G$6)*100</f>
        <v>0.379269738201631</v>
      </c>
      <c r="M28" s="20" t="n">
        <f aca="false">AVERAGE(H28:L28)</f>
        <v>0.549265573710327</v>
      </c>
      <c r="N28" s="15" t="n">
        <f aca="false">((G28/C28)^(1/4)-1)*100</f>
        <v>8.12872224023222</v>
      </c>
      <c r="O28" s="15" t="n">
        <f aca="false">(G28/F28-1)*100</f>
        <v>-3.7085514834206</v>
      </c>
      <c r="P28" s="20" t="n">
        <f aca="false">(M28-$M$3)/$M$4</f>
        <v>-0.227778747982704</v>
      </c>
      <c r="Q28" s="20" t="n">
        <f aca="false">(N28-$N$3)/$N$4</f>
        <v>-0.237339332428137</v>
      </c>
      <c r="R28" s="15" t="str">
        <f aca="false">IF(AND(P28&gt;0,Q28&gt;0), "ESTRELLA",
IF(AND(P28&gt;0,Q28&lt;0), "Consolidado",
IF(AND(P28&lt;0,Q28&lt;0), "estancado", "prometedor")))</f>
        <v>estancado</v>
      </c>
    </row>
    <row r="29" customFormat="false" ht="15" hidden="false" customHeight="false" outlineLevel="0" collapsed="false">
      <c r="A29" s="1" t="n">
        <v>23</v>
      </c>
      <c r="B29" s="60" t="s">
        <v>46</v>
      </c>
      <c r="C29" s="61" t="n">
        <v>4108</v>
      </c>
      <c r="D29" s="61" t="n">
        <v>6509</v>
      </c>
      <c r="E29" s="61" t="n">
        <v>12872</v>
      </c>
      <c r="F29" s="61" t="n">
        <v>9211</v>
      </c>
      <c r="G29" s="61" t="n">
        <v>6496</v>
      </c>
      <c r="H29" s="32" t="n">
        <f aca="false">(C29/C$6)*100</f>
        <v>0.354379275541101</v>
      </c>
      <c r="I29" s="32" t="n">
        <f aca="false">(D29/D$6)*100</f>
        <v>0.514159326987638</v>
      </c>
      <c r="J29" s="32" t="n">
        <f aca="false">(E29/E$6)*100</f>
        <v>1.02800139319776</v>
      </c>
      <c r="K29" s="32" t="n">
        <f aca="false">(F29/F$6)*100</f>
        <v>0.463581785341194</v>
      </c>
      <c r="L29" s="32" t="n">
        <f aca="false">(G29/G$6)*100</f>
        <v>0.279082036628658</v>
      </c>
      <c r="M29" s="33" t="n">
        <f aca="false">AVERAGE(H29:L29)</f>
        <v>0.527840763539271</v>
      </c>
      <c r="N29" s="34" t="n">
        <f aca="false">((G29/C29)^(1/4)-1)*100</f>
        <v>12.1382812423636</v>
      </c>
      <c r="O29" s="34" t="n">
        <f aca="false">(G29/F29-1)*100</f>
        <v>-29.4756269677559</v>
      </c>
      <c r="P29" s="20" t="n">
        <f aca="false">(M29-$M$3)/$M$4</f>
        <v>-0.233075607204794</v>
      </c>
      <c r="Q29" s="20" t="n">
        <f aca="false">(N29-$N$3)/$N$4</f>
        <v>-0.190926225888905</v>
      </c>
      <c r="R29" s="9" t="str">
        <f aca="false">IF(AND(P29&gt;0,Q29&gt;0), "ESTRELLA",
IF(AND(P29&gt;0,Q29&lt;0), "Consolidado",
IF(AND(P29&lt;0,Q29&lt;0), "estancado", "prometedor")))</f>
        <v>estancado</v>
      </c>
    </row>
    <row r="30" customFormat="false" ht="15" hidden="false" customHeight="false" outlineLevel="0" collapsed="false">
      <c r="A30" s="1" t="n">
        <v>24</v>
      </c>
      <c r="B30" s="45" t="s">
        <v>47</v>
      </c>
      <c r="C30" s="43" t="n">
        <v>5703</v>
      </c>
      <c r="D30" s="43" t="n">
        <v>9604</v>
      </c>
      <c r="E30" s="43" t="n">
        <v>6704</v>
      </c>
      <c r="F30" s="43" t="n">
        <v>5652</v>
      </c>
      <c r="G30" s="43" t="n">
        <v>10827</v>
      </c>
      <c r="H30" s="14" t="n">
        <f aca="false">(C30/C$6)*100</f>
        <v>0.491972981599538</v>
      </c>
      <c r="I30" s="14" t="n">
        <f aca="false">(D30/D$6)*100</f>
        <v>0.758639756704451</v>
      </c>
      <c r="J30" s="14" t="n">
        <f aca="false">(E30/E$6)*100</f>
        <v>0.535404081727611</v>
      </c>
      <c r="K30" s="14" t="n">
        <f aca="false">(F30/F$6)*100</f>
        <v>0.2844603464063</v>
      </c>
      <c r="L30" s="14" t="n">
        <f aca="false">(G30/G$6)*100</f>
        <v>0.46515104842649</v>
      </c>
      <c r="M30" s="20" t="n">
        <f aca="false">AVERAGE(H30:L30)</f>
        <v>0.507125642972878</v>
      </c>
      <c r="N30" s="15" t="n">
        <f aca="false">((G30/C30)^(1/4)-1)*100</f>
        <v>17.3819152342452</v>
      </c>
      <c r="O30" s="15" t="n">
        <f aca="false">(G30/F30-1)*100</f>
        <v>91.5605095541401</v>
      </c>
      <c r="P30" s="20" t="n">
        <f aca="false">(M30-$M$3)/$M$4</f>
        <v>-0.238197009753183</v>
      </c>
      <c r="Q30" s="20" t="n">
        <f aca="false">(N30-$N$3)/$N$4</f>
        <v>-0.130227943861238</v>
      </c>
      <c r="R30" s="15" t="str">
        <f aca="false">IF(AND(P30&gt;0,Q30&gt;0), "ESTRELLA",
IF(AND(P30&gt;0,Q30&lt;0), "Consolidado",
IF(AND(P30&lt;0,Q30&lt;0), "estancado", "prometedor")))</f>
        <v>estancado</v>
      </c>
    </row>
    <row r="31" customFormat="false" ht="15" hidden="false" customHeight="false" outlineLevel="0" collapsed="false">
      <c r="A31" s="1" t="n">
        <v>25</v>
      </c>
      <c r="B31" s="45" t="s">
        <v>48</v>
      </c>
      <c r="C31" s="43" t="n">
        <v>6308</v>
      </c>
      <c r="D31" s="43" t="n">
        <v>7292</v>
      </c>
      <c r="E31" s="43" t="n">
        <v>6861</v>
      </c>
      <c r="F31" s="43" t="n">
        <v>9249</v>
      </c>
      <c r="G31" s="29" t="n">
        <v>1795</v>
      </c>
      <c r="H31" s="14" t="n">
        <f aca="false">(C31/C$6)*100</f>
        <v>0.544163697690669</v>
      </c>
      <c r="I31" s="14" t="n">
        <f aca="false">(D31/D$6)*100</f>
        <v>0.576010110983846</v>
      </c>
      <c r="J31" s="14" t="n">
        <f aca="false">(E31/E$6)*100</f>
        <v>0.547942631970934</v>
      </c>
      <c r="K31" s="14" t="n">
        <f aca="false">(F31/F$6)*100</f>
        <v>0.465494292978038</v>
      </c>
      <c r="L31" s="14" t="n">
        <f aca="false">(G31/G$6)*100</f>
        <v>0.0771170344440334</v>
      </c>
      <c r="M31" s="20" t="n">
        <f aca="false">AVERAGE(H31:L31)</f>
        <v>0.442145553613504</v>
      </c>
      <c r="N31" s="15" t="n">
        <f aca="false">((G31/C31)^(1/4)-1)*100</f>
        <v>-26.9629552911739</v>
      </c>
      <c r="O31" s="15" t="n">
        <f aca="false">(G31/F31-1)*100</f>
        <v>-80.5924964861066</v>
      </c>
      <c r="P31" s="20" t="n">
        <f aca="false">(M31-$M$3)/$M$4</f>
        <v>-0.254262047568098</v>
      </c>
      <c r="Q31" s="20" t="n">
        <f aca="false">(N31-$N$3)/$N$4</f>
        <v>-0.643547039320529</v>
      </c>
      <c r="R31" s="15" t="str">
        <f aca="false">IF(AND(P31&gt;0,Q31&gt;0), "ESTRELLA",
IF(AND(P31&gt;0,Q31&lt;0), "Consolidado",
IF(AND(P31&lt;0,Q31&lt;0), "estancado", "prometedor")))</f>
        <v>estancado</v>
      </c>
    </row>
    <row r="32" customFormat="false" ht="15" hidden="false" customHeight="false" outlineLevel="0" collapsed="false">
      <c r="A32" s="1" t="n">
        <v>26</v>
      </c>
      <c r="B32" s="12" t="s">
        <v>49</v>
      </c>
      <c r="C32" s="19" t="n">
        <v>5290</v>
      </c>
      <c r="D32" s="19" t="n">
        <v>7249</v>
      </c>
      <c r="E32" s="62" t="n">
        <v>7193</v>
      </c>
      <c r="F32" s="62" t="n">
        <v>7314</v>
      </c>
      <c r="G32" s="62" t="n">
        <v>4757</v>
      </c>
      <c r="H32" s="14" t="n">
        <f aca="false">(C32/C$6)*100</f>
        <v>0.456345269623278</v>
      </c>
      <c r="I32" s="14" t="n">
        <f aca="false">(D32/D$6)*100</f>
        <v>0.572613452348039</v>
      </c>
      <c r="J32" s="14" t="n">
        <f aca="false">(E32/E$6)*100</f>
        <v>0.574457273249807</v>
      </c>
      <c r="K32" s="14" t="n">
        <f aca="false">(F32/F$6)*100</f>
        <v>0.368107390944034</v>
      </c>
      <c r="L32" s="14" t="n">
        <f aca="false">(G32/G$6)*100</f>
        <v>0.204370881810734</v>
      </c>
      <c r="M32" s="20" t="n">
        <f aca="false">AVERAGE(H32:L32)</f>
        <v>0.435178853595178</v>
      </c>
      <c r="N32" s="15" t="n">
        <f aca="false">((G32/C32)^(1/4)-1)*100</f>
        <v>-2.62008977180328</v>
      </c>
      <c r="O32" s="15" t="n">
        <f aca="false">(G32/F32-1)*100</f>
        <v>-34.9603500136724</v>
      </c>
      <c r="P32" s="20" t="n">
        <f aca="false">(M32-$M$3)/$M$4</f>
        <v>-0.255984425920344</v>
      </c>
      <c r="Q32" s="20" t="n">
        <f aca="false">(N32-$N$3)/$N$4</f>
        <v>-0.361763429147898</v>
      </c>
      <c r="R32" s="15" t="str">
        <f aca="false">IF(AND(P32&gt;0,Q32&gt;0), "ESTRELLA",
IF(AND(P32&gt;0,Q32&lt;0), "Consolidado",
IF(AND(P32&lt;0,Q32&lt;0), "estancado", "prometedor")))</f>
        <v>estancado</v>
      </c>
    </row>
    <row r="33" customFormat="false" ht="15" hidden="false" customHeight="false" outlineLevel="0" collapsed="false">
      <c r="A33" s="1" t="n">
        <v>27</v>
      </c>
      <c r="B33" s="45" t="s">
        <v>50</v>
      </c>
      <c r="C33" s="43" t="n">
        <v>5728</v>
      </c>
      <c r="D33" s="43" t="n">
        <v>6661</v>
      </c>
      <c r="E33" s="43" t="n">
        <v>6199</v>
      </c>
      <c r="F33" s="43" t="n">
        <v>6637</v>
      </c>
      <c r="G33" s="29" t="n">
        <v>6230</v>
      </c>
      <c r="H33" s="14" t="n">
        <f aca="false">(C33/C$6)*100</f>
        <v>0.494129622760328</v>
      </c>
      <c r="I33" s="14" t="n">
        <f aca="false">(D33/D$6)*100</f>
        <v>0.526166120304909</v>
      </c>
      <c r="J33" s="14" t="n">
        <f aca="false">(E33/E$6)*100</f>
        <v>0.495073076167879</v>
      </c>
      <c r="K33" s="14" t="n">
        <f aca="false">(F33/F$6)*100</f>
        <v>0.334034557519217</v>
      </c>
      <c r="L33" s="14" t="n">
        <f aca="false">(G33/G$6)*100</f>
        <v>0.26765410840464</v>
      </c>
      <c r="M33" s="20" t="n">
        <f aca="false">AVERAGE(H33:L33)</f>
        <v>0.423411497031395</v>
      </c>
      <c r="N33" s="15" t="n">
        <f aca="false">((G33/C33)^(1/4)-1)*100</f>
        <v>2.12245799671553</v>
      </c>
      <c r="O33" s="15" t="n">
        <f aca="false">(G33/F33-1)*100</f>
        <v>-6.13228868464668</v>
      </c>
      <c r="P33" s="20" t="n">
        <f aca="false">(M33-$M$3)/$M$4</f>
        <v>-0.258893671352945</v>
      </c>
      <c r="Q33" s="20" t="n">
        <f aca="false">(N33-$N$3)/$N$4</f>
        <v>-0.30686552772516</v>
      </c>
      <c r="R33" s="15" t="str">
        <f aca="false">IF(AND(P33&gt;0,Q33&gt;0), "ESTRELLA",
IF(AND(P33&gt;0,Q33&lt;0), "Consolidado",
IF(AND(P33&lt;0,Q33&lt;0), "estancado", "prometedor")))</f>
        <v>estancado</v>
      </c>
    </row>
    <row r="34" s="47" customFormat="true" ht="15" hidden="false" customHeight="false" outlineLevel="0" collapsed="false">
      <c r="A34" s="47" t="n">
        <v>28</v>
      </c>
      <c r="B34" s="54" t="s">
        <v>51</v>
      </c>
      <c r="C34" s="63" t="n">
        <v>2689</v>
      </c>
      <c r="D34" s="63" t="n">
        <v>430</v>
      </c>
      <c r="E34" s="63" t="n">
        <v>9292</v>
      </c>
      <c r="F34" s="63" t="n">
        <v>12666</v>
      </c>
      <c r="G34" s="63" t="n">
        <v>10468</v>
      </c>
      <c r="H34" s="50" t="n">
        <f aca="false">(C34/C$6)*100</f>
        <v>0.23196832325463</v>
      </c>
      <c r="I34" s="50" t="n">
        <f aca="false">(D34/D$6)*100</f>
        <v>0.033966586358071</v>
      </c>
      <c r="J34" s="50" t="n">
        <f aca="false">(E34/E$6)*100</f>
        <v>0.74209050229907</v>
      </c>
      <c r="K34" s="50" t="n">
        <f aca="false">(F34/F$6)*100</f>
        <v>0.637468992848938</v>
      </c>
      <c r="L34" s="50" t="n">
        <f aca="false">(G34/G$6)*100</f>
        <v>0.449727641537684</v>
      </c>
      <c r="M34" s="51" t="n">
        <f aca="false">AVERAGE(H34:L34)</f>
        <v>0.419044409259679</v>
      </c>
      <c r="N34" s="52" t="n">
        <f aca="false">((G34/C34)^(1/4)-1)*100</f>
        <v>40.4650337696159</v>
      </c>
      <c r="O34" s="52" t="n">
        <f aca="false">(G34/F34-1)*100</f>
        <v>-17.353544923417</v>
      </c>
      <c r="P34" s="20" t="n">
        <f aca="false">(M34-$M$3)/$M$4</f>
        <v>-0.259973347156493</v>
      </c>
      <c r="Q34" s="51" t="n">
        <f aca="false">(N34-$N$3)/$N$4</f>
        <v>0.136973321731906</v>
      </c>
      <c r="R34" s="52" t="str">
        <f aca="false">IF(AND(P34&gt;0,Q34&gt;0), "ESTRELLA",
IF(AND(P34&gt;0,Q34&lt;0), "Consolidado",
IF(AND(P34&lt;0,Q34&lt;0), "estancado", "prometedor")))</f>
        <v>prometedor</v>
      </c>
    </row>
    <row r="35" customFormat="false" ht="15" hidden="false" customHeight="false" outlineLevel="0" collapsed="false">
      <c r="A35" s="1" t="n">
        <v>29</v>
      </c>
      <c r="B35" s="48" t="s">
        <v>52</v>
      </c>
      <c r="C35" s="59" t="n">
        <v>2018</v>
      </c>
      <c r="D35" s="59" t="n">
        <v>2428</v>
      </c>
      <c r="E35" s="59" t="n">
        <v>3380</v>
      </c>
      <c r="F35" s="59" t="n">
        <v>3003</v>
      </c>
      <c r="G35" s="62" t="n">
        <v>30223</v>
      </c>
      <c r="H35" s="14" t="n">
        <f aca="false">(C35/C$6)*100</f>
        <v>0.174084074499012</v>
      </c>
      <c r="I35" s="14" t="n">
        <f aca="false">(D35/D$6)*100</f>
        <v>0.191792724831154</v>
      </c>
      <c r="J35" s="14" t="n">
        <f aca="false">(E35/E$6)*100</f>
        <v>0.269938215429494</v>
      </c>
      <c r="K35" s="14" t="n">
        <f aca="false">(F35/F$6)*100</f>
        <v>0.151138432458974</v>
      </c>
      <c r="L35" s="14" t="n">
        <f aca="false">(G35/G$6)*100</f>
        <v>1.29844464178386</v>
      </c>
      <c r="M35" s="20" t="n">
        <f aca="false">AVERAGE(H35:L35)</f>
        <v>0.417079617800499</v>
      </c>
      <c r="N35" s="15" t="n">
        <f aca="false">((G35/C35)^(1/4)-1)*100</f>
        <v>96.7225305393375</v>
      </c>
      <c r="O35" s="15" t="n">
        <f aca="false">(G35/F35-1)*100</f>
        <v>906.426906426906</v>
      </c>
      <c r="P35" s="20" t="n">
        <f aca="false">(M35-$M$3)/$M$4</f>
        <v>-0.260459102861068</v>
      </c>
      <c r="Q35" s="20" t="n">
        <f aca="false">(N35-$N$3)/$N$4</f>
        <v>0.788188378005081</v>
      </c>
      <c r="R35" s="52" t="str">
        <f aca="false">IF(AND(P35&gt;0,Q35&gt;0), "ESTRELLA",
IF(AND(P35&gt;0,Q35&lt;0), "Consolidado",
IF(AND(P35&lt;0,Q35&lt;0), "estancado", "prometedor")))</f>
        <v>prometedor</v>
      </c>
    </row>
    <row r="36" customFormat="false" ht="15" hidden="false" customHeight="false" outlineLevel="0" collapsed="false">
      <c r="A36" s="1" t="n">
        <v>30</v>
      </c>
      <c r="B36" s="48" t="s">
        <v>53</v>
      </c>
      <c r="C36" s="19" t="n">
        <v>2400</v>
      </c>
      <c r="D36" s="19" t="n">
        <v>4225</v>
      </c>
      <c r="E36" s="19" t="n">
        <v>4876</v>
      </c>
      <c r="F36" s="19" t="n">
        <v>11205</v>
      </c>
      <c r="G36" s="19" t="n">
        <v>9801</v>
      </c>
      <c r="H36" s="14" t="n">
        <f aca="false">(C36/C$6)*100</f>
        <v>0.207037551435892</v>
      </c>
      <c r="I36" s="14" t="n">
        <f aca="false">(D36/D$6)*100</f>
        <v>0.333741458983372</v>
      </c>
      <c r="J36" s="14" t="n">
        <f aca="false">(E36/E$6)*100</f>
        <v>0.389413827939116</v>
      </c>
      <c r="K36" s="14" t="n">
        <f aca="false">(F36/F$6)*100</f>
        <v>0.56393810712714</v>
      </c>
      <c r="L36" s="14" t="n">
        <f aca="false">(G36/G$6)*100</f>
        <v>0.421071896705277</v>
      </c>
      <c r="M36" s="20" t="n">
        <f aca="false">AVERAGE(H36:L36)</f>
        <v>0.383040568438159</v>
      </c>
      <c r="N36" s="15" t="n">
        <f aca="false">((G36/C36)^(1/4)-1)*100</f>
        <v>42.1558664915424</v>
      </c>
      <c r="O36" s="15" t="n">
        <f aca="false">(G36/F36-1)*100</f>
        <v>-12.5301204819277</v>
      </c>
      <c r="P36" s="20" t="n">
        <f aca="false">(M36-$M$3)/$M$4</f>
        <v>-0.26887458244229</v>
      </c>
      <c r="Q36" s="20" t="n">
        <f aca="false">(N36-$N$3)/$N$4</f>
        <v>0.156545748330711</v>
      </c>
      <c r="R36" s="52" t="str">
        <f aca="false">IF(AND(P36&gt;0,Q36&gt;0), "ESTRELLA",
IF(AND(P36&gt;0,Q36&lt;0), "Consolidado",
IF(AND(P36&lt;0,Q36&lt;0), "estancado", "prometedor")))</f>
        <v>prometedor</v>
      </c>
    </row>
    <row r="37" customFormat="false" ht="15" hidden="false" customHeight="false" outlineLevel="0" collapsed="false">
      <c r="A37" s="1" t="n">
        <v>31</v>
      </c>
      <c r="B37" s="45" t="s">
        <v>54</v>
      </c>
      <c r="C37" s="44" t="n">
        <v>4178</v>
      </c>
      <c r="D37" s="44" t="n">
        <v>4309</v>
      </c>
      <c r="E37" s="44" t="n">
        <v>4217</v>
      </c>
      <c r="F37" s="43" t="n">
        <v>6743</v>
      </c>
      <c r="G37" s="44" t="n">
        <v>6724</v>
      </c>
      <c r="H37" s="14" t="n">
        <f aca="false">(C37/C$6)*100</f>
        <v>0.360417870791315</v>
      </c>
      <c r="I37" s="14" t="n">
        <f aca="false">(D37/D$6)*100</f>
        <v>0.340376792132391</v>
      </c>
      <c r="J37" s="14" t="n">
        <f aca="false">(E37/E$6)*100</f>
        <v>0.336783862268099</v>
      </c>
      <c r="K37" s="14" t="n">
        <f aca="false">(F37/F$6)*100</f>
        <v>0.339369447243044</v>
      </c>
      <c r="L37" s="14" t="n">
        <f aca="false">(G37/G$6)*100</f>
        <v>0.288877403677817</v>
      </c>
      <c r="M37" s="20" t="n">
        <f aca="false">AVERAGE(H37:L37)</f>
        <v>0.333165075222533</v>
      </c>
      <c r="N37" s="15" t="n">
        <f aca="false">((G37/C37)^(1/4)-1)*100</f>
        <v>12.6327835757627</v>
      </c>
      <c r="O37" s="15" t="n">
        <f aca="false">(G37/F37-1)*100</f>
        <v>-0.281773691235354</v>
      </c>
      <c r="P37" s="20" t="n">
        <f aca="false">(M37-$M$3)/$M$4</f>
        <v>-0.281205308553103</v>
      </c>
      <c r="Q37" s="20" t="n">
        <f aca="false">(N37-$N$3)/$N$4</f>
        <v>-0.185202057851535</v>
      </c>
      <c r="R37" s="15" t="str">
        <f aca="false">IF(AND(P37&gt;0,Q37&gt;0), "ESTRELLA",
IF(AND(P37&gt;0,Q37&lt;0), "Consolidado",
IF(AND(P37&lt;0,Q37&lt;0), "estancado", "prometedor")))</f>
        <v>estancado</v>
      </c>
    </row>
    <row r="38" customFormat="false" ht="15" hidden="false" customHeight="false" outlineLevel="0" collapsed="false">
      <c r="A38" s="1" t="n">
        <v>32</v>
      </c>
      <c r="B38" s="45" t="s">
        <v>55</v>
      </c>
      <c r="C38" s="43" t="n">
        <v>5191</v>
      </c>
      <c r="D38" s="43" t="n">
        <v>3217</v>
      </c>
      <c r="E38" s="43" t="n">
        <v>3855</v>
      </c>
      <c r="F38" s="43" t="n">
        <v>5118</v>
      </c>
      <c r="G38" s="43" t="n">
        <v>5211</v>
      </c>
      <c r="H38" s="14" t="n">
        <f aca="false">(C38/C$6)*100</f>
        <v>0.447804970626547</v>
      </c>
      <c r="I38" s="14" t="n">
        <f aca="false">(D38/D$6)*100</f>
        <v>0.25411746119515</v>
      </c>
      <c r="J38" s="14" t="n">
        <f aca="false">(E38/E$6)*100</f>
        <v>0.307873319668846</v>
      </c>
      <c r="K38" s="14" t="n">
        <f aca="false">(F38/F$6)*100</f>
        <v>0.257584581193815</v>
      </c>
      <c r="L38" s="14" t="n">
        <f aca="false">(G38/G$6)*100</f>
        <v>0.22387569163669</v>
      </c>
      <c r="M38" s="20" t="n">
        <f aca="false">AVERAGE(H38:L38)</f>
        <v>0.29825120486421</v>
      </c>
      <c r="N38" s="15" t="n">
        <f aca="false">((G38/C38)^(1/4)-1)*100</f>
        <v>0.0961817020110445</v>
      </c>
      <c r="O38" s="15" t="n">
        <f aca="false">(G38/F38-1)*100</f>
        <v>1.81711606096131</v>
      </c>
      <c r="P38" s="20" t="n">
        <f aca="false">(M38-$M$3)/$M$4</f>
        <v>-0.289837070268134</v>
      </c>
      <c r="Q38" s="20" t="n">
        <f aca="false">(N38-$N$3)/$N$4</f>
        <v>-0.330320919575996</v>
      </c>
      <c r="R38" s="15" t="str">
        <f aca="false">IF(AND(P38&gt;0,Q38&gt;0), "ESTRELLA",
IF(AND(P38&gt;0,Q38&lt;0), "Consolidado",
IF(AND(P38&lt;0,Q38&lt;0), "estancado", "prometedor")))</f>
        <v>estancado</v>
      </c>
    </row>
    <row r="39" customFormat="false" ht="15" hidden="false" customHeight="false" outlineLevel="0" collapsed="false">
      <c r="A39" s="1" t="n">
        <v>33</v>
      </c>
      <c r="B39" s="12" t="s">
        <v>56</v>
      </c>
      <c r="C39" s="19" t="n">
        <v>2932</v>
      </c>
      <c r="D39" s="19" t="n">
        <v>2991</v>
      </c>
      <c r="E39" s="19" t="n">
        <v>3106</v>
      </c>
      <c r="F39" s="19" t="n">
        <v>5125</v>
      </c>
      <c r="G39" s="19" t="n">
        <v>4111</v>
      </c>
      <c r="H39" s="14" t="n">
        <f aca="false">(C39/C$6)*100</f>
        <v>0.252930875337514</v>
      </c>
      <c r="I39" s="14" t="n">
        <f aca="false">(D39/D$6)*100</f>
        <v>0.236265255341838</v>
      </c>
      <c r="J39" s="14" t="n">
        <f aca="false">(E39/E$6)*100</f>
        <v>0.248055650036689</v>
      </c>
      <c r="K39" s="14" t="n">
        <f aca="false">(F39/F$6)*100</f>
        <v>0.257936885232181</v>
      </c>
      <c r="L39" s="14" t="n">
        <f aca="false">(G39/G$6)*100</f>
        <v>0.176617341838118</v>
      </c>
      <c r="M39" s="20" t="n">
        <f aca="false">AVERAGE(H39:L39)</f>
        <v>0.234361201557268</v>
      </c>
      <c r="N39" s="15" t="n">
        <f aca="false">((G39/C39)^(1/4)-1)*100</f>
        <v>8.81678179436836</v>
      </c>
      <c r="O39" s="15" t="n">
        <f aca="false">(G39/F39-1)*100</f>
        <v>-19.7853658536585</v>
      </c>
      <c r="P39" s="20" t="n">
        <f aca="false">(M39-$M$3)/$M$4</f>
        <v>-0.305632605935138</v>
      </c>
      <c r="Q39" s="20" t="n">
        <f aca="false">(N39-$N$3)/$N$4</f>
        <v>-0.22937462075424</v>
      </c>
      <c r="R39" s="15" t="str">
        <f aca="false">IF(AND(P39&gt;0,Q39&gt;0), "ESTRELLA",
IF(AND(P39&gt;0,Q39&lt;0), "Consolidado",
IF(AND(P39&lt;0,Q39&lt;0), "estancado", "prometedor")))</f>
        <v>estancado</v>
      </c>
    </row>
    <row r="40" customFormat="false" ht="15" hidden="false" customHeight="false" outlineLevel="0" collapsed="false">
      <c r="A40" s="1" t="n">
        <v>34</v>
      </c>
      <c r="B40" s="45" t="s">
        <v>57</v>
      </c>
      <c r="C40" s="44" t="n">
        <v>2886</v>
      </c>
      <c r="D40" s="44" t="n">
        <v>2896</v>
      </c>
      <c r="E40" s="44" t="n">
        <v>2864</v>
      </c>
      <c r="F40" s="44" t="n">
        <v>3018</v>
      </c>
      <c r="G40" s="44" t="n">
        <v>2850</v>
      </c>
      <c r="H40" s="14" t="n">
        <f aca="false">(C40/C$6)*100</f>
        <v>0.24896265560166</v>
      </c>
      <c r="I40" s="14" t="n">
        <f aca="false">(D40/D$6)*100</f>
        <v>0.228761009518543</v>
      </c>
      <c r="J40" s="14" t="n">
        <f aca="false">(E40/E$6)*100</f>
        <v>0.228728712718956</v>
      </c>
      <c r="K40" s="14" t="n">
        <f aca="false">(F40/F$6)*100</f>
        <v>0.151893369684044</v>
      </c>
      <c r="L40" s="14" t="n">
        <f aca="false">(G40/G$6)*100</f>
        <v>0.122442088114482</v>
      </c>
      <c r="M40" s="20" t="n">
        <f aca="false">AVERAGE(H40:L40)</f>
        <v>0.196157567127537</v>
      </c>
      <c r="N40" s="15" t="n">
        <f aca="false">((G40/C40)^(1/4)-1)*100</f>
        <v>-0.313319777667986</v>
      </c>
      <c r="O40" s="15" t="n">
        <f aca="false">(G40/F40-1)*100</f>
        <v>-5.56660039761432</v>
      </c>
      <c r="P40" s="20" t="n">
        <f aca="false">(M40-$M$3)/$M$4</f>
        <v>-0.315077696544148</v>
      </c>
      <c r="Q40" s="20" t="n">
        <f aca="false">(N40-$N$3)/$N$4</f>
        <v>-0.335061150557561</v>
      </c>
      <c r="R40" s="15" t="str">
        <f aca="false">IF(AND(P40&gt;0,Q40&gt;0), "ESTRELLA",
IF(AND(P40&gt;0,Q40&lt;0), "Consolidado",
IF(AND(P40&lt;0,Q40&lt;0), "estancado", "prometedor")))</f>
        <v>estancado</v>
      </c>
    </row>
    <row r="41" customFormat="false" ht="15" hidden="false" customHeight="false" outlineLevel="0" collapsed="false">
      <c r="A41" s="1" t="n">
        <v>35</v>
      </c>
      <c r="B41" s="45" t="s">
        <v>58</v>
      </c>
      <c r="C41" s="43" t="n">
        <v>2966</v>
      </c>
      <c r="D41" s="44" t="n">
        <v>2492</v>
      </c>
      <c r="E41" s="44" t="n">
        <v>3016</v>
      </c>
      <c r="F41" s="44" t="n">
        <v>3061</v>
      </c>
      <c r="G41" s="44" t="n">
        <v>2523</v>
      </c>
      <c r="H41" s="14" t="n">
        <f aca="false">(C41/C$6)*100</f>
        <v>0.255863907316189</v>
      </c>
      <c r="I41" s="14" t="n">
        <f aca="false">(D41/D$6)*100</f>
        <v>0.196848216754216</v>
      </c>
      <c r="J41" s="14" t="n">
        <f aca="false">(E41/E$6)*100</f>
        <v>0.240867946075548</v>
      </c>
      <c r="K41" s="14" t="n">
        <f aca="false">(F41/F$6)*100</f>
        <v>0.154057523062577</v>
      </c>
      <c r="L41" s="14" t="n">
        <f aca="false">(G41/G$6)*100</f>
        <v>0.108393469583452</v>
      </c>
      <c r="M41" s="20" t="n">
        <f aca="false">AVERAGE(H41:L41)</f>
        <v>0.191206212558397</v>
      </c>
      <c r="N41" s="15" t="n">
        <f aca="false">((G41/C41)^(1/4)-1)*100</f>
        <v>-3.96345534939493</v>
      </c>
      <c r="O41" s="15" t="n">
        <f aca="false">(G41/F41-1)*100</f>
        <v>-17.5759555700751</v>
      </c>
      <c r="P41" s="20" t="n">
        <f aca="false">(M41-$M$3)/$M$4</f>
        <v>-0.316301820720838</v>
      </c>
      <c r="Q41" s="20" t="n">
        <f aca="false">(N41-$N$3)/$N$4</f>
        <v>-0.377313710273766</v>
      </c>
      <c r="R41" s="15" t="str">
        <f aca="false">IF(AND(P41&gt;0,Q41&gt;0), "ESTRELLA",
IF(AND(P41&gt;0,Q41&lt;0), "Consolidado",
IF(AND(P41&lt;0,Q41&lt;0), "estancado", "prometedor")))</f>
        <v>estancado</v>
      </c>
    </row>
    <row r="42" customFormat="false" ht="15" hidden="false" customHeight="false" outlineLevel="0" collapsed="false">
      <c r="A42" s="1" t="n">
        <v>36</v>
      </c>
      <c r="B42" s="12" t="s">
        <v>59</v>
      </c>
      <c r="C42" s="59" t="n">
        <v>2490</v>
      </c>
      <c r="D42" s="19" t="n">
        <v>2759</v>
      </c>
      <c r="E42" s="19" t="n">
        <v>2769</v>
      </c>
      <c r="F42" s="19" t="n">
        <v>3325</v>
      </c>
      <c r="G42" s="19" t="n">
        <v>3028</v>
      </c>
      <c r="H42" s="14" t="n">
        <f aca="false">(C42/C$6)*100</f>
        <v>0.214801459614738</v>
      </c>
      <c r="I42" s="14" t="n">
        <f aca="false">(D42/D$6)*100</f>
        <v>0.217939097120739</v>
      </c>
      <c r="J42" s="14" t="n">
        <f aca="false">(E42/E$6)*100</f>
        <v>0.221141691871085</v>
      </c>
      <c r="K42" s="14" t="n">
        <f aca="false">(F42/F$6)*100</f>
        <v>0.167344418223805</v>
      </c>
      <c r="L42" s="14" t="n">
        <f aca="false">(G42/G$6)*100</f>
        <v>0.130089348354615</v>
      </c>
      <c r="M42" s="20" t="n">
        <f aca="false">AVERAGE(H42:L42)</f>
        <v>0.190263203036997</v>
      </c>
      <c r="N42" s="15" t="n">
        <f aca="false">((G42/C42)^(1/4)-1)*100</f>
        <v>5.01204861227587</v>
      </c>
      <c r="O42" s="15" t="n">
        <f aca="false">(G42/F42-1)*100</f>
        <v>-8.93233082706767</v>
      </c>
      <c r="P42" s="20" t="n">
        <f aca="false">(M42-$M$3)/$M$4</f>
        <v>-0.316534961114619</v>
      </c>
      <c r="Q42" s="20" t="n">
        <f aca="false">(N42-$N$3)/$N$4</f>
        <v>-0.273416742703297</v>
      </c>
      <c r="R42" s="15" t="str">
        <f aca="false">IF(AND(P42&gt;0,Q42&gt;0), "ESTRELLA",
IF(AND(P42&gt;0,Q42&lt;0), "Consolidado",
IF(AND(P42&lt;0,Q42&lt;0), "estancado", "prometedor")))</f>
        <v>estancado</v>
      </c>
    </row>
    <row r="43" customFormat="false" ht="15" hidden="false" customHeight="false" outlineLevel="0" collapsed="false">
      <c r="A43" s="1" t="n">
        <v>37</v>
      </c>
      <c r="B43" s="12" t="s">
        <v>60</v>
      </c>
      <c r="C43" s="19" t="n">
        <v>2970</v>
      </c>
      <c r="D43" s="19" t="n">
        <v>3000</v>
      </c>
      <c r="E43" s="19" t="n">
        <v>2912</v>
      </c>
      <c r="F43" s="19" t="n">
        <v>2279</v>
      </c>
      <c r="G43" s="19" t="n">
        <v>2409</v>
      </c>
      <c r="H43" s="14" t="n">
        <f aca="false">(C43/C$6)*100</f>
        <v>0.256208969901916</v>
      </c>
      <c r="I43" s="14" t="n">
        <f aca="false">(D43/D$6)*100</f>
        <v>0.236976183893519</v>
      </c>
      <c r="J43" s="14" t="n">
        <f aca="false">(E43/E$6)*100</f>
        <v>0.232562154831564</v>
      </c>
      <c r="K43" s="14" t="n">
        <f aca="false">(F43/F$6)*100</f>
        <v>0.114700129062271</v>
      </c>
      <c r="L43" s="14" t="n">
        <f aca="false">(G43/G$6)*100</f>
        <v>0.103495786058873</v>
      </c>
      <c r="M43" s="20" t="n">
        <f aca="false">AVERAGE(H43:L43)</f>
        <v>0.188788644749629</v>
      </c>
      <c r="N43" s="15" t="n">
        <f aca="false">((G43/C43)^(1/4)-1)*100</f>
        <v>-5.09915319623927</v>
      </c>
      <c r="O43" s="15" t="n">
        <f aca="false">(G43/F43-1)*100</f>
        <v>5.70425625274242</v>
      </c>
      <c r="P43" s="20" t="n">
        <f aca="false">(M43-$M$3)/$M$4</f>
        <v>-0.31689951639425</v>
      </c>
      <c r="Q43" s="20" t="n">
        <f aca="false">(N43-$N$3)/$N$4</f>
        <v>-0.390460109948629</v>
      </c>
      <c r="R43" s="15" t="str">
        <f aca="false">IF(AND(P43&gt;0,Q43&gt;0), "ESTRELLA",
IF(AND(P43&gt;0,Q43&lt;0), "Consolidado",
IF(AND(P43&lt;0,Q43&lt;0), "estancado", "prometedor")))</f>
        <v>estancado</v>
      </c>
    </row>
    <row r="44" customFormat="false" ht="15" hidden="false" customHeight="false" outlineLevel="0" collapsed="false">
      <c r="A44" s="1" t="n">
        <v>38</v>
      </c>
      <c r="B44" s="45" t="s">
        <v>61</v>
      </c>
      <c r="C44" s="43" t="n">
        <v>2063</v>
      </c>
      <c r="D44" s="43" t="n">
        <v>2185</v>
      </c>
      <c r="E44" s="43" t="n">
        <v>1961</v>
      </c>
      <c r="F44" s="43" t="n">
        <v>4362</v>
      </c>
      <c r="G44" s="43" t="n">
        <v>4728</v>
      </c>
      <c r="H44" s="14" t="n">
        <f aca="false">(C44/C$6)*100</f>
        <v>0.177966028588435</v>
      </c>
      <c r="I44" s="14" t="n">
        <f aca="false">(D44/D$6)*100</f>
        <v>0.172597653935779</v>
      </c>
      <c r="J44" s="14" t="n">
        <f aca="false">(E44/E$6)*100</f>
        <v>0.156612082975514</v>
      </c>
      <c r="K44" s="14" t="n">
        <f aca="false">(F44/F$6)*100</f>
        <v>0.219535745050297</v>
      </c>
      <c r="L44" s="14" t="n">
        <f aca="false">(G44/G$6)*100</f>
        <v>0.203124979861499</v>
      </c>
      <c r="M44" s="20" t="n">
        <f aca="false">AVERAGE(H44:L44)</f>
        <v>0.185967298082305</v>
      </c>
      <c r="N44" s="15" t="n">
        <f aca="false">((G44/C44)^(1/4)-1)*100</f>
        <v>23.0395006720172</v>
      </c>
      <c r="O44" s="15" t="n">
        <f aca="false">(G44/F44-1)*100</f>
        <v>8.39064649243466</v>
      </c>
      <c r="P44" s="20" t="n">
        <f aca="false">(M44-$M$3)/$M$4</f>
        <v>-0.317597038379005</v>
      </c>
      <c r="Q44" s="20" t="n">
        <f aca="false">(N44-$N$3)/$N$4</f>
        <v>-0.0647379197616959</v>
      </c>
      <c r="R44" s="15" t="str">
        <f aca="false">IF(AND(P44&gt;0,Q44&gt;0), "ESTRELLA",
IF(AND(P44&gt;0,Q44&lt;0), "Consolidado",
IF(AND(P44&lt;0,Q44&lt;0), "estancado", "prometedor")))</f>
        <v>estancado</v>
      </c>
    </row>
    <row r="45" customFormat="false" ht="15" hidden="false" customHeight="false" outlineLevel="0" collapsed="false">
      <c r="A45" s="1" t="n">
        <v>39</v>
      </c>
      <c r="B45" s="45" t="s">
        <v>62</v>
      </c>
      <c r="C45" s="43" t="n">
        <v>2615</v>
      </c>
      <c r="D45" s="43" t="n">
        <v>2180</v>
      </c>
      <c r="E45" s="43" t="n">
        <v>2478</v>
      </c>
      <c r="F45" s="43" t="n">
        <v>2801</v>
      </c>
      <c r="G45" s="43" t="n">
        <v>3637</v>
      </c>
      <c r="H45" s="14" t="n">
        <f aca="false">(C45/C$6)*100</f>
        <v>0.22558466541869</v>
      </c>
      <c r="I45" s="14" t="n">
        <f aca="false">(D45/D$6)*100</f>
        <v>0.17220269362929</v>
      </c>
      <c r="J45" s="14" t="n">
        <f aca="false">(E45/E$6)*100</f>
        <v>0.197901449063398</v>
      </c>
      <c r="K45" s="14" t="n">
        <f aca="false">(F45/F$6)*100</f>
        <v>0.1409719444947</v>
      </c>
      <c r="L45" s="14" t="n">
        <f aca="false">(G45/G$6)*100</f>
        <v>0.156253289288551</v>
      </c>
      <c r="M45" s="20" t="n">
        <f aca="false">AVERAGE(H45:L45)</f>
        <v>0.178582808378926</v>
      </c>
      <c r="N45" s="15" t="n">
        <f aca="false">((G45/C45)^(1/4)-1)*100</f>
        <v>8.5970184942008</v>
      </c>
      <c r="O45" s="15" t="n">
        <f aca="false">(G45/F45-1)*100</f>
        <v>29.8464833987861</v>
      </c>
      <c r="P45" s="20" t="n">
        <f aca="false">(M45-$M$3)/$M$4</f>
        <v>-0.319422706941456</v>
      </c>
      <c r="Q45" s="20" t="n">
        <f aca="false">(N45-$N$3)/$N$4</f>
        <v>-0.231918515845612</v>
      </c>
      <c r="R45" s="15" t="str">
        <f aca="false">IF(AND(P45&gt;0,Q45&gt;0), "ESTRELLA",
IF(AND(P45&gt;0,Q45&lt;0), "Consolidado",
IF(AND(P45&lt;0,Q45&lt;0), "estancado", "prometedor")))</f>
        <v>estancado</v>
      </c>
    </row>
    <row r="46" customFormat="false" ht="15" hidden="false" customHeight="false" outlineLevel="0" collapsed="false">
      <c r="A46" s="1" t="n">
        <v>40</v>
      </c>
      <c r="B46" s="45" t="s">
        <v>63</v>
      </c>
      <c r="C46" s="43" t="n">
        <v>2740</v>
      </c>
      <c r="D46" s="44" t="n">
        <v>2705</v>
      </c>
      <c r="E46" s="44" t="n">
        <v>2656</v>
      </c>
      <c r="F46" s="44" t="n">
        <v>2162</v>
      </c>
      <c r="G46" s="44" t="n">
        <v>2308</v>
      </c>
      <c r="H46" s="14" t="n">
        <f aca="false">(C46/C$6)*100</f>
        <v>0.236367871222643</v>
      </c>
      <c r="I46" s="14" t="n">
        <f aca="false">(D46/D$6)*100</f>
        <v>0.213673525810656</v>
      </c>
      <c r="J46" s="14" t="n">
        <f aca="false">(E46/E$6)*100</f>
        <v>0.212117130230987</v>
      </c>
      <c r="K46" s="14" t="n">
        <f aca="false">(F46/F$6)*100</f>
        <v>0.108811618706727</v>
      </c>
      <c r="L46" s="14" t="n">
        <f aca="false">(G46/G$6)*100</f>
        <v>0.0991566103046402</v>
      </c>
      <c r="M46" s="20" t="n">
        <f aca="false">AVERAGE(H46:L46)</f>
        <v>0.174025351255131</v>
      </c>
      <c r="N46" s="15" t="n">
        <f aca="false">((G46/C46)^(1/4)-1)*100</f>
        <v>-4.1987202880838</v>
      </c>
      <c r="O46" s="15" t="n">
        <f aca="false">(G46/F46-1)*100</f>
        <v>6.75300647548567</v>
      </c>
      <c r="P46" s="20" t="n">
        <f aca="false">(M46-$M$3)/$M$4</f>
        <v>-0.32054944779016</v>
      </c>
      <c r="Q46" s="20" t="n">
        <f aca="false">(N46-$N$3)/$N$4</f>
        <v>-0.380037046346015</v>
      </c>
      <c r="R46" s="15" t="str">
        <f aca="false">IF(AND(P46&gt;0,Q46&gt;0), "ESTRELLA",
IF(AND(P46&gt;0,Q46&lt;0), "Consolidado",
IF(AND(P46&lt;0,Q46&lt;0), "estancado", "prometedor")))</f>
        <v>estancado</v>
      </c>
    </row>
    <row r="47" customFormat="false" ht="15" hidden="false" customHeight="false" outlineLevel="0" collapsed="false">
      <c r="A47" s="1" t="n">
        <v>41</v>
      </c>
      <c r="B47" s="12" t="s">
        <v>64</v>
      </c>
      <c r="C47" s="19" t="n">
        <v>2787</v>
      </c>
      <c r="D47" s="19" t="n">
        <v>2764</v>
      </c>
      <c r="E47" s="19" t="n">
        <v>2395</v>
      </c>
      <c r="F47" s="19" t="n">
        <v>2917</v>
      </c>
      <c r="G47" s="62" t="n">
        <v>1131</v>
      </c>
      <c r="H47" s="14" t="n">
        <f aca="false">(C47/C$6)*100</f>
        <v>0.240422356604929</v>
      </c>
      <c r="I47" s="14" t="n">
        <f aca="false">(D47/D$6)*100</f>
        <v>0.218334057427229</v>
      </c>
      <c r="J47" s="14" t="n">
        <f aca="false">(E47/E$6)*100</f>
        <v>0.19127278874368</v>
      </c>
      <c r="K47" s="14" t="n">
        <f aca="false">(F47/F$6)*100</f>
        <v>0.146810125701907</v>
      </c>
      <c r="L47" s="14" t="n">
        <f aca="false">(G47/G$6)*100</f>
        <v>0.0485901760201681</v>
      </c>
      <c r="M47" s="20" t="n">
        <f aca="false">AVERAGE(H47:L47)</f>
        <v>0.169085900899582</v>
      </c>
      <c r="N47" s="15" t="n">
        <f aca="false">((G47/C47)^(1/4)-1)*100</f>
        <v>-20.1855713592042</v>
      </c>
      <c r="O47" s="15" t="n">
        <f aca="false">(G47/F47-1)*100</f>
        <v>-61.2272883099074</v>
      </c>
      <c r="P47" s="51" t="n">
        <f aca="false">(M47-$M$3)/$M$4</f>
        <v>-0.321770628886232</v>
      </c>
      <c r="Q47" s="20" t="n">
        <f aca="false">(N47-$N$3)/$N$4</f>
        <v>-0.56509466031212</v>
      </c>
      <c r="R47" s="15" t="str">
        <f aca="false">IF(AND(P47&gt;0,Q47&gt;0), "ESTRELLA",
IF(AND(P47&gt;0,Q47&lt;0), "Consolidado",
IF(AND(P47&lt;0,Q47&lt;0), "estancado", "prometedor")))</f>
        <v>estancado</v>
      </c>
    </row>
    <row r="48" customFormat="false" ht="15" hidden="false" customHeight="false" outlineLevel="0" collapsed="false">
      <c r="A48" s="1" t="n">
        <v>42</v>
      </c>
      <c r="B48" s="12" t="s">
        <v>65</v>
      </c>
      <c r="C48" s="19" t="n">
        <v>2034</v>
      </c>
      <c r="D48" s="19" t="n">
        <v>2245</v>
      </c>
      <c r="E48" s="19" t="n">
        <v>2425</v>
      </c>
      <c r="F48" s="19" t="n">
        <v>3043</v>
      </c>
      <c r="G48" s="19" t="n">
        <v>2627</v>
      </c>
      <c r="H48" s="14" t="n">
        <f aca="false">(C48/C$6)*100</f>
        <v>0.175464324841918</v>
      </c>
      <c r="I48" s="14" t="n">
        <f aca="false">(D48/D$6)*100</f>
        <v>0.17733717761365</v>
      </c>
      <c r="J48" s="14" t="n">
        <f aca="false">(E48/E$6)*100</f>
        <v>0.19366869006406</v>
      </c>
      <c r="K48" s="14" t="n">
        <f aca="false">(F48/F$6)*100</f>
        <v>0.153151598392493</v>
      </c>
      <c r="L48" s="14" t="n">
        <f aca="false">(G48/G$6)*100</f>
        <v>0.112861531746226</v>
      </c>
      <c r="M48" s="20" t="n">
        <f aca="false">AVERAGE(H48:L48)</f>
        <v>0.162496664531669</v>
      </c>
      <c r="N48" s="15" t="n">
        <f aca="false">((G48/C48)^(1/4)-1)*100</f>
        <v>6.60492796813259</v>
      </c>
      <c r="O48" s="15" t="n">
        <f aca="false">(G48/F48-1)*100</f>
        <v>-13.6707196845218</v>
      </c>
      <c r="P48" s="20" t="n">
        <f aca="false">(M48-$M$3)/$M$4</f>
        <v>-0.323399686840223</v>
      </c>
      <c r="Q48" s="20" t="n">
        <f aca="false">(N48-$N$3)/$N$4</f>
        <v>-0.254978186441069</v>
      </c>
      <c r="R48" s="15" t="str">
        <f aca="false">IF(AND(P48&gt;0,Q48&gt;0), "ESTRELLA",
IF(AND(P48&gt;0,Q48&lt;0), "Consolidado",
IF(AND(P48&lt;0,Q48&lt;0), "estancado", "prometedor")))</f>
        <v>estancado</v>
      </c>
    </row>
    <row r="49" customFormat="false" ht="15" hidden="false" customHeight="false" outlineLevel="0" collapsed="false">
      <c r="A49" s="1" t="n">
        <v>43</v>
      </c>
      <c r="B49" s="12" t="s">
        <v>66</v>
      </c>
      <c r="C49" s="59" t="n">
        <v>1695</v>
      </c>
      <c r="D49" s="19" t="n">
        <v>2487</v>
      </c>
      <c r="E49" s="59" t="n">
        <v>2286</v>
      </c>
      <c r="F49" s="59" t="n">
        <v>2666</v>
      </c>
      <c r="G49" s="59" t="n">
        <v>3430</v>
      </c>
      <c r="H49" s="14" t="n">
        <f aca="false">(C49/C$6)*100</f>
        <v>0.146220270701599</v>
      </c>
      <c r="I49" s="14" t="n">
        <f aca="false">(D49/D$6)*100</f>
        <v>0.196453256447727</v>
      </c>
      <c r="J49" s="14" t="n">
        <f aca="false">(E49/E$6)*100</f>
        <v>0.182567680612965</v>
      </c>
      <c r="K49" s="14" t="n">
        <f aca="false">(F49/F$6)*100</f>
        <v>0.134177509469072</v>
      </c>
      <c r="L49" s="14" t="n">
        <f aca="false">(G49/G$6)*100</f>
        <v>0.147360127099184</v>
      </c>
      <c r="M49" s="20" t="n">
        <f aca="false">AVERAGE(H49:L49)</f>
        <v>0.161355768866109</v>
      </c>
      <c r="N49" s="15" t="n">
        <f aca="false">((G49/C49)^(1/4)-1)*100</f>
        <v>19.2699684511656</v>
      </c>
      <c r="O49" s="15" t="n">
        <f aca="false">(G49/F49-1)*100</f>
        <v>28.6571642910728</v>
      </c>
      <c r="P49" s="20" t="n">
        <f aca="false">(M49-$M$3)/$M$4</f>
        <v>-0.32368175065686</v>
      </c>
      <c r="Q49" s="20" t="n">
        <f aca="false">(N49-$N$3)/$N$4</f>
        <v>-0.108372568977845</v>
      </c>
      <c r="R49" s="15" t="str">
        <f aca="false">IF(AND(P49&gt;0,Q49&gt;0), "ESTRELLA",
IF(AND(P49&gt;0,Q49&lt;0), "Consolidado",
IF(AND(P49&lt;0,Q49&lt;0), "estancado", "prometedor")))</f>
        <v>estancado</v>
      </c>
    </row>
    <row r="50" customFormat="false" ht="15" hidden="false" customHeight="false" outlineLevel="0" collapsed="false">
      <c r="A50" s="1" t="n">
        <v>44</v>
      </c>
      <c r="B50" s="12" t="s">
        <v>67</v>
      </c>
      <c r="C50" s="19" t="n">
        <v>1981</v>
      </c>
      <c r="D50" s="19" t="n">
        <v>2167</v>
      </c>
      <c r="E50" s="19" t="n">
        <v>2109</v>
      </c>
      <c r="F50" s="19" t="n">
        <v>2437</v>
      </c>
      <c r="G50" s="19" t="n">
        <v>2869</v>
      </c>
      <c r="H50" s="14" t="n">
        <f aca="false">(C50/C$6)*100</f>
        <v>0.170892245581042</v>
      </c>
      <c r="I50" s="14" t="n">
        <f aca="false">(D50/D$6)*100</f>
        <v>0.171175796832418</v>
      </c>
      <c r="J50" s="14" t="n">
        <f aca="false">(E50/E$6)*100</f>
        <v>0.168431862822723</v>
      </c>
      <c r="K50" s="14" t="n">
        <f aca="false">(F50/F$6)*100</f>
        <v>0.122652134499673</v>
      </c>
      <c r="L50" s="14" t="n">
        <f aca="false">(G50/G$6)*100</f>
        <v>0.123258368701912</v>
      </c>
      <c r="M50" s="20" t="n">
        <f aca="false">AVERAGE(H50:L50)</f>
        <v>0.151282081687554</v>
      </c>
      <c r="N50" s="15" t="n">
        <f aca="false">((G50/C50)^(1/4)-1)*100</f>
        <v>9.70123534168443</v>
      </c>
      <c r="O50" s="15" t="n">
        <f aca="false">(G50/F50-1)*100</f>
        <v>17.7267131719327</v>
      </c>
      <c r="P50" s="20" t="n">
        <f aca="false">(M50-$M$3)/$M$4</f>
        <v>-0.326172269938299</v>
      </c>
      <c r="Q50" s="20" t="n">
        <f aca="false">(N50-$N$3)/$N$4</f>
        <v>-0.219136528061562</v>
      </c>
      <c r="R50" s="15" t="str">
        <f aca="false">IF(AND(P50&gt;0,Q50&gt;0), "ESTRELLA",
IF(AND(P50&gt;0,Q50&lt;0), "Consolidado",
IF(AND(P50&lt;0,Q50&lt;0), "estancado", "prometedor")))</f>
        <v>estancado</v>
      </c>
    </row>
    <row r="51" customFormat="false" ht="15" hidden="false" customHeight="false" outlineLevel="0" collapsed="false">
      <c r="A51" s="1" t="n">
        <v>45</v>
      </c>
      <c r="B51" s="45" t="s">
        <v>68</v>
      </c>
      <c r="C51" s="43" t="n">
        <v>958</v>
      </c>
      <c r="D51" s="43" t="n">
        <v>2276</v>
      </c>
      <c r="E51" s="43" t="n">
        <v>3042</v>
      </c>
      <c r="F51" s="43" t="n">
        <v>2264</v>
      </c>
      <c r="G51" s="43" t="n">
        <v>1607</v>
      </c>
      <c r="H51" s="14" t="n">
        <f aca="false">(C51/C$6)*100</f>
        <v>0.0826424892814934</v>
      </c>
      <c r="I51" s="14" t="n">
        <f aca="false">(D51/D$6)*100</f>
        <v>0.179785931513883</v>
      </c>
      <c r="J51" s="14" t="n">
        <f aca="false">(E51/E$6)*100</f>
        <v>0.242944393886544</v>
      </c>
      <c r="K51" s="14" t="n">
        <f aca="false">(F51/F$6)*100</f>
        <v>0.113945191837202</v>
      </c>
      <c r="L51" s="14" t="n">
        <f aca="false">(G51/G$6)*100</f>
        <v>0.0690401528420957</v>
      </c>
      <c r="M51" s="20" t="n">
        <f aca="false">AVERAGE(H51:L51)</f>
        <v>0.137671631872244</v>
      </c>
      <c r="N51" s="15" t="n">
        <f aca="false">((G51/C51)^(1/4)-1)*100</f>
        <v>13.8053272435167</v>
      </c>
      <c r="O51" s="15" t="n">
        <f aca="false">(G51/F51-1)*100</f>
        <v>-29.0194346289753</v>
      </c>
      <c r="P51" s="20" t="n">
        <f aca="false">(M51-$M$3)/$M$4</f>
        <v>-0.329537183608265</v>
      </c>
      <c r="Q51" s="20" t="n">
        <f aca="false">(N51-$N$3)/$N$4</f>
        <v>-0.171629145183473</v>
      </c>
      <c r="R51" s="15" t="str">
        <f aca="false">IF(AND(P51&gt;0,Q51&gt;0), "ESTRELLA",
IF(AND(P51&gt;0,Q51&lt;0), "Consolidado",
IF(AND(P51&lt;0,Q51&lt;0), "estancado", "prometedor")))</f>
        <v>estancado</v>
      </c>
    </row>
    <row r="52" customFormat="false" ht="15" hidden="false" customHeight="false" outlineLevel="0" collapsed="false">
      <c r="A52" s="1" t="n">
        <v>46</v>
      </c>
      <c r="B52" s="45" t="s">
        <v>69</v>
      </c>
      <c r="C52" s="43" t="n">
        <v>1289</v>
      </c>
      <c r="D52" s="43" t="n">
        <v>2289</v>
      </c>
      <c r="E52" s="43" t="n">
        <v>2989</v>
      </c>
      <c r="F52" s="43" t="n">
        <v>1825</v>
      </c>
      <c r="G52" s="43" t="n">
        <v>698</v>
      </c>
      <c r="H52" s="14" t="n">
        <f aca="false">(C52/C$6)*100</f>
        <v>0.11119641825036</v>
      </c>
      <c r="I52" s="14" t="n">
        <f aca="false">(D52/D$6)*100</f>
        <v>0.180812828310755</v>
      </c>
      <c r="J52" s="14" t="n">
        <f aca="false">(E52/E$6)*100</f>
        <v>0.238711634887206</v>
      </c>
      <c r="K52" s="14" t="n">
        <f aca="false">(F52/F$6)*100</f>
        <v>0.0918506957168255</v>
      </c>
      <c r="L52" s="14" t="n">
        <f aca="false">(G52/G$6)*100</f>
        <v>0.029987571054003</v>
      </c>
      <c r="M52" s="20" t="n">
        <f aca="false">AVERAGE(H52:L52)</f>
        <v>0.13051182964383</v>
      </c>
      <c r="N52" s="15" t="n">
        <f aca="false">((G52/C52)^(1/4)-1)*100</f>
        <v>-14.2171193000956</v>
      </c>
      <c r="O52" s="15" t="n">
        <f aca="false">(G52/F52-1)*100</f>
        <v>-61.7534246575342</v>
      </c>
      <c r="P52" s="20" t="n">
        <f aca="false">(M52-$M$3)/$M$4</f>
        <v>-0.331307302650586</v>
      </c>
      <c r="Q52" s="20" t="n">
        <f aca="false">(N52-$N$3)/$N$4</f>
        <v>-0.49600616425895</v>
      </c>
      <c r="R52" s="15" t="str">
        <f aca="false">IF(AND(P52&gt;0,Q52&gt;0), "ESTRELLA",
IF(AND(P52&gt;0,Q52&lt;0), "Consolidado",
IF(AND(P52&lt;0,Q52&lt;0), "estancado", "prometedor")))</f>
        <v>estancado</v>
      </c>
    </row>
    <row r="53" customFormat="false" ht="15" hidden="false" customHeight="false" outlineLevel="0" collapsed="false">
      <c r="A53" s="1" t="n">
        <v>47</v>
      </c>
      <c r="B53" s="54" t="s">
        <v>70</v>
      </c>
      <c r="C53" s="43" t="n">
        <v>59</v>
      </c>
      <c r="D53" s="43" t="n">
        <v>192</v>
      </c>
      <c r="E53" s="43" t="n">
        <v>560</v>
      </c>
      <c r="F53" s="43" t="n">
        <v>2762</v>
      </c>
      <c r="G53" s="43" t="n">
        <v>9142</v>
      </c>
      <c r="H53" s="14" t="n">
        <f aca="false">(C53/C$6)*100</f>
        <v>0.00508967313946567</v>
      </c>
      <c r="I53" s="14" t="n">
        <f aca="false">(D53/D$6)*100</f>
        <v>0.0151664757691852</v>
      </c>
      <c r="J53" s="14" t="n">
        <f aca="false">(E53/E$6)*100</f>
        <v>0.0447234913137623</v>
      </c>
      <c r="K53" s="14" t="n">
        <f aca="false">(F53/F$6)*100</f>
        <v>0.139009107709519</v>
      </c>
      <c r="L53" s="14" t="n">
        <f aca="false">(G53/G$6)*100</f>
        <v>0.392759848962314</v>
      </c>
      <c r="M53" s="20" t="n">
        <f aca="false">AVERAGE(H53:L53)</f>
        <v>0.119349719378849</v>
      </c>
      <c r="N53" s="15" t="n">
        <f aca="false">((G53/C53)^(1/4)-1)*100</f>
        <v>252.815211512292</v>
      </c>
      <c r="O53" s="15" t="n">
        <f aca="false">(G53/F53-1)*100</f>
        <v>230.992034757422</v>
      </c>
      <c r="P53" s="20" t="n">
        <f aca="false">(M53-$M$3)/$M$4</f>
        <v>-0.334066912944586</v>
      </c>
      <c r="Q53" s="20" t="n">
        <f aca="false">(N53-$N$3)/$N$4</f>
        <v>2.59505697082065</v>
      </c>
      <c r="R53" s="52" t="str">
        <f aca="false">IF(AND(P53&gt;0,Q53&gt;0), "ESTRELLA",
IF(AND(P53&gt;0,Q53&lt;0), "Consolidado",
IF(AND(P53&lt;0,Q53&lt;0), "estancado", "prometedor")))</f>
        <v>prometedor</v>
      </c>
    </row>
    <row r="54" customFormat="false" ht="15" hidden="false" customHeight="false" outlineLevel="0" collapsed="false">
      <c r="A54" s="1" t="n">
        <v>48</v>
      </c>
      <c r="B54" s="45" t="s">
        <v>71</v>
      </c>
      <c r="C54" s="43" t="n">
        <v>1016</v>
      </c>
      <c r="D54" s="43" t="n">
        <v>2304</v>
      </c>
      <c r="E54" s="43" t="n">
        <v>1354</v>
      </c>
      <c r="F54" s="43" t="n">
        <v>2402</v>
      </c>
      <c r="G54" s="43" t="n">
        <v>2200</v>
      </c>
      <c r="H54" s="14" t="n">
        <f aca="false">(C54/C$6)*100</f>
        <v>0.0876458967745275</v>
      </c>
      <c r="I54" s="14" t="n">
        <f aca="false">(D54/D$6)*100</f>
        <v>0.181997709230222</v>
      </c>
      <c r="J54" s="14" t="n">
        <f aca="false">(E54/E$6)*100</f>
        <v>0.108135012926489</v>
      </c>
      <c r="K54" s="14" t="n">
        <f aca="false">(F54/F$6)*100</f>
        <v>0.120890614307844</v>
      </c>
      <c r="L54" s="14" t="n">
        <f aca="false">(G54/G$6)*100</f>
        <v>0.0945166995971441</v>
      </c>
      <c r="M54" s="20" t="n">
        <f aca="false">AVERAGE(H54:L54)</f>
        <v>0.118637186567245</v>
      </c>
      <c r="N54" s="15" t="n">
        <f aca="false">((G54/C54)^(1/4)-1)*100</f>
        <v>21.3059890733495</v>
      </c>
      <c r="O54" s="15" t="n">
        <f aca="false">(G54/F54-1)*100</f>
        <v>-8.40965861781848</v>
      </c>
      <c r="P54" s="20" t="n">
        <f aca="false">(M54-$M$3)/$M$4</f>
        <v>-0.334243072544791</v>
      </c>
      <c r="Q54" s="20" t="n">
        <f aca="false">(N54-$N$3)/$N$4</f>
        <v>-0.0848043805553118</v>
      </c>
      <c r="R54" s="15" t="str">
        <f aca="false">IF(AND(P54&gt;0,Q54&gt;0), "ESTRELLA",
IF(AND(P54&gt;0,Q54&lt;0), "Consolidado",
IF(AND(P54&lt;0,Q54&lt;0), "estancado", "prometedor")))</f>
        <v>estancado</v>
      </c>
    </row>
    <row r="55" customFormat="false" ht="15" hidden="false" customHeight="false" outlineLevel="0" collapsed="false">
      <c r="A55" s="1" t="n">
        <v>49</v>
      </c>
      <c r="B55" s="45" t="s">
        <v>72</v>
      </c>
      <c r="C55" s="43" t="n">
        <v>1722</v>
      </c>
      <c r="D55" s="43" t="n">
        <v>1484</v>
      </c>
      <c r="E55" s="43" t="n">
        <v>1413</v>
      </c>
      <c r="F55" s="43" t="n">
        <v>1871</v>
      </c>
      <c r="G55" s="43" t="n">
        <v>1860</v>
      </c>
      <c r="H55" s="14" t="n">
        <f aca="false">(C55/C$6)*100</f>
        <v>0.148549443155252</v>
      </c>
      <c r="I55" s="14" t="n">
        <f aca="false">(D55/D$6)*100</f>
        <v>0.117224218965994</v>
      </c>
      <c r="J55" s="14" t="n">
        <f aca="false">(E55/E$6)*100</f>
        <v>0.112846952189904</v>
      </c>
      <c r="K55" s="14" t="n">
        <f aca="false">(F55/F$6)*100</f>
        <v>0.0941658365403729</v>
      </c>
      <c r="L55" s="14" t="n">
        <f aca="false">(G55/G$6)*100</f>
        <v>0.0799095732957672</v>
      </c>
      <c r="M55" s="20" t="n">
        <f aca="false">AVERAGE(H55:L55)</f>
        <v>0.110539204829458</v>
      </c>
      <c r="N55" s="15" t="n">
        <f aca="false">((G55/C55)^(1/4)-1)*100</f>
        <v>1.9459434287844</v>
      </c>
      <c r="O55" s="15" t="n">
        <f aca="false">(G55/F55-1)*100</f>
        <v>-0.58792089791555</v>
      </c>
      <c r="P55" s="20" t="n">
        <f aca="false">(M55-$M$3)/$M$4</f>
        <v>-0.336245137856252</v>
      </c>
      <c r="Q55" s="20" t="n">
        <f aca="false">(N55-$N$3)/$N$4</f>
        <v>-0.308908792194584</v>
      </c>
      <c r="R55" s="15" t="str">
        <f aca="false">IF(AND(P55&gt;0,Q55&gt;0), "ESTRELLA",
IF(AND(P55&gt;0,Q55&lt;0), "Consolidado",
IF(AND(P55&lt;0,Q55&lt;0), "estancado", "prometedor")))</f>
        <v>estancado</v>
      </c>
    </row>
    <row r="56" customFormat="false" ht="15" hidden="false" customHeight="false" outlineLevel="0" collapsed="false">
      <c r="A56" s="1" t="n">
        <v>50</v>
      </c>
      <c r="B56" s="12" t="s">
        <v>73</v>
      </c>
      <c r="C56" s="59" t="n">
        <v>1807</v>
      </c>
      <c r="D56" s="62" t="n">
        <v>1157</v>
      </c>
      <c r="E56" s="62" t="n">
        <v>1462</v>
      </c>
      <c r="F56" s="62" t="n">
        <v>1704</v>
      </c>
      <c r="G56" s="62" t="n">
        <v>1795</v>
      </c>
      <c r="H56" s="14" t="n">
        <f aca="false">(C56/C$6)*100</f>
        <v>0.15588202310194</v>
      </c>
      <c r="I56" s="14" t="n">
        <f aca="false">(D56/D$6)*100</f>
        <v>0.0913938149216004</v>
      </c>
      <c r="J56" s="14" t="n">
        <f aca="false">(E56/E$6)*100</f>
        <v>0.116760257679858</v>
      </c>
      <c r="K56" s="14" t="n">
        <f aca="false">(F56/F$6)*100</f>
        <v>0.0857608687679291</v>
      </c>
      <c r="L56" s="14" t="n">
        <f aca="false">(G56/G$6)*100</f>
        <v>0.0771170344440334</v>
      </c>
      <c r="M56" s="20" t="n">
        <f aca="false">AVERAGE(H56:L56)</f>
        <v>0.105382799783072</v>
      </c>
      <c r="N56" s="15" t="n">
        <f aca="false">((G56/C56)^(1/4)-1)*100</f>
        <v>-0.166436083024113</v>
      </c>
      <c r="O56" s="15" t="n">
        <f aca="false">(G56/F56-1)*100</f>
        <v>5.34037558685445</v>
      </c>
      <c r="P56" s="20" t="n">
        <f aca="false">(M56-$M$3)/$M$4</f>
        <v>-0.337519956695005</v>
      </c>
      <c r="Q56" s="20" t="n">
        <f aca="false">(N56-$N$3)/$N$4</f>
        <v>-0.333360881634032</v>
      </c>
      <c r="R56" s="15" t="str">
        <f aca="false">IF(AND(P56&gt;0,Q56&gt;0), "ESTRELLA",
IF(AND(P56&gt;0,Q56&lt;0), "Consolidado",
IF(AND(P56&lt;0,Q56&lt;0), "estancado", "prometedor")))</f>
        <v>estancado</v>
      </c>
    </row>
    <row r="57" customFormat="false" ht="15" hidden="false" customHeight="false" outlineLevel="0" collapsed="false">
      <c r="A57" s="1" t="n">
        <v>51</v>
      </c>
      <c r="B57" s="54" t="s">
        <v>74</v>
      </c>
      <c r="C57" s="43" t="n">
        <v>432</v>
      </c>
      <c r="D57" s="43" t="n">
        <v>1445</v>
      </c>
      <c r="E57" s="43" t="n">
        <v>1327</v>
      </c>
      <c r="F57" s="43" t="n">
        <v>2673</v>
      </c>
      <c r="G57" s="43" t="n">
        <v>2876</v>
      </c>
      <c r="H57" s="14" t="n">
        <f aca="false">(C57/C$6)*100</f>
        <v>0.0372667592584605</v>
      </c>
      <c r="I57" s="14" t="n">
        <f aca="false">(D57/D$6)*100</f>
        <v>0.114143528575378</v>
      </c>
      <c r="J57" s="14" t="n">
        <f aca="false">(E57/E$6)*100</f>
        <v>0.105978701738147</v>
      </c>
      <c r="K57" s="14" t="n">
        <f aca="false">(F57/F$6)*100</f>
        <v>0.134529813507438</v>
      </c>
      <c r="L57" s="14" t="n">
        <f aca="false">(G57/G$6)*100</f>
        <v>0.123559103655176</v>
      </c>
      <c r="M57" s="20" t="n">
        <f aca="false">AVERAGE(H57:L57)</f>
        <v>0.10309558134692</v>
      </c>
      <c r="N57" s="15" t="n">
        <f aca="false">((G57/C57)^(1/4)-1)*100</f>
        <v>60.6298610659724</v>
      </c>
      <c r="O57" s="15" t="n">
        <f aca="false">(G57/F57-1)*100</f>
        <v>7.5944631500187</v>
      </c>
      <c r="P57" s="57" t="n">
        <f aca="false">(M57-$M$3)/$M$4</f>
        <v>-0.338085426072318</v>
      </c>
      <c r="Q57" s="20" t="n">
        <f aca="false">(N57-$N$3)/$N$4</f>
        <v>0.370393574970106</v>
      </c>
      <c r="R57" s="52" t="str">
        <f aca="false">IF(AND(P57&gt;0,Q57&gt;0), "ESTRELLA",
IF(AND(P57&gt;0,Q57&lt;0), "Consolidado",
IF(AND(P57&lt;0,Q57&lt;0), "estancado", "prometedor")))</f>
        <v>prometedor</v>
      </c>
    </row>
    <row r="58" customFormat="false" ht="15" hidden="false" customHeight="false" outlineLevel="0" collapsed="false">
      <c r="A58" s="1" t="n">
        <v>52</v>
      </c>
      <c r="B58" s="12" t="s">
        <v>75</v>
      </c>
      <c r="C58" s="62" t="n">
        <v>767</v>
      </c>
      <c r="D58" s="62" t="n">
        <v>1815</v>
      </c>
      <c r="E58" s="62" t="n">
        <v>1506</v>
      </c>
      <c r="F58" s="62" t="n">
        <v>2343</v>
      </c>
      <c r="G58" s="62" t="n">
        <v>1320</v>
      </c>
      <c r="H58" s="14" t="n">
        <f aca="false">(C58/C$6)*100</f>
        <v>0.0661657508130537</v>
      </c>
      <c r="I58" s="14" t="n">
        <f aca="false">(D58/D$6)*100</f>
        <v>0.143370591255579</v>
      </c>
      <c r="J58" s="14" t="n">
        <f aca="false">(E58/E$6)*100</f>
        <v>0.120274246283082</v>
      </c>
      <c r="K58" s="14" t="n">
        <f aca="false">(F58/F$6)*100</f>
        <v>0.117921194555903</v>
      </c>
      <c r="L58" s="14" t="n">
        <f aca="false">(G58/G$6)*100</f>
        <v>0.0567100197582864</v>
      </c>
      <c r="M58" s="20" t="n">
        <f aca="false">AVERAGE(H58:L58)</f>
        <v>0.100888360533181</v>
      </c>
      <c r="N58" s="15" t="n">
        <f aca="false">((G58/C58)^(1/4)-1)*100</f>
        <v>14.5366935729415</v>
      </c>
      <c r="O58" s="15" t="n">
        <f aca="false">(G58/F58-1)*100</f>
        <v>-43.6619718309859</v>
      </c>
      <c r="P58" s="51" t="n">
        <f aca="false">(M58-$M$3)/$M$4</f>
        <v>-0.338631117624733</v>
      </c>
      <c r="Q58" s="20" t="n">
        <f aca="false">(N58-$N$3)/$N$4</f>
        <v>-0.16316313100367</v>
      </c>
      <c r="R58" s="15" t="str">
        <f aca="false">IF(AND(P58&gt;0,Q58&gt;0), "ESTRELLA",
IF(AND(P58&gt;0,Q58&lt;0), "Consolidado",
IF(AND(P58&lt;0,Q58&lt;0), "estancado", "prometedor")))</f>
        <v>estancado</v>
      </c>
    </row>
    <row r="59" customFormat="false" ht="15" hidden="false" customHeight="false" outlineLevel="0" collapsed="false">
      <c r="A59" s="1" t="n">
        <v>53</v>
      </c>
      <c r="B59" s="12" t="s">
        <v>76</v>
      </c>
      <c r="C59" s="19" t="n">
        <v>1221</v>
      </c>
      <c r="D59" s="59" t="n">
        <v>1329</v>
      </c>
      <c r="E59" s="59" t="n">
        <v>1335</v>
      </c>
      <c r="F59" s="59" t="n">
        <v>1630</v>
      </c>
      <c r="G59" s="59" t="n">
        <v>1593</v>
      </c>
      <c r="H59" s="14" t="n">
        <f aca="false">(C59/C$6)*100</f>
        <v>0.10533035429301</v>
      </c>
      <c r="I59" s="14" t="n">
        <f aca="false">(D59/D$6)*100</f>
        <v>0.104980449464829</v>
      </c>
      <c r="J59" s="14" t="n">
        <f aca="false">(E59/E$6)*100</f>
        <v>0.106617608756915</v>
      </c>
      <c r="K59" s="14" t="n">
        <f aca="false">(F59/F$6)*100</f>
        <v>0.0820365117909181</v>
      </c>
      <c r="L59" s="14" t="n">
        <f aca="false">(G59/G$6)*100</f>
        <v>0.0684386829355684</v>
      </c>
      <c r="M59" s="20" t="n">
        <f aca="false">AVERAGE(H59:L59)</f>
        <v>0.0934807214482481</v>
      </c>
      <c r="N59" s="15" t="n">
        <f aca="false">((G59/C59)^(1/4)-1)*100</f>
        <v>6.87472935874989</v>
      </c>
      <c r="O59" s="15" t="n">
        <f aca="false">(G59/F59-1)*100</f>
        <v>-2.26993865030675</v>
      </c>
      <c r="P59" s="20" t="n">
        <f aca="false">(M59-$M$3)/$M$4</f>
        <v>-0.340462509412463</v>
      </c>
      <c r="Q59" s="20" t="n">
        <f aca="false">(N59-$N$3)/$N$4</f>
        <v>-0.251855069739083</v>
      </c>
      <c r="R59" s="15" t="str">
        <f aca="false">IF(AND(P59&gt;0,Q59&gt;0), "ESTRELLA",
IF(AND(P59&gt;0,Q59&lt;0), "Consolidado",
IF(AND(P59&lt;0,Q59&lt;0), "estancado", "prometedor")))</f>
        <v>estancado</v>
      </c>
    </row>
    <row r="60" customFormat="false" ht="15" hidden="false" customHeight="false" outlineLevel="0" collapsed="false">
      <c r="A60" s="1" t="n">
        <v>54</v>
      </c>
      <c r="B60" s="45" t="s">
        <v>77</v>
      </c>
      <c r="C60" s="43" t="n">
        <v>1397</v>
      </c>
      <c r="D60" s="43" t="n">
        <v>1358</v>
      </c>
      <c r="E60" s="43" t="n">
        <v>1218</v>
      </c>
      <c r="F60" s="43" t="n">
        <v>1875</v>
      </c>
      <c r="G60" s="43" t="n">
        <v>776</v>
      </c>
      <c r="H60" s="14" t="n">
        <f aca="false">(C60/C$6)*100</f>
        <v>0.120513108064975</v>
      </c>
      <c r="I60" s="14" t="n">
        <f aca="false">(D60/D$6)*100</f>
        <v>0.107271219242466</v>
      </c>
      <c r="J60" s="14" t="n">
        <f aca="false">(E60/E$6)*100</f>
        <v>0.0972735936074329</v>
      </c>
      <c r="K60" s="14" t="n">
        <f aca="false">(F60/F$6)*100</f>
        <v>0.0943671531337248</v>
      </c>
      <c r="L60" s="14" t="n">
        <f aca="false">(G60/G$6)*100</f>
        <v>0.0333386176760835</v>
      </c>
      <c r="M60" s="20" t="n">
        <f aca="false">AVERAGE(H60:L60)</f>
        <v>0.0905527383449365</v>
      </c>
      <c r="N60" s="15" t="n">
        <f aca="false">((G60/C60)^(1/4)-1)*100</f>
        <v>-13.6690880074608</v>
      </c>
      <c r="O60" s="15" t="n">
        <f aca="false">(G60/F60-1)*100</f>
        <v>-58.6133333333333</v>
      </c>
      <c r="P60" s="20" t="n">
        <f aca="false">(M60-$M$3)/$M$4</f>
        <v>-0.341186395140227</v>
      </c>
      <c r="Q60" s="20" t="n">
        <f aca="false">(N60-$N$3)/$N$4</f>
        <v>-0.489662365662054</v>
      </c>
      <c r="R60" s="15" t="str">
        <f aca="false">IF(AND(P60&gt;0,Q60&gt;0), "ESTRELLA",
IF(AND(P60&gt;0,Q60&lt;0), "Consolidado",
IF(AND(P60&lt;0,Q60&lt;0), "estancado", "prometedor")))</f>
        <v>estancado</v>
      </c>
    </row>
    <row r="61" customFormat="false" ht="15" hidden="false" customHeight="false" outlineLevel="0" collapsed="false">
      <c r="A61" s="1" t="n">
        <v>55</v>
      </c>
      <c r="B61" s="45" t="s">
        <v>78</v>
      </c>
      <c r="C61" s="43" t="n">
        <v>1187</v>
      </c>
      <c r="D61" s="43" t="n">
        <v>1380</v>
      </c>
      <c r="E61" s="43" t="n">
        <v>1138</v>
      </c>
      <c r="F61" s="43" t="n">
        <v>1045</v>
      </c>
      <c r="G61" s="29" t="n">
        <v>1511</v>
      </c>
      <c r="H61" s="14" t="n">
        <f aca="false">(C61/C$6)*100</f>
        <v>0.102397322314335</v>
      </c>
      <c r="I61" s="14" t="n">
        <f aca="false">(D61/D$6)*100</f>
        <v>0.109009044591019</v>
      </c>
      <c r="J61" s="14" t="n">
        <f aca="false">(E61/E$6)*100</f>
        <v>0.0908845234197526</v>
      </c>
      <c r="K61" s="14" t="n">
        <f aca="false">(F61/F$6)*100</f>
        <v>0.052593960013196</v>
      </c>
      <c r="L61" s="14" t="n">
        <f aca="false">(G61/G$6)*100</f>
        <v>0.0649157877687658</v>
      </c>
      <c r="M61" s="20" t="n">
        <f aca="false">AVERAGE(H61:L61)</f>
        <v>0.0839601276214136</v>
      </c>
      <c r="N61" s="15" t="n">
        <f aca="false">((G61/C61)^(1/4)-1)*100</f>
        <v>6.21930032156279</v>
      </c>
      <c r="O61" s="15" t="n">
        <f aca="false">(G61/F61-1)*100</f>
        <v>44.5933014354067</v>
      </c>
      <c r="P61" s="42" t="n">
        <f aca="false">(M61-$M$3)/$M$4</f>
        <v>-0.342816287336692</v>
      </c>
      <c r="Q61" s="20" t="n">
        <f aca="false">(N61-$N$3)/$N$4</f>
        <v>-0.259442063150504</v>
      </c>
      <c r="R61" s="15" t="str">
        <f aca="false">IF(AND(P61&gt;0,Q61&gt;0), "ESTRELLA",
IF(AND(P61&gt;0,Q61&lt;0), "Consolidado",
IF(AND(P61&lt;0,Q61&lt;0), "estancado", "prometedor")))</f>
        <v>estancado</v>
      </c>
    </row>
    <row r="62" customFormat="false" ht="15" hidden="false" customHeight="false" outlineLevel="0" collapsed="false">
      <c r="A62" s="1" t="n">
        <v>56</v>
      </c>
      <c r="B62" s="45" t="s">
        <v>79</v>
      </c>
      <c r="C62" s="43" t="n">
        <v>1061</v>
      </c>
      <c r="D62" s="43" t="n">
        <v>1121</v>
      </c>
      <c r="E62" s="43" t="n">
        <v>1183</v>
      </c>
      <c r="F62" s="43" t="n">
        <v>1321</v>
      </c>
      <c r="G62" s="43" t="n">
        <v>1209</v>
      </c>
      <c r="H62" s="14" t="n">
        <f aca="false">(C62/C$6)*100</f>
        <v>0.0915278508639505</v>
      </c>
      <c r="I62" s="14" t="n">
        <f aca="false">(D62/D$6)*100</f>
        <v>0.0885501007148782</v>
      </c>
      <c r="J62" s="14" t="n">
        <f aca="false">(E62/E$6)*100</f>
        <v>0.0944783754003228</v>
      </c>
      <c r="K62" s="14" t="n">
        <f aca="false">(F62/F$6)*100</f>
        <v>0.0664848049544803</v>
      </c>
      <c r="L62" s="14" t="n">
        <f aca="false">(G62/G$6)*100</f>
        <v>0.0519412226422487</v>
      </c>
      <c r="M62" s="20" t="n">
        <f aca="false">AVERAGE(H62:L62)</f>
        <v>0.0785964709151761</v>
      </c>
      <c r="N62" s="15" t="n">
        <f aca="false">((G62/C62)^(1/4)-1)*100</f>
        <v>3.31841361216969</v>
      </c>
      <c r="O62" s="15" t="n">
        <f aca="false">(G62/F62-1)*100</f>
        <v>-8.4784254352763</v>
      </c>
      <c r="P62" s="20" t="n">
        <f aca="false">(M62-$M$3)/$M$4</f>
        <v>-0.344142345036234</v>
      </c>
      <c r="Q62" s="20" t="n">
        <f aca="false">(N62-$N$3)/$N$4</f>
        <v>-0.293021607392086</v>
      </c>
      <c r="R62" s="15" t="str">
        <f aca="false">IF(AND(P62&gt;0,Q62&gt;0), "ESTRELLA",
IF(AND(P62&gt;0,Q62&lt;0), "Consolidado",
IF(AND(P62&lt;0,Q62&lt;0), "estancado", "prometedor")))</f>
        <v>estancado</v>
      </c>
    </row>
    <row r="63" customFormat="false" ht="15" hidden="false" customHeight="false" outlineLevel="0" collapsed="false">
      <c r="A63" s="1" t="n">
        <v>57</v>
      </c>
      <c r="B63" s="48" t="s">
        <v>80</v>
      </c>
      <c r="C63" s="19" t="n">
        <v>9</v>
      </c>
      <c r="D63" s="19" t="n">
        <v>290</v>
      </c>
      <c r="E63" s="19" t="n">
        <v>599</v>
      </c>
      <c r="F63" s="19" t="n">
        <v>1157</v>
      </c>
      <c r="G63" s="19" t="n">
        <v>6061</v>
      </c>
      <c r="H63" s="14" t="n">
        <f aca="false">(C63/C$6)*100</f>
        <v>0.000776390817884594</v>
      </c>
      <c r="I63" s="14" t="n">
        <f aca="false">(D63/D$6)*100</f>
        <v>0.0229076977763735</v>
      </c>
      <c r="J63" s="14" t="n">
        <f aca="false">(E63/E$6)*100</f>
        <v>0.0478381630302564</v>
      </c>
      <c r="K63" s="14" t="n">
        <f aca="false">(F63/F$6)*100</f>
        <v>0.0582308246270505</v>
      </c>
      <c r="L63" s="14" t="n">
        <f aca="false">(G63/G$6)*100</f>
        <v>0.260393507390132</v>
      </c>
      <c r="M63" s="20" t="n">
        <f aca="false">AVERAGE(H63:L63)</f>
        <v>0.0780293167283394</v>
      </c>
      <c r="N63" s="15" t="n">
        <f aca="false">((G63/C63)^(1/4)-1)*100</f>
        <v>409.419357362241</v>
      </c>
      <c r="O63" s="15" t="n">
        <f aca="false">(G63/F63-1)*100</f>
        <v>423.854796888505</v>
      </c>
      <c r="P63" s="20" t="n">
        <f aca="false">(M63-$M$3)/$M$4</f>
        <v>-0.344282562655943</v>
      </c>
      <c r="Q63" s="20" t="n">
        <f aca="false">(N63-$N$3)/$N$4</f>
        <v>4.40784608352741</v>
      </c>
      <c r="R63" s="52" t="str">
        <f aca="false">IF(AND(P63&gt;0,Q63&gt;0), "ESTRELLA",
IF(AND(P63&gt;0,Q63&lt;0), "Consolidado",
IF(AND(P63&lt;0,Q63&lt;0), "estancado", "prometedor")))</f>
        <v>prometedor</v>
      </c>
    </row>
    <row r="64" customFormat="false" ht="15" hidden="false" customHeight="false" outlineLevel="0" collapsed="false">
      <c r="A64" s="1" t="n">
        <v>58</v>
      </c>
      <c r="B64" s="12" t="s">
        <v>81</v>
      </c>
      <c r="C64" s="19" t="n">
        <f aca="false">D64-(E64/D64-1)*D64</f>
        <v>1569</v>
      </c>
      <c r="D64" s="19" t="n">
        <v>991</v>
      </c>
      <c r="E64" s="59" t="n">
        <v>413</v>
      </c>
      <c r="F64" s="19" t="n">
        <v>1471</v>
      </c>
      <c r="G64" s="19" t="n">
        <v>1502</v>
      </c>
      <c r="H64" s="14" t="n">
        <f aca="false">(C64/C$6)*100</f>
        <v>0.135350799251214</v>
      </c>
      <c r="I64" s="14" t="n">
        <f aca="false">(D64/D$6)*100</f>
        <v>0.078281132746159</v>
      </c>
      <c r="J64" s="14" t="n">
        <f aca="false">(E64/E$6)*100</f>
        <v>0.0329835748438997</v>
      </c>
      <c r="K64" s="14" t="n">
        <f aca="false">(F64/F$6)*100</f>
        <v>0.0740341772051783</v>
      </c>
      <c r="L64" s="14" t="n">
        <f aca="false">(G64/G$6)*100</f>
        <v>0.0645291285431411</v>
      </c>
      <c r="M64" s="20" t="n">
        <f aca="false">AVERAGE(H64:L64)</f>
        <v>0.0770357625179185</v>
      </c>
      <c r="N64" s="15" t="n">
        <f aca="false">((G64/C64)^(1/4)-1)*100</f>
        <v>-1.08509293991684</v>
      </c>
      <c r="O64" s="15" t="n">
        <f aca="false">(G64/F64-1)*100</f>
        <v>2.10740992522094</v>
      </c>
      <c r="P64" s="20" t="n">
        <f aca="false">(M64-$M$3)/$M$4</f>
        <v>-0.344528199221219</v>
      </c>
      <c r="Q64" s="20" t="n">
        <f aca="false">(N64-$N$3)/$N$4</f>
        <v>-0.343994898629241</v>
      </c>
      <c r="R64" s="15" t="str">
        <f aca="false">IF(AND(P64&gt;0,Q64&gt;0), "ESTRELLA",
IF(AND(P64&gt;0,Q64&lt;0), "Consolidado",
IF(AND(P64&lt;0,Q64&lt;0), "estancado", "prometedor")))</f>
        <v>estancado</v>
      </c>
    </row>
    <row r="65" customFormat="false" ht="15" hidden="false" customHeight="false" outlineLevel="0" collapsed="false">
      <c r="A65" s="1" t="n">
        <v>59</v>
      </c>
      <c r="B65" s="12" t="s">
        <v>82</v>
      </c>
      <c r="C65" s="19" t="n">
        <v>1353</v>
      </c>
      <c r="D65" s="19" t="n">
        <v>770</v>
      </c>
      <c r="E65" s="19" t="n">
        <v>437</v>
      </c>
      <c r="F65" s="19" t="n">
        <v>2527</v>
      </c>
      <c r="G65" s="19" t="n">
        <v>942</v>
      </c>
      <c r="H65" s="14" t="n">
        <f aca="false">(C65/C$6)*100</f>
        <v>0.116717419621984</v>
      </c>
      <c r="I65" s="14" t="n">
        <f aca="false">(D65/D$6)*100</f>
        <v>0.0608238871993365</v>
      </c>
      <c r="J65" s="14" t="n">
        <f aca="false">(E65/E$6)*100</f>
        <v>0.0349002959002038</v>
      </c>
      <c r="K65" s="14" t="n">
        <f aca="false">(F65/F$6)*100</f>
        <v>0.127181757850092</v>
      </c>
      <c r="L65" s="14" t="n">
        <f aca="false">(G65/G$6)*100</f>
        <v>0.0404703322820499</v>
      </c>
      <c r="M65" s="20" t="n">
        <f aca="false">AVERAGE(H65:L65)</f>
        <v>0.0760187385707332</v>
      </c>
      <c r="N65" s="15" t="n">
        <f aca="false">((G65/C65)^(1/4)-1)*100</f>
        <v>-8.65426459662675</v>
      </c>
      <c r="O65" s="15" t="n">
        <f aca="false">(G65/F65-1)*100</f>
        <v>-62.7225959635932</v>
      </c>
      <c r="P65" s="20" t="n">
        <f aca="false">(M65-$M$3)/$M$4</f>
        <v>-0.344779638213244</v>
      </c>
      <c r="Q65" s="20" t="n">
        <f aca="false">(N65-$N$3)/$N$4</f>
        <v>-0.431612706555217</v>
      </c>
      <c r="R65" s="15" t="str">
        <f aca="false">IF(AND(P65&gt;0,Q65&gt;0), "ESTRELLA",
IF(AND(P65&gt;0,Q65&lt;0), "Consolidado",
IF(AND(P65&lt;0,Q65&lt;0), "estancado", "prometedor")))</f>
        <v>estancado</v>
      </c>
    </row>
    <row r="66" customFormat="false" ht="15" hidden="false" customHeight="false" outlineLevel="0" collapsed="false">
      <c r="A66" s="1" t="n">
        <v>60</v>
      </c>
      <c r="B66" s="12" t="s">
        <v>83</v>
      </c>
      <c r="C66" s="19" t="n">
        <v>945</v>
      </c>
      <c r="D66" s="19" t="n">
        <v>1114</v>
      </c>
      <c r="E66" s="19" t="n">
        <v>1054</v>
      </c>
      <c r="F66" s="19" t="n">
        <v>1374</v>
      </c>
      <c r="G66" s="19" t="n">
        <v>1221</v>
      </c>
      <c r="H66" s="14" t="n">
        <f aca="false">(C66/C$6)*100</f>
        <v>0.0815210358778824</v>
      </c>
      <c r="I66" s="14" t="n">
        <f aca="false">(D66/D$6)*100</f>
        <v>0.0879971562857933</v>
      </c>
      <c r="J66" s="14" t="n">
        <f aca="false">(E66/E$6)*100</f>
        <v>0.0841759997226883</v>
      </c>
      <c r="K66" s="14" t="n">
        <f aca="false">(F66/F$6)*100</f>
        <v>0.0691522498163936</v>
      </c>
      <c r="L66" s="14" t="n">
        <f aca="false">(G66/G$6)*100</f>
        <v>0.052456768276415</v>
      </c>
      <c r="M66" s="20" t="n">
        <f aca="false">AVERAGE(H66:L66)</f>
        <v>0.0750606419958345</v>
      </c>
      <c r="N66" s="15" t="n">
        <f aca="false">((G66/C66)^(1/4)-1)*100</f>
        <v>6.6156511919234</v>
      </c>
      <c r="O66" s="15" t="n">
        <f aca="false">(G66/F66-1)*100</f>
        <v>-11.1353711790393</v>
      </c>
      <c r="P66" s="20" t="n">
        <f aca="false">(M66-$M$3)/$M$4</f>
        <v>-0.345016508581657</v>
      </c>
      <c r="Q66" s="20" t="n">
        <f aca="false">(N66-$N$3)/$N$4</f>
        <v>-0.254854058543716</v>
      </c>
      <c r="R66" s="15" t="str">
        <f aca="false">IF(AND(P66&gt;0,Q66&gt;0), "ESTRELLA",
IF(AND(P66&gt;0,Q66&lt;0), "Consolidado",
IF(AND(P66&lt;0,Q66&lt;0), "estancado", "prometedor")))</f>
        <v>estancado</v>
      </c>
    </row>
    <row r="67" customFormat="false" ht="15" hidden="false" customHeight="false" outlineLevel="0" collapsed="false">
      <c r="A67" s="1" t="n">
        <v>61</v>
      </c>
      <c r="B67" s="45" t="s">
        <v>84</v>
      </c>
      <c r="C67" s="43" t="n">
        <v>364</v>
      </c>
      <c r="D67" s="43" t="n">
        <v>477</v>
      </c>
      <c r="E67" s="43" t="n">
        <v>1199</v>
      </c>
      <c r="F67" s="43" t="n">
        <v>3490</v>
      </c>
      <c r="G67" s="43" t="n">
        <v>666</v>
      </c>
      <c r="H67" s="14" t="n">
        <f aca="false">(C67/C$6)*100</f>
        <v>0.0314006953011102</v>
      </c>
      <c r="I67" s="14" t="n">
        <f aca="false">(D67/D$6)*100</f>
        <v>0.0376792132390695</v>
      </c>
      <c r="J67" s="14" t="n">
        <f aca="false">(E67/E$6)*100</f>
        <v>0.0957561894378588</v>
      </c>
      <c r="K67" s="14" t="n">
        <f aca="false">(F67/F$6)*100</f>
        <v>0.175648727699573</v>
      </c>
      <c r="L67" s="14" t="n">
        <f aca="false">(G67/G$6)*100</f>
        <v>0.0286127826962263</v>
      </c>
      <c r="M67" s="20" t="n">
        <f aca="false">AVERAGE(H67:L67)</f>
        <v>0.0738195216747676</v>
      </c>
      <c r="N67" s="15" t="n">
        <f aca="false">((G67/C67)^(1/4)-1)*100</f>
        <v>16.3036143332868</v>
      </c>
      <c r="O67" s="15" t="n">
        <f aca="false">(G67/F67-1)*100</f>
        <v>-80.9169054441261</v>
      </c>
      <c r="P67" s="42" t="n">
        <f aca="false">(M67-$M$3)/$M$4</f>
        <v>-0.345323350955796</v>
      </c>
      <c r="Q67" s="20" t="n">
        <f aca="false">(N67-$N$3)/$N$4</f>
        <v>-0.142709938656907</v>
      </c>
      <c r="R67" s="15" t="str">
        <f aca="false">IF(AND(P67&gt;0,Q67&gt;0), "ESTRELLA",
IF(AND(P67&gt;0,Q67&lt;0), "Consolidado",
IF(AND(P67&lt;0,Q67&lt;0), "estancado", "prometedor")))</f>
        <v>estancado</v>
      </c>
    </row>
    <row r="68" customFormat="false" ht="15" hidden="false" customHeight="false" outlineLevel="0" collapsed="false">
      <c r="A68" s="1" t="n">
        <v>62</v>
      </c>
      <c r="B68" s="12" t="s">
        <v>85</v>
      </c>
      <c r="C68" s="19" t="n">
        <v>884</v>
      </c>
      <c r="D68" s="19" t="n">
        <v>773</v>
      </c>
      <c r="E68" s="19" t="n">
        <v>997</v>
      </c>
      <c r="F68" s="19" t="n">
        <v>1096</v>
      </c>
      <c r="G68" s="19" t="n">
        <v>1761</v>
      </c>
      <c r="H68" s="14" t="n">
        <f aca="false">(C68/C$6)*100</f>
        <v>0.0762588314455534</v>
      </c>
      <c r="I68" s="14" t="n">
        <f aca="false">(D68/D$6)*100</f>
        <v>0.06106086338323</v>
      </c>
      <c r="J68" s="14" t="n">
        <f aca="false">(E68/E$6)*100</f>
        <v>0.079623787213966</v>
      </c>
      <c r="K68" s="14" t="n">
        <f aca="false">(F68/F$6)*100</f>
        <v>0.0551607465784333</v>
      </c>
      <c r="L68" s="14" t="n">
        <f aca="false">(G68/G$6)*100</f>
        <v>0.0756563218138958</v>
      </c>
      <c r="M68" s="20" t="n">
        <f aca="false">AVERAGE(H68:L68)</f>
        <v>0.0695521100870157</v>
      </c>
      <c r="N68" s="15" t="n">
        <f aca="false">((G68/C68)^(1/4)-1)*100</f>
        <v>18.8028263478935</v>
      </c>
      <c r="O68" s="15" t="n">
        <f aca="false">(G68/F68-1)*100</f>
        <v>60.6751824817518</v>
      </c>
      <c r="P68" s="42" t="n">
        <f aca="false">(M68-$M$3)/$M$4</f>
        <v>-0.346378383800548</v>
      </c>
      <c r="Q68" s="20" t="n">
        <f aca="false">(N68-$N$3)/$N$4</f>
        <v>-0.113780025557634</v>
      </c>
      <c r="R68" s="15" t="str">
        <f aca="false">IF(AND(P68&gt;0,Q68&gt;0), "ESTRELLA",
IF(AND(P68&gt;0,Q68&lt;0), "Consolidado",
IF(AND(P68&lt;0,Q68&lt;0), "estancado", "prometedor")))</f>
        <v>estancado</v>
      </c>
    </row>
    <row r="69" customFormat="false" ht="15" hidden="false" customHeight="false" outlineLevel="0" collapsed="false">
      <c r="A69" s="1" t="n">
        <v>63</v>
      </c>
      <c r="B69" s="48" t="s">
        <v>86</v>
      </c>
      <c r="C69" s="19" t="n">
        <v>686</v>
      </c>
      <c r="D69" s="19" t="n">
        <v>798</v>
      </c>
      <c r="E69" s="19" t="n">
        <v>708</v>
      </c>
      <c r="F69" s="19" t="n">
        <v>1331</v>
      </c>
      <c r="G69" s="19" t="n">
        <v>2202</v>
      </c>
      <c r="H69" s="14" t="n">
        <f aca="false">(C69/C$6)*100</f>
        <v>0.0591782334520924</v>
      </c>
      <c r="I69" s="14" t="n">
        <f aca="false">(D69/D$6)*100</f>
        <v>0.063035664915676</v>
      </c>
      <c r="J69" s="14" t="n">
        <f aca="false">(E69/E$6)*100</f>
        <v>0.0565432711609709</v>
      </c>
      <c r="K69" s="14" t="n">
        <f aca="false">(F69/F$6)*100</f>
        <v>0.0669880964378601</v>
      </c>
      <c r="L69" s="14" t="n">
        <f aca="false">(G69/G$6)*100</f>
        <v>0.0946026238695051</v>
      </c>
      <c r="M69" s="20" t="n">
        <f aca="false">AVERAGE(H69:L69)</f>
        <v>0.0680695779672209</v>
      </c>
      <c r="N69" s="15" t="n">
        <f aca="false">((G69/C69)^(1/4)-1)*100</f>
        <v>33.8515176549048</v>
      </c>
      <c r="O69" s="15" t="n">
        <f aca="false">(G69/F69-1)*100</f>
        <v>65.4395191585274</v>
      </c>
      <c r="P69" s="26" t="n">
        <f aca="false">(M69-$M$3)/$M$4</f>
        <v>-0.346744910452037</v>
      </c>
      <c r="Q69" s="20" t="n">
        <f aca="false">(N69-$N$3)/$N$4</f>
        <v>0.0604178132912399</v>
      </c>
      <c r="R69" s="52" t="str">
        <f aca="false">IF(AND(P69&gt;0,Q69&gt;0), "ESTRELLA",
IF(AND(P69&gt;0,Q69&lt;0), "Consolidado",
IF(AND(P69&lt;0,Q69&lt;0), "estancado", "prometedor")))</f>
        <v>prometedor</v>
      </c>
    </row>
    <row r="70" customFormat="false" ht="15" hidden="false" customHeight="false" outlineLevel="0" collapsed="false">
      <c r="A70" s="1" t="n">
        <v>64</v>
      </c>
      <c r="B70" s="45" t="s">
        <v>87</v>
      </c>
      <c r="C70" s="44" t="n">
        <v>1073</v>
      </c>
      <c r="D70" s="44" t="n">
        <v>1041</v>
      </c>
      <c r="E70" s="44" t="n">
        <v>990</v>
      </c>
      <c r="F70" s="44" t="n">
        <v>987</v>
      </c>
      <c r="G70" s="44" t="n">
        <v>827</v>
      </c>
      <c r="H70" s="14" t="n">
        <f aca="false">(C70/C$6)*100</f>
        <v>0.0925630386211299</v>
      </c>
      <c r="I70" s="14" t="n">
        <f aca="false">(D70/D$6)*100</f>
        <v>0.082230735811051</v>
      </c>
      <c r="J70" s="14" t="n">
        <f aca="false">(E70/E$6)*100</f>
        <v>0.079064743572544</v>
      </c>
      <c r="K70" s="14" t="n">
        <f aca="false">(F70/F$6)*100</f>
        <v>0.0496748694095928</v>
      </c>
      <c r="L70" s="14" t="n">
        <f aca="false">(G70/G$6)*100</f>
        <v>0.0355296866212901</v>
      </c>
      <c r="M70" s="20" t="n">
        <f aca="false">AVERAGE(H70:L70)</f>
        <v>0.0678126148071216</v>
      </c>
      <c r="N70" s="15" t="n">
        <f aca="false">((G70/C70)^(1/4)-1)*100</f>
        <v>-6.30283580239484</v>
      </c>
      <c r="O70" s="15" t="n">
        <f aca="false">(G70/F70-1)*100</f>
        <v>-16.2107396149949</v>
      </c>
      <c r="P70" s="20" t="n">
        <f aca="false">(M70-$M$3)/$M$4</f>
        <v>-0.346808439494929</v>
      </c>
      <c r="Q70" s="20" t="n">
        <f aca="false">(N70-$N$3)/$N$4</f>
        <v>-0.404393474941942</v>
      </c>
      <c r="R70" s="15" t="str">
        <f aca="false">IF(AND(P70&gt;0,Q70&gt;0), "ESTRELLA",
IF(AND(P70&gt;0,Q70&lt;0), "Consolidado",
IF(AND(P70&lt;0,Q70&lt;0), "estancado", "prometedor")))</f>
        <v>estancado</v>
      </c>
    </row>
    <row r="71" customFormat="false" ht="15" hidden="false" customHeight="false" outlineLevel="0" collapsed="false">
      <c r="A71" s="1" t="n">
        <v>65</v>
      </c>
      <c r="B71" s="12" t="s">
        <v>88</v>
      </c>
      <c r="C71" s="19" t="n">
        <v>914</v>
      </c>
      <c r="D71" s="19" t="n">
        <v>1219</v>
      </c>
      <c r="E71" s="19" t="n">
        <v>1075</v>
      </c>
      <c r="F71" s="19" t="n">
        <v>545</v>
      </c>
      <c r="G71" s="19" t="n">
        <v>824</v>
      </c>
      <c r="H71" s="14" t="n">
        <f aca="false">(C71/C$6)*100</f>
        <v>0.0788468008385021</v>
      </c>
      <c r="I71" s="14" t="n">
        <f aca="false">(D71/D$6)*100</f>
        <v>0.0962913227220664</v>
      </c>
      <c r="J71" s="14" t="n">
        <f aca="false">(E71/E$6)*100</f>
        <v>0.0858531306469543</v>
      </c>
      <c r="K71" s="14" t="n">
        <f aca="false">(F71/F$6)*100</f>
        <v>0.0274293858442027</v>
      </c>
      <c r="L71" s="14" t="n">
        <f aca="false">(G71/G$6)*100</f>
        <v>0.0354008002127485</v>
      </c>
      <c r="M71" s="20" t="n">
        <f aca="false">AVERAGE(H71:L71)</f>
        <v>0.0647642880528948</v>
      </c>
      <c r="N71" s="15" t="n">
        <f aca="false">((G71/C71)^(1/4)-1)*100</f>
        <v>-2.55820985092183</v>
      </c>
      <c r="O71" s="15" t="n">
        <f aca="false">(G71/F71-1)*100</f>
        <v>51.1926605504587</v>
      </c>
      <c r="P71" s="20" t="n">
        <f aca="false">(M71-$M$3)/$M$4</f>
        <v>-0.347562077802627</v>
      </c>
      <c r="Q71" s="20" t="n">
        <f aca="false">(N71-$N$3)/$N$4</f>
        <v>-0.361047131081457</v>
      </c>
      <c r="R71" s="15" t="str">
        <f aca="false">IF(AND(P71&gt;0,Q71&gt;0), "ESTRELLA",
IF(AND(P71&gt;0,Q71&lt;0), "Consolidado",
IF(AND(P71&lt;0,Q71&lt;0), "estancado", "prometedor")))</f>
        <v>estancado</v>
      </c>
    </row>
    <row r="72" customFormat="false" ht="15" hidden="false" customHeight="false" outlineLevel="0" collapsed="false">
      <c r="A72" s="1" t="n">
        <v>66</v>
      </c>
      <c r="B72" s="45" t="s">
        <v>89</v>
      </c>
      <c r="C72" s="44" t="n">
        <v>682</v>
      </c>
      <c r="D72" s="44" t="n">
        <v>705</v>
      </c>
      <c r="E72" s="43" t="n">
        <v>942</v>
      </c>
      <c r="F72" s="44" t="n">
        <v>1157</v>
      </c>
      <c r="G72" s="44" t="n">
        <v>1239</v>
      </c>
      <c r="H72" s="14" t="n">
        <f aca="false">(C72/C$6)*100</f>
        <v>0.0588331708663659</v>
      </c>
      <c r="I72" s="14" t="n">
        <f aca="false">(D72/D$6)*100</f>
        <v>0.0556894032149769</v>
      </c>
      <c r="J72" s="14" t="n">
        <f aca="false">(E72/E$6)*100</f>
        <v>0.0752313014599358</v>
      </c>
      <c r="K72" s="14" t="n">
        <f aca="false">(F72/F$6)*100</f>
        <v>0.0582308246270505</v>
      </c>
      <c r="L72" s="14" t="n">
        <f aca="false">(G72/G$6)*100</f>
        <v>0.0532300867276643</v>
      </c>
      <c r="M72" s="20" t="n">
        <f aca="false">AVERAGE(H72:L72)</f>
        <v>0.0602429573791987</v>
      </c>
      <c r="N72" s="15" t="n">
        <f aca="false">((G72/C72)^(1/4)-1)*100</f>
        <v>16.097196593927</v>
      </c>
      <c r="O72" s="15" t="n">
        <f aca="false">(G72/F72-1)*100</f>
        <v>7.08729472774416</v>
      </c>
      <c r="P72" s="20" t="n">
        <f aca="false">(M72-$M$3)/$M$4</f>
        <v>-0.348679887103334</v>
      </c>
      <c r="Q72" s="20" t="n">
        <f aca="false">(N72-$N$3)/$N$4</f>
        <v>-0.145099350690351</v>
      </c>
      <c r="R72" s="15" t="str">
        <f aca="false">IF(AND(P72&gt;0,Q72&gt;0), "ESTRELLA",
IF(AND(P72&gt;0,Q72&lt;0), "Consolidado",
IF(AND(P72&lt;0,Q72&lt;0), "estancado", "prometedor")))</f>
        <v>estancado</v>
      </c>
    </row>
    <row r="73" customFormat="false" ht="15" hidden="false" customHeight="false" outlineLevel="0" collapsed="false">
      <c r="A73" s="1" t="n">
        <v>67</v>
      </c>
      <c r="B73" s="12" t="s">
        <v>90</v>
      </c>
      <c r="C73" s="19" t="n">
        <v>449</v>
      </c>
      <c r="D73" s="19" t="n">
        <v>1724</v>
      </c>
      <c r="E73" s="19" t="n">
        <v>521</v>
      </c>
      <c r="F73" s="19" t="n">
        <v>710</v>
      </c>
      <c r="G73" s="19" t="n">
        <v>745</v>
      </c>
      <c r="H73" s="14" t="n">
        <f aca="false">(C73/C$6)*100</f>
        <v>0.0387332752477981</v>
      </c>
      <c r="I73" s="14" t="n">
        <f aca="false">(D73/D$6)*100</f>
        <v>0.136182313677475</v>
      </c>
      <c r="J73" s="14" t="n">
        <f aca="false">(E73/E$6)*100</f>
        <v>0.0416088195972681</v>
      </c>
      <c r="K73" s="14" t="n">
        <f aca="false">(F73/F$6)*100</f>
        <v>0.0357336953199705</v>
      </c>
      <c r="L73" s="14" t="n">
        <f aca="false">(G73/G$6)*100</f>
        <v>0.0320067914544874</v>
      </c>
      <c r="M73" s="20" t="n">
        <f aca="false">AVERAGE(H73:L73)</f>
        <v>0.0568529790593999</v>
      </c>
      <c r="N73" s="15" t="n">
        <f aca="false">((G73/C73)^(1/4)-1)*100</f>
        <v>13.495196977525</v>
      </c>
      <c r="O73" s="15" t="n">
        <f aca="false">(G73/F73-1)*100</f>
        <v>4.92957746478873</v>
      </c>
      <c r="P73" s="26" t="n">
        <f aca="false">(M73-$M$3)/$M$4</f>
        <v>-0.349517991981862</v>
      </c>
      <c r="Q73" s="20" t="n">
        <f aca="false">(N73-$N$3)/$N$4</f>
        <v>-0.175219093372005</v>
      </c>
      <c r="R73" s="15" t="str">
        <f aca="false">IF(AND(P73&gt;0,Q73&gt;0), "ESTRELLA",
IF(AND(P73&gt;0,Q73&lt;0), "Consolidado",
IF(AND(P73&lt;0,Q73&lt;0), "estancado", "prometedor")))</f>
        <v>estancado</v>
      </c>
    </row>
    <row r="74" customFormat="false" ht="15" hidden="false" customHeight="false" outlineLevel="0" collapsed="false">
      <c r="A74" s="1" t="n">
        <v>68</v>
      </c>
      <c r="B74" s="12" t="s">
        <v>91</v>
      </c>
      <c r="C74" s="19" t="n">
        <v>881</v>
      </c>
      <c r="D74" s="19" t="n">
        <v>743</v>
      </c>
      <c r="E74" s="19" t="n">
        <v>737</v>
      </c>
      <c r="F74" s="19" t="n">
        <v>728</v>
      </c>
      <c r="G74" s="19" t="n">
        <v>845</v>
      </c>
      <c r="H74" s="14" t="n">
        <f aca="false">(C74/C$6)*100</f>
        <v>0.0760000345062586</v>
      </c>
      <c r="I74" s="14" t="n">
        <f aca="false">(D74/D$6)*100</f>
        <v>0.0586911015442948</v>
      </c>
      <c r="J74" s="14" t="n">
        <f aca="false">(E74/E$6)*100</f>
        <v>0.058859309104005</v>
      </c>
      <c r="K74" s="14" t="n">
        <f aca="false">(F74/F$6)*100</f>
        <v>0.0366396199900542</v>
      </c>
      <c r="L74" s="14" t="n">
        <f aca="false">(G74/G$6)*100</f>
        <v>0.0363030050725394</v>
      </c>
      <c r="M74" s="20" t="n">
        <f aca="false">AVERAGE(H74:L74)</f>
        <v>0.0532986140434304</v>
      </c>
      <c r="N74" s="15" t="n">
        <f aca="false">((G74/C74)^(1/4)-1)*100</f>
        <v>-1.03760432168124</v>
      </c>
      <c r="O74" s="15" t="n">
        <f aca="false">(G74/F74-1)*100</f>
        <v>16.0714285714286</v>
      </c>
      <c r="P74" s="20" t="n">
        <f aca="false">(M74-$M$3)/$M$4</f>
        <v>-0.350396738209399</v>
      </c>
      <c r="Q74" s="20" t="n">
        <f aca="false">(N74-$N$3)/$N$4</f>
        <v>-0.343445188724386</v>
      </c>
      <c r="R74" s="15" t="str">
        <f aca="false">IF(AND(P74&gt;0,Q74&gt;0), "ESTRELLA",
IF(AND(P74&gt;0,Q74&lt;0), "Consolidado",
IF(AND(P74&lt;0,Q74&lt;0), "estancado", "prometedor")))</f>
        <v>estancado</v>
      </c>
    </row>
    <row r="75" customFormat="false" ht="15" hidden="false" customHeight="false" outlineLevel="0" collapsed="false">
      <c r="M75" s="3" t="n">
        <f aca="false">SUM(M7:M74)</f>
        <v>100</v>
      </c>
    </row>
    <row r="1048576" customFormat="false" ht="12.8" hidden="false" customHeight="true" outlineLevel="0" collapsed="false"/>
  </sheetData>
  <autoFilter ref="A1:R7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LibreOffice/25.2.2.2$Linux_X86_64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2022-10-22T05:21:40Z</dcterms:created>
  <dc:creator>HP</dc:creator>
  <dc:description/>
  <dc:language>es-PE</dc:language>
  <cp:lastModifiedBy>Edison Achalma</cp:lastModifiedBy>
  <dcterms:modified xsi:type="dcterms:W3CDTF">2025-06-02T19:06:59Z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