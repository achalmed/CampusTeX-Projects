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24226"/>
  <xr:revisionPtr revIDLastSave="2101" documentId="11_38CD4BE91A63EE6669C374539235998D042E35AD" xr6:coauthVersionLast="47" xr6:coauthVersionMax="47" xr10:uidLastSave="{69A21F82-CE5D-4CB7-95D4-AB80CB12C52F}"/>
  <bookViews>
    <workbookView showHorizontalScroll="0" showSheetTabs="0" xWindow="-120" yWindow="-120" windowWidth="29040" windowHeight="16440" xr2:uid="{00000000-000D-0000-FFFF-FFFF00000000}"/>
  </bookViews>
  <sheets>
    <sheet name="Cronograma" sheetId="1" r:id="rId1"/>
    <sheet name="Factores" sheetId="2" r:id="rId2"/>
    <sheet name="TABLA" sheetId="3" r:id="rId3"/>
  </sheets>
  <externalReferences>
    <externalReference r:id="rId4"/>
  </externalReferences>
  <definedNames>
    <definedName name="c_switch">#N/A</definedName>
    <definedName name="q_total">#N/A</definedName>
  </definedNames>
  <calcPr calcId="191029" iterateDelta="9.999999999999445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6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31" i="1"/>
  <c r="L68" i="1"/>
  <c r="K68" i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32" i="1"/>
  <c r="CO33" i="1"/>
  <c r="CQ33" i="1"/>
  <c r="CR33" i="1"/>
  <c r="CS33" i="1" s="1"/>
  <c r="CQ34" i="1" s="1"/>
  <c r="CR34" i="1" s="1"/>
  <c r="CS34" i="1" s="1"/>
  <c r="CQ35" i="1" s="1"/>
  <c r="CR35" i="1" s="1"/>
  <c r="CS35" i="1" s="1"/>
  <c r="CQ36" i="1" s="1"/>
  <c r="CR36" i="1" s="1"/>
  <c r="CS36" i="1" s="1"/>
  <c r="CQ37" i="1" s="1"/>
  <c r="CR37" i="1" s="1"/>
  <c r="CS37" i="1" s="1"/>
  <c r="CQ38" i="1" s="1"/>
  <c r="CR38" i="1" s="1"/>
  <c r="CS38" i="1" s="1"/>
  <c r="CQ39" i="1" s="1"/>
  <c r="CR39" i="1" s="1"/>
  <c r="CS39" i="1" s="1"/>
  <c r="CQ40" i="1" s="1"/>
  <c r="CR40" i="1" s="1"/>
  <c r="CS40" i="1" s="1"/>
  <c r="CQ41" i="1" s="1"/>
  <c r="CR41" i="1" s="1"/>
  <c r="CS41" i="1" s="1"/>
  <c r="CQ42" i="1" s="1"/>
  <c r="CR42" i="1" s="1"/>
  <c r="CS42" i="1" s="1"/>
  <c r="CQ43" i="1" s="1"/>
  <c r="CR43" i="1" s="1"/>
  <c r="CS43" i="1" s="1"/>
  <c r="CQ44" i="1" s="1"/>
  <c r="CR44" i="1" s="1"/>
  <c r="CS44" i="1" s="1"/>
  <c r="CQ45" i="1" s="1"/>
  <c r="CR45" i="1" s="1"/>
  <c r="CS45" i="1" s="1"/>
  <c r="CQ46" i="1" s="1"/>
  <c r="CR46" i="1" s="1"/>
  <c r="CS46" i="1" s="1"/>
  <c r="CQ47" i="1" s="1"/>
  <c r="CR47" i="1" s="1"/>
  <c r="CS47" i="1" s="1"/>
  <c r="CQ48" i="1" s="1"/>
  <c r="CR48" i="1" s="1"/>
  <c r="CS48" i="1" s="1"/>
  <c r="CQ49" i="1" s="1"/>
  <c r="CR49" i="1" s="1"/>
  <c r="CS49" i="1" s="1"/>
  <c r="CQ50" i="1" s="1"/>
  <c r="CR50" i="1" s="1"/>
  <c r="CS50" i="1" s="1"/>
  <c r="CQ51" i="1" s="1"/>
  <c r="CR51" i="1" s="1"/>
  <c r="CS51" i="1" s="1"/>
  <c r="CQ52" i="1" s="1"/>
  <c r="CR52" i="1" s="1"/>
  <c r="CS52" i="1" s="1"/>
  <c r="CQ53" i="1" s="1"/>
  <c r="CR53" i="1" s="1"/>
  <c r="CS53" i="1" s="1"/>
  <c r="CQ54" i="1" s="1"/>
  <c r="CR54" i="1" s="1"/>
  <c r="CS54" i="1" s="1"/>
  <c r="CQ55" i="1" s="1"/>
  <c r="CR55" i="1" s="1"/>
  <c r="CS55" i="1" s="1"/>
  <c r="CQ56" i="1" s="1"/>
  <c r="CR56" i="1" s="1"/>
  <c r="CS56" i="1" s="1"/>
  <c r="CQ57" i="1" s="1"/>
  <c r="CR57" i="1" s="1"/>
  <c r="CS57" i="1" s="1"/>
  <c r="CQ58" i="1" s="1"/>
  <c r="CR58" i="1" s="1"/>
  <c r="CS58" i="1" s="1"/>
  <c r="CQ59" i="1" s="1"/>
  <c r="CR59" i="1" s="1"/>
  <c r="CS59" i="1" s="1"/>
  <c r="CQ60" i="1" s="1"/>
  <c r="CR60" i="1" s="1"/>
  <c r="CS60" i="1" s="1"/>
  <c r="CQ61" i="1" s="1"/>
  <c r="CR61" i="1" s="1"/>
  <c r="CS61" i="1" s="1"/>
  <c r="CQ62" i="1" s="1"/>
  <c r="CR62" i="1" s="1"/>
  <c r="CS62" i="1" s="1"/>
  <c r="CQ63" i="1" s="1"/>
  <c r="CR63" i="1" s="1"/>
  <c r="CS63" i="1" s="1"/>
  <c r="CQ64" i="1" s="1"/>
  <c r="CR64" i="1" s="1"/>
  <c r="CS64" i="1" s="1"/>
  <c r="CQ65" i="1" s="1"/>
  <c r="CR65" i="1" s="1"/>
  <c r="CS65" i="1" s="1"/>
  <c r="CQ66" i="1" s="1"/>
  <c r="CR66" i="1" s="1"/>
  <c r="CS66" i="1" s="1"/>
  <c r="CQ67" i="1" s="1"/>
  <c r="CR67" i="1" s="1"/>
  <c r="CS67" i="1" s="1"/>
  <c r="AG33" i="1"/>
  <c r="AG34" i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AG45" i="1" s="1"/>
  <c r="AG46" i="1" s="1"/>
  <c r="AG47" i="1" s="1"/>
  <c r="AG48" i="1" s="1"/>
  <c r="AG49" i="1" s="1"/>
  <c r="AG50" i="1" s="1"/>
  <c r="AG51" i="1" s="1"/>
  <c r="AG52" i="1" s="1"/>
  <c r="AG53" i="1" s="1"/>
  <c r="AG54" i="1" s="1"/>
  <c r="AG55" i="1" s="1"/>
  <c r="AG56" i="1" s="1"/>
  <c r="AG57" i="1" s="1"/>
  <c r="AG58" i="1" s="1"/>
  <c r="AG59" i="1" s="1"/>
  <c r="AG60" i="1" s="1"/>
  <c r="AG61" i="1" s="1"/>
  <c r="AG62" i="1" s="1"/>
  <c r="AG63" i="1" s="1"/>
  <c r="AG64" i="1" s="1"/>
  <c r="AG65" i="1" s="1"/>
  <c r="AG66" i="1" s="1"/>
  <c r="AG32" i="1"/>
  <c r="AG31" i="1"/>
  <c r="AL33" i="1"/>
  <c r="AM33" i="1"/>
  <c r="AQ33" i="1"/>
  <c r="AR33" i="1" s="1"/>
  <c r="AL34" i="1"/>
  <c r="AP33" i="1" s="1"/>
  <c r="AM34" i="1"/>
  <c r="AQ34" i="1" s="1"/>
  <c r="AL35" i="1"/>
  <c r="AM35" i="1"/>
  <c r="AP34" i="1" s="1"/>
  <c r="AQ35" i="1"/>
  <c r="AR35" i="1" s="1"/>
  <c r="AL36" i="1"/>
  <c r="AP35" i="1" s="1"/>
  <c r="AM36" i="1"/>
  <c r="AQ36" i="1" s="1"/>
  <c r="AL37" i="1"/>
  <c r="AM37" i="1"/>
  <c r="AP36" i="1" s="1"/>
  <c r="AQ37" i="1"/>
  <c r="AR37" i="1" s="1"/>
  <c r="AL38" i="1"/>
  <c r="AP37" i="1" s="1"/>
  <c r="AM38" i="1"/>
  <c r="AQ38" i="1" s="1"/>
  <c r="AL39" i="1"/>
  <c r="AM39" i="1"/>
  <c r="AP38" i="1" s="1"/>
  <c r="AQ39" i="1"/>
  <c r="AR39" i="1" s="1"/>
  <c r="AL40" i="1"/>
  <c r="AP39" i="1" s="1"/>
  <c r="AM40" i="1"/>
  <c r="AQ40" i="1" s="1"/>
  <c r="AL41" i="1"/>
  <c r="AM41" i="1"/>
  <c r="AP40" i="1" s="1"/>
  <c r="AQ41" i="1"/>
  <c r="AR41" i="1" s="1"/>
  <c r="AL42" i="1"/>
  <c r="AP41" i="1" s="1"/>
  <c r="AM42" i="1"/>
  <c r="AQ42" i="1" s="1"/>
  <c r="AL43" i="1"/>
  <c r="AM43" i="1"/>
  <c r="AP42" i="1" s="1"/>
  <c r="AQ43" i="1"/>
  <c r="AR43" i="1" s="1"/>
  <c r="AL44" i="1"/>
  <c r="AP43" i="1" s="1"/>
  <c r="AM44" i="1"/>
  <c r="AQ44" i="1" s="1"/>
  <c r="AL45" i="1"/>
  <c r="AM45" i="1"/>
  <c r="AP44" i="1" s="1"/>
  <c r="AQ45" i="1"/>
  <c r="AR45" i="1" s="1"/>
  <c r="AL46" i="1"/>
  <c r="AP45" i="1" s="1"/>
  <c r="AM46" i="1"/>
  <c r="AQ46" i="1" s="1"/>
  <c r="AL47" i="1"/>
  <c r="AM47" i="1"/>
  <c r="AP46" i="1" s="1"/>
  <c r="AQ47" i="1"/>
  <c r="AR47" i="1" s="1"/>
  <c r="AL48" i="1"/>
  <c r="AP47" i="1" s="1"/>
  <c r="AM48" i="1"/>
  <c r="AQ48" i="1" s="1"/>
  <c r="AL49" i="1"/>
  <c r="AM49" i="1"/>
  <c r="AP48" i="1" s="1"/>
  <c r="AQ49" i="1"/>
  <c r="AR49" i="1" s="1"/>
  <c r="AL50" i="1"/>
  <c r="AP49" i="1" s="1"/>
  <c r="AM50" i="1"/>
  <c r="AQ50" i="1" s="1"/>
  <c r="AL51" i="1"/>
  <c r="AM51" i="1"/>
  <c r="AP50" i="1" s="1"/>
  <c r="AQ51" i="1"/>
  <c r="AR51" i="1" s="1"/>
  <c r="AL52" i="1"/>
  <c r="AP51" i="1" s="1"/>
  <c r="AM52" i="1"/>
  <c r="AQ52" i="1" s="1"/>
  <c r="AL53" i="1"/>
  <c r="AM53" i="1"/>
  <c r="AP52" i="1" s="1"/>
  <c r="AQ53" i="1"/>
  <c r="AR53" i="1" s="1"/>
  <c r="AL54" i="1"/>
  <c r="AP53" i="1" s="1"/>
  <c r="AM54" i="1"/>
  <c r="AQ54" i="1" s="1"/>
  <c r="AL55" i="1"/>
  <c r="AM55" i="1"/>
  <c r="AP54" i="1" s="1"/>
  <c r="AQ55" i="1"/>
  <c r="AR55" i="1" s="1"/>
  <c r="AL56" i="1"/>
  <c r="AP55" i="1" s="1"/>
  <c r="AM56" i="1"/>
  <c r="AQ56" i="1" s="1"/>
  <c r="AL57" i="1"/>
  <c r="AM57" i="1"/>
  <c r="AP56" i="1" s="1"/>
  <c r="AQ57" i="1"/>
  <c r="AR57" i="1" s="1"/>
  <c r="AL58" i="1"/>
  <c r="AP57" i="1" s="1"/>
  <c r="AM58" i="1"/>
  <c r="AQ58" i="1" s="1"/>
  <c r="AL59" i="1"/>
  <c r="AM59" i="1"/>
  <c r="AP58" i="1" s="1"/>
  <c r="AQ59" i="1"/>
  <c r="AR59" i="1" s="1"/>
  <c r="AL60" i="1"/>
  <c r="AP59" i="1" s="1"/>
  <c r="AM60" i="1"/>
  <c r="AQ60" i="1" s="1"/>
  <c r="AL61" i="1"/>
  <c r="AM61" i="1"/>
  <c r="AP60" i="1" s="1"/>
  <c r="AP61" i="1"/>
  <c r="AQ61" i="1"/>
  <c r="AL62" i="1"/>
  <c r="AM62" i="1"/>
  <c r="AQ62" i="1" s="1"/>
  <c r="AL63" i="1"/>
  <c r="AM63" i="1"/>
  <c r="AP62" i="1" s="1"/>
  <c r="AQ63" i="1"/>
  <c r="AR63" i="1"/>
  <c r="AL64" i="1"/>
  <c r="AP63" i="1" s="1"/>
  <c r="AM64" i="1"/>
  <c r="AQ64" i="1" s="1"/>
  <c r="AL65" i="1"/>
  <c r="AM65" i="1"/>
  <c r="AP64" i="1" s="1"/>
  <c r="AQ65" i="1"/>
  <c r="AL66" i="1"/>
  <c r="AP65" i="1" s="1"/>
  <c r="AM66" i="1"/>
  <c r="AQ66" i="1" s="1"/>
  <c r="AP32" i="1"/>
  <c r="AQ32" i="1"/>
  <c r="AR32" i="1" s="1"/>
  <c r="AL32" i="1"/>
  <c r="AM32" i="1"/>
  <c r="AR31" i="1"/>
  <c r="AQ31" i="1"/>
  <c r="AP31" i="1"/>
  <c r="AP29" i="1"/>
  <c r="AM31" i="1"/>
  <c r="AL31" i="1"/>
  <c r="AM29" i="1"/>
  <c r="AL29" i="1"/>
  <c r="AH33" i="1"/>
  <c r="AH34" i="1"/>
  <c r="AH35" i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32" i="1"/>
  <c r="AY33" i="1"/>
  <c r="AY34" i="1" s="1"/>
  <c r="AZ33" i="1"/>
  <c r="BA33" i="1"/>
  <c r="BB33" i="1"/>
  <c r="BC33" i="1"/>
  <c r="BC34" i="1" s="1"/>
  <c r="BD33" i="1"/>
  <c r="BA34" i="1"/>
  <c r="BB34" i="1"/>
  <c r="BB35" i="1" s="1"/>
  <c r="BA35" i="1"/>
  <c r="BA36" i="1" s="1"/>
  <c r="AW71" i="1"/>
  <c r="AW69" i="1"/>
  <c r="AW67" i="1"/>
  <c r="AW65" i="1"/>
  <c r="AW63" i="1"/>
  <c r="AW61" i="1"/>
  <c r="AW59" i="1"/>
  <c r="AW57" i="1"/>
  <c r="AW55" i="1"/>
  <c r="AW53" i="1"/>
  <c r="AW51" i="1"/>
  <c r="AW49" i="1"/>
  <c r="AW47" i="1"/>
  <c r="AW45" i="1"/>
  <c r="AW43" i="1"/>
  <c r="AW41" i="1"/>
  <c r="AW39" i="1"/>
  <c r="AW37" i="1"/>
  <c r="AW35" i="1"/>
  <c r="AW33" i="1"/>
  <c r="AW31" i="1"/>
  <c r="L27" i="2"/>
  <c r="L28" i="2"/>
  <c r="L15" i="2"/>
  <c r="L20" i="2" s="1"/>
  <c r="N20" i="2" s="1"/>
  <c r="CF20" i="1"/>
  <c r="CF17" i="1"/>
  <c r="CF16" i="1" s="1"/>
  <c r="D6" i="2"/>
  <c r="D5" i="2"/>
  <c r="CK32" i="1"/>
  <c r="BA29" i="1"/>
  <c r="BA31" i="1" s="1"/>
  <c r="BC29" i="1"/>
  <c r="BD29" i="1" s="1"/>
  <c r="CO32" i="1"/>
  <c r="AG551" i="1"/>
  <c r="AG552" i="1" s="1"/>
  <c r="AG553" i="1" s="1"/>
  <c r="AG554" i="1" s="1"/>
  <c r="AG555" i="1" s="1"/>
  <c r="AG556" i="1" s="1"/>
  <c r="AG557" i="1" s="1"/>
  <c r="AG558" i="1" s="1"/>
  <c r="AG559" i="1" s="1"/>
  <c r="AG560" i="1" s="1"/>
  <c r="AG561" i="1" s="1"/>
  <c r="AG562" i="1" s="1"/>
  <c r="AG563" i="1" s="1"/>
  <c r="AG564" i="1" s="1"/>
  <c r="AG565" i="1" s="1"/>
  <c r="AG566" i="1" s="1"/>
  <c r="AG567" i="1" s="1"/>
  <c r="AG568" i="1" s="1"/>
  <c r="AG569" i="1" s="1"/>
  <c r="AG570" i="1" s="1"/>
  <c r="AG571" i="1" s="1"/>
  <c r="AG572" i="1" s="1"/>
  <c r="AG573" i="1" s="1"/>
  <c r="AG574" i="1" s="1"/>
  <c r="AG575" i="1" s="1"/>
  <c r="AG576" i="1" s="1"/>
  <c r="AG577" i="1" s="1"/>
  <c r="AG578" i="1" s="1"/>
  <c r="AG579" i="1" s="1"/>
  <c r="AG580" i="1" s="1"/>
  <c r="AG581" i="1" s="1"/>
  <c r="AG582" i="1" s="1"/>
  <c r="AG583" i="1" s="1"/>
  <c r="AG584" i="1" s="1"/>
  <c r="AG585" i="1" s="1"/>
  <c r="AG586" i="1" s="1"/>
  <c r="AG587" i="1" s="1"/>
  <c r="AG588" i="1" s="1"/>
  <c r="AG589" i="1" s="1"/>
  <c r="AG590" i="1" s="1"/>
  <c r="AG591" i="1" s="1"/>
  <c r="AG592" i="1" s="1"/>
  <c r="AG593" i="1" s="1"/>
  <c r="AG594" i="1" s="1"/>
  <c r="AG595" i="1" s="1"/>
  <c r="AG596" i="1" s="1"/>
  <c r="AG597" i="1" s="1"/>
  <c r="AG598" i="1" s="1"/>
  <c r="AG599" i="1" s="1"/>
  <c r="AG600" i="1" s="1"/>
  <c r="AG601" i="1" s="1"/>
  <c r="AG602" i="1" s="1"/>
  <c r="AG603" i="1" s="1"/>
  <c r="AG604" i="1" s="1"/>
  <c r="AG605" i="1" s="1"/>
  <c r="AG606" i="1" s="1"/>
  <c r="AG607" i="1" s="1"/>
  <c r="AG608" i="1" s="1"/>
  <c r="AG609" i="1" s="1"/>
  <c r="AG610" i="1" s="1"/>
  <c r="AG611" i="1" s="1"/>
  <c r="AG612" i="1" s="1"/>
  <c r="AG613" i="1" s="1"/>
  <c r="AG614" i="1" s="1"/>
  <c r="AG615" i="1" s="1"/>
  <c r="AG616" i="1" s="1"/>
  <c r="AG617" i="1" s="1"/>
  <c r="AG618" i="1" s="1"/>
  <c r="AG619" i="1" s="1"/>
  <c r="AG620" i="1" s="1"/>
  <c r="AG621" i="1" s="1"/>
  <c r="AG622" i="1" s="1"/>
  <c r="AG623" i="1" s="1"/>
  <c r="AG624" i="1" s="1"/>
  <c r="AG625" i="1" s="1"/>
  <c r="AG626" i="1" s="1"/>
  <c r="AG627" i="1" s="1"/>
  <c r="AG628" i="1" s="1"/>
  <c r="AG629" i="1" s="1"/>
  <c r="AG630" i="1" s="1"/>
  <c r="AG631" i="1" s="1"/>
  <c r="AG632" i="1" s="1"/>
  <c r="AG633" i="1" s="1"/>
  <c r="AG634" i="1" s="1"/>
  <c r="AG635" i="1" s="1"/>
  <c r="AG636" i="1" s="1"/>
  <c r="AG637" i="1" s="1"/>
  <c r="AG638" i="1" s="1"/>
  <c r="AG639" i="1" s="1"/>
  <c r="AG640" i="1" s="1"/>
  <c r="AG641" i="1" s="1"/>
  <c r="AG642" i="1" s="1"/>
  <c r="AG643" i="1" s="1"/>
  <c r="AG644" i="1" s="1"/>
  <c r="AG645" i="1" s="1"/>
  <c r="AG646" i="1" s="1"/>
  <c r="AG647" i="1" s="1"/>
  <c r="AG648" i="1" s="1"/>
  <c r="AG649" i="1" s="1"/>
  <c r="AG650" i="1" s="1"/>
  <c r="AG651" i="1" s="1"/>
  <c r="AG652" i="1" s="1"/>
  <c r="AG653" i="1" s="1"/>
  <c r="AG654" i="1" s="1"/>
  <c r="AG655" i="1" s="1"/>
  <c r="AG656" i="1" s="1"/>
  <c r="AG657" i="1" s="1"/>
  <c r="AG658" i="1" s="1"/>
  <c r="AG659" i="1" s="1"/>
  <c r="AG660" i="1" s="1"/>
  <c r="AG661" i="1" s="1"/>
  <c r="AG662" i="1" s="1"/>
  <c r="AG663" i="1" s="1"/>
  <c r="AG664" i="1" s="1"/>
  <c r="AG665" i="1" s="1"/>
  <c r="AG666" i="1" s="1"/>
  <c r="AG667" i="1" s="1"/>
  <c r="AG668" i="1" s="1"/>
  <c r="AG669" i="1" s="1"/>
  <c r="AG670" i="1" s="1"/>
  <c r="AG671" i="1" s="1"/>
  <c r="AG672" i="1" s="1"/>
  <c r="AG673" i="1" s="1"/>
  <c r="AG674" i="1" s="1"/>
  <c r="AG675" i="1" s="1"/>
  <c r="AG676" i="1" s="1"/>
  <c r="AG677" i="1" s="1"/>
  <c r="AG678" i="1" s="1"/>
  <c r="AG679" i="1" s="1"/>
  <c r="AG680" i="1" s="1"/>
  <c r="AG681" i="1" s="1"/>
  <c r="AG682" i="1" s="1"/>
  <c r="AG683" i="1" s="1"/>
  <c r="AG684" i="1" s="1"/>
  <c r="AG685" i="1" s="1"/>
  <c r="AG686" i="1" s="1"/>
  <c r="AG687" i="1" s="1"/>
  <c r="AG688" i="1" s="1"/>
  <c r="AG689" i="1" s="1"/>
  <c r="AG690" i="1" s="1"/>
  <c r="AG691" i="1" s="1"/>
  <c r="AG692" i="1" s="1"/>
  <c r="AG693" i="1" s="1"/>
  <c r="AG694" i="1" s="1"/>
  <c r="AG695" i="1" s="1"/>
  <c r="AG696" i="1" s="1"/>
  <c r="AG697" i="1" s="1"/>
  <c r="AG698" i="1" s="1"/>
  <c r="AG699" i="1" s="1"/>
  <c r="AG700" i="1" s="1"/>
  <c r="AG701" i="1" s="1"/>
  <c r="AG702" i="1" s="1"/>
  <c r="AG703" i="1" s="1"/>
  <c r="AG704" i="1" s="1"/>
  <c r="AG705" i="1" s="1"/>
  <c r="AG706" i="1" s="1"/>
  <c r="AG707" i="1" s="1"/>
  <c r="AG708" i="1" s="1"/>
  <c r="AG709" i="1" s="1"/>
  <c r="AG710" i="1" s="1"/>
  <c r="AG711" i="1" s="1"/>
  <c r="AG712" i="1" s="1"/>
  <c r="AG713" i="1" s="1"/>
  <c r="AG714" i="1" s="1"/>
  <c r="AG715" i="1" s="1"/>
  <c r="AG716" i="1" s="1"/>
  <c r="AG717" i="1" s="1"/>
  <c r="AG718" i="1" s="1"/>
  <c r="AG719" i="1" s="1"/>
  <c r="AG720" i="1" s="1"/>
  <c r="AG721" i="1" s="1"/>
  <c r="AG722" i="1" s="1"/>
  <c r="AG723" i="1" s="1"/>
  <c r="AG724" i="1" s="1"/>
  <c r="AG725" i="1" s="1"/>
  <c r="AG726" i="1" s="1"/>
  <c r="AG727" i="1" s="1"/>
  <c r="AG728" i="1" s="1"/>
  <c r="AG729" i="1" s="1"/>
  <c r="AG730" i="1" s="1"/>
  <c r="AG731" i="1" s="1"/>
  <c r="AG732" i="1" s="1"/>
  <c r="AG733" i="1" s="1"/>
  <c r="AG734" i="1" s="1"/>
  <c r="AG735" i="1" s="1"/>
  <c r="AG736" i="1" s="1"/>
  <c r="AG737" i="1" s="1"/>
  <c r="AG738" i="1" s="1"/>
  <c r="AG739" i="1" s="1"/>
  <c r="AG740" i="1" s="1"/>
  <c r="AG741" i="1" s="1"/>
  <c r="AG742" i="1" s="1"/>
  <c r="AG743" i="1" s="1"/>
  <c r="AG744" i="1" s="1"/>
  <c r="AG745" i="1" s="1"/>
  <c r="AG746" i="1" s="1"/>
  <c r="AG747" i="1" s="1"/>
  <c r="AG748" i="1" s="1"/>
  <c r="AG749" i="1" s="1"/>
  <c r="AG750" i="1" s="1"/>
  <c r="AG751" i="1" s="1"/>
  <c r="AG752" i="1" s="1"/>
  <c r="AG753" i="1" s="1"/>
  <c r="AG754" i="1" s="1"/>
  <c r="AG755" i="1" s="1"/>
  <c r="AG756" i="1" s="1"/>
  <c r="AG757" i="1" s="1"/>
  <c r="AG758" i="1" s="1"/>
  <c r="AG759" i="1" s="1"/>
  <c r="AG760" i="1" s="1"/>
  <c r="AG761" i="1" s="1"/>
  <c r="AG762" i="1" s="1"/>
  <c r="AG763" i="1" s="1"/>
  <c r="AG764" i="1" s="1"/>
  <c r="AG765" i="1" s="1"/>
  <c r="AG766" i="1" s="1"/>
  <c r="AG767" i="1" s="1"/>
  <c r="AG768" i="1" s="1"/>
  <c r="AG769" i="1" s="1"/>
  <c r="AG770" i="1" s="1"/>
  <c r="AG771" i="1" s="1"/>
  <c r="AG772" i="1" s="1"/>
  <c r="AG773" i="1" s="1"/>
  <c r="AG774" i="1" s="1"/>
  <c r="AG775" i="1" s="1"/>
  <c r="AG776" i="1" s="1"/>
  <c r="AG777" i="1" s="1"/>
  <c r="AG778" i="1" s="1"/>
  <c r="AG779" i="1" s="1"/>
  <c r="AG780" i="1" s="1"/>
  <c r="AG781" i="1" s="1"/>
  <c r="AG782" i="1" s="1"/>
  <c r="AG783" i="1" s="1"/>
  <c r="AG784" i="1" s="1"/>
  <c r="AG785" i="1" s="1"/>
  <c r="AG786" i="1" s="1"/>
  <c r="AG787" i="1" s="1"/>
  <c r="AG788" i="1" s="1"/>
  <c r="AG789" i="1" s="1"/>
  <c r="AG790" i="1" s="1"/>
  <c r="AG791" i="1" s="1"/>
  <c r="AG792" i="1" s="1"/>
  <c r="AG793" i="1" s="1"/>
  <c r="AG794" i="1" s="1"/>
  <c r="AG795" i="1" s="1"/>
  <c r="AG796" i="1" s="1"/>
  <c r="AG797" i="1" s="1"/>
  <c r="AG798" i="1" s="1"/>
  <c r="AG799" i="1" s="1"/>
  <c r="AG800" i="1" s="1"/>
  <c r="AG801" i="1" s="1"/>
  <c r="AG802" i="1" s="1"/>
  <c r="AG803" i="1" s="1"/>
  <c r="AG804" i="1" s="1"/>
  <c r="CH23" i="1"/>
  <c r="CC36" i="1"/>
  <c r="CC37" i="1" s="1"/>
  <c r="CA36" i="1"/>
  <c r="V17" i="1"/>
  <c r="CB23" i="1"/>
  <c r="CD23" i="1"/>
  <c r="CF23" i="1"/>
  <c r="CL23" i="1"/>
  <c r="CN23" i="1"/>
  <c r="CJ25" i="1"/>
  <c r="CJ26" i="1" s="1"/>
  <c r="CJ27" i="1" s="1"/>
  <c r="BE28" i="1"/>
  <c r="AW29" i="1"/>
  <c r="V18" i="1"/>
  <c r="V16" i="1"/>
  <c r="V21" i="1"/>
  <c r="CJ23" i="1"/>
  <c r="CI17" i="1" s="1"/>
  <c r="CC38" i="1"/>
  <c r="L32" i="2"/>
  <c r="L36" i="2"/>
  <c r="CT33" i="1" l="1"/>
  <c r="CV33" i="1" s="1"/>
  <c r="CO34" i="1"/>
  <c r="AR65" i="1"/>
  <c r="AR61" i="1"/>
  <c r="AR64" i="1"/>
  <c r="AR54" i="1"/>
  <c r="AR60" i="1"/>
  <c r="AR56" i="1"/>
  <c r="AR48" i="1"/>
  <c r="AR44" i="1"/>
  <c r="AR40" i="1"/>
  <c r="AR36" i="1"/>
  <c r="AR50" i="1"/>
  <c r="AR58" i="1"/>
  <c r="AR52" i="1"/>
  <c r="AR66" i="1"/>
  <c r="AR62" i="1"/>
  <c r="AR46" i="1"/>
  <c r="AR38" i="1"/>
  <c r="AR34" i="1"/>
  <c r="AR42" i="1"/>
  <c r="BC35" i="1"/>
  <c r="BA37" i="1"/>
  <c r="AY35" i="1"/>
  <c r="AZ35" i="1"/>
  <c r="BB36" i="1"/>
  <c r="BB37" i="1" s="1"/>
  <c r="BD34" i="1"/>
  <c r="BD35" i="1" s="1"/>
  <c r="BE33" i="1"/>
  <c r="AZ34" i="1"/>
  <c r="BE34" i="1" s="1"/>
  <c r="BC31" i="1"/>
  <c r="BC32" i="1" s="1"/>
  <c r="AY29" i="1"/>
  <c r="AV28" i="1"/>
  <c r="L29" i="2"/>
  <c r="N29" i="2" s="1"/>
  <c r="L24" i="2"/>
  <c r="N24" i="2" s="1"/>
  <c r="BD31" i="1"/>
  <c r="BD32" i="1" s="1"/>
  <c r="BA32" i="1"/>
  <c r="CE31" i="1"/>
  <c r="AO33" i="1" l="1"/>
  <c r="CT34" i="1"/>
  <c r="CV34" i="1" s="1"/>
  <c r="CO35" i="1"/>
  <c r="AY36" i="1"/>
  <c r="AZ36" i="1"/>
  <c r="BE36" i="1" s="1"/>
  <c r="BE35" i="1"/>
  <c r="BB38" i="1"/>
  <c r="BA38" i="1"/>
  <c r="BF34" i="1"/>
  <c r="BG34" i="1" s="1"/>
  <c r="BD36" i="1"/>
  <c r="BC36" i="1"/>
  <c r="BF33" i="1"/>
  <c r="BG33" i="1" s="1"/>
  <c r="AY31" i="1"/>
  <c r="AZ29" i="1"/>
  <c r="AZ31" i="1"/>
  <c r="AX29" i="1"/>
  <c r="BB29" i="1"/>
  <c r="BB31" i="1" s="1"/>
  <c r="BB32" i="1" s="1"/>
  <c r="L13" i="2"/>
  <c r="CE32" i="1"/>
  <c r="CT35" i="1" l="1"/>
  <c r="CV35" i="1" s="1"/>
  <c r="CO36" i="1"/>
  <c r="AN34" i="1"/>
  <c r="AO34" i="1"/>
  <c r="BA39" i="1"/>
  <c r="BB39" i="1"/>
  <c r="BF35" i="1"/>
  <c r="BG35" i="1" s="1"/>
  <c r="BF36" i="1"/>
  <c r="BG36" i="1" s="1"/>
  <c r="BC37" i="1"/>
  <c r="BD37" i="1"/>
  <c r="AY37" i="1"/>
  <c r="AZ37" i="1"/>
  <c r="BE37" i="1" s="1"/>
  <c r="CP30" i="1"/>
  <c r="CP31" i="1" s="1"/>
  <c r="CQ31" i="1" s="1"/>
  <c r="CR31" i="1" s="1"/>
  <c r="CS31" i="1" s="1"/>
  <c r="AZ32" i="1"/>
  <c r="BE31" i="1"/>
  <c r="BF31" i="1" s="1"/>
  <c r="BG31" i="1" s="1"/>
  <c r="AY32" i="1"/>
  <c r="CV31" i="1"/>
  <c r="BE32" i="1"/>
  <c r="CO37" i="1" l="1"/>
  <c r="CT36" i="1"/>
  <c r="CV36" i="1" s="1"/>
  <c r="AN35" i="1"/>
  <c r="AO35" i="1"/>
  <c r="AO31" i="1"/>
  <c r="AN31" i="1"/>
  <c r="BC38" i="1"/>
  <c r="BD38" i="1"/>
  <c r="BF37" i="1"/>
  <c r="BG37" i="1" s="1"/>
  <c r="AY38" i="1"/>
  <c r="AZ38" i="1"/>
  <c r="BE38" i="1" s="1"/>
  <c r="BA40" i="1"/>
  <c r="BB40" i="1"/>
  <c r="CW31" i="1"/>
  <c r="CX31" i="1" s="1"/>
  <c r="BF32" i="1"/>
  <c r="BG32" i="1" s="1"/>
  <c r="CQ32" i="1"/>
  <c r="CR32" i="1" s="1"/>
  <c r="CS32" i="1" s="1"/>
  <c r="CT31" i="1"/>
  <c r="AN36" i="1" l="1"/>
  <c r="AO36" i="1"/>
  <c r="CT37" i="1"/>
  <c r="CV37" i="1" s="1"/>
  <c r="CO38" i="1"/>
  <c r="BA41" i="1"/>
  <c r="BB41" i="1"/>
  <c r="BF38" i="1"/>
  <c r="BG38" i="1" s="1"/>
  <c r="AZ39" i="1"/>
  <c r="AY39" i="1"/>
  <c r="BC39" i="1"/>
  <c r="BD39" i="1"/>
  <c r="CT32" i="1"/>
  <c r="CV32" i="1" s="1"/>
  <c r="AN33" i="1" s="1"/>
  <c r="CO39" i="1" l="1"/>
  <c r="CT38" i="1"/>
  <c r="CV38" i="1" s="1"/>
  <c r="AN37" i="1"/>
  <c r="AO37" i="1"/>
  <c r="AO32" i="1"/>
  <c r="AN32" i="1"/>
  <c r="BC40" i="1"/>
  <c r="BD40" i="1"/>
  <c r="AZ40" i="1"/>
  <c r="BE40" i="1" s="1"/>
  <c r="AY40" i="1"/>
  <c r="BE39" i="1"/>
  <c r="BA42" i="1"/>
  <c r="BB42" i="1"/>
  <c r="CW32" i="1"/>
  <c r="CX32" i="1" s="1"/>
  <c r="CT39" i="1" l="1"/>
  <c r="CV39" i="1" s="1"/>
  <c r="CO40" i="1"/>
  <c r="AO38" i="1"/>
  <c r="AN38" i="1"/>
  <c r="BA43" i="1"/>
  <c r="BB43" i="1"/>
  <c r="BF39" i="1"/>
  <c r="BG39" i="1" s="1"/>
  <c r="AY41" i="1"/>
  <c r="AZ41" i="1"/>
  <c r="BF40" i="1"/>
  <c r="BG40" i="1" s="1"/>
  <c r="BC41" i="1"/>
  <c r="BD41" i="1"/>
  <c r="CW33" i="1"/>
  <c r="CX33" i="1" s="1"/>
  <c r="CO41" i="1" l="1"/>
  <c r="CT40" i="1"/>
  <c r="CV40" i="1" s="1"/>
  <c r="AN39" i="1"/>
  <c r="AO39" i="1"/>
  <c r="AY42" i="1"/>
  <c r="AZ42" i="1"/>
  <c r="BE42" i="1" s="1"/>
  <c r="BE41" i="1"/>
  <c r="BC42" i="1"/>
  <c r="BD42" i="1"/>
  <c r="BA44" i="1"/>
  <c r="BB44" i="1"/>
  <c r="CW34" i="1"/>
  <c r="CX34" i="1" s="1"/>
  <c r="AO40" i="1" l="1"/>
  <c r="AN40" i="1"/>
  <c r="CT41" i="1"/>
  <c r="CV41" i="1" s="1"/>
  <c r="CO42" i="1"/>
  <c r="BC43" i="1"/>
  <c r="BD43" i="1"/>
  <c r="BF42" i="1"/>
  <c r="BG42" i="1" s="1"/>
  <c r="BA45" i="1"/>
  <c r="BB45" i="1"/>
  <c r="BF41" i="1"/>
  <c r="BG41" i="1" s="1"/>
  <c r="AY43" i="1"/>
  <c r="AZ43" i="1"/>
  <c r="BE43" i="1" s="1"/>
  <c r="CW35" i="1"/>
  <c r="CX35" i="1" s="1"/>
  <c r="CT42" i="1" l="1"/>
  <c r="CV42" i="1" s="1"/>
  <c r="CO43" i="1"/>
  <c r="AO41" i="1"/>
  <c r="AN41" i="1"/>
  <c r="BB46" i="1"/>
  <c r="BA46" i="1"/>
  <c r="BF43" i="1"/>
  <c r="BG43" i="1" s="1"/>
  <c r="AY44" i="1"/>
  <c r="AZ44" i="1"/>
  <c r="BE44" i="1" s="1"/>
  <c r="BD44" i="1"/>
  <c r="BC44" i="1"/>
  <c r="CW36" i="1"/>
  <c r="CX36" i="1" s="1"/>
  <c r="CT43" i="1" l="1"/>
  <c r="CV43" i="1" s="1"/>
  <c r="CO44" i="1"/>
  <c r="AN42" i="1"/>
  <c r="AO42" i="1"/>
  <c r="BC45" i="1"/>
  <c r="BD45" i="1"/>
  <c r="AY45" i="1"/>
  <c r="AZ45" i="1"/>
  <c r="BE45" i="1" s="1"/>
  <c r="BF44" i="1"/>
  <c r="BG44" i="1" s="1"/>
  <c r="BA47" i="1"/>
  <c r="BB47" i="1"/>
  <c r="CW37" i="1"/>
  <c r="CX37" i="1" s="1"/>
  <c r="AO43" i="1" l="1"/>
  <c r="AN43" i="1"/>
  <c r="CO45" i="1"/>
  <c r="CT44" i="1"/>
  <c r="CV44" i="1" s="1"/>
  <c r="BA48" i="1"/>
  <c r="BB48" i="1"/>
  <c r="BF45" i="1"/>
  <c r="BG45" i="1" s="1"/>
  <c r="AY46" i="1"/>
  <c r="AZ46" i="1"/>
  <c r="BE46" i="1" s="1"/>
  <c r="BC46" i="1"/>
  <c r="BD46" i="1"/>
  <c r="CW38" i="1"/>
  <c r="CX38" i="1" s="1"/>
  <c r="AN44" i="1" l="1"/>
  <c r="AO44" i="1"/>
  <c r="CT45" i="1"/>
  <c r="CV45" i="1" s="1"/>
  <c r="CO46" i="1"/>
  <c r="BF46" i="1"/>
  <c r="BG46" i="1" s="1"/>
  <c r="BC47" i="1"/>
  <c r="BD47" i="1"/>
  <c r="AZ47" i="1"/>
  <c r="AY47" i="1"/>
  <c r="BA49" i="1"/>
  <c r="BB49" i="1"/>
  <c r="CW39" i="1"/>
  <c r="CX39" i="1" s="1"/>
  <c r="AO45" i="1" l="1"/>
  <c r="AN45" i="1"/>
  <c r="CO47" i="1"/>
  <c r="CT46" i="1"/>
  <c r="CV46" i="1" s="1"/>
  <c r="BA50" i="1"/>
  <c r="BB50" i="1"/>
  <c r="AZ48" i="1"/>
  <c r="BE48" i="1" s="1"/>
  <c r="AY48" i="1"/>
  <c r="BE47" i="1"/>
  <c r="BC48" i="1"/>
  <c r="BD48" i="1"/>
  <c r="CW40" i="1"/>
  <c r="CX40" i="1" s="1"/>
  <c r="AN46" i="1" l="1"/>
  <c r="AO46" i="1"/>
  <c r="CT47" i="1"/>
  <c r="CV47" i="1" s="1"/>
  <c r="CO48" i="1"/>
  <c r="BF47" i="1"/>
  <c r="BG47" i="1" s="1"/>
  <c r="BC49" i="1"/>
  <c r="BD49" i="1"/>
  <c r="BF48" i="1"/>
  <c r="BG48" i="1" s="1"/>
  <c r="AY49" i="1"/>
  <c r="AZ49" i="1"/>
  <c r="BA51" i="1"/>
  <c r="BB51" i="1"/>
  <c r="CW41" i="1"/>
  <c r="CX41" i="1" s="1"/>
  <c r="CO49" i="1" l="1"/>
  <c r="CT48" i="1"/>
  <c r="CV48" i="1" s="1"/>
  <c r="AN47" i="1"/>
  <c r="AO47" i="1"/>
  <c r="AY50" i="1"/>
  <c r="AZ50" i="1"/>
  <c r="BE50" i="1" s="1"/>
  <c r="BA52" i="1"/>
  <c r="BB52" i="1"/>
  <c r="BE49" i="1"/>
  <c r="BC50" i="1"/>
  <c r="BD50" i="1"/>
  <c r="CW42" i="1"/>
  <c r="CX42" i="1" s="1"/>
  <c r="AN48" i="1" l="1"/>
  <c r="AO48" i="1"/>
  <c r="CT49" i="1"/>
  <c r="CV49" i="1" s="1"/>
  <c r="CO50" i="1"/>
  <c r="BF49" i="1"/>
  <c r="BG49" i="1" s="1"/>
  <c r="BD51" i="1"/>
  <c r="BC51" i="1"/>
  <c r="BA53" i="1"/>
  <c r="BB53" i="1"/>
  <c r="BF50" i="1"/>
  <c r="BG50" i="1" s="1"/>
  <c r="AY51" i="1"/>
  <c r="AZ51" i="1"/>
  <c r="BE51" i="1" s="1"/>
  <c r="CW43" i="1"/>
  <c r="CX43" i="1" s="1"/>
  <c r="AN49" i="1" l="1"/>
  <c r="AO49" i="1"/>
  <c r="CT50" i="1"/>
  <c r="CV50" i="1" s="1"/>
  <c r="CO51" i="1"/>
  <c r="BF51" i="1"/>
  <c r="BG51" i="1" s="1"/>
  <c r="BB54" i="1"/>
  <c r="BA54" i="1"/>
  <c r="BD52" i="1"/>
  <c r="BC52" i="1"/>
  <c r="AY52" i="1"/>
  <c r="AZ52" i="1"/>
  <c r="BE52" i="1" s="1"/>
  <c r="CK33" i="1"/>
  <c r="CT51" i="1" l="1"/>
  <c r="CV51" i="1" s="1"/>
  <c r="CO52" i="1"/>
  <c r="AN50" i="1"/>
  <c r="AO50" i="1"/>
  <c r="BF52" i="1"/>
  <c r="BG52" i="1" s="1"/>
  <c r="AY53" i="1"/>
  <c r="AZ53" i="1"/>
  <c r="BE53" i="1" s="1"/>
  <c r="BA55" i="1"/>
  <c r="BB55" i="1"/>
  <c r="BC53" i="1"/>
  <c r="BD53" i="1"/>
  <c r="AN51" i="1" l="1"/>
  <c r="AO51" i="1"/>
  <c r="CO53" i="1"/>
  <c r="CT52" i="1"/>
  <c r="CV52" i="1" s="1"/>
  <c r="BA56" i="1"/>
  <c r="BB56" i="1"/>
  <c r="BF53" i="1"/>
  <c r="BG53" i="1" s="1"/>
  <c r="BC54" i="1"/>
  <c r="BD54" i="1"/>
  <c r="AY54" i="1"/>
  <c r="AZ54" i="1"/>
  <c r="BE54" i="1" s="1"/>
  <c r="O14" i="1"/>
  <c r="L11" i="2" s="1"/>
  <c r="L33" i="2" s="1"/>
  <c r="V20" i="1" s="1"/>
  <c r="CG31" i="1" s="1"/>
  <c r="CG32" i="1" s="1"/>
  <c r="Q18" i="1" s="1"/>
  <c r="G18" i="1"/>
  <c r="L12" i="2"/>
  <c r="L14" i="2" s="1"/>
  <c r="L16" i="2" s="1"/>
  <c r="N16" i="2" s="1"/>
  <c r="AO52" i="1" l="1"/>
  <c r="AN52" i="1"/>
  <c r="CT53" i="1"/>
  <c r="CV53" i="1" s="1"/>
  <c r="CO54" i="1"/>
  <c r="BF54" i="1"/>
  <c r="BG54" i="1" s="1"/>
  <c r="BC55" i="1"/>
  <c r="BD55" i="1"/>
  <c r="AZ55" i="1"/>
  <c r="BE55" i="1" s="1"/>
  <c r="AY55" i="1"/>
  <c r="BA57" i="1"/>
  <c r="BB57" i="1"/>
  <c r="CE35" i="1"/>
  <c r="AN53" i="1" l="1"/>
  <c r="AO53" i="1"/>
  <c r="CT54" i="1"/>
  <c r="CV54" i="1" s="1"/>
  <c r="CO55" i="1"/>
  <c r="BB58" i="1"/>
  <c r="BA58" i="1"/>
  <c r="BF55" i="1"/>
  <c r="BG55" i="1" s="1"/>
  <c r="AZ56" i="1"/>
  <c r="BE56" i="1" s="1"/>
  <c r="AY56" i="1"/>
  <c r="BC56" i="1"/>
  <c r="BD56" i="1"/>
  <c r="CE36" i="1"/>
  <c r="M17" i="1"/>
  <c r="G16" i="1" s="1"/>
  <c r="H30" i="1" s="1"/>
  <c r="CT55" i="1" l="1"/>
  <c r="CV55" i="1" s="1"/>
  <c r="CO56" i="1"/>
  <c r="AO54" i="1"/>
  <c r="AN54" i="1"/>
  <c r="BC57" i="1"/>
  <c r="BD57" i="1"/>
  <c r="BF56" i="1"/>
  <c r="BG56" i="1" s="1"/>
  <c r="AY57" i="1"/>
  <c r="AZ57" i="1"/>
  <c r="BE57" i="1" s="1"/>
  <c r="BA59" i="1"/>
  <c r="BB59" i="1"/>
  <c r="AJ25" i="1"/>
  <c r="CO57" i="1" l="1"/>
  <c r="CT56" i="1"/>
  <c r="CV56" i="1" s="1"/>
  <c r="AN55" i="1"/>
  <c r="AO55" i="1"/>
  <c r="BA60" i="1"/>
  <c r="BB60" i="1"/>
  <c r="AY58" i="1"/>
  <c r="AZ58" i="1"/>
  <c r="BF57" i="1"/>
  <c r="BG57" i="1" s="1"/>
  <c r="BC58" i="1"/>
  <c r="BD58" i="1"/>
  <c r="AO56" i="1" l="1"/>
  <c r="AN56" i="1"/>
  <c r="CT57" i="1"/>
  <c r="CV57" i="1" s="1"/>
  <c r="CO58" i="1"/>
  <c r="BC59" i="1"/>
  <c r="BD59" i="1"/>
  <c r="BE58" i="1"/>
  <c r="AY59" i="1"/>
  <c r="AZ59" i="1"/>
  <c r="BE59" i="1" s="1"/>
  <c r="BA61" i="1"/>
  <c r="BB61" i="1"/>
  <c r="CC31" i="1"/>
  <c r="CC32" i="1" s="1"/>
  <c r="AJ33" i="1" l="1"/>
  <c r="AI33" i="1"/>
  <c r="AJ34" i="1"/>
  <c r="AK34" i="1" s="1"/>
  <c r="AI34" i="1"/>
  <c r="AJ35" i="1"/>
  <c r="AK35" i="1" s="1"/>
  <c r="AJ31" i="1"/>
  <c r="AK31" i="1" s="1"/>
  <c r="AJ36" i="1"/>
  <c r="AK36" i="1" s="1"/>
  <c r="AI35" i="1"/>
  <c r="AI31" i="1"/>
  <c r="AI36" i="1"/>
  <c r="AJ32" i="1"/>
  <c r="AJ37" i="1"/>
  <c r="AI32" i="1"/>
  <c r="AK25" i="1" s="1"/>
  <c r="AJ38" i="1"/>
  <c r="AK38" i="1" s="1"/>
  <c r="AI37" i="1"/>
  <c r="AJ39" i="1"/>
  <c r="AK39" i="1" s="1"/>
  <c r="AI38" i="1"/>
  <c r="AJ40" i="1"/>
  <c r="AI39" i="1"/>
  <c r="AI40" i="1"/>
  <c r="AJ41" i="1"/>
  <c r="AK41" i="1" s="1"/>
  <c r="AI41" i="1"/>
  <c r="AJ42" i="1"/>
  <c r="AK42" i="1" s="1"/>
  <c r="AI42" i="1"/>
  <c r="AJ43" i="1"/>
  <c r="AI43" i="1"/>
  <c r="AJ44" i="1"/>
  <c r="AK44" i="1" s="1"/>
  <c r="AI44" i="1"/>
  <c r="AJ45" i="1"/>
  <c r="AK45" i="1" s="1"/>
  <c r="AI45" i="1"/>
  <c r="AJ46" i="1"/>
  <c r="AK46" i="1" s="1"/>
  <c r="AI46" i="1"/>
  <c r="AJ47" i="1"/>
  <c r="AI47" i="1"/>
  <c r="AJ48" i="1"/>
  <c r="AK48" i="1" s="1"/>
  <c r="AI48" i="1"/>
  <c r="AJ49" i="1"/>
  <c r="AK49" i="1" s="1"/>
  <c r="AJ50" i="1"/>
  <c r="AK50" i="1" s="1"/>
  <c r="AI49" i="1"/>
  <c r="AJ51" i="1"/>
  <c r="AK51" i="1" s="1"/>
  <c r="AI50" i="1"/>
  <c r="AI51" i="1"/>
  <c r="AJ52" i="1"/>
  <c r="AI52" i="1"/>
  <c r="AJ53" i="1"/>
  <c r="AK53" i="1" s="1"/>
  <c r="AJ54" i="1"/>
  <c r="AK54" i="1" s="1"/>
  <c r="AI53" i="1"/>
  <c r="AI54" i="1"/>
  <c r="AJ55" i="1"/>
  <c r="AJ56" i="1"/>
  <c r="AI56" i="1"/>
  <c r="AI55" i="1"/>
  <c r="AJ57" i="1"/>
  <c r="AK57" i="1" s="1"/>
  <c r="AN57" i="1"/>
  <c r="AO57" i="1"/>
  <c r="AI57" i="1" s="1"/>
  <c r="CO59" i="1"/>
  <c r="CT58" i="1"/>
  <c r="CV58" i="1" s="1"/>
  <c r="BB62" i="1"/>
  <c r="BA62" i="1"/>
  <c r="AY60" i="1"/>
  <c r="AZ60" i="1"/>
  <c r="BE60" i="1" s="1"/>
  <c r="BF58" i="1"/>
  <c r="BG58" i="1" s="1"/>
  <c r="BF59" i="1"/>
  <c r="BG59" i="1" s="1"/>
  <c r="BD60" i="1"/>
  <c r="BC60" i="1"/>
  <c r="AK37" i="1" l="1"/>
  <c r="AK52" i="1"/>
  <c r="AK32" i="1"/>
  <c r="AK56" i="1"/>
  <c r="AK40" i="1"/>
  <c r="AK55" i="1"/>
  <c r="AK47" i="1"/>
  <c r="AK43" i="1"/>
  <c r="AK33" i="1"/>
  <c r="CT59" i="1"/>
  <c r="CV59" i="1" s="1"/>
  <c r="CO60" i="1"/>
  <c r="AN58" i="1"/>
  <c r="AO58" i="1"/>
  <c r="AI58" i="1" s="1"/>
  <c r="AJ58" i="1"/>
  <c r="AK58" i="1" s="1"/>
  <c r="BF60" i="1"/>
  <c r="BG60" i="1" s="1"/>
  <c r="AY61" i="1"/>
  <c r="AZ61" i="1"/>
  <c r="BE61" i="1" s="1"/>
  <c r="BC61" i="1"/>
  <c r="BD61" i="1"/>
  <c r="BA63" i="1"/>
  <c r="BB63" i="1"/>
  <c r="CO61" i="1" l="1"/>
  <c r="CT60" i="1"/>
  <c r="CV60" i="1" s="1"/>
  <c r="AO59" i="1"/>
  <c r="AI59" i="1" s="1"/>
  <c r="AJ59" i="1"/>
  <c r="AK59" i="1" s="1"/>
  <c r="AN59" i="1"/>
  <c r="BA64" i="1"/>
  <c r="BB64" i="1"/>
  <c r="BC62" i="1"/>
  <c r="BD62" i="1"/>
  <c r="BF61" i="1"/>
  <c r="BG61" i="1" s="1"/>
  <c r="AY62" i="1"/>
  <c r="AZ62" i="1"/>
  <c r="BE62" i="1" s="1"/>
  <c r="AO60" i="1" l="1"/>
  <c r="AI60" i="1" s="1"/>
  <c r="AJ60" i="1"/>
  <c r="AK60" i="1" s="1"/>
  <c r="AN60" i="1"/>
  <c r="CT61" i="1"/>
  <c r="CV61" i="1" s="1"/>
  <c r="CO62" i="1"/>
  <c r="BF62" i="1"/>
  <c r="BG62" i="1" s="1"/>
  <c r="AZ63" i="1"/>
  <c r="BE63" i="1" s="1"/>
  <c r="AY63" i="1"/>
  <c r="BC63" i="1"/>
  <c r="BD63" i="1"/>
  <c r="BA65" i="1"/>
  <c r="BB65" i="1"/>
  <c r="CO63" i="1" l="1"/>
  <c r="CT62" i="1"/>
  <c r="CV62" i="1" s="1"/>
  <c r="AO61" i="1"/>
  <c r="AI61" i="1" s="1"/>
  <c r="AN61" i="1"/>
  <c r="AJ61" i="1"/>
  <c r="AK61" i="1" s="1"/>
  <c r="BA66" i="1"/>
  <c r="BB66" i="1"/>
  <c r="BC64" i="1"/>
  <c r="BD64" i="1"/>
  <c r="AZ64" i="1"/>
  <c r="AY64" i="1"/>
  <c r="BF63" i="1"/>
  <c r="BG63" i="1" s="1"/>
  <c r="AN62" i="1" l="1"/>
  <c r="AJ62" i="1"/>
  <c r="AK62" i="1" s="1"/>
  <c r="AO62" i="1"/>
  <c r="AI62" i="1" s="1"/>
  <c r="CT63" i="1"/>
  <c r="CV63" i="1" s="1"/>
  <c r="CO64" i="1"/>
  <c r="BE64" i="1"/>
  <c r="AY65" i="1"/>
  <c r="AZ65" i="1"/>
  <c r="BE65" i="1" s="1"/>
  <c r="BC65" i="1"/>
  <c r="BD65" i="1"/>
  <c r="BA67" i="1"/>
  <c r="BB67" i="1"/>
  <c r="AJ63" i="1" l="1"/>
  <c r="AK63" i="1" s="1"/>
  <c r="AN63" i="1"/>
  <c r="AO63" i="1"/>
  <c r="AI63" i="1" s="1"/>
  <c r="CO65" i="1"/>
  <c r="CT64" i="1"/>
  <c r="CV64" i="1" s="1"/>
  <c r="BC66" i="1"/>
  <c r="BD66" i="1"/>
  <c r="AY66" i="1"/>
  <c r="AZ66" i="1"/>
  <c r="BE66" i="1" s="1"/>
  <c r="BF65" i="1"/>
  <c r="BG65" i="1" s="1"/>
  <c r="BF64" i="1"/>
  <c r="BG64" i="1" s="1"/>
  <c r="CT65" i="1" l="1"/>
  <c r="CV65" i="1" s="1"/>
  <c r="CO66" i="1"/>
  <c r="AJ64" i="1"/>
  <c r="AK64" i="1" s="1"/>
  <c r="AN64" i="1"/>
  <c r="AO64" i="1"/>
  <c r="AI64" i="1" s="1"/>
  <c r="BF66" i="1"/>
  <c r="BG66" i="1" s="1"/>
  <c r="AY67" i="1"/>
  <c r="AZ67" i="1"/>
  <c r="BE67" i="1" s="1"/>
  <c r="BC67" i="1"/>
  <c r="BD67" i="1"/>
  <c r="CO67" i="1" l="1"/>
  <c r="CT67" i="1" s="1"/>
  <c r="CT66" i="1"/>
  <c r="CV66" i="1" s="1"/>
  <c r="AO65" i="1"/>
  <c r="AI65" i="1" s="1"/>
  <c r="AN65" i="1"/>
  <c r="AJ65" i="1"/>
  <c r="AK65" i="1" s="1"/>
  <c r="BF67" i="1"/>
  <c r="BG67" i="1" s="1"/>
  <c r="AN66" i="1" l="1"/>
  <c r="AO66" i="1"/>
  <c r="AI66" i="1" s="1"/>
  <c r="AI29" i="1" s="1"/>
  <c r="AJ66" i="1"/>
  <c r="AK66" i="1" s="1"/>
  <c r="CV67" i="1"/>
  <c r="AJ24" i="1" l="1"/>
  <c r="AJ23" i="1" s="1"/>
  <c r="AI25" i="1"/>
  <c r="H31" i="1" l="1"/>
  <c r="AT31" i="1"/>
  <c r="Q31" i="1"/>
  <c r="R31" i="1" s="1"/>
  <c r="H32" i="1" l="1"/>
  <c r="H33" i="1" s="1"/>
  <c r="AT32" i="1"/>
  <c r="Q32" i="1"/>
  <c r="R32" i="1" s="1"/>
  <c r="Q33" i="1" l="1"/>
  <c r="R33" i="1" s="1"/>
  <c r="AT33" i="1"/>
  <c r="H34" i="1" l="1"/>
  <c r="H35" i="1" s="1"/>
  <c r="Q34" i="1"/>
  <c r="R34" i="1" s="1"/>
  <c r="AT34" i="1"/>
  <c r="AT35" i="1" l="1"/>
  <c r="Q35" i="1"/>
  <c r="R35" i="1" s="1"/>
  <c r="H36" i="1" l="1"/>
  <c r="AT36" i="1"/>
  <c r="Q36" i="1"/>
  <c r="R36" i="1" s="1"/>
  <c r="H37" i="1" l="1"/>
  <c r="H38" i="1" s="1"/>
  <c r="AT37" i="1"/>
  <c r="Q37" i="1"/>
  <c r="R37" i="1" s="1"/>
  <c r="AT38" i="1" l="1"/>
  <c r="Q38" i="1"/>
  <c r="R38" i="1" s="1"/>
  <c r="AT39" i="1" l="1"/>
  <c r="Q39" i="1"/>
  <c r="R39" i="1" s="1"/>
  <c r="H39" i="1"/>
  <c r="H40" i="1" s="1"/>
  <c r="AT40" i="1" l="1"/>
  <c r="Q40" i="1"/>
  <c r="R40" i="1" s="1"/>
  <c r="AT41" i="1" l="1"/>
  <c r="Q41" i="1"/>
  <c r="R41" i="1" s="1"/>
  <c r="H41" i="1"/>
  <c r="H42" i="1" s="1"/>
  <c r="AT42" i="1" l="1"/>
  <c r="Q42" i="1"/>
  <c r="R42" i="1" s="1"/>
  <c r="AT43" i="1" l="1"/>
  <c r="Q43" i="1"/>
  <c r="R43" i="1" s="1"/>
  <c r="H43" i="1"/>
  <c r="H44" i="1" s="1"/>
  <c r="AT44" i="1" l="1"/>
  <c r="Q44" i="1"/>
  <c r="R44" i="1" s="1"/>
  <c r="H45" i="1" l="1"/>
  <c r="H46" i="1" s="1"/>
  <c r="AT45" i="1"/>
  <c r="Q45" i="1"/>
  <c r="R45" i="1" s="1"/>
  <c r="AT46" i="1" l="1"/>
  <c r="Q46" i="1"/>
  <c r="R46" i="1" s="1"/>
  <c r="H47" i="1" l="1"/>
  <c r="AT47" i="1"/>
  <c r="Q47" i="1"/>
  <c r="R47" i="1" s="1"/>
  <c r="H48" i="1" l="1"/>
  <c r="Q48" i="1"/>
  <c r="R48" i="1" s="1"/>
  <c r="AT48" i="1"/>
  <c r="AT49" i="1" l="1"/>
  <c r="Q49" i="1"/>
  <c r="R49" i="1" s="1"/>
  <c r="H49" i="1"/>
  <c r="H50" i="1" s="1"/>
  <c r="AT50" i="1" l="1"/>
  <c r="Q50" i="1"/>
  <c r="R50" i="1" s="1"/>
  <c r="AT51" i="1" l="1"/>
  <c r="Q51" i="1"/>
  <c r="R51" i="1" s="1"/>
  <c r="H51" i="1"/>
  <c r="AT52" i="1" l="1"/>
  <c r="Q52" i="1"/>
  <c r="R52" i="1" s="1"/>
  <c r="H52" i="1"/>
  <c r="H53" i="1" s="1"/>
  <c r="AT53" i="1" l="1"/>
  <c r="Q53" i="1"/>
  <c r="R53" i="1" s="1"/>
  <c r="Q54" i="1" l="1"/>
  <c r="R54" i="1" s="1"/>
  <c r="AT54" i="1"/>
  <c r="H54" i="1"/>
  <c r="H55" i="1" s="1"/>
  <c r="Q55" i="1" l="1"/>
  <c r="R55" i="1" s="1"/>
  <c r="AT55" i="1"/>
  <c r="AT56" i="1" l="1"/>
  <c r="Q56" i="1"/>
  <c r="R56" i="1" s="1"/>
  <c r="H56" i="1"/>
  <c r="AT57" i="1" l="1"/>
  <c r="H57" i="1"/>
  <c r="Q57" i="1"/>
  <c r="R57" i="1" s="1"/>
  <c r="AT58" i="1" l="1"/>
  <c r="Q58" i="1"/>
  <c r="R58" i="1" s="1"/>
  <c r="H58" i="1"/>
  <c r="H59" i="1" s="1"/>
  <c r="AT59" i="1" l="1"/>
  <c r="Q59" i="1"/>
  <c r="R59" i="1" s="1"/>
  <c r="AT60" i="1" l="1"/>
  <c r="Q60" i="1"/>
  <c r="R60" i="1" s="1"/>
  <c r="H60" i="1"/>
  <c r="H61" i="1" s="1"/>
  <c r="AT61" i="1" l="1"/>
  <c r="Q61" i="1"/>
  <c r="R61" i="1" s="1"/>
  <c r="Q62" i="1" l="1"/>
  <c r="R62" i="1" s="1"/>
  <c r="AT62" i="1"/>
  <c r="H62" i="1"/>
  <c r="H63" i="1" s="1"/>
  <c r="AT63" i="1" l="1"/>
  <c r="Q63" i="1"/>
  <c r="R63" i="1" s="1"/>
  <c r="H64" i="1" l="1"/>
  <c r="H65" i="1" s="1"/>
  <c r="AT64" i="1"/>
  <c r="Q64" i="1"/>
  <c r="R64" i="1" s="1"/>
  <c r="AT65" i="1" l="1"/>
  <c r="Q65" i="1"/>
  <c r="R65" i="1" s="1"/>
  <c r="P66" i="1" l="1"/>
  <c r="H66" i="1"/>
  <c r="AT66" i="1" l="1"/>
  <c r="AT29" i="1" s="1"/>
  <c r="AT27" i="1" s="1"/>
  <c r="P68" i="1"/>
  <c r="Q66" i="1"/>
  <c r="R66" i="1" s="1"/>
  <c r="R6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O10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Solo para Gracia Relativa y Absoluta.
</t>
        </r>
      </text>
    </comment>
    <comment ref="G12" authorId="0" shapeId="0" xr:uid="{00000000-0006-0000-0000-000002000000}">
      <text>
        <r>
          <rPr>
            <sz val="9"/>
            <color indexed="81"/>
            <rFont val="Tahoma"/>
            <family val="2"/>
          </rPr>
          <t>dd/mm/aaaa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Número de afiliados, diferentes del titular.</t>
        </r>
      </text>
    </comment>
    <comment ref="CC31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TNA
</t>
        </r>
      </text>
    </comment>
    <comment ref="CC32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TED
</t>
        </r>
      </text>
    </comment>
    <comment ref="CK3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Cuotas PG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<sst xmlns="http://schemas.openxmlformats.org/spreadsheetml/2006/main" count="1397" uniqueCount="123">
  <si>
    <t>Monto Solicitado</t>
  </si>
  <si>
    <t>Euros</t>
  </si>
  <si>
    <t>Tipo de Cronograma</t>
  </si>
  <si>
    <t>%</t>
  </si>
  <si>
    <t>Mensual</t>
  </si>
  <si>
    <t>Sin Gracia</t>
  </si>
  <si>
    <t>Fecha Fija</t>
  </si>
  <si>
    <t>Fecha Desembolso</t>
  </si>
  <si>
    <t>Cargos</t>
  </si>
  <si>
    <t>Dia de Pago</t>
  </si>
  <si>
    <t xml:space="preserve">% ITF </t>
  </si>
  <si>
    <t>Monto Prestado</t>
  </si>
  <si>
    <t>Seg. Desgravamen</t>
  </si>
  <si>
    <t>Si</t>
  </si>
  <si>
    <t>TCEA</t>
  </si>
  <si>
    <t>Microseguros</t>
  </si>
  <si>
    <t>N°</t>
  </si>
  <si>
    <t>FECHA PAGO</t>
  </si>
  <si>
    <t>SALDO</t>
  </si>
  <si>
    <t>CAPITAL</t>
  </si>
  <si>
    <t>INTERESES</t>
  </si>
  <si>
    <t>CUOTA SIN ITF</t>
  </si>
  <si>
    <t>CUOTA</t>
  </si>
  <si>
    <t>TASA</t>
  </si>
  <si>
    <t>MONEDA</t>
  </si>
  <si>
    <t>CRONOGRAMA</t>
  </si>
  <si>
    <t>PERIODO GRACIA</t>
  </si>
  <si>
    <t>FECHAS</t>
  </si>
  <si>
    <t>DESGRAVAMEN</t>
  </si>
  <si>
    <t>MICROSEGUROS</t>
  </si>
  <si>
    <t>Soles</t>
  </si>
  <si>
    <t>Quincenal</t>
  </si>
  <si>
    <t>Dolares</t>
  </si>
  <si>
    <t>Gracia Relativa</t>
  </si>
  <si>
    <t>No</t>
  </si>
  <si>
    <t>Trimestral</t>
  </si>
  <si>
    <t>Gracia Absoluta</t>
  </si>
  <si>
    <t>2DA</t>
  </si>
  <si>
    <t>FACTOR ACT</t>
  </si>
  <si>
    <t>FACTOR ACT GR</t>
  </si>
  <si>
    <t>FACTOR ACT GA</t>
  </si>
  <si>
    <t>MES</t>
  </si>
  <si>
    <t>AÑO</t>
  </si>
  <si>
    <t>DIAS</t>
  </si>
  <si>
    <t>DIAS ACUM</t>
  </si>
  <si>
    <t>FIN DE MES</t>
  </si>
  <si>
    <t>INICIALES</t>
  </si>
  <si>
    <t>VALIDACION</t>
  </si>
  <si>
    <t>FECHA</t>
  </si>
  <si>
    <t>DESCRIPCION</t>
  </si>
  <si>
    <t>AÑO NUEVO</t>
  </si>
  <si>
    <t>JUEVES SANTO</t>
  </si>
  <si>
    <t>VIERNES SANTO</t>
  </si>
  <si>
    <t>DIA DEL TRABAJO</t>
  </si>
  <si>
    <t>SAN PEDRO Y SAN PABLO</t>
  </si>
  <si>
    <t>FIESTAS PATRIAS</t>
  </si>
  <si>
    <t>SANTA ROSA DE LIMA</t>
  </si>
  <si>
    <t>COMBATE DE ANGAMOS</t>
  </si>
  <si>
    <t>DIA DE LOS DIFUNTOS</t>
  </si>
  <si>
    <t>DIA INMACULADA CONCEPCION</t>
  </si>
  <si>
    <t>NAVIDAD</t>
  </si>
  <si>
    <t>NO LABORABLE</t>
  </si>
  <si>
    <t>ANIO NUEVO</t>
  </si>
  <si>
    <t>FERIADO INSTITUCIONAL</t>
  </si>
  <si>
    <t>ANO NUEVO</t>
  </si>
  <si>
    <t>CUOTA PREVIA</t>
  </si>
  <si>
    <t>VA</t>
  </si>
  <si>
    <t>FERIADOS</t>
  </si>
  <si>
    <t xml:space="preserve">PLAZO 0 </t>
  </si>
  <si>
    <t>PLAZO 1</t>
  </si>
  <si>
    <t>MICROSEGURO</t>
  </si>
  <si>
    <t>PROTECCION FINANCIERA</t>
  </si>
  <si>
    <t>NEGOCIO PROTEGIDO</t>
  </si>
  <si>
    <t>Monto Neto</t>
  </si>
  <si>
    <t>Plazo</t>
  </si>
  <si>
    <t>Protec. Financiera</t>
  </si>
  <si>
    <t>Prima Mensual</t>
  </si>
  <si>
    <t>Negoc. Protegido</t>
  </si>
  <si>
    <t>Familia Protegida</t>
  </si>
  <si>
    <t>ITF</t>
  </si>
  <si>
    <t>Desgravamen</t>
  </si>
  <si>
    <t>A</t>
  </si>
  <si>
    <t>B</t>
  </si>
  <si>
    <t>C</t>
  </si>
  <si>
    <t>1RA</t>
  </si>
  <si>
    <t>Plazo (cuotas)</t>
  </si>
  <si>
    <t>Bimestral</t>
  </si>
  <si>
    <t>DIA</t>
  </si>
  <si>
    <t>SIMULACION DE CRONOGRAMA DE PAGOS</t>
  </si>
  <si>
    <r>
      <t xml:space="preserve">NOTA: </t>
    </r>
    <r>
      <rPr>
        <sz val="10"/>
        <color indexed="9"/>
        <rFont val="Arial"/>
        <family val="2"/>
      </rPr>
      <t>Elegir las caracteristicas del prestamo con las celdas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52"/>
        <rFont val="Arial"/>
        <family val="2"/>
      </rPr>
      <t>Naranjas</t>
    </r>
    <r>
      <rPr>
        <sz val="10"/>
        <color indexed="9"/>
        <rFont val="Arial"/>
        <family val="2"/>
      </rPr>
      <t xml:space="preserve"> e ingresar datos en las celdas de </t>
    </r>
    <r>
      <rPr>
        <b/>
        <sz val="10"/>
        <color indexed="13"/>
        <rFont val="Arial"/>
        <family val="2"/>
      </rPr>
      <t>Amarillo</t>
    </r>
    <r>
      <rPr>
        <sz val="10"/>
        <color indexed="9"/>
        <rFont val="Arial"/>
        <family val="2"/>
      </rPr>
      <t xml:space="preserve"> y presione el botón </t>
    </r>
    <r>
      <rPr>
        <b/>
        <sz val="10"/>
        <color indexed="48"/>
        <rFont val="Arial"/>
        <family val="2"/>
      </rPr>
      <t>Calcular</t>
    </r>
    <r>
      <rPr>
        <sz val="10"/>
        <color indexed="48"/>
        <rFont val="Arial"/>
        <family val="2"/>
      </rPr>
      <t>.</t>
    </r>
  </si>
  <si>
    <t>Valida Gracia</t>
  </si>
  <si>
    <t>Nro cuotas</t>
  </si>
  <si>
    <t>D</t>
  </si>
  <si>
    <t>Accidente</t>
  </si>
  <si>
    <t>Fecha Variable</t>
  </si>
  <si>
    <t>FV Y PGA</t>
  </si>
  <si>
    <t>FECHA_FINAL</t>
  </si>
  <si>
    <t>Dias</t>
  </si>
  <si>
    <t>Dias Acum</t>
  </si>
  <si>
    <t>TASA HIPOTECARIA</t>
  </si>
  <si>
    <t>PLAN</t>
  </si>
  <si>
    <t>Afiliados además del titular</t>
  </si>
  <si>
    <t>E</t>
  </si>
  <si>
    <t>OncoRespaldo</t>
  </si>
  <si>
    <t>ONCORESPALDO</t>
  </si>
  <si>
    <t>PRIMA TITULAR</t>
  </si>
  <si>
    <t>PRIMA AFILIADOS</t>
  </si>
  <si>
    <t>P1</t>
  </si>
  <si>
    <t>P2</t>
  </si>
  <si>
    <t>Los datos emitidos por el simulador son referenciales, la aprobación del crédito está sujeto a evaluación crediticia.</t>
  </si>
  <si>
    <t>Los seguros deberán ser cancelados por el cliente al inicio del crédito o si lo requiere como parte del financiamiento. El cliente tiene el derecho a elegir entre: a) La contratación del seguro ofrecido por la empresa.</t>
  </si>
  <si>
    <t xml:space="preserve">b) Un seguro contratado directamente por el cliente o a través de la designación de un corredor de seguros, siempre que cumpla con las condiciones previamente informadas en el certificado o póliza de seguros. </t>
  </si>
  <si>
    <t>Tasa Efectiva Mensual Fija</t>
  </si>
  <si>
    <t>Tasa Efectiva Anual Fija</t>
  </si>
  <si>
    <t>Plan</t>
  </si>
  <si>
    <t>inc IGV</t>
  </si>
  <si>
    <t>Edificación</t>
  </si>
  <si>
    <t>Existencias/Contenido</t>
  </si>
  <si>
    <t>Maq Equipo Fijo</t>
  </si>
  <si>
    <t>Seguro Multiriesgo</t>
  </si>
  <si>
    <t>Seg.multiriesgo</t>
  </si>
  <si>
    <t>Ptmos en general</t>
  </si>
  <si>
    <t>Fecha de actualización:Junio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</si>
</sst>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_(* #,##0_);_(* \(#,##0\);_(* &quot;-&quot;??_);_(@_)"/>
    <numFmt numFmtId="166" formatCode="dd/mm/yyyy;@"/>
    <numFmt numFmtId="167" formatCode="0.000%"/>
    <numFmt numFmtId="168" formatCode="0.0"/>
    <numFmt numFmtId="169" formatCode="00"/>
    <numFmt numFmtId="170" formatCode="_(* #,##0.000_);_(* \(#,##0.000\);_(* &quot;-&quot;??_);_(@_)"/>
    <numFmt numFmtId="171" formatCode="_(* #,##0.000000_);_(* \(#,##0.000000\);_(* &quot;-&quot;??_);_(@_)"/>
    <numFmt numFmtId="172" formatCode="_(* #,##0.0_);_(* \(#,##0.0\);_(* &quot;-&quot;??_);_(@_)"/>
    <numFmt numFmtId="173" formatCode="0.0000%"/>
    <numFmt numFmtId="174" formatCode="0.000000%"/>
    <numFmt numFmtId="175" formatCode="0.00000000%"/>
  </numFmts>
  <fonts count="40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8"/>
      <color indexed="10"/>
      <name val="Arial"/>
      <family val="2"/>
    </font>
    <font>
      <sz val="8"/>
      <color indexed="62"/>
      <name val="Arial"/>
      <family val="2"/>
    </font>
    <font>
      <sz val="8"/>
      <color indexed="8"/>
      <name val="Calibri"/>
      <family val="2"/>
    </font>
    <font>
      <sz val="10"/>
      <name val="Arial Narrow"/>
      <family val="2"/>
    </font>
    <font>
      <sz val="8"/>
      <color indexed="9"/>
      <name val="Arial"/>
      <family val="2"/>
    </font>
    <font>
      <b/>
      <sz val="14"/>
      <name val="Arial"/>
      <family val="2"/>
    </font>
    <font>
      <sz val="8"/>
      <color indexed="53"/>
      <name val="Arial"/>
      <family val="2"/>
    </font>
    <font>
      <b/>
      <sz val="9"/>
      <color indexed="9"/>
      <name val="Arial"/>
      <family val="2"/>
    </font>
    <font>
      <b/>
      <sz val="13"/>
      <color indexed="10"/>
      <name val="Arial"/>
      <family val="2"/>
    </font>
    <font>
      <b/>
      <sz val="10"/>
      <color indexed="13"/>
      <name val="Arial"/>
      <family val="2"/>
    </font>
    <font>
      <b/>
      <sz val="10"/>
      <color indexed="52"/>
      <name val="Arial"/>
      <family val="2"/>
    </font>
    <font>
      <b/>
      <sz val="10"/>
      <color indexed="48"/>
      <name val="Arial"/>
      <family val="2"/>
    </font>
    <font>
      <sz val="10"/>
      <color indexed="48"/>
      <name val="Arial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sz val="9"/>
      <name val="Arial"/>
      <family val="2"/>
    </font>
    <font>
      <sz val="10"/>
      <color indexed="56"/>
      <name val="Arial"/>
      <family val="2"/>
    </font>
    <font>
      <sz val="7"/>
      <name val="Arial"/>
      <family val="2"/>
    </font>
    <font>
      <sz val="10"/>
      <color theme="0" tint="-0.14999847407452621"/>
      <name val="Arial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sz val="8"/>
      <color rgb="FF00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0D8E8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00808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/>
      <top style="thin">
        <color indexed="56"/>
      </top>
      <bottom/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56"/>
      </left>
      <right/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56"/>
      </right>
      <top/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/>
      <right/>
      <top/>
      <bottom style="thin">
        <color indexed="56"/>
      </bottom>
      <diagonal/>
    </border>
    <border>
      <left/>
      <right style="thin">
        <color indexed="56"/>
      </right>
      <top/>
      <bottom style="thin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21"/>
      </bottom>
      <diagonal/>
    </border>
    <border>
      <left/>
      <right/>
      <top style="thin">
        <color indexed="21"/>
      </top>
      <bottom style="thin">
        <color indexed="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49"/>
      </right>
      <top style="thin">
        <color indexed="64"/>
      </top>
      <bottom/>
      <diagonal/>
    </border>
    <border>
      <left style="thin">
        <color indexed="4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49"/>
      </right>
      <top/>
      <bottom/>
      <diagonal/>
    </border>
    <border>
      <left style="thin">
        <color indexed="49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49"/>
      </right>
      <top/>
      <bottom style="thin">
        <color indexed="64"/>
      </bottom>
      <diagonal/>
    </border>
    <border>
      <left style="thin">
        <color indexed="4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5" fillId="0" borderId="0"/>
    <xf numFmtId="0" fontId="5" fillId="0" borderId="0"/>
    <xf numFmtId="0" fontId="16" fillId="0" borderId="0"/>
    <xf numFmtId="9" fontId="1" fillId="0" borderId="0" applyFont="0" applyFill="0" applyBorder="0" applyAlignment="0" applyProtection="0"/>
  </cellStyleXfs>
  <cellXfs count="249">
    <xf numFmtId="0" fontId="0" fillId="0" borderId="0" xfId="0"/>
    <xf numFmtId="43" fontId="4" fillId="2" borderId="0" xfId="1" applyFont="1" applyFill="1" applyBorder="1" applyAlignment="1" applyProtection="1">
      <alignment vertical="center"/>
      <protection locked="0"/>
    </xf>
    <xf numFmtId="165" fontId="4" fillId="2" borderId="0" xfId="1" applyNumberFormat="1" applyFont="1" applyFill="1" applyBorder="1" applyAlignment="1" applyProtection="1">
      <alignment vertical="center"/>
      <protection locked="0"/>
    </xf>
    <xf numFmtId="166" fontId="4" fillId="2" borderId="0" xfId="1" applyNumberFormat="1" applyFont="1" applyFill="1" applyBorder="1" applyAlignment="1" applyProtection="1">
      <alignment vertical="center"/>
      <protection locked="0"/>
    </xf>
    <xf numFmtId="0" fontId="10" fillId="0" borderId="0" xfId="2" applyFont="1" applyFill="1" applyAlignment="1">
      <alignment horizontal="center"/>
    </xf>
    <xf numFmtId="14" fontId="11" fillId="0" borderId="0" xfId="2" applyNumberFormat="1" applyFont="1" applyFill="1"/>
    <xf numFmtId="0" fontId="11" fillId="0" borderId="0" xfId="2" applyFont="1" applyFill="1"/>
    <xf numFmtId="0" fontId="8" fillId="0" borderId="0" xfId="0" applyFont="1"/>
    <xf numFmtId="0" fontId="12" fillId="0" borderId="0" xfId="0" applyFont="1"/>
    <xf numFmtId="9" fontId="12" fillId="0" borderId="1" xfId="0" applyNumberFormat="1" applyFont="1" applyFill="1" applyBorder="1"/>
    <xf numFmtId="173" fontId="13" fillId="0" borderId="0" xfId="5" applyNumberFormat="1" applyFont="1"/>
    <xf numFmtId="173" fontId="12" fillId="0" borderId="0" xfId="0" applyNumberFormat="1" applyFont="1"/>
    <xf numFmtId="10" fontId="13" fillId="0" borderId="0" xfId="5" applyNumberFormat="1" applyFont="1"/>
    <xf numFmtId="0" fontId="17" fillId="0" borderId="0" xfId="2" applyFont="1" applyFill="1" applyAlignment="1">
      <alignment horizontal="center"/>
    </xf>
    <xf numFmtId="0" fontId="17" fillId="0" borderId="0" xfId="2" applyFont="1" applyFill="1" applyAlignment="1">
      <alignment horizontal="left"/>
    </xf>
    <xf numFmtId="0" fontId="8" fillId="0" borderId="0" xfId="2" applyFont="1" applyFill="1" applyAlignment="1">
      <alignment horizontal="left"/>
    </xf>
    <xf numFmtId="165" fontId="18" fillId="3" borderId="0" xfId="1" applyNumberFormat="1" applyFont="1" applyFill="1"/>
    <xf numFmtId="171" fontId="18" fillId="3" borderId="0" xfId="1" applyNumberFormat="1" applyFont="1" applyFill="1"/>
    <xf numFmtId="0" fontId="19" fillId="0" borderId="0" xfId="4" applyFont="1" applyAlignment="1" applyProtection="1">
      <alignment horizontal="center"/>
    </xf>
    <xf numFmtId="0" fontId="18" fillId="3" borderId="0" xfId="0" applyFont="1" applyFill="1"/>
    <xf numFmtId="10" fontId="12" fillId="4" borderId="0" xfId="5" applyNumberFormat="1" applyFont="1" applyFill="1"/>
    <xf numFmtId="165" fontId="12" fillId="5" borderId="0" xfId="1" applyNumberFormat="1" applyFont="1" applyFill="1"/>
    <xf numFmtId="0" fontId="12" fillId="0" borderId="0" xfId="0" applyFont="1" applyAlignment="1">
      <alignment horizontal="right"/>
    </xf>
    <xf numFmtId="43" fontId="12" fillId="4" borderId="0" xfId="1" applyFont="1" applyFill="1"/>
    <xf numFmtId="43" fontId="12" fillId="6" borderId="0" xfId="1" applyFont="1" applyFill="1"/>
    <xf numFmtId="0" fontId="7" fillId="0" borderId="0" xfId="0" applyFont="1" applyAlignment="1">
      <alignment horizontal="right"/>
    </xf>
    <xf numFmtId="43" fontId="12" fillId="5" borderId="0" xfId="1" applyFont="1" applyFill="1"/>
    <xf numFmtId="173" fontId="12" fillId="5" borderId="0" xfId="5" applyNumberFormat="1" applyFont="1" applyFill="1"/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2" fillId="7" borderId="0" xfId="0" applyFont="1" applyFill="1" applyProtection="1">
      <protection locked="0"/>
    </xf>
    <xf numFmtId="0" fontId="3" fillId="7" borderId="0" xfId="0" applyFont="1" applyFill="1" applyProtection="1"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2" fillId="8" borderId="7" xfId="0" applyFont="1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2" fillId="8" borderId="8" xfId="0" applyFont="1" applyFill="1" applyBorder="1" applyProtection="1">
      <protection locked="0"/>
    </xf>
    <xf numFmtId="0" fontId="5" fillId="0" borderId="9" xfId="0" applyFont="1" applyBorder="1" applyProtection="1">
      <protection locked="0"/>
    </xf>
    <xf numFmtId="165" fontId="2" fillId="8" borderId="0" xfId="1" applyNumberFormat="1" applyFont="1" applyFill="1" applyBorder="1" applyAlignment="1" applyProtection="1">
      <alignment vertical="center"/>
      <protection locked="0"/>
    </xf>
    <xf numFmtId="0" fontId="3" fillId="8" borderId="0" xfId="0" applyFont="1" applyFill="1" applyBorder="1" applyAlignment="1" applyProtection="1">
      <alignment horizontal="right" vertical="center"/>
      <protection locked="0"/>
    </xf>
    <xf numFmtId="43" fontId="4" fillId="9" borderId="0" xfId="1" applyNumberFormat="1" applyFont="1" applyFill="1" applyBorder="1" applyAlignment="1" applyProtection="1">
      <alignment horizontal="left" vertical="center"/>
      <protection locked="0"/>
    </xf>
    <xf numFmtId="0" fontId="3" fillId="8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2" fillId="8" borderId="0" xfId="0" applyFont="1" applyFill="1" applyBorder="1" applyAlignment="1" applyProtection="1">
      <alignment vertical="center"/>
      <protection locked="0"/>
    </xf>
    <xf numFmtId="0" fontId="3" fillId="8" borderId="0" xfId="0" applyFont="1" applyFill="1" applyBorder="1" applyAlignment="1" applyProtection="1">
      <alignment vertical="center"/>
      <protection locked="0"/>
    </xf>
    <xf numFmtId="0" fontId="5" fillId="8" borderId="0" xfId="0" applyFont="1" applyFill="1" applyBorder="1" applyProtection="1">
      <protection locked="0"/>
    </xf>
    <xf numFmtId="0" fontId="3" fillId="8" borderId="0" xfId="0" applyFont="1" applyFill="1" applyBorder="1" applyAlignment="1" applyProtection="1">
      <alignment horizontal="left" vertical="center" indent="1"/>
      <protection locked="0"/>
    </xf>
    <xf numFmtId="0" fontId="5" fillId="8" borderId="10" xfId="0" applyFont="1" applyFill="1" applyBorder="1" applyProtection="1">
      <protection locked="0"/>
    </xf>
    <xf numFmtId="0" fontId="5" fillId="8" borderId="11" xfId="0" applyFont="1" applyFill="1" applyBorder="1" applyProtection="1">
      <protection locked="0"/>
    </xf>
    <xf numFmtId="167" fontId="4" fillId="10" borderId="0" xfId="5" applyNumberFormat="1" applyFont="1" applyFill="1" applyBorder="1" applyAlignment="1" applyProtection="1">
      <alignment horizontal="center" vertical="center"/>
      <protection locked="0"/>
    </xf>
    <xf numFmtId="43" fontId="3" fillId="8" borderId="0" xfId="1" applyNumberFormat="1" applyFont="1" applyFill="1" applyBorder="1" applyAlignment="1" applyProtection="1">
      <alignment vertical="center"/>
      <protection locked="0"/>
    </xf>
    <xf numFmtId="43" fontId="4" fillId="9" borderId="12" xfId="1" applyNumberFormat="1" applyFont="1" applyFill="1" applyBorder="1" applyAlignment="1" applyProtection="1">
      <alignment horizontal="center" vertical="center"/>
      <protection locked="0"/>
    </xf>
    <xf numFmtId="0" fontId="3" fillId="8" borderId="8" xfId="0" applyFont="1" applyFill="1" applyBorder="1" applyAlignment="1" applyProtection="1">
      <alignment vertical="center"/>
      <protection locked="0"/>
    </xf>
    <xf numFmtId="43" fontId="3" fillId="2" borderId="0" xfId="1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Border="1" applyProtection="1">
      <protection locked="0"/>
    </xf>
    <xf numFmtId="168" fontId="3" fillId="8" borderId="0" xfId="0" applyNumberFormat="1" applyFont="1" applyFill="1" applyBorder="1" applyAlignment="1" applyProtection="1">
      <alignment horizontal="left" vertical="center"/>
      <protection locked="0"/>
    </xf>
    <xf numFmtId="0" fontId="2" fillId="8" borderId="8" xfId="0" applyFont="1" applyFill="1" applyBorder="1" applyAlignment="1" applyProtection="1">
      <alignment vertical="center"/>
      <protection locked="0"/>
    </xf>
    <xf numFmtId="0" fontId="5" fillId="0" borderId="13" xfId="0" applyFont="1" applyBorder="1" applyProtection="1">
      <protection locked="0"/>
    </xf>
    <xf numFmtId="0" fontId="5" fillId="0" borderId="14" xfId="0" applyFont="1" applyBorder="1" applyProtection="1">
      <protection locked="0"/>
    </xf>
    <xf numFmtId="0" fontId="4" fillId="0" borderId="14" xfId="0" applyFont="1" applyBorder="1" applyProtection="1">
      <protection locked="0"/>
    </xf>
    <xf numFmtId="0" fontId="4" fillId="0" borderId="14" xfId="0" applyFont="1" applyFill="1" applyBorder="1" applyProtection="1">
      <protection locked="0"/>
    </xf>
    <xf numFmtId="0" fontId="5" fillId="0" borderId="14" xfId="0" applyFont="1" applyFill="1" applyBorder="1" applyProtection="1">
      <protection locked="0"/>
    </xf>
    <xf numFmtId="0" fontId="5" fillId="0" borderId="15" xfId="0" applyFont="1" applyBorder="1" applyProtection="1">
      <protection locked="0"/>
    </xf>
    <xf numFmtId="0" fontId="8" fillId="0" borderId="0" xfId="0" applyFont="1" applyFill="1" applyProtection="1">
      <protection locked="0"/>
    </xf>
    <xf numFmtId="0" fontId="8" fillId="0" borderId="0" xfId="0" applyFont="1" applyBorder="1" applyProtection="1">
      <protection locked="0"/>
    </xf>
    <xf numFmtId="166" fontId="8" fillId="0" borderId="0" xfId="0" applyNumberFormat="1" applyFont="1" applyProtection="1">
      <protection locked="0"/>
    </xf>
    <xf numFmtId="0" fontId="25" fillId="0" borderId="0" xfId="0" applyFont="1" applyAlignment="1" applyProtection="1">
      <alignment horizontal="left" vertical="center" indent="3"/>
      <protection locked="0"/>
    </xf>
    <xf numFmtId="0" fontId="8" fillId="0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43" fontId="8" fillId="0" borderId="0" xfId="1" applyFont="1" applyFill="1" applyBorder="1" applyProtection="1">
      <protection locked="0"/>
    </xf>
    <xf numFmtId="0" fontId="20" fillId="0" borderId="0" xfId="0" applyFont="1" applyBorder="1" applyAlignment="1" applyProtection="1">
      <alignment vertical="center"/>
      <protection locked="0"/>
    </xf>
    <xf numFmtId="43" fontId="8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5" fillId="0" borderId="16" xfId="0" applyFont="1" applyBorder="1" applyProtection="1">
      <protection locked="0"/>
    </xf>
    <xf numFmtId="43" fontId="4" fillId="3" borderId="12" xfId="1" applyNumberFormat="1" applyFont="1" applyFill="1" applyBorder="1" applyAlignment="1" applyProtection="1">
      <alignment vertical="center"/>
      <protection locked="0" hidden="1"/>
    </xf>
    <xf numFmtId="39" fontId="6" fillId="3" borderId="0" xfId="0" applyNumberFormat="1" applyFont="1" applyFill="1" applyBorder="1" applyAlignment="1" applyProtection="1">
      <alignment horizontal="right" vertical="center" indent="1"/>
      <protection locked="0" hidden="1"/>
    </xf>
    <xf numFmtId="43" fontId="14" fillId="3" borderId="17" xfId="1" applyNumberFormat="1" applyFont="1" applyFill="1" applyBorder="1" applyAlignment="1" applyProtection="1">
      <alignment vertical="center"/>
      <protection locked="0" hidden="1"/>
    </xf>
    <xf numFmtId="43" fontId="14" fillId="3" borderId="18" xfId="1" applyNumberFormat="1" applyFont="1" applyFill="1" applyBorder="1" applyAlignment="1" applyProtection="1">
      <alignment vertical="center"/>
      <protection locked="0" hidden="1"/>
    </xf>
    <xf numFmtId="43" fontId="32" fillId="10" borderId="12" xfId="1" applyNumberFormat="1" applyFont="1" applyFill="1" applyBorder="1" applyAlignment="1" applyProtection="1">
      <alignment vertical="center"/>
      <protection locked="0" hidden="1"/>
    </xf>
    <xf numFmtId="0" fontId="5" fillId="11" borderId="0" xfId="0" applyFont="1" applyFill="1" applyProtection="1">
      <protection locked="0"/>
    </xf>
    <xf numFmtId="0" fontId="4" fillId="11" borderId="0" xfId="0" applyFont="1" applyFill="1" applyAlignment="1" applyProtection="1">
      <alignment horizontal="center"/>
      <protection locked="0"/>
    </xf>
    <xf numFmtId="0" fontId="8" fillId="11" borderId="0" xfId="0" applyFont="1" applyFill="1" applyProtection="1">
      <protection locked="0"/>
    </xf>
    <xf numFmtId="0" fontId="5" fillId="11" borderId="0" xfId="0" applyFont="1" applyFill="1" applyAlignment="1" applyProtection="1">
      <alignment horizontal="center"/>
      <protection locked="0"/>
    </xf>
    <xf numFmtId="172" fontId="9" fillId="11" borderId="0" xfId="1" applyNumberFormat="1" applyFont="1" applyFill="1" applyAlignment="1" applyProtection="1">
      <alignment vertical="center"/>
      <protection locked="0"/>
    </xf>
    <xf numFmtId="0" fontId="7" fillId="11" borderId="0" xfId="0" applyFont="1" applyFill="1" applyAlignment="1" applyProtection="1">
      <alignment horizontal="center"/>
      <protection locked="0"/>
    </xf>
    <xf numFmtId="0" fontId="8" fillId="11" borderId="19" xfId="0" applyFont="1" applyFill="1" applyBorder="1" applyProtection="1">
      <protection locked="0"/>
    </xf>
    <xf numFmtId="0" fontId="21" fillId="11" borderId="20" xfId="0" applyFont="1" applyFill="1" applyBorder="1" applyAlignment="1" applyProtection="1">
      <alignment horizontal="center"/>
      <protection locked="0"/>
    </xf>
    <xf numFmtId="0" fontId="8" fillId="11" borderId="0" xfId="3" applyFont="1" applyFill="1" applyAlignment="1" applyProtection="1">
      <alignment vertical="center"/>
      <protection locked="0"/>
    </xf>
    <xf numFmtId="0" fontId="8" fillId="11" borderId="21" xfId="0" applyFont="1" applyFill="1" applyBorder="1" applyAlignment="1" applyProtection="1">
      <alignment horizontal="right"/>
      <protection locked="0"/>
    </xf>
    <xf numFmtId="0" fontId="8" fillId="11" borderId="22" xfId="0" applyFont="1" applyFill="1" applyBorder="1" applyAlignment="1" applyProtection="1">
      <alignment horizontal="center"/>
      <protection locked="0"/>
    </xf>
    <xf numFmtId="43" fontId="8" fillId="11" borderId="0" xfId="0" applyNumberFormat="1" applyFont="1" applyFill="1" applyProtection="1">
      <protection locked="0"/>
    </xf>
    <xf numFmtId="14" fontId="9" fillId="11" borderId="0" xfId="0" applyNumberFormat="1" applyFont="1" applyFill="1" applyBorder="1" applyAlignment="1" applyProtection="1">
      <alignment vertical="center"/>
      <protection locked="0"/>
    </xf>
    <xf numFmtId="0" fontId="22" fillId="11" borderId="0" xfId="0" applyFont="1" applyFill="1" applyAlignment="1" applyProtection="1">
      <alignment horizontal="center"/>
      <protection locked="0"/>
    </xf>
    <xf numFmtId="0" fontId="8" fillId="11" borderId="23" xfId="0" applyFont="1" applyFill="1" applyBorder="1" applyAlignment="1" applyProtection="1">
      <alignment horizontal="right"/>
      <protection locked="0"/>
    </xf>
    <xf numFmtId="0" fontId="8" fillId="11" borderId="24" xfId="0" applyFont="1" applyFill="1" applyBorder="1" applyAlignment="1" applyProtection="1">
      <alignment horizontal="center"/>
      <protection locked="0"/>
    </xf>
    <xf numFmtId="171" fontId="8" fillId="11" borderId="25" xfId="1" applyNumberFormat="1" applyFont="1" applyFill="1" applyBorder="1" applyAlignment="1" applyProtection="1">
      <alignment vertical="center"/>
      <protection locked="0"/>
    </xf>
    <xf numFmtId="0" fontId="8" fillId="11" borderId="25" xfId="3" applyFont="1" applyFill="1" applyBorder="1" applyAlignment="1" applyProtection="1">
      <alignment horizontal="center" vertical="center"/>
      <protection locked="0"/>
    </xf>
    <xf numFmtId="0" fontId="8" fillId="11" borderId="26" xfId="3" applyFont="1" applyFill="1" applyBorder="1" applyAlignment="1" applyProtection="1">
      <alignment horizontal="center" vertical="center"/>
      <protection locked="0"/>
    </xf>
    <xf numFmtId="43" fontId="8" fillId="11" borderId="1" xfId="0" applyNumberFormat="1" applyFont="1" applyFill="1" applyBorder="1" applyProtection="1">
      <protection locked="0"/>
    </xf>
    <xf numFmtId="0" fontId="8" fillId="11" borderId="0" xfId="0" applyFont="1" applyFill="1" applyBorder="1" applyProtection="1">
      <protection locked="0"/>
    </xf>
    <xf numFmtId="0" fontId="7" fillId="11" borderId="1" xfId="0" applyFont="1" applyFill="1" applyBorder="1" applyAlignment="1" applyProtection="1">
      <alignment horizontal="center" vertical="center"/>
      <protection locked="0"/>
    </xf>
    <xf numFmtId="0" fontId="7" fillId="11" borderId="1" xfId="0" applyFont="1" applyFill="1" applyBorder="1" applyAlignment="1" applyProtection="1">
      <alignment horizontal="right" vertical="center"/>
      <protection locked="0"/>
    </xf>
    <xf numFmtId="0" fontId="8" fillId="11" borderId="27" xfId="3" applyFont="1" applyFill="1" applyBorder="1" applyAlignment="1" applyProtection="1">
      <alignment horizontal="center" vertical="center"/>
      <protection locked="0"/>
    </xf>
    <xf numFmtId="0" fontId="7" fillId="11" borderId="27" xfId="3" applyFont="1" applyFill="1" applyBorder="1" applyAlignment="1" applyProtection="1">
      <alignment horizontal="center" vertical="center"/>
      <protection locked="0"/>
    </xf>
    <xf numFmtId="0" fontId="7" fillId="11" borderId="19" xfId="0" applyFont="1" applyFill="1" applyBorder="1" applyAlignment="1" applyProtection="1">
      <alignment horizontal="center"/>
      <protection locked="0"/>
    </xf>
    <xf numFmtId="0" fontId="8" fillId="11" borderId="19" xfId="0" applyFont="1" applyFill="1" applyBorder="1" applyAlignment="1" applyProtection="1">
      <alignment horizontal="right" vertical="center"/>
      <protection locked="0"/>
    </xf>
    <xf numFmtId="0" fontId="8" fillId="11" borderId="28" xfId="0" applyFont="1" applyFill="1" applyBorder="1" applyAlignment="1" applyProtection="1">
      <alignment horizontal="right" vertical="center"/>
      <protection locked="0"/>
    </xf>
    <xf numFmtId="0" fontId="8" fillId="11" borderId="20" xfId="0" applyFont="1" applyFill="1" applyBorder="1" applyAlignment="1" applyProtection="1">
      <alignment horizontal="right" vertical="center"/>
      <protection locked="0"/>
    </xf>
    <xf numFmtId="165" fontId="8" fillId="11" borderId="0" xfId="0" applyNumberFormat="1" applyFont="1" applyFill="1" applyProtection="1">
      <protection locked="0"/>
    </xf>
    <xf numFmtId="0" fontId="8" fillId="11" borderId="29" xfId="0" applyFont="1" applyFill="1" applyBorder="1" applyAlignment="1" applyProtection="1">
      <alignment horizontal="right"/>
      <protection locked="0"/>
    </xf>
    <xf numFmtId="0" fontId="8" fillId="11" borderId="30" xfId="0" applyFont="1" applyFill="1" applyBorder="1" applyAlignment="1" applyProtection="1">
      <alignment horizontal="center"/>
      <protection locked="0"/>
    </xf>
    <xf numFmtId="43" fontId="9" fillId="11" borderId="0" xfId="1" applyNumberFormat="1" applyFont="1" applyFill="1" applyAlignment="1" applyProtection="1">
      <alignment vertical="center"/>
      <protection locked="0"/>
    </xf>
    <xf numFmtId="169" fontId="23" fillId="11" borderId="0" xfId="3" applyNumberFormat="1" applyFont="1" applyFill="1" applyAlignment="1" applyProtection="1">
      <alignment vertical="center"/>
      <protection locked="0"/>
    </xf>
    <xf numFmtId="14" fontId="8" fillId="11" borderId="0" xfId="0" applyNumberFormat="1" applyFont="1" applyFill="1" applyAlignment="1" applyProtection="1">
      <alignment vertical="center"/>
      <protection locked="0"/>
    </xf>
    <xf numFmtId="14" fontId="9" fillId="11" borderId="0" xfId="0" applyNumberFormat="1" applyFont="1" applyFill="1" applyAlignment="1" applyProtection="1">
      <alignment vertical="center"/>
      <protection locked="0"/>
    </xf>
    <xf numFmtId="43" fontId="8" fillId="11" borderId="0" xfId="1" applyFont="1" applyFill="1" applyAlignment="1" applyProtection="1">
      <alignment vertical="center"/>
      <protection locked="0"/>
    </xf>
    <xf numFmtId="169" fontId="8" fillId="11" borderId="4" xfId="3" applyNumberFormat="1" applyFont="1" applyFill="1" applyBorder="1" applyAlignment="1" applyProtection="1">
      <alignment vertical="center"/>
      <protection locked="0"/>
    </xf>
    <xf numFmtId="0" fontId="8" fillId="11" borderId="4" xfId="3" applyFont="1" applyFill="1" applyBorder="1" applyAlignment="1" applyProtection="1">
      <alignment vertical="center"/>
      <protection locked="0"/>
    </xf>
    <xf numFmtId="0" fontId="5" fillId="11" borderId="0" xfId="0" applyFont="1" applyFill="1" applyAlignment="1" applyProtection="1">
      <alignment horizontal="right"/>
      <protection locked="0"/>
    </xf>
    <xf numFmtId="170" fontId="9" fillId="11" borderId="0" xfId="1" applyNumberFormat="1" applyFont="1" applyFill="1" applyBorder="1" applyAlignment="1" applyProtection="1">
      <alignment vertical="center"/>
      <protection locked="0"/>
    </xf>
    <xf numFmtId="165" fontId="9" fillId="11" borderId="0" xfId="1" applyNumberFormat="1" applyFont="1" applyFill="1" applyBorder="1" applyAlignment="1" applyProtection="1">
      <alignment vertical="center"/>
      <protection locked="0"/>
    </xf>
    <xf numFmtId="43" fontId="9" fillId="11" borderId="0" xfId="1" applyFont="1" applyFill="1" applyBorder="1" applyAlignment="1" applyProtection="1">
      <alignment vertical="center"/>
      <protection locked="0"/>
    </xf>
    <xf numFmtId="169" fontId="8" fillId="11" borderId="0" xfId="3" applyNumberFormat="1" applyFont="1" applyFill="1" applyBorder="1" applyAlignment="1" applyProtection="1">
      <alignment vertical="center"/>
      <protection locked="0"/>
    </xf>
    <xf numFmtId="0" fontId="8" fillId="11" borderId="0" xfId="3" applyFont="1" applyFill="1" applyBorder="1" applyAlignment="1" applyProtection="1">
      <alignment vertical="center"/>
      <protection locked="0"/>
    </xf>
    <xf numFmtId="14" fontId="8" fillId="11" borderId="0" xfId="0" applyNumberFormat="1" applyFont="1" applyFill="1" applyBorder="1" applyAlignment="1" applyProtection="1">
      <alignment vertical="center"/>
      <protection locked="0"/>
    </xf>
    <xf numFmtId="169" fontId="9" fillId="11" borderId="0" xfId="3" applyNumberFormat="1" applyFont="1" applyFill="1" applyBorder="1" applyAlignment="1" applyProtection="1">
      <alignment vertical="center"/>
      <protection locked="0"/>
    </xf>
    <xf numFmtId="0" fontId="9" fillId="11" borderId="0" xfId="3" applyFont="1" applyFill="1" applyBorder="1" applyAlignment="1" applyProtection="1">
      <alignment vertical="center"/>
      <protection locked="0"/>
    </xf>
    <xf numFmtId="170" fontId="9" fillId="11" borderId="0" xfId="1" applyNumberFormat="1" applyFont="1" applyFill="1" applyAlignment="1" applyProtection="1">
      <alignment vertical="center"/>
      <protection locked="0"/>
    </xf>
    <xf numFmtId="165" fontId="9" fillId="11" borderId="0" xfId="1" applyNumberFormat="1" applyFont="1" applyFill="1" applyAlignment="1" applyProtection="1">
      <alignment vertical="center"/>
      <protection locked="0"/>
    </xf>
    <xf numFmtId="43" fontId="9" fillId="11" borderId="0" xfId="1" applyFont="1" applyFill="1" applyAlignment="1" applyProtection="1">
      <alignment vertical="center"/>
      <protection locked="0"/>
    </xf>
    <xf numFmtId="0" fontId="9" fillId="11" borderId="0" xfId="3" applyFont="1" applyFill="1" applyAlignment="1" applyProtection="1">
      <alignment vertical="center"/>
      <protection locked="0"/>
    </xf>
    <xf numFmtId="0" fontId="0" fillId="11" borderId="0" xfId="0" applyFill="1" applyProtection="1">
      <protection locked="0"/>
    </xf>
    <xf numFmtId="43" fontId="0" fillId="11" borderId="0" xfId="1" applyFont="1" applyFill="1" applyProtection="1">
      <protection locked="0"/>
    </xf>
    <xf numFmtId="0" fontId="3" fillId="8" borderId="0" xfId="0" applyFont="1" applyFill="1" applyBorder="1" applyAlignment="1" applyProtection="1">
      <alignment horizontal="left" vertical="center"/>
      <protection locked="0"/>
    </xf>
    <xf numFmtId="0" fontId="8" fillId="11" borderId="0" xfId="0" applyNumberFormat="1" applyFont="1" applyFill="1" applyProtection="1">
      <protection locked="0"/>
    </xf>
    <xf numFmtId="43" fontId="12" fillId="12" borderId="0" xfId="1" applyFont="1" applyFill="1"/>
    <xf numFmtId="14" fontId="13" fillId="11" borderId="0" xfId="0" applyNumberFormat="1" applyFont="1" applyFill="1" applyBorder="1" applyAlignment="1" applyProtection="1">
      <alignment vertical="center"/>
      <protection locked="0"/>
    </xf>
    <xf numFmtId="43" fontId="8" fillId="11" borderId="0" xfId="1" applyFont="1" applyFill="1" applyBorder="1" applyProtection="1">
      <protection locked="0"/>
    </xf>
    <xf numFmtId="173" fontId="8" fillId="11" borderId="0" xfId="5" applyNumberFormat="1" applyFont="1" applyFill="1" applyBorder="1" applyProtection="1">
      <protection locked="0"/>
    </xf>
    <xf numFmtId="165" fontId="8" fillId="11" borderId="0" xfId="1" applyNumberFormat="1" applyFont="1" applyFill="1" applyBorder="1" applyProtection="1">
      <protection locked="0"/>
    </xf>
    <xf numFmtId="43" fontId="14" fillId="9" borderId="0" xfId="1" applyNumberFormat="1" applyFont="1" applyFill="1" applyBorder="1" applyAlignment="1" applyProtection="1">
      <alignment horizontal="center" vertical="center"/>
      <protection locked="0"/>
    </xf>
    <xf numFmtId="14" fontId="9" fillId="11" borderId="0" xfId="1" applyNumberFormat="1" applyFont="1" applyFill="1" applyBorder="1" applyAlignment="1" applyProtection="1">
      <alignment vertical="center"/>
      <protection locked="0"/>
    </xf>
    <xf numFmtId="14" fontId="5" fillId="11" borderId="0" xfId="1" applyNumberFormat="1" applyFont="1" applyFill="1" applyBorder="1" applyProtection="1">
      <protection locked="0"/>
    </xf>
    <xf numFmtId="166" fontId="33" fillId="11" borderId="0" xfId="0" applyNumberFormat="1" applyFont="1" applyFill="1" applyBorder="1" applyProtection="1">
      <protection locked="0"/>
    </xf>
    <xf numFmtId="0" fontId="4" fillId="11" borderId="1" xfId="0" applyFont="1" applyFill="1" applyBorder="1" applyProtection="1">
      <protection locked="0"/>
    </xf>
    <xf numFmtId="0" fontId="4" fillId="11" borderId="0" xfId="0" applyFont="1" applyFill="1" applyProtection="1">
      <protection locked="0"/>
    </xf>
    <xf numFmtId="166" fontId="8" fillId="0" borderId="0" xfId="0" applyNumberFormat="1" applyFont="1" applyFill="1" applyProtection="1"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10" fontId="12" fillId="0" borderId="0" xfId="5" applyNumberFormat="1" applyFont="1"/>
    <xf numFmtId="167" fontId="13" fillId="0" borderId="0" xfId="5" applyNumberFormat="1" applyFont="1"/>
    <xf numFmtId="0" fontId="3" fillId="8" borderId="0" xfId="0" applyFont="1" applyFill="1" applyBorder="1" applyAlignment="1" applyProtection="1">
      <alignment horizontal="right"/>
      <protection locked="0"/>
    </xf>
    <xf numFmtId="0" fontId="8" fillId="11" borderId="0" xfId="0" applyFont="1" applyFill="1" applyProtection="1"/>
    <xf numFmtId="0" fontId="10" fillId="0" borderId="0" xfId="2" applyFont="1" applyFill="1" applyAlignment="1">
      <alignment horizontal="center" wrapText="1"/>
    </xf>
    <xf numFmtId="165" fontId="5" fillId="11" borderId="0" xfId="0" applyNumberFormat="1" applyFont="1" applyFill="1" applyProtection="1">
      <protection locked="0"/>
    </xf>
    <xf numFmtId="167" fontId="8" fillId="0" borderId="0" xfId="5" applyNumberFormat="1" applyFont="1" applyProtection="1">
      <protection locked="0"/>
    </xf>
    <xf numFmtId="165" fontId="8" fillId="0" borderId="0" xfId="1" applyNumberFormat="1" applyFont="1" applyProtection="1">
      <protection locked="0"/>
    </xf>
    <xf numFmtId="165" fontId="8" fillId="0" borderId="0" xfId="1" applyNumberFormat="1" applyFont="1" applyFill="1" applyProtection="1">
      <protection locked="0"/>
    </xf>
    <xf numFmtId="164" fontId="8" fillId="0" borderId="0" xfId="0" applyNumberFormat="1" applyFont="1" applyFill="1" applyProtection="1">
      <protection locked="0"/>
    </xf>
    <xf numFmtId="175" fontId="8" fillId="11" borderId="0" xfId="5" applyNumberFormat="1" applyFont="1" applyFill="1" applyBorder="1" applyProtection="1">
      <protection locked="0"/>
    </xf>
    <xf numFmtId="0" fontId="24" fillId="8" borderId="25" xfId="0" applyFont="1" applyFill="1" applyBorder="1" applyAlignment="1" applyProtection="1">
      <alignment horizontal="center" vertical="center"/>
      <protection locked="0" hidden="1"/>
    </xf>
    <xf numFmtId="43" fontId="4" fillId="3" borderId="0" xfId="1" applyNumberFormat="1" applyFont="1" applyFill="1" applyBorder="1" applyAlignment="1" applyProtection="1">
      <alignment vertical="center"/>
      <protection hidden="1"/>
    </xf>
    <xf numFmtId="43" fontId="8" fillId="6" borderId="0" xfId="1" applyFont="1" applyFill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43" fontId="8" fillId="4" borderId="0" xfId="1" applyFont="1" applyFill="1"/>
    <xf numFmtId="43" fontId="8" fillId="0" borderId="0" xfId="0" applyNumberFormat="1" applyFont="1"/>
    <xf numFmtId="43" fontId="8" fillId="13" borderId="0" xfId="1" applyFont="1" applyFill="1"/>
    <xf numFmtId="43" fontId="14" fillId="14" borderId="1" xfId="1" applyNumberFormat="1" applyFont="1" applyFill="1" applyBorder="1" applyAlignment="1" applyProtection="1">
      <alignment vertical="center"/>
      <protection locked="0"/>
    </xf>
    <xf numFmtId="165" fontId="14" fillId="14" borderId="1" xfId="1" applyNumberFormat="1" applyFont="1" applyFill="1" applyBorder="1" applyAlignment="1" applyProtection="1">
      <alignment vertical="center"/>
      <protection locked="0"/>
    </xf>
    <xf numFmtId="0" fontId="34" fillId="0" borderId="0" xfId="0" applyFont="1" applyProtection="1">
      <protection locked="0"/>
    </xf>
    <xf numFmtId="0" fontId="35" fillId="11" borderId="0" xfId="0" applyFont="1" applyFill="1" applyProtection="1">
      <protection locked="0"/>
    </xf>
    <xf numFmtId="0" fontId="36" fillId="15" borderId="32" xfId="0" applyFont="1" applyFill="1" applyBorder="1" applyAlignment="1">
      <alignment horizontal="left" vertical="center" wrapText="1" readingOrder="1"/>
    </xf>
    <xf numFmtId="0" fontId="37" fillId="16" borderId="32" xfId="0" applyFont="1" applyFill="1" applyBorder="1" applyAlignment="1">
      <alignment horizontal="center" vertical="center" wrapText="1" readingOrder="1"/>
    </xf>
    <xf numFmtId="0" fontId="36" fillId="15" borderId="33" xfId="0" applyFont="1" applyFill="1" applyBorder="1" applyAlignment="1">
      <alignment horizontal="left" vertical="center" wrapText="1" readingOrder="1"/>
    </xf>
    <xf numFmtId="10" fontId="37" fillId="17" borderId="33" xfId="0" applyNumberFormat="1" applyFont="1" applyFill="1" applyBorder="1" applyAlignment="1">
      <alignment horizontal="right" vertical="center" wrapText="1" readingOrder="1"/>
    </xf>
    <xf numFmtId="10" fontId="37" fillId="16" borderId="33" xfId="0" applyNumberFormat="1" applyFont="1" applyFill="1" applyBorder="1" applyAlignment="1">
      <alignment horizontal="right" vertical="center" wrapText="1" readingOrder="1"/>
    </xf>
    <xf numFmtId="0" fontId="24" fillId="8" borderId="26" xfId="0" applyFont="1" applyFill="1" applyBorder="1" applyAlignment="1" applyProtection="1">
      <alignment vertical="center"/>
      <protection locked="0" hidden="1"/>
    </xf>
    <xf numFmtId="0" fontId="8" fillId="0" borderId="25" xfId="0" applyFont="1" applyFill="1" applyBorder="1" applyProtection="1">
      <protection hidden="1"/>
    </xf>
    <xf numFmtId="43" fontId="8" fillId="0" borderId="25" xfId="1" applyNumberFormat="1" applyFont="1" applyFill="1" applyBorder="1" applyProtection="1">
      <protection hidden="1"/>
    </xf>
    <xf numFmtId="0" fontId="8" fillId="0" borderId="31" xfId="0" applyFont="1" applyFill="1" applyBorder="1" applyProtection="1">
      <protection hidden="1"/>
    </xf>
    <xf numFmtId="14" fontId="8" fillId="0" borderId="31" xfId="0" applyNumberFormat="1" applyFont="1" applyFill="1" applyBorder="1" applyAlignment="1" applyProtection="1">
      <alignment horizontal="left" indent="3"/>
      <protection hidden="1"/>
    </xf>
    <xf numFmtId="43" fontId="8" fillId="0" borderId="31" xfId="1" applyNumberFormat="1" applyFont="1" applyFill="1" applyBorder="1" applyProtection="1">
      <protection hidden="1"/>
    </xf>
    <xf numFmtId="43" fontId="8" fillId="0" borderId="31" xfId="1" applyNumberFormat="1" applyFont="1" applyFill="1" applyBorder="1" applyAlignment="1" applyProtection="1">
      <protection hidden="1"/>
    </xf>
    <xf numFmtId="43" fontId="8" fillId="0" borderId="31" xfId="1" applyFont="1" applyFill="1" applyBorder="1" applyProtection="1">
      <protection hidden="1"/>
    </xf>
    <xf numFmtId="0" fontId="8" fillId="0" borderId="27" xfId="0" applyFont="1" applyFill="1" applyBorder="1" applyProtection="1">
      <protection hidden="1"/>
    </xf>
    <xf numFmtId="43" fontId="8" fillId="0" borderId="27" xfId="1" applyNumberFormat="1" applyFont="1" applyFill="1" applyBorder="1" applyProtection="1">
      <protection hidden="1"/>
    </xf>
    <xf numFmtId="43" fontId="8" fillId="0" borderId="27" xfId="1" applyNumberFormat="1" applyFont="1" applyFill="1" applyBorder="1" applyAlignment="1" applyProtection="1">
      <protection hidden="1"/>
    </xf>
    <xf numFmtId="43" fontId="8" fillId="0" borderId="27" xfId="1" applyFont="1" applyFill="1" applyBorder="1" applyProtection="1">
      <protection hidden="1"/>
    </xf>
    <xf numFmtId="0" fontId="38" fillId="18" borderId="0" xfId="0" applyFont="1" applyFill="1" applyAlignment="1" applyProtection="1">
      <alignment vertical="center"/>
      <protection locked="0"/>
    </xf>
    <xf numFmtId="0" fontId="4" fillId="8" borderId="0" xfId="0" applyFont="1" applyFill="1" applyBorder="1" applyAlignment="1" applyProtection="1">
      <alignment vertical="center"/>
      <protection locked="0"/>
    </xf>
    <xf numFmtId="43" fontId="4" fillId="8" borderId="0" xfId="1" applyNumberFormat="1" applyFont="1" applyFill="1" applyBorder="1" applyAlignment="1" applyProtection="1">
      <alignment vertical="center"/>
      <protection locked="0"/>
    </xf>
    <xf numFmtId="14" fontId="8" fillId="0" borderId="31" xfId="0" applyNumberFormat="1" applyFont="1" applyFill="1" applyBorder="1" applyAlignment="1" applyProtection="1">
      <alignment horizontal="left" indent="3"/>
      <protection locked="0"/>
    </xf>
    <xf numFmtId="14" fontId="8" fillId="0" borderId="27" xfId="0" applyNumberFormat="1" applyFont="1" applyFill="1" applyBorder="1" applyAlignment="1" applyProtection="1">
      <alignment horizontal="left" indent="3"/>
      <protection locked="0"/>
    </xf>
    <xf numFmtId="165" fontId="5" fillId="11" borderId="0" xfId="0" applyNumberFormat="1" applyFont="1" applyFill="1" applyAlignment="1" applyProtection="1">
      <alignment horizontal="center"/>
      <protection locked="0"/>
    </xf>
    <xf numFmtId="14" fontId="8" fillId="0" borderId="25" xfId="0" applyNumberFormat="1" applyFont="1" applyFill="1" applyBorder="1" applyProtection="1">
      <protection hidden="1"/>
    </xf>
    <xf numFmtId="14" fontId="8" fillId="0" borderId="0" xfId="0" applyNumberFormat="1" applyFont="1" applyFill="1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11" borderId="0" xfId="0" applyFont="1" applyFill="1" applyProtection="1">
      <protection locked="0"/>
    </xf>
    <xf numFmtId="43" fontId="1" fillId="11" borderId="0" xfId="1" applyFont="1" applyFill="1" applyProtection="1">
      <protection locked="0"/>
    </xf>
    <xf numFmtId="0" fontId="1" fillId="11" borderId="0" xfId="0" applyFont="1" applyFill="1" applyAlignment="1" applyProtection="1">
      <alignment horizontal="center"/>
      <protection locked="0"/>
    </xf>
    <xf numFmtId="166" fontId="1" fillId="11" borderId="0" xfId="0" applyNumberFormat="1" applyFont="1" applyFill="1" applyBorder="1" applyProtection="1">
      <protection locked="0"/>
    </xf>
    <xf numFmtId="165" fontId="1" fillId="0" borderId="0" xfId="1" applyNumberFormat="1" applyFont="1" applyProtection="1">
      <protection locked="0"/>
    </xf>
    <xf numFmtId="0" fontId="1" fillId="11" borderId="0" xfId="0" applyFont="1" applyFill="1" applyBorder="1" applyProtection="1">
      <protection locked="0"/>
    </xf>
    <xf numFmtId="2" fontId="1" fillId="11" borderId="0" xfId="0" applyNumberFormat="1" applyFont="1" applyFill="1" applyBorder="1" applyProtection="1">
      <protection locked="0"/>
    </xf>
    <xf numFmtId="14" fontId="1" fillId="11" borderId="0" xfId="1" applyNumberFormat="1" applyFont="1" applyFill="1" applyBorder="1" applyProtection="1">
      <protection locked="0"/>
    </xf>
    <xf numFmtId="0" fontId="1" fillId="11" borderId="0" xfId="0" applyFont="1" applyFill="1" applyBorder="1" applyAlignment="1" applyProtection="1">
      <alignment horizontal="center"/>
      <protection locked="0"/>
    </xf>
    <xf numFmtId="10" fontId="1" fillId="11" borderId="0" xfId="5" applyNumberFormat="1" applyFont="1" applyFill="1" applyBorder="1" applyProtection="1">
      <protection locked="0"/>
    </xf>
    <xf numFmtId="174" fontId="1" fillId="11" borderId="0" xfId="5" applyNumberFormat="1" applyFont="1" applyFill="1" applyBorder="1" applyProtection="1">
      <protection locked="0"/>
    </xf>
    <xf numFmtId="164" fontId="1" fillId="11" borderId="0" xfId="0" applyNumberFormat="1" applyFont="1" applyFill="1" applyBorder="1" applyProtection="1">
      <protection locked="0"/>
    </xf>
    <xf numFmtId="43" fontId="1" fillId="0" borderId="0" xfId="0" applyNumberFormat="1" applyFont="1" applyBorder="1" applyProtection="1">
      <protection locked="0"/>
    </xf>
    <xf numFmtId="43" fontId="8" fillId="0" borderId="0" xfId="1" applyNumberFormat="1" applyFont="1" applyFill="1" applyBorder="1" applyAlignment="1" applyProtection="1">
      <protection hidden="1"/>
    </xf>
    <xf numFmtId="0" fontId="8" fillId="0" borderId="0" xfId="0" applyFont="1" applyFill="1" applyBorder="1" applyProtection="1">
      <protection hidden="1"/>
    </xf>
    <xf numFmtId="43" fontId="8" fillId="0" borderId="0" xfId="1" applyNumberFormat="1" applyFont="1" applyFill="1" applyBorder="1" applyProtection="1">
      <protection hidden="1"/>
    </xf>
    <xf numFmtId="43" fontId="8" fillId="0" borderId="0" xfId="1" applyFont="1" applyFill="1" applyBorder="1" applyProtection="1">
      <protection hidden="1"/>
    </xf>
    <xf numFmtId="14" fontId="8" fillId="0" borderId="0" xfId="0" applyNumberFormat="1" applyFont="1" applyFill="1" applyBorder="1" applyAlignment="1" applyProtection="1">
      <alignment horizontal="left" indent="3"/>
      <protection locked="0"/>
    </xf>
    <xf numFmtId="0" fontId="7" fillId="0" borderId="1" xfId="0" applyFont="1" applyFill="1" applyBorder="1" applyProtection="1">
      <protection hidden="1"/>
    </xf>
    <xf numFmtId="14" fontId="7" fillId="0" borderId="1" xfId="0" applyNumberFormat="1" applyFont="1" applyFill="1" applyBorder="1" applyAlignment="1" applyProtection="1">
      <alignment horizontal="left" indent="3"/>
      <protection locked="0"/>
    </xf>
    <xf numFmtId="43" fontId="7" fillId="0" borderId="1" xfId="1" applyNumberFormat="1" applyFont="1" applyFill="1" applyBorder="1" applyProtection="1">
      <protection hidden="1"/>
    </xf>
    <xf numFmtId="43" fontId="7" fillId="0" borderId="1" xfId="1" applyNumberFormat="1" applyFont="1" applyFill="1" applyBorder="1" applyAlignment="1" applyProtection="1">
      <protection hidden="1"/>
    </xf>
    <xf numFmtId="43" fontId="7" fillId="0" borderId="1" xfId="1" applyFont="1" applyFill="1" applyBorder="1" applyProtection="1">
      <protection hidden="1"/>
    </xf>
    <xf numFmtId="43" fontId="8" fillId="0" borderId="0" xfId="1" applyFont="1" applyFill="1" applyBorder="1" applyAlignment="1" applyProtection="1">
      <alignment horizontal="center"/>
      <protection locked="0"/>
    </xf>
    <xf numFmtId="43" fontId="8" fillId="0" borderId="0" xfId="1" applyNumberFormat="1" applyFont="1" applyFill="1" applyBorder="1" applyAlignment="1" applyProtection="1">
      <alignment horizontal="center"/>
      <protection hidden="1"/>
    </xf>
    <xf numFmtId="43" fontId="8" fillId="0" borderId="0" xfId="0" applyNumberFormat="1" applyFont="1" applyFill="1" applyBorder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43" fontId="8" fillId="0" borderId="31" xfId="0" applyNumberFormat="1" applyFont="1" applyFill="1" applyBorder="1" applyAlignment="1" applyProtection="1">
      <alignment horizontal="center"/>
      <protection hidden="1"/>
    </xf>
    <xf numFmtId="0" fontId="8" fillId="0" borderId="31" xfId="0" applyFont="1" applyFill="1" applyBorder="1" applyAlignment="1" applyProtection="1">
      <alignment horizontal="center"/>
      <protection hidden="1"/>
    </xf>
    <xf numFmtId="43" fontId="8" fillId="0" borderId="27" xfId="0" applyNumberFormat="1" applyFont="1" applyFill="1" applyBorder="1" applyAlignment="1" applyProtection="1">
      <alignment horizontal="center"/>
      <protection hidden="1"/>
    </xf>
    <xf numFmtId="0" fontId="8" fillId="0" borderId="27" xfId="0" applyFont="1" applyFill="1" applyBorder="1" applyAlignment="1" applyProtection="1">
      <alignment horizontal="center"/>
      <protection hidden="1"/>
    </xf>
    <xf numFmtId="43" fontId="7" fillId="0" borderId="1" xfId="0" applyNumberFormat="1" applyFont="1" applyFill="1" applyBorder="1" applyAlignment="1" applyProtection="1">
      <alignment horizontal="center"/>
      <protection hidden="1"/>
    </xf>
    <xf numFmtId="0" fontId="7" fillId="0" borderId="1" xfId="0" applyFont="1" applyFill="1" applyBorder="1" applyAlignment="1" applyProtection="1">
      <alignment horizontal="center"/>
      <protection hidden="1"/>
    </xf>
    <xf numFmtId="0" fontId="8" fillId="0" borderId="25" xfId="0" applyFont="1" applyFill="1" applyBorder="1" applyAlignment="1" applyProtection="1">
      <alignment horizontal="center"/>
      <protection hidden="1"/>
    </xf>
    <xf numFmtId="43" fontId="7" fillId="0" borderId="1" xfId="1" applyNumberFormat="1" applyFont="1" applyFill="1" applyBorder="1" applyAlignment="1" applyProtection="1">
      <alignment horizontal="center"/>
      <protection hidden="1"/>
    </xf>
    <xf numFmtId="43" fontId="8" fillId="0" borderId="27" xfId="1" applyNumberFormat="1" applyFont="1" applyFill="1" applyBorder="1" applyAlignment="1" applyProtection="1">
      <alignment horizontal="center"/>
      <protection hidden="1"/>
    </xf>
    <xf numFmtId="43" fontId="8" fillId="0" borderId="31" xfId="1" applyNumberFormat="1" applyFont="1" applyFill="1" applyBorder="1" applyAlignment="1" applyProtection="1">
      <alignment horizontal="center"/>
      <protection hidden="1"/>
    </xf>
    <xf numFmtId="0" fontId="24" fillId="8" borderId="26" xfId="0" applyFont="1" applyFill="1" applyBorder="1" applyAlignment="1" applyProtection="1">
      <alignment horizontal="center" vertical="center"/>
      <protection locked="0" hidden="1"/>
    </xf>
    <xf numFmtId="0" fontId="24" fillId="8" borderId="5" xfId="0" applyFont="1" applyFill="1" applyBorder="1" applyAlignment="1" applyProtection="1">
      <alignment horizontal="center" vertical="center"/>
      <protection locked="0" hidden="1"/>
    </xf>
    <xf numFmtId="0" fontId="14" fillId="9" borderId="0" xfId="0" applyFont="1" applyFill="1" applyBorder="1" applyAlignment="1" applyProtection="1">
      <alignment horizontal="right" vertical="center"/>
      <protection locked="0"/>
    </xf>
    <xf numFmtId="43" fontId="14" fillId="9" borderId="0" xfId="1" applyNumberFormat="1" applyFont="1" applyFill="1" applyBorder="1" applyAlignment="1" applyProtection="1">
      <alignment horizontal="center" vertical="center"/>
      <protection locked="0"/>
    </xf>
    <xf numFmtId="0" fontId="24" fillId="8" borderId="4" xfId="0" applyFont="1" applyFill="1" applyBorder="1" applyAlignment="1" applyProtection="1">
      <alignment horizontal="center" vertical="center"/>
      <protection locked="0" hidden="1"/>
    </xf>
    <xf numFmtId="43" fontId="8" fillId="0" borderId="25" xfId="1" applyNumberFormat="1" applyFont="1" applyFill="1" applyBorder="1" applyAlignment="1" applyProtection="1">
      <alignment horizontal="center"/>
      <protection hidden="1"/>
    </xf>
  </cellXfs>
  <cellStyles count="6">
    <cellStyle name="Millares" xfId="1" builtinId="3"/>
    <cellStyle name="Normal" xfId="0" builtinId="0"/>
    <cellStyle name="Normal 4" xfId="2" xr:uid="{00000000-0005-0000-0000-000002000000}"/>
    <cellStyle name="Normal_PLAN DE PAGOS" xfId="3" xr:uid="{00000000-0005-0000-0000-000003000000}"/>
    <cellStyle name="Normal_Simulador Microseguros V1" xfId="4" xr:uid="{00000000-0005-0000-0000-000004000000}"/>
    <cellStyle name="Porcentaje" xfId="5" builtinId="5"/>
  </cellStyles>
  <dxfs count="3">
    <dxf>
      <font>
        <color rgb="FF008080"/>
      </font>
    </dxf>
    <dxf>
      <font>
        <color rgb="FF008080"/>
      </font>
      <fill>
        <patternFill>
          <bgColor rgb="FF008080"/>
        </patternFill>
      </fill>
    </dxf>
    <dxf>
      <font>
        <color rgb="FF008080"/>
      </font>
      <fill>
        <patternFill>
          <bgColor rgb="FF00808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actores!$M$16" lockText="1"/>
</file>

<file path=xl/ctrlProps/ctrlProp2.xml><?xml version="1.0" encoding="utf-8"?>
<formControlPr xmlns="http://schemas.microsoft.com/office/spreadsheetml/2009/9/main" objectType="CheckBox" fmlaLink="Factores!$M$20" lockText="1"/>
</file>

<file path=xl/ctrlProps/ctrlProp3.xml><?xml version="1.0" encoding="utf-8"?>
<formControlPr xmlns="http://schemas.microsoft.com/office/spreadsheetml/2009/9/main" objectType="CheckBox" fmlaLink="Factores!$M$33" lockText="1"/>
</file>

<file path=xl/ctrlProps/ctrlProp4.xml><?xml version="1.0" encoding="utf-8"?>
<formControlPr xmlns="http://schemas.microsoft.com/office/spreadsheetml/2009/9/main" objectType="CheckBox" fmlaLink="Factores!$M$24" lockText="1"/>
</file>

<file path=xl/ctrlProps/ctrlProp5.xml><?xml version="1.0" encoding="utf-8"?>
<formControlPr xmlns="http://schemas.microsoft.com/office/spreadsheetml/2009/9/main" objectType="CheckBox" fmlaLink="Factores!$M$29" lockText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166370</xdr:colOff>
      <xdr:row>24</xdr:row>
      <xdr:rowOff>76200</xdr:rowOff>
    </xdr:from>
    <xdr:to>
      <xdr:col>22</xdr:col>
      <xdr:colOff>120085</xdr:colOff>
      <xdr:row>26</xdr:row>
      <xdr:rowOff>76200</xdr:rowOff>
    </xdr:to>
    <xdr:sp macro="[0]!a2_simular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>
          <a:spLocks noChangeArrowheads="1"/>
        </xdr:cNvSpPr>
      </xdr:nvSpPr>
      <xdr:spPr bwMode="auto">
        <a:xfrm>
          <a:off x="8835189" y="3234489"/>
          <a:ext cx="1004637" cy="320843"/>
        </a:xfrm>
        <a:prstGeom prst="rect">
          <a:avLst/>
        </a:prstGeom>
        <a:solidFill>
          <a:srgbClr val="CC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Calcular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190500</xdr:rowOff>
        </xdr:from>
        <xdr:to>
          <xdr:col>19</xdr:col>
          <xdr:colOff>266700</xdr:colOff>
          <xdr:row>16</xdr:row>
          <xdr:rowOff>200025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Negocio Protegido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16</xdr:row>
          <xdr:rowOff>200025</xdr:rowOff>
        </xdr:from>
        <xdr:to>
          <xdr:col>19</xdr:col>
          <xdr:colOff>266700</xdr:colOff>
          <xdr:row>18</xdr:row>
          <xdr:rowOff>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Familia Protegida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18</xdr:row>
          <xdr:rowOff>0</xdr:rowOff>
        </xdr:from>
        <xdr:to>
          <xdr:col>19</xdr:col>
          <xdr:colOff>266700</xdr:colOff>
          <xdr:row>20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Financiera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14</xdr:row>
          <xdr:rowOff>66675</xdr:rowOff>
        </xdr:from>
        <xdr:to>
          <xdr:col>20</xdr:col>
          <xdr:colOff>28575</xdr:colOff>
          <xdr:row>16</xdr:row>
          <xdr:rowOff>0</xdr:rowOff>
        </xdr:to>
        <xdr:sp macro="" textlink="">
          <xdr:nvSpPr>
            <xdr:cNvPr id="1747" name="Check Box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Fam. Prot.- Plan Familiar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30480</xdr:colOff>
      <xdr:row>27</xdr:row>
      <xdr:rowOff>7620</xdr:rowOff>
    </xdr:from>
    <xdr:to>
      <xdr:col>4</xdr:col>
      <xdr:colOff>134353</xdr:colOff>
      <xdr:row>29</xdr:row>
      <xdr:rowOff>83820</xdr:rowOff>
    </xdr:to>
    <xdr:pic>
      <xdr:nvPicPr>
        <xdr:cNvPr id="3415" name="1 Imagen">
          <a:extLs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543300"/>
          <a:ext cx="83058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20</xdr:row>
          <xdr:rowOff>9525</xdr:rowOff>
        </xdr:from>
        <xdr:to>
          <xdr:col>18</xdr:col>
          <xdr:colOff>923925</xdr:colOff>
          <xdr:row>21</xdr:row>
          <xdr:rowOff>28575</xdr:rowOff>
        </xdr:to>
        <xdr:sp macro="" textlink="">
          <xdr:nvSpPr>
            <xdr:cNvPr id="3119" name="Check Box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Oncologico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17</xdr:row>
          <xdr:rowOff>190500</xdr:rowOff>
        </xdr:from>
        <xdr:to>
          <xdr:col>11</xdr:col>
          <xdr:colOff>0</xdr:colOff>
          <xdr:row>19</xdr:row>
          <xdr:rowOff>190500</xdr:rowOff>
        </xdr:to>
        <xdr:sp macro="" textlink="">
          <xdr:nvSpPr>
            <xdr:cNvPr id="3260" name="Option Button 1212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0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20</xdr:row>
          <xdr:rowOff>9525</xdr:rowOff>
        </xdr:from>
        <xdr:to>
          <xdr:col>11</xdr:col>
          <xdr:colOff>0</xdr:colOff>
          <xdr:row>21</xdr:row>
          <xdr:rowOff>9525</xdr:rowOff>
        </xdr:to>
        <xdr:sp macro="" textlink="">
          <xdr:nvSpPr>
            <xdr:cNvPr id="3261" name="Option Button 1213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0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/>
            </a:solidFill>
            <a:ln w="9525">
              <a:solidFill>
                <a:srgbClr val="FFFF9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1ecd61295a042a9/Documentos/Classroom/Evaluaci&#243;n%20Privada%20de%20Proyectos/COLLABORATION%20SPACE/Group%20Project%201.%20Estampado%20de%20Polos%20Personalizados%202.0/Estampado%20de%20Polos%20Personalizados%202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Resumen"/>
      <sheetName val="Estudio ADEK"/>
      <sheetName val="Venta_Unidades"/>
      <sheetName val="Presupuesto_Ventas"/>
      <sheetName val="Inversión_Inicial"/>
      <sheetName val="Depreciación_VR"/>
      <sheetName val="KW_Año 1"/>
      <sheetName val="Costos_Produción"/>
      <sheetName val="Gastos_Operativos"/>
      <sheetName val="Costos_Unitarios"/>
      <sheetName val="Sueldos"/>
      <sheetName val="Proyeccion_Costos"/>
      <sheetName val="Punto de Equilibrio"/>
      <sheetName val="Estado de Resultados"/>
      <sheetName val="Flujo_Deuda FRANCES"/>
      <sheetName val="DEUDA"/>
      <sheetName val="PAGO IGV"/>
      <sheetName val="Flujo de Caja Económico"/>
      <sheetName val="Flujo_Deuda ALEMÁN"/>
      <sheetName val="FC Economico"/>
      <sheetName val="Deprec. y VR"/>
      <sheetName val="Planilla"/>
      <sheetName val="Flujo de Caja de la Deuda"/>
      <sheetName val="Flujo de Caja Financiero"/>
      <sheetName val="Rp"/>
      <sheetName val="Ku"/>
      <sheetName val="Ke y Kwacc"/>
      <sheetName val="Taller 4"/>
      <sheetName val="Estados Financieros"/>
      <sheetName val="VPN y TIR"/>
      <sheetName val="RELACION COSTO BENEFICIO"/>
      <sheetName val="ANALISIS DE SENSIBILIDAD"/>
    </sheetNames>
    <sheetDataSet>
      <sheetData sheetId="0"/>
      <sheetData sheetId="1"/>
      <sheetData sheetId="2">
        <row r="538">
          <cell r="K538">
            <v>-18000.003333333334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5">
          <cell r="I5">
            <v>1.6361073237486812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X65536"/>
  <sheetViews>
    <sheetView showGridLines="0" showRowColHeaders="0" tabSelected="1" zoomScale="95" zoomScaleNormal="95" workbookViewId="0">
      <selection activeCell="H9" sqref="H9"/>
    </sheetView>
  </sheetViews>
  <sheetFormatPr baseColWidth="10" defaultColWidth="11.42578125" defaultRowHeight="12.75"/>
  <cols>
    <col min="1" max="1" width="2.28515625" style="31" customWidth="1"/>
    <col min="2" max="2" width="0.7109375" style="31" customWidth="1"/>
    <col min="3" max="3" width="2" style="31" customWidth="1"/>
    <col min="4" max="4" width="8" style="31" customWidth="1"/>
    <col min="5" max="5" width="5.28515625" style="31" customWidth="1"/>
    <col min="6" max="6" width="6.42578125" style="31" customWidth="1"/>
    <col min="7" max="7" width="15.28515625" style="31" customWidth="1"/>
    <col min="8" max="8" width="11" style="31" customWidth="1"/>
    <col min="9" max="10" width="2.140625" style="31" customWidth="1"/>
    <col min="11" max="11" width="15.28515625" style="31" customWidth="1"/>
    <col min="12" max="12" width="4" style="31" customWidth="1"/>
    <col min="13" max="13" width="10.5703125" style="31" customWidth="1"/>
    <col min="14" max="14" width="0.7109375" style="31" customWidth="1"/>
    <col min="15" max="15" width="17.7109375" style="31" customWidth="1"/>
    <col min="16" max="16" width="18.5703125" style="31" customWidth="1"/>
    <col min="17" max="17" width="14.42578125" style="31" customWidth="1"/>
    <col min="18" max="18" width="0.5703125" style="31" customWidth="1"/>
    <col min="19" max="19" width="14.7109375" style="31" customWidth="1"/>
    <col min="20" max="21" width="4.85546875" style="79" customWidth="1"/>
    <col min="22" max="22" width="10.5703125" style="79" customWidth="1"/>
    <col min="23" max="23" width="2.28515625" style="79" customWidth="1"/>
    <col min="24" max="24" width="0.7109375" style="79" customWidth="1"/>
    <col min="25" max="25" width="47.42578125" style="79" customWidth="1"/>
    <col min="26" max="34" width="11.42578125" style="139" customWidth="1"/>
    <col min="35" max="37" width="17" style="139" customWidth="1"/>
    <col min="38" max="39" width="7.85546875" style="139" customWidth="1"/>
    <col min="40" max="40" width="13" style="139" customWidth="1"/>
    <col min="41" max="45" width="11.42578125" style="139" customWidth="1"/>
    <col min="46" max="46" width="13.5703125" style="139" customWidth="1"/>
    <col min="47" max="47" width="8.85546875" style="139" customWidth="1"/>
    <col min="48" max="48" width="5.5703125" style="88" customWidth="1"/>
    <col min="49" max="49" width="10" style="89" customWidth="1"/>
    <col min="50" max="50" width="7.42578125" style="89" customWidth="1"/>
    <col min="51" max="51" width="6" style="89" customWidth="1"/>
    <col min="52" max="52" width="7.42578125" style="89" customWidth="1"/>
    <col min="53" max="53" width="6" style="89" customWidth="1"/>
    <col min="54" max="54" width="7.42578125" style="89" customWidth="1"/>
    <col min="55" max="55" width="6" style="89" customWidth="1"/>
    <col min="56" max="56" width="7.42578125" style="89" customWidth="1"/>
    <col min="57" max="57" width="8.85546875" style="139" customWidth="1"/>
    <col min="58" max="78" width="11.42578125" style="139" customWidth="1"/>
    <col min="79" max="79" width="21.42578125" style="139" customWidth="1"/>
    <col min="80" max="80" width="4.42578125" style="139" customWidth="1"/>
    <col min="81" max="81" width="21.42578125" style="139" customWidth="1"/>
    <col min="82" max="82" width="4.42578125" style="139" customWidth="1"/>
    <col min="83" max="83" width="21.42578125" style="139" customWidth="1"/>
    <col min="84" max="84" width="11" style="139" customWidth="1"/>
    <col min="85" max="85" width="21.42578125" style="139" customWidth="1"/>
    <col min="86" max="86" width="4.42578125" style="139" customWidth="1"/>
    <col min="87" max="87" width="21.42578125" style="139" customWidth="1"/>
    <col min="88" max="88" width="4.42578125" style="139" customWidth="1"/>
    <col min="89" max="89" width="21.42578125" style="139" customWidth="1"/>
    <col min="90" max="90" width="4.42578125" style="139" customWidth="1"/>
    <col min="91" max="91" width="21.42578125" style="139" customWidth="1"/>
    <col min="92" max="92" width="4.42578125" style="139" customWidth="1"/>
    <col min="93" max="94" width="11.42578125" style="139" customWidth="1"/>
    <col min="95" max="95" width="12.42578125" style="139" customWidth="1"/>
    <col min="96" max="96" width="11.42578125" style="139" customWidth="1"/>
    <col min="97" max="97" width="16.140625" style="139" customWidth="1"/>
    <col min="98" max="98" width="16" style="139" customWidth="1"/>
    <col min="99" max="99" width="11.42578125" style="139" customWidth="1"/>
    <col min="100" max="100" width="15.5703125" style="139" customWidth="1"/>
    <col min="101" max="119" width="11.42578125" style="139" customWidth="1"/>
    <col min="120" max="120" width="1.5703125" style="139" customWidth="1"/>
    <col min="121" max="16384" width="11.42578125" style="139"/>
  </cols>
  <sheetData>
    <row r="1" spans="1:92" s="87" customFormat="1" ht="4.5" customHeight="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AV1" s="88"/>
      <c r="AW1" s="89"/>
      <c r="AX1" s="89"/>
      <c r="AY1" s="89"/>
      <c r="AZ1" s="89"/>
      <c r="BA1" s="89"/>
      <c r="BB1" s="89"/>
      <c r="BC1" s="89"/>
      <c r="BD1" s="89"/>
      <c r="CB1" s="90"/>
      <c r="CD1" s="90"/>
      <c r="CF1" s="90"/>
      <c r="CH1" s="90"/>
      <c r="CJ1" s="90"/>
      <c r="CL1" s="90"/>
      <c r="CN1" s="90"/>
    </row>
    <row r="2" spans="1:92" s="87" customFormat="1" ht="21.95" customHeight="1">
      <c r="A2" s="31"/>
      <c r="B2" s="33"/>
      <c r="C2" s="34" t="s">
        <v>89</v>
      </c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1"/>
      <c r="AV2" s="88"/>
      <c r="AW2" s="89"/>
      <c r="AX2" s="89"/>
      <c r="AY2" s="89"/>
      <c r="AZ2" s="89"/>
      <c r="BA2" s="89"/>
      <c r="BB2" s="89"/>
      <c r="BC2" s="89"/>
      <c r="BD2" s="89"/>
      <c r="CB2" s="90"/>
      <c r="CD2" s="90"/>
      <c r="CF2" s="90"/>
      <c r="CH2" s="90"/>
      <c r="CJ2" s="90"/>
      <c r="CL2" s="90"/>
      <c r="CN2" s="90"/>
    </row>
    <row r="3" spans="1:92" s="87" customFormat="1" ht="4.5" customHeight="1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AV3" s="88"/>
      <c r="AW3" s="89"/>
      <c r="AX3" s="89"/>
      <c r="AY3" s="89"/>
      <c r="AZ3" s="89"/>
      <c r="BA3" s="89"/>
      <c r="BB3" s="89"/>
      <c r="BC3" s="89"/>
      <c r="BD3" s="89"/>
      <c r="CC3" s="90"/>
      <c r="CE3" s="90"/>
      <c r="CG3" s="90"/>
      <c r="CI3" s="90"/>
      <c r="CK3" s="90"/>
      <c r="CM3" s="90"/>
    </row>
    <row r="4" spans="1:92" s="87" customFormat="1" ht="2.25" customHeight="1">
      <c r="A4" s="31"/>
      <c r="B4" s="35"/>
      <c r="C4" s="36"/>
      <c r="D4" s="36"/>
      <c r="E4" s="36"/>
      <c r="F4" s="36"/>
      <c r="G4" s="36"/>
      <c r="H4" s="36"/>
      <c r="I4" s="36"/>
      <c r="J4" s="36"/>
      <c r="K4" s="36"/>
      <c r="L4" s="37"/>
      <c r="M4" s="36"/>
      <c r="N4" s="36"/>
      <c r="O4" s="36"/>
      <c r="P4" s="36"/>
      <c r="Q4" s="36"/>
      <c r="R4" s="36"/>
      <c r="S4" s="36"/>
      <c r="T4" s="36"/>
      <c r="U4" s="36"/>
      <c r="V4" s="36"/>
      <c r="W4" s="38"/>
      <c r="X4" s="39"/>
      <c r="Y4" s="31"/>
      <c r="AV4" s="88"/>
      <c r="AW4" s="89"/>
      <c r="AX4" s="89"/>
      <c r="AY4" s="89"/>
      <c r="AZ4" s="89"/>
      <c r="BA4" s="89"/>
      <c r="BB4" s="89"/>
      <c r="BC4" s="89"/>
      <c r="BD4" s="89"/>
      <c r="CC4" s="90"/>
      <c r="CE4" s="90"/>
      <c r="CG4" s="90"/>
      <c r="CI4" s="90"/>
      <c r="CK4" s="90"/>
      <c r="CM4" s="90"/>
    </row>
    <row r="5" spans="1:92" s="87" customFormat="1" ht="6" customHeight="1">
      <c r="A5" s="31"/>
      <c r="B5" s="40"/>
      <c r="C5" s="41"/>
      <c r="D5" s="42"/>
      <c r="E5" s="42"/>
      <c r="F5" s="42"/>
      <c r="G5" s="42"/>
      <c r="H5" s="42"/>
      <c r="I5" s="43"/>
      <c r="J5" s="41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4"/>
      <c r="Y5" s="32"/>
      <c r="AV5" s="88"/>
      <c r="AW5" s="89"/>
      <c r="AX5" s="89"/>
      <c r="AY5" s="89"/>
      <c r="AZ5" s="89"/>
      <c r="BA5" s="89"/>
      <c r="BB5" s="89"/>
      <c r="BC5" s="89"/>
      <c r="BD5" s="89"/>
      <c r="CC5" s="90"/>
      <c r="CE5" s="90"/>
      <c r="CG5" s="90"/>
      <c r="CI5" s="90"/>
      <c r="CK5" s="90"/>
      <c r="CM5" s="90"/>
    </row>
    <row r="6" spans="1:92" s="87" customFormat="1" ht="12.75" customHeight="1">
      <c r="A6" s="31"/>
      <c r="B6" s="40"/>
      <c r="C6" s="41"/>
      <c r="D6" s="45"/>
      <c r="E6" s="45"/>
      <c r="F6" s="46" t="s">
        <v>0</v>
      </c>
      <c r="G6" s="1">
        <f>'[1]Estudio ADEK'!$K$538</f>
        <v>-18000.003333333334</v>
      </c>
      <c r="H6" s="47" t="s">
        <v>30</v>
      </c>
      <c r="I6" s="43"/>
      <c r="J6" s="41"/>
      <c r="K6" s="48" t="s">
        <v>2</v>
      </c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4"/>
      <c r="Y6" s="177"/>
      <c r="AV6" s="88"/>
      <c r="AW6" s="89"/>
      <c r="AX6" s="89"/>
      <c r="AY6" s="89"/>
      <c r="AZ6" s="89"/>
      <c r="BA6" s="89"/>
      <c r="BB6" s="89"/>
      <c r="BC6" s="89"/>
      <c r="BD6" s="89"/>
      <c r="CC6" s="90"/>
      <c r="CE6" s="90"/>
      <c r="CG6" s="90"/>
      <c r="CI6" s="90"/>
      <c r="CK6" s="90"/>
      <c r="CM6" s="90"/>
    </row>
    <row r="7" spans="1:92" s="87" customFormat="1" ht="6" customHeight="1">
      <c r="A7" s="49"/>
      <c r="B7" s="40"/>
      <c r="C7" s="41"/>
      <c r="D7" s="50"/>
      <c r="E7" s="50"/>
      <c r="F7" s="50"/>
      <c r="G7" s="50"/>
      <c r="H7" s="50"/>
      <c r="I7" s="43"/>
      <c r="J7" s="41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4"/>
      <c r="Y7" s="177"/>
      <c r="AV7" s="88"/>
      <c r="AW7" s="89"/>
      <c r="AX7" s="89"/>
      <c r="AY7" s="89"/>
      <c r="AZ7" s="89"/>
      <c r="BA7" s="89"/>
      <c r="BB7" s="89"/>
      <c r="BC7" s="89"/>
      <c r="BD7" s="89"/>
      <c r="CC7" s="90"/>
      <c r="CE7" s="90"/>
      <c r="CG7" s="90"/>
      <c r="CI7" s="90"/>
      <c r="CK7" s="90"/>
      <c r="CM7" s="90"/>
    </row>
    <row r="8" spans="1:92" s="87" customFormat="1" ht="12.75" customHeight="1">
      <c r="A8" s="31"/>
      <c r="B8" s="40"/>
      <c r="C8" s="41"/>
      <c r="D8" s="245" t="s">
        <v>112</v>
      </c>
      <c r="E8" s="245"/>
      <c r="F8" s="245"/>
      <c r="G8" s="1">
        <f>'[1]Flujo_Deuda FRANCES'!$I$5</f>
        <v>1.6361073237486812</v>
      </c>
      <c r="H8" s="51" t="s">
        <v>3</v>
      </c>
      <c r="I8" s="43"/>
      <c r="J8" s="41"/>
      <c r="K8" s="148" t="s">
        <v>4</v>
      </c>
      <c r="L8" s="42"/>
      <c r="M8" s="42"/>
      <c r="N8" s="42"/>
      <c r="O8" s="246" t="s">
        <v>5</v>
      </c>
      <c r="P8" s="246"/>
      <c r="Q8" s="42"/>
      <c r="R8" s="42"/>
      <c r="S8" s="148" t="s">
        <v>6</v>
      </c>
      <c r="T8" s="42"/>
      <c r="U8" s="42"/>
      <c r="V8" s="42"/>
      <c r="W8" s="42"/>
      <c r="X8" s="44"/>
      <c r="Y8" s="177"/>
      <c r="AV8" s="88"/>
      <c r="AW8" s="89"/>
      <c r="AX8" s="89"/>
      <c r="AY8" s="89"/>
      <c r="AZ8" s="89"/>
      <c r="BA8" s="89"/>
      <c r="BB8" s="89"/>
      <c r="BC8" s="89"/>
      <c r="BD8" s="89"/>
      <c r="CC8" s="90"/>
      <c r="CE8" s="90"/>
      <c r="CG8" s="90"/>
      <c r="CI8" s="90"/>
      <c r="CK8" s="90"/>
      <c r="CM8" s="90"/>
    </row>
    <row r="9" spans="1:92" s="87" customFormat="1" ht="6" customHeight="1">
      <c r="A9" s="31"/>
      <c r="B9" s="40"/>
      <c r="C9" s="41"/>
      <c r="D9" s="50"/>
      <c r="E9" s="50"/>
      <c r="F9" s="46"/>
      <c r="G9" s="46"/>
      <c r="H9" s="46"/>
      <c r="I9" s="43"/>
      <c r="J9" s="41"/>
      <c r="K9" s="52"/>
      <c r="L9" s="52"/>
      <c r="M9" s="42"/>
      <c r="N9" s="52"/>
      <c r="O9" s="52"/>
      <c r="P9" s="52"/>
      <c r="Q9" s="52"/>
      <c r="R9" s="42"/>
      <c r="S9" s="52"/>
      <c r="T9" s="42"/>
      <c r="U9" s="42"/>
      <c r="V9" s="42"/>
      <c r="W9" s="42"/>
      <c r="X9" s="44"/>
      <c r="Y9" s="31"/>
      <c r="AV9" s="88"/>
      <c r="AW9" s="89"/>
      <c r="AX9" s="89"/>
      <c r="AY9" s="89"/>
      <c r="AZ9" s="89"/>
      <c r="BA9" s="89"/>
      <c r="BB9" s="89"/>
      <c r="BC9" s="89"/>
      <c r="BD9" s="89"/>
      <c r="CC9" s="90"/>
      <c r="CE9" s="90"/>
      <c r="CG9" s="90"/>
      <c r="CI9" s="90"/>
      <c r="CK9" s="90"/>
      <c r="CM9" s="90"/>
    </row>
    <row r="10" spans="1:92" s="87" customFormat="1" ht="12.75" customHeight="1">
      <c r="A10" s="31"/>
      <c r="B10" s="40"/>
      <c r="C10" s="41"/>
      <c r="D10" s="50"/>
      <c r="E10" s="50"/>
      <c r="F10" s="46" t="s">
        <v>85</v>
      </c>
      <c r="G10" s="2">
        <v>36</v>
      </c>
      <c r="H10" s="53"/>
      <c r="I10" s="43"/>
      <c r="J10" s="41"/>
      <c r="K10" s="148" t="s">
        <v>121</v>
      </c>
      <c r="L10" s="52"/>
      <c r="M10" s="86" t="s">
        <v>91</v>
      </c>
      <c r="N10" s="52"/>
      <c r="O10" s="2">
        <v>0</v>
      </c>
      <c r="P10" s="52"/>
      <c r="Q10" s="52"/>
      <c r="R10" s="42"/>
      <c r="S10" s="52"/>
      <c r="T10" s="52"/>
      <c r="U10" s="52"/>
      <c r="V10" s="52"/>
      <c r="W10" s="52"/>
      <c r="X10" s="44"/>
      <c r="Y10" s="31"/>
      <c r="AV10" s="88"/>
      <c r="AW10" s="89"/>
      <c r="AX10" s="89"/>
      <c r="AY10" s="89"/>
      <c r="AZ10" s="89"/>
      <c r="BA10" s="89"/>
      <c r="BB10" s="89"/>
      <c r="BC10" s="89"/>
      <c r="BD10" s="89"/>
      <c r="CC10" s="90"/>
      <c r="CE10" s="90"/>
      <c r="CG10" s="90"/>
      <c r="CI10" s="90"/>
      <c r="CK10" s="90"/>
      <c r="CM10" s="90"/>
    </row>
    <row r="11" spans="1:92" s="87" customFormat="1" ht="6" customHeight="1">
      <c r="A11" s="31"/>
      <c r="B11" s="40"/>
      <c r="C11" s="41"/>
      <c r="D11" s="42"/>
      <c r="E11" s="42"/>
      <c r="F11" s="42"/>
      <c r="G11" s="42"/>
      <c r="H11" s="42"/>
      <c r="I11" s="43"/>
      <c r="J11" s="54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44"/>
      <c r="Y11" s="31"/>
      <c r="AV11" s="88"/>
      <c r="AW11" s="89"/>
      <c r="AX11" s="89"/>
      <c r="AY11" s="89"/>
      <c r="AZ11" s="89"/>
      <c r="BA11" s="89"/>
      <c r="BB11" s="89"/>
      <c r="BC11" s="89"/>
      <c r="BD11" s="89"/>
      <c r="CC11" s="90"/>
      <c r="CE11" s="90"/>
      <c r="CG11" s="90"/>
      <c r="CI11" s="90"/>
      <c r="CK11" s="90"/>
      <c r="CM11" s="90"/>
    </row>
    <row r="12" spans="1:92" s="87" customFormat="1" ht="12.75" customHeight="1">
      <c r="A12" s="31"/>
      <c r="B12" s="40"/>
      <c r="C12" s="41"/>
      <c r="D12" s="50"/>
      <c r="E12" s="50"/>
      <c r="F12" s="46" t="s">
        <v>7</v>
      </c>
      <c r="G12" s="3">
        <v>44340</v>
      </c>
      <c r="H12" s="42"/>
      <c r="I12" s="43"/>
      <c r="J12" s="42"/>
      <c r="K12" s="48" t="s">
        <v>8</v>
      </c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4"/>
      <c r="Y12" s="31"/>
      <c r="AV12" s="88"/>
      <c r="AW12" s="89"/>
      <c r="AX12" s="89"/>
      <c r="AY12" s="89"/>
      <c r="AZ12" s="89"/>
      <c r="BA12" s="89"/>
      <c r="BB12" s="89"/>
      <c r="BC12" s="89"/>
      <c r="BD12" s="89"/>
      <c r="CC12" s="90"/>
      <c r="CE12" s="90"/>
      <c r="CG12" s="90"/>
      <c r="CI12" s="90"/>
      <c r="CK12" s="90"/>
      <c r="CM12" s="90"/>
    </row>
    <row r="13" spans="1:92" s="87" customFormat="1" ht="6" customHeight="1">
      <c r="A13" s="31"/>
      <c r="B13" s="40"/>
      <c r="C13" s="41"/>
      <c r="D13" s="42"/>
      <c r="E13" s="42"/>
      <c r="F13" s="42"/>
      <c r="G13" s="42">
        <v>1</v>
      </c>
      <c r="H13" s="42"/>
      <c r="I13" s="43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4"/>
      <c r="Y13" s="31"/>
      <c r="AV13" s="88"/>
      <c r="AW13" s="89"/>
      <c r="AX13" s="89"/>
      <c r="AY13" s="89"/>
      <c r="AZ13" s="89"/>
      <c r="BA13" s="89"/>
      <c r="BB13" s="89"/>
      <c r="BC13" s="89"/>
      <c r="BD13" s="89"/>
      <c r="CC13" s="90"/>
      <c r="CE13" s="90"/>
      <c r="CG13" s="90"/>
      <c r="CI13" s="90"/>
      <c r="CK13" s="90"/>
      <c r="CM13" s="90"/>
    </row>
    <row r="14" spans="1:92" s="87" customFormat="1" ht="12.75" customHeight="1">
      <c r="A14" s="31"/>
      <c r="B14" s="40"/>
      <c r="C14" s="41"/>
      <c r="D14" s="42"/>
      <c r="E14" s="42"/>
      <c r="F14" s="46" t="s">
        <v>9</v>
      </c>
      <c r="G14" s="2">
        <v>24</v>
      </c>
      <c r="H14" s="42"/>
      <c r="I14" s="43"/>
      <c r="J14" s="42"/>
      <c r="K14" s="42"/>
      <c r="L14" s="46" t="s">
        <v>10</v>
      </c>
      <c r="M14" s="56">
        <v>5.0000000000000002E-5</v>
      </c>
      <c r="N14" s="42"/>
      <c r="O14" s="82">
        <f>TRUNC(((G6/(1-$M$14))-G6),1)+(IF(MOD(((G6/(1-$M$14))-G6)*100, 10)&gt;=5, 5,0)/100)</f>
        <v>-0.85</v>
      </c>
      <c r="P14" s="42"/>
      <c r="Q14" s="42"/>
      <c r="R14" s="42"/>
      <c r="S14" s="42"/>
      <c r="T14" s="42"/>
      <c r="U14" s="42"/>
      <c r="V14" s="42"/>
      <c r="W14" s="42"/>
      <c r="X14" s="44"/>
      <c r="Y14" s="31"/>
      <c r="AV14" s="88"/>
      <c r="AW14" s="89"/>
      <c r="AX14" s="89"/>
      <c r="AY14" s="89"/>
      <c r="AZ14" s="89"/>
      <c r="BA14" s="89"/>
      <c r="BB14" s="89"/>
      <c r="BC14" s="89"/>
      <c r="BD14" s="89"/>
      <c r="CC14" s="90"/>
      <c r="CE14" s="90"/>
      <c r="CG14" s="90"/>
      <c r="CI14" s="90"/>
      <c r="CK14" s="90"/>
      <c r="CM14" s="90"/>
    </row>
    <row r="15" spans="1:92" s="87" customFormat="1" ht="6" customHeight="1">
      <c r="A15" s="31"/>
      <c r="B15" s="40"/>
      <c r="C15" s="41"/>
      <c r="D15" s="42"/>
      <c r="E15" s="42"/>
      <c r="F15" s="42"/>
      <c r="G15" s="42"/>
      <c r="H15" s="42"/>
      <c r="I15" s="43"/>
      <c r="J15" s="42"/>
      <c r="K15" s="42"/>
      <c r="L15" s="48"/>
      <c r="M15" s="42"/>
      <c r="N15" s="42"/>
      <c r="O15" s="57"/>
      <c r="P15" s="57"/>
      <c r="Q15" s="57"/>
      <c r="R15" s="57"/>
      <c r="S15" s="57"/>
      <c r="T15" s="57"/>
      <c r="U15" s="57"/>
      <c r="V15" s="57"/>
      <c r="W15" s="57"/>
      <c r="X15" s="44"/>
      <c r="Y15" s="31"/>
      <c r="AV15" s="88"/>
      <c r="AW15" s="89"/>
      <c r="AX15" s="89"/>
      <c r="AY15" s="89"/>
      <c r="AZ15" s="89"/>
      <c r="BA15" s="89"/>
      <c r="BB15" s="89"/>
      <c r="BC15" s="89"/>
      <c r="BD15" s="89"/>
      <c r="CC15" s="90"/>
      <c r="CE15" s="90"/>
      <c r="CG15" s="90"/>
      <c r="CI15" s="90"/>
      <c r="CK15" s="90"/>
      <c r="CM15" s="90"/>
    </row>
    <row r="16" spans="1:92" s="87" customFormat="1" ht="16.5" customHeight="1">
      <c r="A16" s="31"/>
      <c r="B16" s="40"/>
      <c r="C16" s="41"/>
      <c r="D16" s="50"/>
      <c r="E16" s="50"/>
      <c r="F16" s="46" t="s">
        <v>11</v>
      </c>
      <c r="G16" s="168">
        <f>G6+O14+M17+Q18</f>
        <v>-18000.853333333333</v>
      </c>
      <c r="H16" s="42"/>
      <c r="I16" s="43"/>
      <c r="J16" s="42"/>
      <c r="K16" s="42"/>
      <c r="L16" s="46" t="s">
        <v>12</v>
      </c>
      <c r="M16" s="58" t="s">
        <v>34</v>
      </c>
      <c r="N16" s="42"/>
      <c r="O16" s="42"/>
      <c r="P16" s="57"/>
      <c r="Q16" s="57"/>
      <c r="R16" s="57"/>
      <c r="S16" s="60"/>
      <c r="T16" s="61"/>
      <c r="U16" s="61"/>
      <c r="V16" s="84">
        <f>IF(Factores!M24=TRUE,Factores!L24,0)</f>
        <v>0</v>
      </c>
      <c r="W16" s="57"/>
      <c r="X16" s="44"/>
      <c r="Y16" s="31"/>
      <c r="AV16" s="88"/>
      <c r="AW16" s="89"/>
      <c r="AX16" s="89"/>
      <c r="AY16" s="89"/>
      <c r="AZ16" s="89"/>
      <c r="BA16" s="89"/>
      <c r="BB16" s="89"/>
      <c r="BC16" s="89"/>
      <c r="BD16" s="89"/>
      <c r="CC16" s="90"/>
      <c r="CE16" s="90"/>
      <c r="CF16" s="87">
        <f>IF(AND(CF20=0,CF17&gt;120),1,0)</f>
        <v>0</v>
      </c>
      <c r="CG16" s="90"/>
      <c r="CI16" s="201"/>
      <c r="CK16" s="90"/>
      <c r="CM16" s="90"/>
    </row>
    <row r="17" spans="1:102" s="87" customFormat="1" ht="16.5" customHeight="1">
      <c r="A17" s="31"/>
      <c r="B17" s="40"/>
      <c r="C17" s="41"/>
      <c r="D17" s="42"/>
      <c r="E17" s="42"/>
      <c r="F17" s="42"/>
      <c r="G17" s="42"/>
      <c r="H17" s="42"/>
      <c r="I17" s="59"/>
      <c r="J17" s="42"/>
      <c r="K17" s="42"/>
      <c r="L17" s="42"/>
      <c r="M17" s="82">
        <f>IF(CF20=0,$CE$35,$CE$36)</f>
        <v>0</v>
      </c>
      <c r="N17" s="42"/>
      <c r="O17" s="57"/>
      <c r="P17" s="57"/>
      <c r="Q17" s="46" t="s">
        <v>15</v>
      </c>
      <c r="R17" s="42"/>
      <c r="S17" s="60"/>
      <c r="T17" s="61"/>
      <c r="U17" s="61"/>
      <c r="V17" s="84">
        <f>IF(Factores!M16=TRUE,Factores!L16,0)</f>
        <v>0</v>
      </c>
      <c r="W17" s="57"/>
      <c r="X17" s="44"/>
      <c r="Y17" s="31"/>
      <c r="AV17" s="88"/>
      <c r="AW17" s="89"/>
      <c r="AX17" s="89"/>
      <c r="AY17" s="89"/>
      <c r="AZ17" s="89"/>
      <c r="BA17" s="89"/>
      <c r="BB17" s="89"/>
      <c r="BC17" s="89"/>
      <c r="BD17" s="89"/>
      <c r="CC17" s="90"/>
      <c r="CE17" s="90"/>
      <c r="CF17" s="161">
        <f>G10</f>
        <v>36</v>
      </c>
      <c r="CG17" s="90"/>
      <c r="CI17" s="90">
        <f>VLOOKUP($G$10*(CJ23-1),Factores!$G:$H,2,1)</f>
        <v>1.8816733589340478E-2</v>
      </c>
      <c r="CK17" s="90"/>
      <c r="CM17" s="90"/>
    </row>
    <row r="18" spans="1:102" s="87" customFormat="1" ht="16.5" customHeight="1">
      <c r="A18" s="31"/>
      <c r="B18" s="40"/>
      <c r="C18" s="41"/>
      <c r="D18" s="46"/>
      <c r="E18" s="46"/>
      <c r="F18" s="46" t="s">
        <v>14</v>
      </c>
      <c r="G18" s="83">
        <f>IF(G6="",0,(POWER((1+$AT$26),360)-1)*100)</f>
        <v>14.847311166130295</v>
      </c>
      <c r="H18" s="62" t="s">
        <v>3</v>
      </c>
      <c r="I18" s="63"/>
      <c r="J18" s="51"/>
      <c r="K18" s="51" t="s">
        <v>119</v>
      </c>
      <c r="L18" s="51"/>
      <c r="M18" s="197"/>
      <c r="N18" s="197"/>
      <c r="O18" s="198"/>
      <c r="P18" s="141"/>
      <c r="Q18" s="82">
        <f>CG32</f>
        <v>0</v>
      </c>
      <c r="R18" s="42"/>
      <c r="S18" s="60"/>
      <c r="T18" s="61"/>
      <c r="U18" s="61"/>
      <c r="V18" s="85">
        <f>IF(Factores!M20=TRUE,Factores!L20,0)</f>
        <v>0</v>
      </c>
      <c r="W18" s="57"/>
      <c r="X18" s="44"/>
      <c r="Y18" s="31"/>
      <c r="AV18" s="88"/>
      <c r="AW18" s="89"/>
      <c r="AX18" s="89"/>
      <c r="AY18" s="89"/>
      <c r="AZ18" s="89"/>
      <c r="BA18" s="89"/>
      <c r="BB18" s="89"/>
      <c r="BC18" s="89"/>
      <c r="BD18" s="89"/>
      <c r="CC18" s="90"/>
      <c r="CE18" s="90"/>
      <c r="CF18" s="89" t="b">
        <v>0</v>
      </c>
      <c r="CG18" s="90"/>
      <c r="CI18" s="90"/>
      <c r="CK18" s="90"/>
      <c r="CM18" s="90"/>
    </row>
    <row r="19" spans="1:102" s="87" customFormat="1" ht="9" hidden="1" customHeight="1">
      <c r="A19" s="31"/>
      <c r="B19" s="40"/>
      <c r="C19" s="41"/>
      <c r="D19" s="42"/>
      <c r="E19" s="42"/>
      <c r="F19" s="158"/>
      <c r="G19" s="42"/>
      <c r="H19" s="42"/>
      <c r="I19" s="63"/>
      <c r="J19" s="42"/>
      <c r="K19" s="42"/>
      <c r="L19" s="42"/>
      <c r="M19" s="51"/>
      <c r="N19" s="51"/>
      <c r="O19" s="57"/>
      <c r="P19" s="57"/>
      <c r="Q19" s="57"/>
      <c r="R19" s="42"/>
      <c r="S19" s="57"/>
      <c r="T19" s="57"/>
      <c r="U19" s="57"/>
      <c r="V19" s="57"/>
      <c r="W19" s="57"/>
      <c r="X19" s="44"/>
      <c r="Y19" s="31"/>
      <c r="AV19" s="88"/>
      <c r="AW19" s="89"/>
      <c r="AX19" s="89"/>
      <c r="AY19" s="89"/>
      <c r="AZ19" s="89"/>
      <c r="BA19" s="89"/>
      <c r="BB19" s="89"/>
      <c r="BC19" s="89"/>
      <c r="BD19" s="89"/>
      <c r="CC19" s="90"/>
      <c r="CE19" s="90"/>
      <c r="CF19" s="89"/>
      <c r="CG19" s="90"/>
      <c r="CI19" s="90"/>
      <c r="CK19" s="90"/>
      <c r="CM19" s="90"/>
    </row>
    <row r="20" spans="1:102" s="87" customFormat="1" ht="16.5" customHeight="1">
      <c r="A20" s="31"/>
      <c r="B20" s="40"/>
      <c r="C20" s="41"/>
      <c r="D20" s="42"/>
      <c r="E20" s="42"/>
      <c r="F20" s="158"/>
      <c r="G20" s="42"/>
      <c r="H20" s="42"/>
      <c r="I20" s="63"/>
      <c r="J20" s="42"/>
      <c r="K20" s="42"/>
      <c r="L20" s="42"/>
      <c r="M20" s="197"/>
      <c r="N20" s="197"/>
      <c r="O20" s="198"/>
      <c r="P20" s="42"/>
      <c r="Q20" s="42"/>
      <c r="R20" s="42"/>
      <c r="S20" s="60"/>
      <c r="T20" s="61"/>
      <c r="U20" s="61"/>
      <c r="V20" s="85">
        <f>IF(Factores!M33=TRUE,Factores!L33,0)</f>
        <v>0</v>
      </c>
      <c r="W20" s="57"/>
      <c r="X20" s="44"/>
      <c r="Y20" s="31"/>
      <c r="AA20" s="178" t="s">
        <v>107</v>
      </c>
      <c r="AV20" s="88"/>
      <c r="AW20" s="89"/>
      <c r="AX20" s="89"/>
      <c r="AY20" s="89"/>
      <c r="AZ20" s="89"/>
      <c r="BA20" s="89"/>
      <c r="BB20" s="89"/>
      <c r="BC20" s="89"/>
      <c r="BD20" s="89"/>
      <c r="CC20" s="90"/>
      <c r="CE20" s="90"/>
      <c r="CF20" s="159">
        <f>IF(CF18=TRUE,1,0)</f>
        <v>0</v>
      </c>
      <c r="CG20" s="90"/>
      <c r="CI20" s="90"/>
      <c r="CK20" s="90"/>
      <c r="CM20" s="90"/>
    </row>
    <row r="21" spans="1:102" s="87" customFormat="1" ht="16.5" customHeight="1">
      <c r="A21" s="31"/>
      <c r="B21" s="40"/>
      <c r="C21" s="41"/>
      <c r="D21" s="42"/>
      <c r="E21" s="42"/>
      <c r="F21" s="42"/>
      <c r="G21" s="42"/>
      <c r="H21" s="42"/>
      <c r="I21" s="63"/>
      <c r="J21" s="42"/>
      <c r="K21" s="42"/>
      <c r="L21" s="42"/>
      <c r="M21" s="197"/>
      <c r="N21" s="197"/>
      <c r="O21" s="198"/>
      <c r="P21" s="42"/>
      <c r="Q21" s="42"/>
      <c r="R21" s="42"/>
      <c r="S21" s="60"/>
      <c r="T21" s="175" t="s">
        <v>107</v>
      </c>
      <c r="U21" s="176">
        <v>0</v>
      </c>
      <c r="V21" s="85">
        <f>IF(Factores!M29=TRUE,Factores!L29,0)</f>
        <v>0</v>
      </c>
      <c r="W21" s="57"/>
      <c r="X21" s="44"/>
      <c r="Y21" s="31"/>
      <c r="AA21" s="178" t="s">
        <v>108</v>
      </c>
      <c r="AV21" s="88"/>
      <c r="AW21" s="89"/>
      <c r="AX21" s="89"/>
      <c r="AY21" s="89"/>
      <c r="AZ21" s="89"/>
      <c r="BA21" s="89"/>
      <c r="BB21" s="89"/>
      <c r="BC21" s="89"/>
      <c r="BD21" s="89"/>
      <c r="CB21" s="90"/>
      <c r="CD21" s="90"/>
      <c r="CF21" s="90"/>
      <c r="CH21" s="90"/>
      <c r="CJ21" s="90"/>
      <c r="CL21" s="90"/>
      <c r="CN21" s="90"/>
    </row>
    <row r="22" spans="1:102" s="87" customFormat="1" ht="3.95" customHeight="1">
      <c r="A22" s="31"/>
      <c r="B22" s="64"/>
      <c r="C22" s="65"/>
      <c r="D22" s="65"/>
      <c r="E22" s="66"/>
      <c r="F22" s="66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8"/>
      <c r="T22" s="68"/>
      <c r="U22" s="68"/>
      <c r="V22" s="68"/>
      <c r="W22" s="68"/>
      <c r="X22" s="69"/>
      <c r="Y22" s="31"/>
      <c r="AV22" s="88"/>
      <c r="AW22" s="89"/>
      <c r="AX22" s="89"/>
      <c r="AY22" s="89"/>
      <c r="AZ22" s="89"/>
      <c r="BA22" s="89"/>
      <c r="BB22" s="89"/>
      <c r="BC22" s="89"/>
      <c r="BD22" s="89"/>
      <c r="CB22" s="90"/>
      <c r="CD22" s="90"/>
      <c r="CF22" s="90"/>
      <c r="CH22" s="90"/>
      <c r="CJ22" s="90"/>
      <c r="CL22" s="90"/>
      <c r="CN22" s="90"/>
    </row>
    <row r="23" spans="1:102" s="89" customFormat="1" ht="12.95" customHeight="1">
      <c r="A23" s="32"/>
      <c r="B23" s="32" t="s">
        <v>109</v>
      </c>
      <c r="C23" s="32"/>
      <c r="D23" s="32"/>
      <c r="E23" s="32"/>
      <c r="F23" s="32"/>
      <c r="G23" s="70"/>
      <c r="H23" s="70"/>
      <c r="I23" s="70"/>
      <c r="J23" s="70"/>
      <c r="K23" s="70"/>
      <c r="L23" s="70"/>
      <c r="M23" s="164"/>
      <c r="N23" s="70"/>
      <c r="O23" s="70"/>
      <c r="P23" s="70"/>
      <c r="Q23" s="70"/>
      <c r="R23" s="70"/>
      <c r="S23" s="70"/>
      <c r="T23" s="32"/>
      <c r="U23" s="32"/>
      <c r="V23" s="32"/>
      <c r="W23" s="32"/>
      <c r="X23" s="32"/>
      <c r="Y23" s="32"/>
      <c r="AI23" s="91"/>
      <c r="AJ23" s="91">
        <f>AJ24</f>
        <v>-668.6</v>
      </c>
      <c r="AK23" s="91" t="s">
        <v>22</v>
      </c>
      <c r="AV23" s="92"/>
      <c r="CA23" s="93" t="s">
        <v>24</v>
      </c>
      <c r="CB23" s="94">
        <f>VLOOKUP($H$6,CA24:CB28,2,0)</f>
        <v>1</v>
      </c>
      <c r="CC23" s="93" t="s">
        <v>23</v>
      </c>
      <c r="CD23" s="94">
        <f>VLOOKUP($D$8,CC24:CD28,2,0)</f>
        <v>1</v>
      </c>
      <c r="CE23" s="93" t="s">
        <v>28</v>
      </c>
      <c r="CF23" s="94">
        <f>VLOOKUP($M$16,CE24:CF28,2,0)</f>
        <v>2</v>
      </c>
      <c r="CG23" s="93" t="s">
        <v>29</v>
      </c>
      <c r="CH23" s="94">
        <f>VLOOKUP($K$8,CG24:CH28,2,0)</f>
        <v>2</v>
      </c>
      <c r="CI23" s="93" t="s">
        <v>25</v>
      </c>
      <c r="CJ23" s="94">
        <f>VLOOKUP($K$8,CI24:CJ28,2,0)</f>
        <v>2</v>
      </c>
      <c r="CK23" s="93" t="s">
        <v>26</v>
      </c>
      <c r="CL23" s="94">
        <f>VLOOKUP($O$8,CK24:CL28,2,0)</f>
        <v>1</v>
      </c>
      <c r="CM23" s="93" t="s">
        <v>27</v>
      </c>
      <c r="CN23" s="94">
        <f>VLOOKUP($S$8,CM24:CN28,2,0)</f>
        <v>1</v>
      </c>
    </row>
    <row r="24" spans="1:102" s="89" customFormat="1" ht="12.95" customHeight="1">
      <c r="A24" s="32"/>
      <c r="B24" s="177" t="s">
        <v>110</v>
      </c>
      <c r="C24" s="32"/>
      <c r="D24" s="32"/>
      <c r="E24" s="32"/>
      <c r="F24" s="32"/>
      <c r="G24" s="154"/>
      <c r="H24" s="32"/>
      <c r="I24" s="70"/>
      <c r="J24" s="70"/>
      <c r="K24" s="165"/>
      <c r="L24" s="70"/>
      <c r="M24" s="162"/>
      <c r="N24" s="70"/>
      <c r="O24" s="70"/>
      <c r="P24" s="70"/>
      <c r="Q24" s="70"/>
      <c r="R24" s="70"/>
      <c r="S24" s="70"/>
      <c r="T24" s="32"/>
      <c r="U24" s="32"/>
      <c r="V24" s="32"/>
      <c r="W24" s="32"/>
      <c r="X24" s="32"/>
      <c r="Y24" s="32"/>
      <c r="AJ24" s="91">
        <f>TRUNC(ROUND($AJ$25/AI29,2),1)</f>
        <v>-668.6</v>
      </c>
      <c r="AK24" s="91" t="s">
        <v>65</v>
      </c>
      <c r="AR24" s="95"/>
      <c r="AV24" s="92"/>
      <c r="CA24" s="96" t="s">
        <v>30</v>
      </c>
      <c r="CB24" s="97">
        <v>1</v>
      </c>
      <c r="CC24" s="96" t="s">
        <v>112</v>
      </c>
      <c r="CD24" s="97">
        <v>1</v>
      </c>
      <c r="CE24" s="96" t="s">
        <v>13</v>
      </c>
      <c r="CF24" s="97">
        <v>1</v>
      </c>
      <c r="CG24" s="96" t="s">
        <v>31</v>
      </c>
      <c r="CH24" s="97">
        <v>1</v>
      </c>
      <c r="CI24" s="96" t="s">
        <v>31</v>
      </c>
      <c r="CJ24" s="97">
        <v>1</v>
      </c>
      <c r="CK24" s="96" t="s">
        <v>5</v>
      </c>
      <c r="CL24" s="97">
        <v>1</v>
      </c>
      <c r="CM24" s="96" t="s">
        <v>6</v>
      </c>
      <c r="CN24" s="97">
        <v>1</v>
      </c>
    </row>
    <row r="25" spans="1:102" s="89" customFormat="1" ht="12.95" customHeight="1">
      <c r="A25" s="32"/>
      <c r="B25" s="177" t="s">
        <v>111</v>
      </c>
      <c r="C25" s="32"/>
      <c r="D25" s="32"/>
      <c r="E25" s="32"/>
      <c r="F25" s="32"/>
      <c r="G25"/>
      <c r="H25" s="32"/>
      <c r="I25" s="32"/>
      <c r="J25" s="32"/>
      <c r="K25" s="32"/>
      <c r="L25" s="32"/>
      <c r="M25" s="163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71"/>
      <c r="AI25" s="89">
        <f>AJ25/AI29</f>
        <v>-668.63246679914278</v>
      </c>
      <c r="AJ25" s="98">
        <f>IF($CL$23=3,$G$16*POWER(1+$CC$32,$CK$33-$G$12),$G$16)</f>
        <v>-18000.853333333333</v>
      </c>
      <c r="AK25" s="142">
        <f>AJ25/SUM(AI31:AI42)</f>
        <v>-1667.8087898678361</v>
      </c>
      <c r="AQ25" s="99"/>
      <c r="AV25" s="100"/>
      <c r="CA25" s="101" t="s">
        <v>32</v>
      </c>
      <c r="CB25" s="102">
        <v>2</v>
      </c>
      <c r="CC25" s="101" t="s">
        <v>113</v>
      </c>
      <c r="CD25" s="102">
        <v>2</v>
      </c>
      <c r="CE25" s="101" t="s">
        <v>34</v>
      </c>
      <c r="CF25" s="102">
        <v>2</v>
      </c>
      <c r="CG25" s="101" t="s">
        <v>4</v>
      </c>
      <c r="CH25" s="102">
        <v>2</v>
      </c>
      <c r="CI25" s="101" t="s">
        <v>4</v>
      </c>
      <c r="CJ25" s="102">
        <f>CJ24+1</f>
        <v>2</v>
      </c>
      <c r="CK25" s="101" t="s">
        <v>33</v>
      </c>
      <c r="CL25" s="102">
        <v>2</v>
      </c>
      <c r="CM25" s="101" t="s">
        <v>94</v>
      </c>
      <c r="CN25" s="102">
        <v>2</v>
      </c>
    </row>
    <row r="26" spans="1:102" s="89" customFormat="1" ht="12.95" customHeight="1">
      <c r="A26" s="32"/>
      <c r="B26" s="32" t="s">
        <v>122</v>
      </c>
      <c r="C26" s="32"/>
      <c r="D26" s="7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71"/>
      <c r="Y26" s="71"/>
      <c r="AQ26" s="99"/>
      <c r="AT26" s="103">
        <v>3.8461097487488689E-4</v>
      </c>
      <c r="AV26" s="92"/>
      <c r="CA26" s="101" t="s">
        <v>1</v>
      </c>
      <c r="CB26" s="102">
        <v>3</v>
      </c>
      <c r="CC26" s="101"/>
      <c r="CD26" s="102"/>
      <c r="CE26" s="101"/>
      <c r="CF26" s="102"/>
      <c r="CG26" s="101" t="s">
        <v>86</v>
      </c>
      <c r="CH26" s="102">
        <v>3</v>
      </c>
      <c r="CI26" s="101" t="s">
        <v>86</v>
      </c>
      <c r="CJ26" s="102">
        <f>CJ25+1</f>
        <v>3</v>
      </c>
      <c r="CK26" s="101" t="s">
        <v>36</v>
      </c>
      <c r="CL26" s="102">
        <v>3</v>
      </c>
      <c r="CM26" s="101"/>
      <c r="CN26" s="102"/>
    </row>
    <row r="27" spans="1:102" s="89" customFormat="1" ht="12.95" customHeight="1">
      <c r="A27" s="71"/>
      <c r="B27" s="32"/>
      <c r="C27" s="32"/>
      <c r="D27" s="72"/>
      <c r="E27" s="32"/>
      <c r="F27" s="32"/>
      <c r="G27" s="32"/>
      <c r="H27" s="73" t="s">
        <v>88</v>
      </c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71"/>
      <c r="Y27" s="71"/>
      <c r="AQ27" s="104" t="s">
        <v>27</v>
      </c>
      <c r="AR27" s="104" t="s">
        <v>84</v>
      </c>
      <c r="AS27" s="105" t="s">
        <v>37</v>
      </c>
      <c r="AT27" s="106">
        <f>G6-AT29</f>
        <v>-36000.006612823978</v>
      </c>
      <c r="AV27" s="92"/>
      <c r="AW27" s="107" t="s">
        <v>31</v>
      </c>
      <c r="AX27" s="107"/>
      <c r="AY27" s="107" t="s">
        <v>4</v>
      </c>
      <c r="AZ27" s="107"/>
      <c r="BA27" s="107" t="s">
        <v>86</v>
      </c>
      <c r="BB27" s="107"/>
      <c r="BC27" s="107" t="s">
        <v>35</v>
      </c>
      <c r="BD27" s="107"/>
      <c r="CA27" s="101"/>
      <c r="CB27" s="102"/>
      <c r="CC27" s="101"/>
      <c r="CD27" s="102"/>
      <c r="CE27" s="101"/>
      <c r="CF27" s="102"/>
      <c r="CG27" s="101" t="s">
        <v>35</v>
      </c>
      <c r="CH27" s="102">
        <v>4</v>
      </c>
      <c r="CI27" s="101" t="s">
        <v>35</v>
      </c>
      <c r="CJ27" s="102">
        <f>CJ26+1</f>
        <v>4</v>
      </c>
      <c r="CK27" s="101"/>
      <c r="CL27" s="102"/>
      <c r="CM27" s="101"/>
      <c r="CN27" s="102"/>
    </row>
    <row r="28" spans="1:102" s="89" customFormat="1" ht="12.95" customHeight="1">
      <c r="A28" s="71"/>
      <c r="B28" s="32"/>
      <c r="C28" s="32"/>
      <c r="D28" s="7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71"/>
      <c r="Y28" s="71"/>
      <c r="AG28" s="108" t="s">
        <v>95</v>
      </c>
      <c r="AI28" s="108" t="s">
        <v>38</v>
      </c>
      <c r="AJ28" s="108" t="s">
        <v>39</v>
      </c>
      <c r="AK28" s="108" t="s">
        <v>40</v>
      </c>
      <c r="AL28" s="108" t="s">
        <v>41</v>
      </c>
      <c r="AM28" s="108" t="s">
        <v>42</v>
      </c>
      <c r="AN28" s="109" t="s">
        <v>43</v>
      </c>
      <c r="AO28" s="109" t="s">
        <v>44</v>
      </c>
      <c r="AP28" s="109" t="s">
        <v>45</v>
      </c>
      <c r="AQ28" s="110" t="s">
        <v>46</v>
      </c>
      <c r="AR28" s="110" t="s">
        <v>47</v>
      </c>
      <c r="AS28" s="110" t="s">
        <v>47</v>
      </c>
      <c r="AT28" s="111" t="s">
        <v>66</v>
      </c>
      <c r="AV28" s="112">
        <f>CJ23</f>
        <v>2</v>
      </c>
      <c r="AW28" s="113" t="s">
        <v>87</v>
      </c>
      <c r="AX28" s="114" t="s">
        <v>42</v>
      </c>
      <c r="AY28" s="114" t="s">
        <v>41</v>
      </c>
      <c r="AZ28" s="114" t="s">
        <v>42</v>
      </c>
      <c r="BA28" s="114" t="s">
        <v>41</v>
      </c>
      <c r="BB28" s="114" t="s">
        <v>42</v>
      </c>
      <c r="BC28" s="114" t="s">
        <v>41</v>
      </c>
      <c r="BD28" s="115" t="s">
        <v>42</v>
      </c>
      <c r="BE28" s="116">
        <f>INT(G10/2)+1</f>
        <v>19</v>
      </c>
      <c r="CA28" s="117"/>
      <c r="CB28" s="118"/>
      <c r="CC28" s="117"/>
      <c r="CD28" s="118"/>
      <c r="CE28" s="117"/>
      <c r="CF28" s="118"/>
      <c r="CG28" s="117"/>
      <c r="CH28" s="118"/>
      <c r="CI28" s="117"/>
      <c r="CJ28" s="118"/>
      <c r="CK28" s="117"/>
      <c r="CL28" s="118"/>
      <c r="CM28" s="117"/>
      <c r="CN28" s="118"/>
    </row>
    <row r="29" spans="1:102" s="87" customFormat="1" ht="16.5" customHeight="1">
      <c r="A29" s="75"/>
      <c r="B29" s="31"/>
      <c r="C29" s="31"/>
      <c r="D29" s="72"/>
      <c r="E29" s="31"/>
      <c r="F29" s="167" t="s">
        <v>16</v>
      </c>
      <c r="G29" s="167" t="s">
        <v>17</v>
      </c>
      <c r="H29" s="243" t="s">
        <v>18</v>
      </c>
      <c r="I29" s="247"/>
      <c r="J29" s="244"/>
      <c r="K29" s="167" t="s">
        <v>19</v>
      </c>
      <c r="L29" s="243" t="s">
        <v>20</v>
      </c>
      <c r="M29" s="247"/>
      <c r="N29" s="244"/>
      <c r="O29" s="196" t="s">
        <v>120</v>
      </c>
      <c r="P29" s="184" t="s">
        <v>21</v>
      </c>
      <c r="Q29" s="167" t="s">
        <v>79</v>
      </c>
      <c r="R29" s="243" t="s">
        <v>22</v>
      </c>
      <c r="S29" s="244"/>
      <c r="T29" s="31"/>
      <c r="U29" s="31"/>
      <c r="V29" s="31"/>
      <c r="W29" s="31"/>
      <c r="X29" s="75"/>
      <c r="Y29" s="75"/>
      <c r="AI29" s="119">
        <f>IF($CL$23=1,SUM(AI30:AI329),IF($CL$23=2,SUM(AJ30:AJ329),SUM(AK30:AK329)))</f>
        <v>26.921895401679304</v>
      </c>
      <c r="AL29" s="120">
        <f>IF($AV$28=1,AW29,IF($AV$28=2,AY29,IF($AV$28=3,BA29,BC29)))</f>
        <v>5</v>
      </c>
      <c r="AM29" s="120">
        <f>IF($AV$28=1,AX29,IF($AV$28=2,AZ29,IF($AV$28=3,BB29,BD29)))</f>
        <v>2021</v>
      </c>
      <c r="AN29" s="95"/>
      <c r="AO29" s="95"/>
      <c r="AP29" s="121">
        <f>IF($AV$28=1,"",DATE(AM31,AL31,1)-1)</f>
        <v>44347</v>
      </c>
      <c r="AQ29" s="122"/>
      <c r="AR29" s="122"/>
      <c r="AS29" s="122"/>
      <c r="AT29" s="123">
        <f>SUM(AT30:AT329)</f>
        <v>18000.003279490644</v>
      </c>
      <c r="AV29" s="88"/>
      <c r="AW29" s="124">
        <f>IF(DAY(G12)&gt;G14,MONTH(G12)+1,MONTH(G12))</f>
        <v>5</v>
      </c>
      <c r="AX29" s="125">
        <f>IF(AY29&gt;12,YEAR(G12)+1,YEAR(G12))</f>
        <v>2021</v>
      </c>
      <c r="AY29" s="124">
        <f>IF(AND(DAY(G12)&gt;G14,CN23=1),MONTH(G12)+1,MONTH(G12))</f>
        <v>5</v>
      </c>
      <c r="AZ29" s="125">
        <f>IF(AY29&gt;12,YEAR(G12)+1,YEAR(G12))</f>
        <v>2021</v>
      </c>
      <c r="BA29" s="124">
        <f>IF(DAY(G12)&gt;G14,MONTH(G12)+1,MONTH(G12))</f>
        <v>5</v>
      </c>
      <c r="BB29" s="125">
        <f>IF(AY29&gt;12,YEAR(G12)+1,YEAR(G12))</f>
        <v>2021</v>
      </c>
      <c r="BC29" s="124">
        <f>IF(DAY(G12)&gt;G14,MONTH(G12),MONTH(G12))</f>
        <v>5</v>
      </c>
      <c r="BD29" s="125">
        <f>IF(BC29&gt;12,YEAR(G12)+1,YEAR(G12))</f>
        <v>2021</v>
      </c>
      <c r="BE29" s="89"/>
      <c r="BF29" s="89"/>
      <c r="CA29" s="126"/>
      <c r="CB29" s="90"/>
      <c r="CC29" s="126"/>
      <c r="CD29" s="90"/>
      <c r="CE29" s="126"/>
      <c r="CF29" s="90"/>
      <c r="CG29" s="126"/>
      <c r="CH29" s="90"/>
      <c r="CS29" s="152" t="s">
        <v>33</v>
      </c>
      <c r="CT29" s="152" t="s">
        <v>36</v>
      </c>
      <c r="CU29" s="153"/>
      <c r="CV29" s="152" t="s">
        <v>96</v>
      </c>
      <c r="CW29" s="155" t="s">
        <v>97</v>
      </c>
      <c r="CX29" s="155" t="s">
        <v>98</v>
      </c>
    </row>
    <row r="30" spans="1:102" s="206" customFormat="1" ht="12.75" customHeight="1">
      <c r="A30" s="204"/>
      <c r="B30" s="205"/>
      <c r="C30" s="205"/>
      <c r="D30" s="72"/>
      <c r="E30" s="205"/>
      <c r="F30" s="185"/>
      <c r="G30" s="202"/>
      <c r="H30" s="248">
        <f>G16</f>
        <v>-18000.853333333333</v>
      </c>
      <c r="I30" s="248"/>
      <c r="J30" s="248"/>
      <c r="K30" s="186"/>
      <c r="L30" s="248"/>
      <c r="M30" s="248"/>
      <c r="N30" s="248"/>
      <c r="O30" s="190"/>
      <c r="P30" s="190"/>
      <c r="Q30" s="185"/>
      <c r="R30" s="239"/>
      <c r="S30" s="239"/>
      <c r="T30" s="205"/>
      <c r="U30" s="205"/>
      <c r="V30" s="205"/>
      <c r="W30" s="205"/>
      <c r="X30" s="204"/>
      <c r="Y30" s="204"/>
      <c r="AL30" s="120"/>
      <c r="AM30" s="120"/>
      <c r="AT30" s="207"/>
      <c r="AU30" s="95"/>
      <c r="AV30" s="208"/>
      <c r="AW30" s="107"/>
      <c r="AX30" s="107"/>
      <c r="AY30" s="107"/>
      <c r="AZ30" s="107"/>
      <c r="BA30" s="107"/>
      <c r="BB30" s="107"/>
      <c r="BC30" s="107"/>
      <c r="BD30" s="107"/>
      <c r="BE30" s="89"/>
      <c r="BF30" s="89"/>
      <c r="CB30" s="208"/>
      <c r="CD30" s="208"/>
      <c r="CF30" s="208"/>
      <c r="CH30" s="208"/>
      <c r="CP30" s="209">
        <f>IF(AND($CL$23=3,$O$10&gt;=$AH31),$G$12,IF(AND($CL$23=3,$CN$23=2),AG31,IF($AV$28=1,$AW$31,IF($CN$23=1,DATE(AM31,AL31,$G$14),IF($AV$28=2,$G$12+30,IF($AV$28=3,$G$12+60,$G$12+90))))))</f>
        <v>44371</v>
      </c>
    </row>
    <row r="31" spans="1:102" s="211" customFormat="1" ht="12.75" customHeight="1">
      <c r="A31" s="204"/>
      <c r="B31" s="205"/>
      <c r="C31" s="205"/>
      <c r="D31" s="72"/>
      <c r="E31" s="210"/>
      <c r="F31" s="187">
        <v>1</v>
      </c>
      <c r="G31" s="188">
        <v>44371</v>
      </c>
      <c r="H31" s="242">
        <f>H30-K31</f>
        <v>-18401.543333333331</v>
      </c>
      <c r="I31" s="242"/>
      <c r="J31" s="242"/>
      <c r="K31" s="189">
        <v>400.69</v>
      </c>
      <c r="L31" s="242">
        <v>215.81</v>
      </c>
      <c r="M31" s="242"/>
      <c r="N31" s="242"/>
      <c r="O31" s="190"/>
      <c r="P31" s="190">
        <f>K31+L31+O31</f>
        <v>616.5</v>
      </c>
      <c r="Q31" s="191">
        <f>TRUNC(((($P31)/(1-$M$14))-($P31)),1)+(IF(MOD(((($P31)/(1-$M$14))-($P31))*100, 10)&gt;=5, 5, 0)/100)</f>
        <v>0</v>
      </c>
      <c r="R31" s="233">
        <f>Q31+P31</f>
        <v>616.5</v>
      </c>
      <c r="S31" s="234"/>
      <c r="T31" s="204"/>
      <c r="U31" s="204"/>
      <c r="V31" s="204"/>
      <c r="W31" s="204"/>
      <c r="X31" s="204"/>
      <c r="Y31" s="204"/>
      <c r="AF31" s="212"/>
      <c r="AG31" s="213">
        <f>$G$12+30</f>
        <v>44370</v>
      </c>
      <c r="AH31" s="211">
        <v>1</v>
      </c>
      <c r="AI31" s="127">
        <f>1/POWER(1+$CC$32,IF($CL$23=3,$CX31,$AO31))</f>
        <v>0.98337019868114028</v>
      </c>
      <c r="AJ31" s="127" t="e">
        <f>IF($AH31&lt;=$CK$32,0,1/POWER(1+$CC$32,$CV31-$G$12-VLOOKUP($CK$32,$AH$31:$AO$500,8,0)))</f>
        <v>#N/A</v>
      </c>
      <c r="AK31" s="211" t="e">
        <f>IF(OR($AJ31=0,$AJ30=0),0,$AI31)</f>
        <v>#N/A</v>
      </c>
      <c r="AL31" s="120">
        <f>IF($AV$28=1,AW31,IF($AV$28=2,AY31,IF($AV$28=3,BA31,BC31)))</f>
        <v>6</v>
      </c>
      <c r="AM31" s="120">
        <f>IF($AV$28=1,AX31,IF($AV$28=2,AZ31,IF($AV$28=3,BB31,BD31)))</f>
        <v>2021</v>
      </c>
      <c r="AN31" s="128">
        <f>IF($CN$23=2,CW31,CV31-G12)</f>
        <v>31</v>
      </c>
      <c r="AO31" s="128">
        <f>IF($CN$23=2,CX31,CV31-$G$12)</f>
        <v>31</v>
      </c>
      <c r="AP31" s="99">
        <f>IF($AV$28=1,"",DATE(AM32,AL32,1)-1)</f>
        <v>44377</v>
      </c>
      <c r="AQ31" s="99">
        <f>IF(AND($CL$23=3,$O$10&gt;=$AH31),$G$12,IF(AND($CL$23=3,$CN$23=2),AG31,IF($AV$28=1,$AW$31,IF($CN$23=1,DATE(AM31,AL31,$G$14),IF($AV$28=2,$G$12+30,IF($AV$28=3,$G$12+60,$G$12+90))))))</f>
        <v>44371</v>
      </c>
      <c r="AR31" s="144">
        <f>$AQ31+IF(AND(DAY($AQ31)=27,MONTH($AQ31)=7),3,IF(AND(WEEKDAY($AQ31)=5,ISERROR(VLOOKUP($AQ31+1,Factores!$A:$A,1,0))=FALSE),4,IF(OR(WEEKDAY($AQ31)=1,ISERROR(VLOOKUP($AQ31,Factores!$A:$A,1,0))=FALSE),1,IF(WEEKDAY($AQ31)=7,2,0))))</f>
        <v>44371</v>
      </c>
      <c r="AS31" s="144">
        <v>44371</v>
      </c>
      <c r="AT31" s="129">
        <f>P31/POWER(1+$AT$26,AO31)</f>
        <v>609.19454989051792</v>
      </c>
      <c r="AU31" s="149"/>
      <c r="AV31" s="214"/>
      <c r="AW31" s="99">
        <f>G12+15</f>
        <v>44355</v>
      </c>
      <c r="AX31" s="107"/>
      <c r="AY31" s="130">
        <f>IF(AY29&lt;12,AY29+1,AY29+1-12)</f>
        <v>6</v>
      </c>
      <c r="AZ31" s="131">
        <f>IF(AY29=12,AZ29+1,AZ29)</f>
        <v>2021</v>
      </c>
      <c r="BA31" s="130">
        <f>IF(BA29&lt;=10,BA29+2,IF(BA29=11,1,IF(BA29=12,2,IF(BA29=13,3,4))))</f>
        <v>7</v>
      </c>
      <c r="BB31" s="131">
        <f>IF(BA29&gt;=11,BB29+1,BB29)</f>
        <v>2021</v>
      </c>
      <c r="BC31" s="130">
        <f>IF(BC29&lt;=9,BC29+3,IF(BC29=10,1,IF(BC29=11,2,IF(BC29=12,3,4))))</f>
        <v>8</v>
      </c>
      <c r="BD31" s="131">
        <f>IF(BC29&gt;=10,BD29+1,BD29)</f>
        <v>2021</v>
      </c>
      <c r="BE31" s="132">
        <f>DATE(AZ31,AY31,$G$14)</f>
        <v>44371</v>
      </c>
      <c r="BF31" s="132">
        <f>$BE31+IF(OR(WEEKDAY($BE31)=1,ISERROR(VLOOKUP($BE31,Factores!$A:$A,1,0))=FALSE),1,IF(WEEKDAY($BE31)=7,2,0))</f>
        <v>44371</v>
      </c>
      <c r="BG31" s="132">
        <f t="shared" ref="BG31:BG67" si="0">IF(AND(DAY($BE31)=27,WEEKDAY($BE31)=1),$BE31-2,IF(AND(DAY($BE31)=27,WEEKDAY($BE31)=7),$BE31-1,IF(AND(DAY($BE31)=26,WEEKDAY($BE31)=1),$BE31-2,IF(AND(DAY($BE31)=26,WEEKDAY($BE31)=7),$BE31-1,IF(DAY($BF31)=15,$BF31+2,IF(DAY($BF31)=16,$BF31+1,$BF31))))))</f>
        <v>44371</v>
      </c>
      <c r="CC31" s="145">
        <f>IF(CD23=1,$G$8*12,(POWER(1+$G$8/100,1/12)-1)*1200)</f>
        <v>19.633287884984174</v>
      </c>
      <c r="CD31" s="107"/>
      <c r="CE31" s="146">
        <f>IF($CF$20=1,Factores!$C$4,IF(K8="Quincenal",VLOOKUP($G$10,Factores!$G:$H,2,1),VLOOKUP($G$10*(CJ23-1),Factores!$G:$H,2,1)))</f>
        <v>1.8816733589340478E-2</v>
      </c>
      <c r="CG31" s="145">
        <f>SUM(V16:V21)</f>
        <v>0</v>
      </c>
      <c r="CK31" s="89" t="s">
        <v>90</v>
      </c>
      <c r="CO31" s="211">
        <v>1</v>
      </c>
      <c r="CP31" s="209">
        <f>$CP$30+IF(DAY($CP$30+1)=16,2,IF(DAY($CP$30)=15,1,IF(DAY($CP$30)=28,4,IF(WEEKDAY($CP$30)=7,2,IF(WEEKDAY($CP$30)=1,1,0)))))</f>
        <v>44371</v>
      </c>
      <c r="CQ31" s="209">
        <f>$CP31+IF(AND(WEEKDAY($CP31)=6,ISERROR(VLOOKUP($CP31,Factores!$A:$A,1,0))=FALSE),2,0)</f>
        <v>44371</v>
      </c>
      <c r="CR31" s="209">
        <f>CQ31+IF(WEEKDAY(CQ31)=7,2,IF(WEEKDAY(CQ31)=1,1,IF(AND(WEEKDAY(CQ31)=6,ISERROR(VLOOKUP(CQ31,Factores!$A:$A,1,0))=FALSE),3,0)))</f>
        <v>44371</v>
      </c>
      <c r="CS31" s="209">
        <f>$CR31+IF(AND(WEEKDAY($CR31)=6, ISERROR(VLOOKUP($CR31,Factores!$A:$A,1,0))=FALSE),2,0)</f>
        <v>44371</v>
      </c>
      <c r="CT31" s="209">
        <f t="shared" ref="CT31:CT67" si="1">IF(AND($CL$23=3,$O$10&gt;=$CO31),$G$12,$CS31)</f>
        <v>44371</v>
      </c>
      <c r="CV31" s="151">
        <f>IF($CN$23=1,IF(OR($CL$23=3,$CL$23=2),$CT31,AS31),IF(AND($CN$23=2,$CL$23=3),CT31,CS31))</f>
        <v>44371</v>
      </c>
      <c r="CW31" s="211">
        <f>CV31-$G$12</f>
        <v>31</v>
      </c>
      <c r="CX31" s="211">
        <f>IF($CL$23=3,0,CW31+CW30)</f>
        <v>31</v>
      </c>
    </row>
    <row r="32" spans="1:102" s="211" customFormat="1" ht="12.75" customHeight="1">
      <c r="A32" s="204"/>
      <c r="B32" s="205"/>
      <c r="C32" s="205"/>
      <c r="D32" s="72"/>
      <c r="E32" s="210"/>
      <c r="F32" s="187">
        <f>F31+1</f>
        <v>2</v>
      </c>
      <c r="G32" s="188">
        <v>44403</v>
      </c>
      <c r="H32" s="242">
        <f>H31-K32</f>
        <v>-18800.183333333331</v>
      </c>
      <c r="I32" s="242"/>
      <c r="J32" s="242"/>
      <c r="K32" s="189">
        <v>398.64</v>
      </c>
      <c r="L32" s="242">
        <v>217.86</v>
      </c>
      <c r="M32" s="242"/>
      <c r="N32" s="242"/>
      <c r="O32" s="190"/>
      <c r="P32" s="190">
        <f t="shared" ref="P32:P65" si="2">K32+L32+O32</f>
        <v>616.5</v>
      </c>
      <c r="Q32" s="191">
        <f>TRUNC(((($P32)/(1-$M$14))-($P32)),1)+(IF(MOD(((($P32)/(1-$M$14))-($P32))*100, 10)&gt;=5, 5, 0)/100)</f>
        <v>0</v>
      </c>
      <c r="R32" s="233">
        <f>Q32+P32</f>
        <v>616.5</v>
      </c>
      <c r="S32" s="234"/>
      <c r="T32" s="204"/>
      <c r="U32" s="204"/>
      <c r="V32" s="204"/>
      <c r="W32" s="204"/>
      <c r="X32" s="204"/>
      <c r="Y32" s="204"/>
      <c r="AF32" s="212"/>
      <c r="AG32" s="213">
        <f>AG31+30</f>
        <v>44400</v>
      </c>
      <c r="AH32" s="211">
        <f>AH31+1</f>
        <v>2</v>
      </c>
      <c r="AI32" s="127">
        <f>1/POWER(1+$CC$32,IF($CL$23=3,$CX32,$AO32))</f>
        <v>0.96649397572285334</v>
      </c>
      <c r="AJ32" s="127" t="e">
        <f>IF($AH32&lt;=$CK$32,0,1/POWER(1+$CC$32,$CV32-$G$12-VLOOKUP($CK$32,$AH$31:$AO$500,8,0)))</f>
        <v>#N/A</v>
      </c>
      <c r="AK32" s="211" t="e">
        <f>IF(OR($AJ32=0,$AJ31=0),0,$AI32)</f>
        <v>#N/A</v>
      </c>
      <c r="AL32" s="120">
        <f>IF($AV$28=1,AW32,IF($AV$28=2,AY32,IF($AV$28=3,BA32,BC32)))</f>
        <v>7</v>
      </c>
      <c r="AM32" s="120">
        <f>IF($AV$28=1,AX32,IF($AV$28=2,AZ32,IF($AV$28=3,BB32,BD32)))</f>
        <v>2021</v>
      </c>
      <c r="AN32" s="128">
        <f>CV32-CV31</f>
        <v>32</v>
      </c>
      <c r="AO32" s="128">
        <f>IF($CN$23=2,CX32,CV32-$G$12)</f>
        <v>63</v>
      </c>
      <c r="AP32" s="99">
        <f>IF($AV$28=1,"",DATE(AM33,AL33,1)-1)</f>
        <v>44408</v>
      </c>
      <c r="AQ32" s="99">
        <f>IF(AND($CL$23=3,$O$10&gt;=$AH32),$G$12,IF(AND($CL$23=3,$CN$23=2),AG32,IF($AV$28=1,$AW32,IF($CN$23=1,DATE(AM32,AL32,$G$14),IF($AV$28=2,AS31+30,IF($AV$28=3,AS31+60,AS31+90))))))</f>
        <v>44401</v>
      </c>
      <c r="AR32" s="144">
        <f>$AQ32+IF(AND(DAY($AQ32)=27,MONTH($AQ32)=7),3,IF(AND(WEEKDAY($AQ32)=5,ISERROR(VLOOKUP($AQ32+1,Factores!$A:$A,1,0))=FALSE),4,IF(OR(WEEKDAY($AQ32)=1,ISERROR(VLOOKUP($AQ32,Factores!$A:$A,1,0))=FALSE),1,IF(WEEKDAY($AQ32)=7,2,0))))</f>
        <v>44403</v>
      </c>
      <c r="AS32" s="144">
        <v>44403</v>
      </c>
      <c r="AT32" s="129">
        <f>P32/POWER(1+$AT$26,AO32)</f>
        <v>601.74423104206346</v>
      </c>
      <c r="AU32" s="149"/>
      <c r="AV32" s="214"/>
      <c r="AW32" s="99">
        <v>44371</v>
      </c>
      <c r="AX32" s="107"/>
      <c r="AY32" s="133">
        <f t="shared" ref="AY32:AY67" si="3">IF(AY31&lt;12,AY31+1,AY31+1-12)</f>
        <v>7</v>
      </c>
      <c r="AZ32" s="134">
        <f>IF(AY31=12,AZ31+1,AZ31)</f>
        <v>2021</v>
      </c>
      <c r="BA32" s="133">
        <f t="shared" ref="BA32:BA67" si="4">IF(BA31&lt;=10,BA31+2,IF(BA31=11,1,IF(BA31=12,2,IF(BA31=13,3,4))))</f>
        <v>9</v>
      </c>
      <c r="BB32" s="134">
        <f>IF(BA31&gt;=11,BB31+1,BB31)</f>
        <v>2021</v>
      </c>
      <c r="BC32" s="133">
        <f t="shared" ref="BC32:BC67" si="5">IF(BC31&lt;=9,BC31+3,IF(BC31=10,1,IF(BC31=11,2,IF(BC31=12,3,4))))</f>
        <v>11</v>
      </c>
      <c r="BD32" s="134">
        <f>IF(BC31&gt;=10,BD31+1,BD31)</f>
        <v>2021</v>
      </c>
      <c r="BE32" s="132">
        <f>DATE(AZ32,AY32,$G$14)</f>
        <v>44401</v>
      </c>
      <c r="BF32" s="132">
        <f>$BE32+IF(OR(WEEKDAY($BE32)=1,ISERROR(VLOOKUP($BE32,Factores!$A:$A,1,0))=FALSE),1,IF(WEEKDAY($BE32)=7,2,0))</f>
        <v>44403</v>
      </c>
      <c r="BG32" s="132">
        <f t="shared" si="0"/>
        <v>44403</v>
      </c>
      <c r="CC32" s="166">
        <f>POWER(1+CC31/1200,1/30)-1</f>
        <v>5.4110211182711865E-4</v>
      </c>
      <c r="CD32" s="107"/>
      <c r="CE32" s="146">
        <f>IF(CF23=1,CE31,0)</f>
        <v>0</v>
      </c>
      <c r="CG32" s="145">
        <f>CG31</f>
        <v>0</v>
      </c>
      <c r="CK32" s="147">
        <f>O10</f>
        <v>0</v>
      </c>
      <c r="CO32" s="211">
        <f t="shared" ref="CO32:CO67" si="6">CO31+1</f>
        <v>2</v>
      </c>
      <c r="CQ32" s="209">
        <f>CS31+30</f>
        <v>44401</v>
      </c>
      <c r="CR32" s="209">
        <f t="shared" ref="CR32:CR67" si="7">$CQ32+IF(WEEKDAY($CQ32)=7,2,IF(WEEKDAY($CQ32)=1,1,0))</f>
        <v>44403</v>
      </c>
      <c r="CS32" s="209">
        <f>$CR32+IF(AND(WEEKDAY($CR32)=6, ISERROR(VLOOKUP($CR32,Factores!$A:$A,1,0))=FALSE),3,0)</f>
        <v>44403</v>
      </c>
      <c r="CT32" s="209">
        <f t="shared" si="1"/>
        <v>44403</v>
      </c>
      <c r="CV32" s="151">
        <f>IF($CN$23=1,IF(AND($CL$23=3,CT32=CT31),$CT32,AS32),IF(AND($CN$23=2,$CL$23=3),CT32,CS32))</f>
        <v>44403</v>
      </c>
      <c r="CW32" s="211">
        <f>(CV32-CV31)</f>
        <v>32</v>
      </c>
      <c r="CX32" s="211">
        <f>IF(OR($CL$23=2,$CL$23=1),CW32+CX31,IF(CX30=0,CW32,CW32+CX31))</f>
        <v>63</v>
      </c>
    </row>
    <row r="33" spans="1:102" s="211" customFormat="1" ht="12.75" customHeight="1">
      <c r="A33" s="204"/>
      <c r="B33" s="205"/>
      <c r="C33" s="205"/>
      <c r="D33" s="72"/>
      <c r="E33" s="210"/>
      <c r="F33" s="187">
        <f t="shared" ref="F33:F66" si="8">F32+1</f>
        <v>3</v>
      </c>
      <c r="G33" s="188">
        <v>44432</v>
      </c>
      <c r="H33" s="242">
        <f t="shared" ref="H33:H66" si="9">H32-K33</f>
        <v>-19223.833333333332</v>
      </c>
      <c r="I33" s="242"/>
      <c r="J33" s="242"/>
      <c r="K33" s="189">
        <v>423.65</v>
      </c>
      <c r="L33" s="242">
        <v>192.85</v>
      </c>
      <c r="M33" s="242"/>
      <c r="N33" s="242"/>
      <c r="O33" s="190"/>
      <c r="P33" s="190">
        <f t="shared" si="2"/>
        <v>616.5</v>
      </c>
      <c r="Q33" s="191">
        <f t="shared" ref="Q33:Q66" si="10">TRUNC(((($P33)/(1-$M$14))-($P33)),1)+(IF(MOD(((($P33)/(1-$M$14))-($P33))*100, 10)&gt;=5, 5, 0)/100)</f>
        <v>0</v>
      </c>
      <c r="R33" s="233">
        <f t="shared" ref="R33:R66" si="11">Q33+P33</f>
        <v>616.5</v>
      </c>
      <c r="S33" s="234"/>
      <c r="T33" s="204"/>
      <c r="U33" s="204"/>
      <c r="V33" s="204"/>
      <c r="W33" s="204"/>
      <c r="X33" s="204"/>
      <c r="Y33" s="204"/>
      <c r="AF33" s="212"/>
      <c r="AG33" s="213">
        <f t="shared" ref="AG33:AG66" si="12">AG32+30</f>
        <v>44430</v>
      </c>
      <c r="AH33" s="211">
        <f t="shared" ref="AH33:AH68" si="13">AH32+1</f>
        <v>3</v>
      </c>
      <c r="AI33" s="127">
        <f t="shared" ref="AI33:AI66" si="14">1/POWER(1+$CC$32,IF($CL$23=3,$CX33,$AO33))</f>
        <v>0.95145020123003954</v>
      </c>
      <c r="AJ33" s="127" t="e">
        <f t="shared" ref="AJ33:AJ66" si="15">IF($AH33&lt;=$CK$32,0,1/POWER(1+$CC$32,$CV33-$G$12-VLOOKUP($CK$32,$AH$31:$AO$500,8,0)))</f>
        <v>#N/A</v>
      </c>
      <c r="AK33" s="211" t="e">
        <f t="shared" ref="AK33:AK66" si="16">IF(OR($AJ33=0,$AJ32=0),0,$AI33)</f>
        <v>#N/A</v>
      </c>
      <c r="AL33" s="120">
        <f t="shared" ref="AL33:AL66" si="17">IF($AV$28=1,AW33,IF($AV$28=2,AY33,IF($AV$28=3,BA33,BC33)))</f>
        <v>8</v>
      </c>
      <c r="AM33" s="120">
        <f t="shared" ref="AM33:AM66" si="18">IF($AV$28=1,AX33,IF($AV$28=2,AZ33,IF($AV$28=3,BB33,BD33)))</f>
        <v>2021</v>
      </c>
      <c r="AN33" s="128">
        <f t="shared" ref="AN33:AN66" si="19">CV33-CV32</f>
        <v>29</v>
      </c>
      <c r="AO33" s="128">
        <f t="shared" ref="AO33:AO66" si="20">IF($CN$23=2,CX33,CV33-$G$12)</f>
        <v>92</v>
      </c>
      <c r="AP33" s="99">
        <f t="shared" ref="AP33:AP65" si="21">IF($AV$28=1,"",DATE(AM34,AL34,1)-1)</f>
        <v>44439</v>
      </c>
      <c r="AQ33" s="99">
        <f t="shared" ref="AQ33:AQ66" si="22">IF(AND($CL$23=3,$O$10&gt;=$AH33),$G$12,IF(AND($CL$23=3,$CN$23=2),AG33,IF($AV$28=1,$AW33,IF($CN$23=1,DATE(AM33,AL33,$G$14),IF($AV$28=2,AS32+30,IF($AV$28=3,AS32+60,AS32+90))))))</f>
        <v>44432</v>
      </c>
      <c r="AR33" s="144">
        <f>$AQ33+IF(AND(DAY($AQ33)=27,MONTH($AQ33)=7),3,IF(AND(WEEKDAY($AQ33)=5,ISERROR(VLOOKUP($AQ33+1,Factores!$A:$A,1,0))=FALSE),4,IF(OR(WEEKDAY($AQ33)=1,ISERROR(VLOOKUP($AQ33,Factores!$A:$A,1,0))=FALSE),1,IF(WEEKDAY($AQ33)=7,2,0))))</f>
        <v>44432</v>
      </c>
      <c r="AS33" s="144">
        <v>44432</v>
      </c>
      <c r="AT33" s="129">
        <f t="shared" ref="AT33:AT66" si="23">P33/POWER(1+$AT$26,AO33)</f>
        <v>595.07111282049175</v>
      </c>
      <c r="AU33" s="149"/>
      <c r="AV33" s="214"/>
      <c r="AW33" s="99">
        <f>AW32+15</f>
        <v>44386</v>
      </c>
      <c r="AX33" s="107"/>
      <c r="AY33" s="133">
        <f t="shared" si="3"/>
        <v>8</v>
      </c>
      <c r="AZ33" s="134">
        <f t="shared" ref="AZ33:AZ67" si="24">IF(AY32=12,AZ32+1,AZ32)</f>
        <v>2021</v>
      </c>
      <c r="BA33" s="133">
        <f t="shared" si="4"/>
        <v>11</v>
      </c>
      <c r="BB33" s="134">
        <f t="shared" ref="BB33:BB67" si="25">IF(BA32&gt;=11,BB32+1,BB32)</f>
        <v>2021</v>
      </c>
      <c r="BC33" s="133">
        <f t="shared" si="5"/>
        <v>2</v>
      </c>
      <c r="BD33" s="134">
        <f t="shared" ref="BD33:BD67" si="26">IF(BC32&gt;=10,BD32+1,BD32)</f>
        <v>2022</v>
      </c>
      <c r="BE33" s="132">
        <f t="shared" ref="BE33:BE67" si="27">DATE(AZ33,AY33,$G$14)</f>
        <v>44432</v>
      </c>
      <c r="BF33" s="132">
        <f>$BE33+IF(OR(WEEKDAY($BE33)=1,ISERROR(VLOOKUP($BE33,Factores!$A:$A,1,0))=FALSE),1,IF(WEEKDAY($BE33)=7,2,0))</f>
        <v>44432</v>
      </c>
      <c r="BG33" s="132">
        <f t="shared" si="0"/>
        <v>44432</v>
      </c>
      <c r="CC33" s="215"/>
      <c r="CK33" s="99" t="e">
        <f>IF($CL$23=3,$G$12,VLOOKUP($CK$32,$AH$31:$CV$500,67,0))</f>
        <v>#N/A</v>
      </c>
      <c r="CO33" s="211">
        <f t="shared" si="6"/>
        <v>3</v>
      </c>
      <c r="CQ33" s="209">
        <f t="shared" ref="CQ33:CQ67" si="28">CS32+30</f>
        <v>44433</v>
      </c>
      <c r="CR33" s="209">
        <f t="shared" si="7"/>
        <v>44433</v>
      </c>
      <c r="CS33" s="209">
        <f>$CR33+IF(AND(WEEKDAY($CR33)=6, ISERROR(VLOOKUP($CR33,Factores!$A:$A,1,0))=FALSE),3,0)</f>
        <v>44433</v>
      </c>
      <c r="CT33" s="209">
        <f t="shared" si="1"/>
        <v>44433</v>
      </c>
      <c r="CV33" s="151">
        <f t="shared" ref="CV33:CV67" si="29">IF($CN$23=1,IF(AND($CL$23=3,CT33=CT32),$CT33,AS33),IF(AND($CN$23=2,$CL$23=3),CT33,CS33))</f>
        <v>44432</v>
      </c>
      <c r="CW33" s="211">
        <f t="shared" ref="CW33:CW43" si="30">(CV33-CV32)</f>
        <v>29</v>
      </c>
      <c r="CX33" s="211">
        <f t="shared" ref="CX33:CX43" si="31">IF(CX31=0,CW33,CW33+CX32)</f>
        <v>92</v>
      </c>
    </row>
    <row r="34" spans="1:102" s="211" customFormat="1" ht="12.75" customHeight="1">
      <c r="A34" s="204"/>
      <c r="B34" s="205"/>
      <c r="C34" s="205"/>
      <c r="D34" s="72"/>
      <c r="E34" s="210"/>
      <c r="F34" s="187">
        <f t="shared" si="8"/>
        <v>4</v>
      </c>
      <c r="G34" s="188">
        <v>44463</v>
      </c>
      <c r="H34" s="242">
        <f t="shared" si="9"/>
        <v>-19639.183333333331</v>
      </c>
      <c r="I34" s="242"/>
      <c r="J34" s="242"/>
      <c r="K34" s="189">
        <v>415.35</v>
      </c>
      <c r="L34" s="242">
        <v>201.15</v>
      </c>
      <c r="M34" s="242"/>
      <c r="N34" s="242"/>
      <c r="O34" s="190"/>
      <c r="P34" s="190">
        <f t="shared" si="2"/>
        <v>616.5</v>
      </c>
      <c r="Q34" s="191">
        <f t="shared" si="10"/>
        <v>0</v>
      </c>
      <c r="R34" s="233">
        <f t="shared" si="11"/>
        <v>616.5</v>
      </c>
      <c r="S34" s="234"/>
      <c r="T34" s="204"/>
      <c r="U34" s="204"/>
      <c r="V34" s="204"/>
      <c r="W34" s="204"/>
      <c r="X34" s="204"/>
      <c r="Y34" s="204"/>
      <c r="AF34" s="212"/>
      <c r="AG34" s="213">
        <f t="shared" si="12"/>
        <v>44460</v>
      </c>
      <c r="AH34" s="211">
        <f t="shared" si="13"/>
        <v>4</v>
      </c>
      <c r="AI34" s="127">
        <f t="shared" si="14"/>
        <v>0.93562777341879499</v>
      </c>
      <c r="AJ34" s="127" t="e">
        <f t="shared" si="15"/>
        <v>#N/A</v>
      </c>
      <c r="AK34" s="211" t="e">
        <f t="shared" si="16"/>
        <v>#N/A</v>
      </c>
      <c r="AL34" s="120">
        <f t="shared" si="17"/>
        <v>9</v>
      </c>
      <c r="AM34" s="120">
        <f t="shared" si="18"/>
        <v>2021</v>
      </c>
      <c r="AN34" s="128">
        <f t="shared" si="19"/>
        <v>31</v>
      </c>
      <c r="AO34" s="128">
        <f t="shared" si="20"/>
        <v>123</v>
      </c>
      <c r="AP34" s="99">
        <f t="shared" si="21"/>
        <v>44469</v>
      </c>
      <c r="AQ34" s="99">
        <f t="shared" si="22"/>
        <v>44463</v>
      </c>
      <c r="AR34" s="144">
        <f>$AQ34+IF(AND(DAY($AQ34)=27,MONTH($AQ34)=7),3,IF(AND(WEEKDAY($AQ34)=5,ISERROR(VLOOKUP($AQ34+1,Factores!$A:$A,1,0))=FALSE),4,IF(OR(WEEKDAY($AQ34)=1,ISERROR(VLOOKUP($AQ34,Factores!$A:$A,1,0))=FALSE),1,IF(WEEKDAY($AQ34)=7,2,0))))</f>
        <v>44463</v>
      </c>
      <c r="AS34" s="144">
        <v>44463</v>
      </c>
      <c r="AT34" s="129">
        <f t="shared" si="23"/>
        <v>588.01959242097178</v>
      </c>
      <c r="AU34" s="149"/>
      <c r="AV34" s="214"/>
      <c r="AW34" s="99">
        <v>44403</v>
      </c>
      <c r="AX34" s="107"/>
      <c r="AY34" s="133">
        <f t="shared" si="3"/>
        <v>9</v>
      </c>
      <c r="AZ34" s="134">
        <f t="shared" si="24"/>
        <v>2021</v>
      </c>
      <c r="BA34" s="133">
        <f t="shared" si="4"/>
        <v>1</v>
      </c>
      <c r="BB34" s="134">
        <f t="shared" si="25"/>
        <v>2022</v>
      </c>
      <c r="BC34" s="133">
        <f t="shared" si="5"/>
        <v>5</v>
      </c>
      <c r="BD34" s="134">
        <f t="shared" si="26"/>
        <v>2022</v>
      </c>
      <c r="BE34" s="132">
        <f t="shared" si="27"/>
        <v>44463</v>
      </c>
      <c r="BF34" s="132">
        <f>$BE34+IF(OR(WEEKDAY($BE34)=1,ISERROR(VLOOKUP($BE34,Factores!$A:$A,1,0))=FALSE),1,IF(WEEKDAY($BE34)=7,2,0))</f>
        <v>44463</v>
      </c>
      <c r="BG34" s="132">
        <f t="shared" si="0"/>
        <v>44463</v>
      </c>
      <c r="CO34" s="211">
        <f t="shared" si="6"/>
        <v>4</v>
      </c>
      <c r="CQ34" s="209">
        <f t="shared" si="28"/>
        <v>44463</v>
      </c>
      <c r="CR34" s="209">
        <f t="shared" si="7"/>
        <v>44463</v>
      </c>
      <c r="CS34" s="209">
        <f>$CR34+IF(AND(WEEKDAY($CR34)=6, ISERROR(VLOOKUP($CR34,Factores!$A:$A,1,0))=FALSE),3,0)</f>
        <v>44463</v>
      </c>
      <c r="CT34" s="209">
        <f t="shared" si="1"/>
        <v>44463</v>
      </c>
      <c r="CV34" s="151">
        <f t="shared" si="29"/>
        <v>44463</v>
      </c>
      <c r="CW34" s="211">
        <f t="shared" si="30"/>
        <v>31</v>
      </c>
      <c r="CX34" s="211">
        <f t="shared" si="31"/>
        <v>123</v>
      </c>
    </row>
    <row r="35" spans="1:102" s="211" customFormat="1" ht="12.75" customHeight="1">
      <c r="A35" s="204"/>
      <c r="B35" s="205"/>
      <c r="C35" s="205"/>
      <c r="D35" s="72"/>
      <c r="E35" s="210"/>
      <c r="F35" s="187">
        <f t="shared" si="8"/>
        <v>5</v>
      </c>
      <c r="G35" s="188">
        <v>44494</v>
      </c>
      <c r="H35" s="242">
        <f t="shared" si="9"/>
        <v>-20059.513333333332</v>
      </c>
      <c r="I35" s="242"/>
      <c r="J35" s="242"/>
      <c r="K35" s="189">
        <v>420.33000000000004</v>
      </c>
      <c r="L35" s="242">
        <v>196.17</v>
      </c>
      <c r="M35" s="242"/>
      <c r="N35" s="242"/>
      <c r="O35" s="190"/>
      <c r="P35" s="190">
        <f t="shared" si="2"/>
        <v>616.5</v>
      </c>
      <c r="Q35" s="191">
        <f t="shared" si="10"/>
        <v>0</v>
      </c>
      <c r="R35" s="233">
        <f t="shared" si="11"/>
        <v>616.5</v>
      </c>
      <c r="S35" s="234"/>
      <c r="T35" s="204"/>
      <c r="U35" s="204"/>
      <c r="V35" s="204"/>
      <c r="W35" s="204"/>
      <c r="X35" s="204"/>
      <c r="Y35" s="204"/>
      <c r="AF35" s="212"/>
      <c r="AG35" s="213">
        <f t="shared" si="12"/>
        <v>44490</v>
      </c>
      <c r="AH35" s="211">
        <f t="shared" si="13"/>
        <v>5</v>
      </c>
      <c r="AI35" s="127">
        <f t="shared" si="14"/>
        <v>0.92006846943843301</v>
      </c>
      <c r="AJ35" s="127" t="e">
        <f t="shared" si="15"/>
        <v>#N/A</v>
      </c>
      <c r="AK35" s="211" t="e">
        <f t="shared" si="16"/>
        <v>#N/A</v>
      </c>
      <c r="AL35" s="120">
        <f t="shared" si="17"/>
        <v>10</v>
      </c>
      <c r="AM35" s="120">
        <f t="shared" si="18"/>
        <v>2021</v>
      </c>
      <c r="AN35" s="128">
        <f t="shared" si="19"/>
        <v>31</v>
      </c>
      <c r="AO35" s="128">
        <f t="shared" si="20"/>
        <v>154</v>
      </c>
      <c r="AP35" s="99">
        <f t="shared" si="21"/>
        <v>44500</v>
      </c>
      <c r="AQ35" s="99">
        <f t="shared" si="22"/>
        <v>44493</v>
      </c>
      <c r="AR35" s="144">
        <f>$AQ35+IF(AND(DAY($AQ35)=27,MONTH($AQ35)=7),3,IF(AND(WEEKDAY($AQ35)=5,ISERROR(VLOOKUP($AQ35+1,Factores!$A:$A,1,0))=FALSE),4,IF(OR(WEEKDAY($AQ35)=1,ISERROR(VLOOKUP($AQ35,Factores!$A:$A,1,0))=FALSE),1,IF(WEEKDAY($AQ35)=7,2,0))))</f>
        <v>44494</v>
      </c>
      <c r="AS35" s="144">
        <v>44494</v>
      </c>
      <c r="AT35" s="129">
        <f t="shared" si="23"/>
        <v>581.05163168158913</v>
      </c>
      <c r="AU35" s="149"/>
      <c r="AV35" s="214"/>
      <c r="AW35" s="99">
        <f>AW34+15</f>
        <v>44418</v>
      </c>
      <c r="AX35" s="107"/>
      <c r="AY35" s="133">
        <f t="shared" si="3"/>
        <v>10</v>
      </c>
      <c r="AZ35" s="134">
        <f t="shared" si="24"/>
        <v>2021</v>
      </c>
      <c r="BA35" s="133">
        <f t="shared" si="4"/>
        <v>3</v>
      </c>
      <c r="BB35" s="134">
        <f t="shared" si="25"/>
        <v>2022</v>
      </c>
      <c r="BC35" s="133">
        <f t="shared" si="5"/>
        <v>8</v>
      </c>
      <c r="BD35" s="134">
        <f t="shared" si="26"/>
        <v>2022</v>
      </c>
      <c r="BE35" s="132">
        <f t="shared" si="27"/>
        <v>44493</v>
      </c>
      <c r="BF35" s="132">
        <f>$BE35+IF(OR(WEEKDAY($BE35)=1,ISERROR(VLOOKUP($BE35,Factores!$A:$A,1,0))=FALSE),1,IF(WEEKDAY($BE35)=7,2,0))</f>
        <v>44494</v>
      </c>
      <c r="BG35" s="132">
        <f t="shared" si="0"/>
        <v>44494</v>
      </c>
      <c r="CA35" s="215">
        <v>0.40799999999999997</v>
      </c>
      <c r="CE35" s="211">
        <f>ROUND((G6+O14+Q18)*$CE$32/(1-$CE$32),2)</f>
        <v>0</v>
      </c>
      <c r="CO35" s="211">
        <f t="shared" si="6"/>
        <v>5</v>
      </c>
      <c r="CQ35" s="209">
        <f t="shared" si="28"/>
        <v>44493</v>
      </c>
      <c r="CR35" s="209">
        <f t="shared" si="7"/>
        <v>44494</v>
      </c>
      <c r="CS35" s="209">
        <f>$CR35+IF(AND(WEEKDAY($CR35)=6, ISERROR(VLOOKUP($CR35,Factores!$A:$A,1,0))=FALSE),3,0)</f>
        <v>44494</v>
      </c>
      <c r="CT35" s="209">
        <f t="shared" si="1"/>
        <v>44494</v>
      </c>
      <c r="CV35" s="151">
        <f t="shared" si="29"/>
        <v>44494</v>
      </c>
      <c r="CW35" s="211">
        <f t="shared" si="30"/>
        <v>31</v>
      </c>
      <c r="CX35" s="211">
        <f t="shared" si="31"/>
        <v>154</v>
      </c>
    </row>
    <row r="36" spans="1:102" s="211" customFormat="1" ht="12.75" customHeight="1">
      <c r="A36" s="204"/>
      <c r="B36" s="205"/>
      <c r="C36" s="205"/>
      <c r="D36" s="72"/>
      <c r="E36" s="210"/>
      <c r="F36" s="187">
        <f t="shared" si="8"/>
        <v>6</v>
      </c>
      <c r="G36" s="188">
        <v>44524</v>
      </c>
      <c r="H36" s="242">
        <f t="shared" si="9"/>
        <v>-20491.083333333332</v>
      </c>
      <c r="I36" s="242"/>
      <c r="J36" s="242"/>
      <c r="K36" s="189">
        <v>431.57</v>
      </c>
      <c r="L36" s="242">
        <v>184.93</v>
      </c>
      <c r="M36" s="242"/>
      <c r="N36" s="242"/>
      <c r="O36" s="190"/>
      <c r="P36" s="190">
        <f t="shared" si="2"/>
        <v>616.5</v>
      </c>
      <c r="Q36" s="191">
        <f t="shared" si="10"/>
        <v>0</v>
      </c>
      <c r="R36" s="233">
        <f t="shared" si="11"/>
        <v>616.5</v>
      </c>
      <c r="S36" s="234"/>
      <c r="T36" s="204"/>
      <c r="U36" s="204"/>
      <c r="V36" s="204"/>
      <c r="W36" s="204"/>
      <c r="X36" s="204"/>
      <c r="Y36" s="204"/>
      <c r="AF36" s="212"/>
      <c r="AG36" s="213">
        <f t="shared" si="12"/>
        <v>44520</v>
      </c>
      <c r="AH36" s="211">
        <f t="shared" si="13"/>
        <v>6</v>
      </c>
      <c r="AI36" s="127">
        <f t="shared" si="14"/>
        <v>0.90525748542068241</v>
      </c>
      <c r="AJ36" s="127" t="e">
        <f t="shared" si="15"/>
        <v>#N/A</v>
      </c>
      <c r="AK36" s="211" t="e">
        <f t="shared" si="16"/>
        <v>#N/A</v>
      </c>
      <c r="AL36" s="120">
        <f t="shared" si="17"/>
        <v>11</v>
      </c>
      <c r="AM36" s="120">
        <f t="shared" si="18"/>
        <v>2021</v>
      </c>
      <c r="AN36" s="128">
        <f t="shared" si="19"/>
        <v>30</v>
      </c>
      <c r="AO36" s="128">
        <f t="shared" si="20"/>
        <v>184</v>
      </c>
      <c r="AP36" s="99">
        <f t="shared" si="21"/>
        <v>44530</v>
      </c>
      <c r="AQ36" s="99">
        <f t="shared" si="22"/>
        <v>44524</v>
      </c>
      <c r="AR36" s="144">
        <f>$AQ36+IF(AND(DAY($AQ36)=27,MONTH($AQ36)=7),3,IF(AND(WEEKDAY($AQ36)=5,ISERROR(VLOOKUP($AQ36+1,Factores!$A:$A,1,0))=FALSE),4,IF(OR(WEEKDAY($AQ36)=1,ISERROR(VLOOKUP($AQ36,Factores!$A:$A,1,0))=FALSE),1,IF(WEEKDAY($AQ36)=7,2,0))))</f>
        <v>44524</v>
      </c>
      <c r="AS36" s="144">
        <v>44524</v>
      </c>
      <c r="AT36" s="129">
        <f t="shared" si="23"/>
        <v>574.38707106799404</v>
      </c>
      <c r="AU36" s="149"/>
      <c r="AV36" s="214"/>
      <c r="AW36" s="99">
        <v>44432</v>
      </c>
      <c r="AX36" s="107"/>
      <c r="AY36" s="133">
        <f t="shared" si="3"/>
        <v>11</v>
      </c>
      <c r="AZ36" s="134">
        <f t="shared" si="24"/>
        <v>2021</v>
      </c>
      <c r="BA36" s="133">
        <f t="shared" si="4"/>
        <v>5</v>
      </c>
      <c r="BB36" s="134">
        <f t="shared" si="25"/>
        <v>2022</v>
      </c>
      <c r="BC36" s="133">
        <f t="shared" si="5"/>
        <v>11</v>
      </c>
      <c r="BD36" s="134">
        <f t="shared" si="26"/>
        <v>2022</v>
      </c>
      <c r="BE36" s="132">
        <f t="shared" si="27"/>
        <v>44524</v>
      </c>
      <c r="BF36" s="132">
        <f>$BE36+IF(OR(WEEKDAY($BE36)=1,ISERROR(VLOOKUP($BE36,Factores!$A:$A,1,0))=FALSE),1,IF(WEEKDAY($BE36)=7,2,0))</f>
        <v>44524</v>
      </c>
      <c r="BG36" s="132">
        <f t="shared" si="0"/>
        <v>44524</v>
      </c>
      <c r="CA36" s="211">
        <f>CA35/12</f>
        <v>3.3999999999999996E-2</v>
      </c>
      <c r="CC36" s="216">
        <f>(1+CA35/12)^12-1</f>
        <v>0.49364182107104404</v>
      </c>
      <c r="CE36" s="217">
        <f>$CE$35*$G$10</f>
        <v>0</v>
      </c>
      <c r="CO36" s="211">
        <f t="shared" si="6"/>
        <v>6</v>
      </c>
      <c r="CQ36" s="209">
        <f t="shared" si="28"/>
        <v>44524</v>
      </c>
      <c r="CR36" s="209">
        <f t="shared" si="7"/>
        <v>44524</v>
      </c>
      <c r="CS36" s="209">
        <f>$CR36+IF(AND(WEEKDAY($CR36)=6, ISERROR(VLOOKUP($CR36,Factores!$A:$A,1,0))=FALSE),3,0)</f>
        <v>44524</v>
      </c>
      <c r="CT36" s="209">
        <f t="shared" si="1"/>
        <v>44524</v>
      </c>
      <c r="CV36" s="151">
        <f t="shared" si="29"/>
        <v>44524</v>
      </c>
      <c r="CW36" s="211">
        <f t="shared" si="30"/>
        <v>30</v>
      </c>
      <c r="CX36" s="211">
        <f t="shared" si="31"/>
        <v>184</v>
      </c>
    </row>
    <row r="37" spans="1:102" s="211" customFormat="1" ht="12.75" customHeight="1">
      <c r="A37" s="204"/>
      <c r="B37" s="205"/>
      <c r="C37" s="205"/>
      <c r="D37" s="72"/>
      <c r="E37" s="205"/>
      <c r="F37" s="187">
        <f t="shared" si="8"/>
        <v>7</v>
      </c>
      <c r="G37" s="188">
        <v>44554</v>
      </c>
      <c r="H37" s="242">
        <f t="shared" si="9"/>
        <v>-20927.663333333334</v>
      </c>
      <c r="I37" s="242"/>
      <c r="J37" s="242"/>
      <c r="K37" s="189">
        <v>436.58000000000004</v>
      </c>
      <c r="L37" s="242">
        <v>179.92</v>
      </c>
      <c r="M37" s="242"/>
      <c r="N37" s="242"/>
      <c r="O37" s="190"/>
      <c r="P37" s="190">
        <f t="shared" si="2"/>
        <v>616.5</v>
      </c>
      <c r="Q37" s="191">
        <f t="shared" si="10"/>
        <v>0</v>
      </c>
      <c r="R37" s="233">
        <f t="shared" si="11"/>
        <v>616.5</v>
      </c>
      <c r="S37" s="234"/>
      <c r="T37" s="218"/>
      <c r="U37" s="204"/>
      <c r="V37" s="204"/>
      <c r="W37" s="204"/>
      <c r="X37" s="204"/>
      <c r="Y37" s="204"/>
      <c r="AF37" s="212"/>
      <c r="AG37" s="213">
        <f t="shared" si="12"/>
        <v>44550</v>
      </c>
      <c r="AH37" s="211">
        <f t="shared" si="13"/>
        <v>7</v>
      </c>
      <c r="AI37" s="127">
        <f t="shared" si="14"/>
        <v>0.89068492414521794</v>
      </c>
      <c r="AJ37" s="127" t="e">
        <f t="shared" si="15"/>
        <v>#N/A</v>
      </c>
      <c r="AK37" s="211" t="e">
        <f t="shared" si="16"/>
        <v>#N/A</v>
      </c>
      <c r="AL37" s="120">
        <f t="shared" si="17"/>
        <v>12</v>
      </c>
      <c r="AM37" s="120">
        <f t="shared" si="18"/>
        <v>2021</v>
      </c>
      <c r="AN37" s="128">
        <f t="shared" si="19"/>
        <v>30</v>
      </c>
      <c r="AO37" s="128">
        <f t="shared" si="20"/>
        <v>214</v>
      </c>
      <c r="AP37" s="99">
        <f t="shared" si="21"/>
        <v>44561</v>
      </c>
      <c r="AQ37" s="99">
        <f t="shared" si="22"/>
        <v>44554</v>
      </c>
      <c r="AR37" s="144">
        <f>$AQ37+IF(AND(DAY($AQ37)=27,MONTH($AQ37)=7),3,IF(AND(WEEKDAY($AQ37)=5,ISERROR(VLOOKUP($AQ37+1,Factores!$A:$A,1,0))=FALSE),4,IF(OR(WEEKDAY($AQ37)=1,ISERROR(VLOOKUP($AQ37,Factores!$A:$A,1,0))=FALSE),1,IF(WEEKDAY($AQ37)=7,2,0))))</f>
        <v>44554</v>
      </c>
      <c r="AS37" s="144">
        <v>44554</v>
      </c>
      <c r="AT37" s="129">
        <f t="shared" si="23"/>
        <v>567.79895179928212</v>
      </c>
      <c r="AU37" s="149"/>
      <c r="AV37" s="214"/>
      <c r="AW37" s="99">
        <f>AW36+15</f>
        <v>44447</v>
      </c>
      <c r="AX37" s="107"/>
      <c r="AY37" s="133">
        <f t="shared" si="3"/>
        <v>12</v>
      </c>
      <c r="AZ37" s="134">
        <f t="shared" si="24"/>
        <v>2021</v>
      </c>
      <c r="BA37" s="133">
        <f t="shared" si="4"/>
        <v>7</v>
      </c>
      <c r="BB37" s="134">
        <f t="shared" si="25"/>
        <v>2022</v>
      </c>
      <c r="BC37" s="133">
        <f t="shared" si="5"/>
        <v>2</v>
      </c>
      <c r="BD37" s="134">
        <f t="shared" si="26"/>
        <v>2023</v>
      </c>
      <c r="BE37" s="132">
        <f t="shared" si="27"/>
        <v>44554</v>
      </c>
      <c r="BF37" s="132">
        <f>$BE37+IF(OR(WEEKDAY($BE37)=1,ISERROR(VLOOKUP($BE37,Factores!$A:$A,1,0))=FALSE),1,IF(WEEKDAY($BE37)=7,2,0))</f>
        <v>44554</v>
      </c>
      <c r="BG37" s="132">
        <f t="shared" si="0"/>
        <v>44554</v>
      </c>
      <c r="CC37" s="211">
        <f>CC36*100</f>
        <v>49.364182107104405</v>
      </c>
      <c r="CO37" s="211">
        <f t="shared" si="6"/>
        <v>7</v>
      </c>
      <c r="CQ37" s="209">
        <f t="shared" si="28"/>
        <v>44554</v>
      </c>
      <c r="CR37" s="209">
        <f t="shared" si="7"/>
        <v>44554</v>
      </c>
      <c r="CS37" s="209">
        <f>$CR37+IF(AND(WEEKDAY($CR37)=6, ISERROR(VLOOKUP($CR37,Factores!$A:$A,1,0))=FALSE),3,0)</f>
        <v>44554</v>
      </c>
      <c r="CT37" s="209">
        <f t="shared" si="1"/>
        <v>44554</v>
      </c>
      <c r="CV37" s="151">
        <f t="shared" si="29"/>
        <v>44554</v>
      </c>
      <c r="CW37" s="211">
        <f t="shared" si="30"/>
        <v>30</v>
      </c>
      <c r="CX37" s="211">
        <f t="shared" si="31"/>
        <v>214</v>
      </c>
    </row>
    <row r="38" spans="1:102" s="211" customFormat="1" ht="12.75" customHeight="1">
      <c r="A38" s="204"/>
      <c r="B38" s="205"/>
      <c r="C38" s="205"/>
      <c r="D38" s="72"/>
      <c r="E38" s="205"/>
      <c r="F38" s="187">
        <f t="shared" si="8"/>
        <v>8</v>
      </c>
      <c r="G38" s="188">
        <v>44585</v>
      </c>
      <c r="H38" s="242">
        <f t="shared" si="9"/>
        <v>-21363.443333333333</v>
      </c>
      <c r="I38" s="242"/>
      <c r="J38" s="242"/>
      <c r="K38" s="189">
        <v>435.78</v>
      </c>
      <c r="L38" s="242">
        <v>180.72</v>
      </c>
      <c r="M38" s="242"/>
      <c r="N38" s="242"/>
      <c r="O38" s="190"/>
      <c r="P38" s="190">
        <f t="shared" si="2"/>
        <v>616.5</v>
      </c>
      <c r="Q38" s="191">
        <f t="shared" si="10"/>
        <v>0</v>
      </c>
      <c r="R38" s="233">
        <f t="shared" si="11"/>
        <v>616.5</v>
      </c>
      <c r="S38" s="234"/>
      <c r="T38" s="204"/>
      <c r="U38" s="204"/>
      <c r="V38" s="204"/>
      <c r="W38" s="204"/>
      <c r="X38" s="204"/>
      <c r="Y38" s="204"/>
      <c r="AF38" s="212"/>
      <c r="AG38" s="213">
        <f t="shared" si="12"/>
        <v>44580</v>
      </c>
      <c r="AH38" s="211">
        <f t="shared" si="13"/>
        <v>8</v>
      </c>
      <c r="AI38" s="127">
        <f t="shared" si="14"/>
        <v>0.87587301081897928</v>
      </c>
      <c r="AJ38" s="127" t="e">
        <f t="shared" si="15"/>
        <v>#N/A</v>
      </c>
      <c r="AK38" s="211" t="e">
        <f t="shared" si="16"/>
        <v>#N/A</v>
      </c>
      <c r="AL38" s="120">
        <f t="shared" si="17"/>
        <v>1</v>
      </c>
      <c r="AM38" s="120">
        <f t="shared" si="18"/>
        <v>2022</v>
      </c>
      <c r="AN38" s="128">
        <f t="shared" si="19"/>
        <v>31</v>
      </c>
      <c r="AO38" s="128">
        <f t="shared" si="20"/>
        <v>245</v>
      </c>
      <c r="AP38" s="99">
        <f t="shared" si="21"/>
        <v>44592</v>
      </c>
      <c r="AQ38" s="99">
        <f t="shared" si="22"/>
        <v>44585</v>
      </c>
      <c r="AR38" s="144">
        <f>$AQ38+IF(AND(DAY($AQ38)=27,MONTH($AQ38)=7),3,IF(AND(WEEKDAY($AQ38)=5,ISERROR(VLOOKUP($AQ38+1,Factores!$A:$A,1,0))=FALSE),4,IF(OR(WEEKDAY($AQ38)=1,ISERROR(VLOOKUP($AQ38,Factores!$A:$A,1,0))=FALSE),1,IF(WEEKDAY($AQ38)=7,2,0))))</f>
        <v>44585</v>
      </c>
      <c r="AS38" s="144">
        <v>44585</v>
      </c>
      <c r="AT38" s="129">
        <f t="shared" si="23"/>
        <v>561.07060319492552</v>
      </c>
      <c r="AU38" s="149"/>
      <c r="AV38" s="214"/>
      <c r="AW38" s="99">
        <v>44463</v>
      </c>
      <c r="AX38" s="107"/>
      <c r="AY38" s="133">
        <f t="shared" si="3"/>
        <v>1</v>
      </c>
      <c r="AZ38" s="134">
        <f t="shared" si="24"/>
        <v>2022</v>
      </c>
      <c r="BA38" s="133">
        <f t="shared" si="4"/>
        <v>9</v>
      </c>
      <c r="BB38" s="134">
        <f t="shared" si="25"/>
        <v>2022</v>
      </c>
      <c r="BC38" s="133">
        <f t="shared" si="5"/>
        <v>5</v>
      </c>
      <c r="BD38" s="134">
        <f t="shared" si="26"/>
        <v>2023</v>
      </c>
      <c r="BE38" s="132">
        <f t="shared" si="27"/>
        <v>44585</v>
      </c>
      <c r="BF38" s="132">
        <f>$BE38+IF(OR(WEEKDAY($BE38)=1,ISERROR(VLOOKUP($BE38,Factores!$A:$A,1,0))=FALSE),1,IF(WEEKDAY($BE38)=7,2,0))</f>
        <v>44585</v>
      </c>
      <c r="BG38" s="132">
        <f t="shared" si="0"/>
        <v>44585</v>
      </c>
      <c r="CC38" s="211">
        <f>(1+CC36)^(1/365)-1</f>
        <v>1.0998298849564936E-3</v>
      </c>
      <c r="CO38" s="211">
        <f t="shared" si="6"/>
        <v>8</v>
      </c>
      <c r="CQ38" s="209">
        <f t="shared" si="28"/>
        <v>44584</v>
      </c>
      <c r="CR38" s="209">
        <f t="shared" si="7"/>
        <v>44585</v>
      </c>
      <c r="CS38" s="209">
        <f>$CR38+IF(AND(WEEKDAY($CR38)=6, ISERROR(VLOOKUP($CR38,Factores!$A:$A,1,0))=FALSE),3,0)</f>
        <v>44585</v>
      </c>
      <c r="CT38" s="209">
        <f t="shared" si="1"/>
        <v>44585</v>
      </c>
      <c r="CV38" s="151">
        <f t="shared" si="29"/>
        <v>44585</v>
      </c>
      <c r="CW38" s="211">
        <f t="shared" si="30"/>
        <v>31</v>
      </c>
      <c r="CX38" s="211">
        <f t="shared" si="31"/>
        <v>245</v>
      </c>
    </row>
    <row r="39" spans="1:102" s="211" customFormat="1" ht="12.75" customHeight="1">
      <c r="A39" s="204"/>
      <c r="B39" s="205"/>
      <c r="C39" s="205"/>
      <c r="D39" s="72"/>
      <c r="E39" s="205"/>
      <c r="F39" s="187">
        <f t="shared" si="8"/>
        <v>9</v>
      </c>
      <c r="G39" s="188">
        <v>44616</v>
      </c>
      <c r="H39" s="242">
        <f t="shared" si="9"/>
        <v>-21804.443333333333</v>
      </c>
      <c r="I39" s="242"/>
      <c r="J39" s="242"/>
      <c r="K39" s="189">
        <v>441</v>
      </c>
      <c r="L39" s="242">
        <v>175.5</v>
      </c>
      <c r="M39" s="242"/>
      <c r="N39" s="242"/>
      <c r="O39" s="190"/>
      <c r="P39" s="190">
        <f t="shared" si="2"/>
        <v>616.5</v>
      </c>
      <c r="Q39" s="191">
        <f t="shared" si="10"/>
        <v>0</v>
      </c>
      <c r="R39" s="233">
        <f t="shared" si="11"/>
        <v>616.5</v>
      </c>
      <c r="S39" s="234"/>
      <c r="T39" s="204"/>
      <c r="U39" s="204"/>
      <c r="V39" s="204"/>
      <c r="W39" s="204"/>
      <c r="X39" s="204"/>
      <c r="Y39" s="204"/>
      <c r="AF39" s="212"/>
      <c r="AG39" s="213">
        <f t="shared" si="12"/>
        <v>44610</v>
      </c>
      <c r="AH39" s="211">
        <f t="shared" si="13"/>
        <v>9</v>
      </c>
      <c r="AI39" s="127">
        <f t="shared" si="14"/>
        <v>0.86130741666850785</v>
      </c>
      <c r="AJ39" s="127" t="e">
        <f t="shared" si="15"/>
        <v>#N/A</v>
      </c>
      <c r="AK39" s="211" t="e">
        <f t="shared" si="16"/>
        <v>#N/A</v>
      </c>
      <c r="AL39" s="120">
        <f t="shared" si="17"/>
        <v>2</v>
      </c>
      <c r="AM39" s="120">
        <f t="shared" si="18"/>
        <v>2022</v>
      </c>
      <c r="AN39" s="128">
        <f t="shared" si="19"/>
        <v>31</v>
      </c>
      <c r="AO39" s="128">
        <f t="shared" si="20"/>
        <v>276</v>
      </c>
      <c r="AP39" s="99">
        <f t="shared" si="21"/>
        <v>44620</v>
      </c>
      <c r="AQ39" s="99">
        <f t="shared" si="22"/>
        <v>44616</v>
      </c>
      <c r="AR39" s="144">
        <f>$AQ39+IF(AND(DAY($AQ39)=27,MONTH($AQ39)=7),3,IF(AND(WEEKDAY($AQ39)=5,ISERROR(VLOOKUP($AQ39+1,Factores!$A:$A,1,0))=FALSE),4,IF(OR(WEEKDAY($AQ39)=1,ISERROR(VLOOKUP($AQ39,Factores!$A:$A,1,0))=FALSE),1,IF(WEEKDAY($AQ39)=7,2,0))))</f>
        <v>44616</v>
      </c>
      <c r="AS39" s="144">
        <v>44616</v>
      </c>
      <c r="AT39" s="129">
        <f t="shared" si="23"/>
        <v>554.42198470419169</v>
      </c>
      <c r="AU39" s="149"/>
      <c r="AV39" s="214"/>
      <c r="AW39" s="99">
        <f>AW38+15</f>
        <v>44478</v>
      </c>
      <c r="AX39" s="107"/>
      <c r="AY39" s="133">
        <f t="shared" si="3"/>
        <v>2</v>
      </c>
      <c r="AZ39" s="134">
        <f t="shared" si="24"/>
        <v>2022</v>
      </c>
      <c r="BA39" s="133">
        <f t="shared" si="4"/>
        <v>11</v>
      </c>
      <c r="BB39" s="134">
        <f t="shared" si="25"/>
        <v>2022</v>
      </c>
      <c r="BC39" s="133">
        <f t="shared" si="5"/>
        <v>8</v>
      </c>
      <c r="BD39" s="134">
        <f t="shared" si="26"/>
        <v>2023</v>
      </c>
      <c r="BE39" s="132">
        <f t="shared" si="27"/>
        <v>44616</v>
      </c>
      <c r="BF39" s="132">
        <f>$BE39+IF(OR(WEEKDAY($BE39)=1,ISERROR(VLOOKUP($BE39,Factores!$A:$A,1,0))=FALSE),1,IF(WEEKDAY($BE39)=7,2,0))</f>
        <v>44616</v>
      </c>
      <c r="BG39" s="132">
        <f t="shared" si="0"/>
        <v>44616</v>
      </c>
      <c r="CO39" s="211">
        <f t="shared" si="6"/>
        <v>9</v>
      </c>
      <c r="CQ39" s="209">
        <f t="shared" si="28"/>
        <v>44615</v>
      </c>
      <c r="CR39" s="209">
        <f t="shared" si="7"/>
        <v>44615</v>
      </c>
      <c r="CS39" s="209">
        <f>$CR39+IF(AND(WEEKDAY($CR39)=6, ISERROR(VLOOKUP($CR39,Factores!$A:$A,1,0))=FALSE),3,0)</f>
        <v>44615</v>
      </c>
      <c r="CT39" s="209">
        <f t="shared" si="1"/>
        <v>44615</v>
      </c>
      <c r="CV39" s="151">
        <f t="shared" si="29"/>
        <v>44616</v>
      </c>
      <c r="CW39" s="211">
        <f t="shared" si="30"/>
        <v>31</v>
      </c>
      <c r="CX39" s="211">
        <f t="shared" si="31"/>
        <v>276</v>
      </c>
    </row>
    <row r="40" spans="1:102" s="211" customFormat="1" ht="12.75" customHeight="1">
      <c r="A40" s="204"/>
      <c r="B40" s="205"/>
      <c r="C40" s="205"/>
      <c r="D40" s="72"/>
      <c r="E40" s="205"/>
      <c r="F40" s="187">
        <f t="shared" si="8"/>
        <v>10</v>
      </c>
      <c r="G40" s="188">
        <v>44644</v>
      </c>
      <c r="H40" s="242">
        <f t="shared" si="9"/>
        <v>-22267.293333333331</v>
      </c>
      <c r="I40" s="242"/>
      <c r="J40" s="242"/>
      <c r="K40" s="189">
        <v>462.85</v>
      </c>
      <c r="L40" s="242">
        <v>153.65</v>
      </c>
      <c r="M40" s="242"/>
      <c r="N40" s="242"/>
      <c r="O40" s="190"/>
      <c r="P40" s="190">
        <f t="shared" si="2"/>
        <v>616.5</v>
      </c>
      <c r="Q40" s="191">
        <f t="shared" si="10"/>
        <v>0</v>
      </c>
      <c r="R40" s="233">
        <f t="shared" si="11"/>
        <v>616.5</v>
      </c>
      <c r="S40" s="234"/>
      <c r="T40" s="204"/>
      <c r="U40" s="204"/>
      <c r="V40" s="204"/>
      <c r="W40" s="204"/>
      <c r="X40" s="204"/>
      <c r="Y40" s="204"/>
      <c r="AF40" s="212"/>
      <c r="AG40" s="213">
        <f t="shared" si="12"/>
        <v>44640</v>
      </c>
      <c r="AH40" s="211">
        <f t="shared" si="13"/>
        <v>10</v>
      </c>
      <c r="AI40" s="127">
        <f t="shared" si="14"/>
        <v>0.84835970412525263</v>
      </c>
      <c r="AJ40" s="127" t="e">
        <f t="shared" si="15"/>
        <v>#N/A</v>
      </c>
      <c r="AK40" s="211" t="e">
        <f t="shared" si="16"/>
        <v>#N/A</v>
      </c>
      <c r="AL40" s="120">
        <f t="shared" si="17"/>
        <v>3</v>
      </c>
      <c r="AM40" s="120">
        <f t="shared" si="18"/>
        <v>2022</v>
      </c>
      <c r="AN40" s="128">
        <f t="shared" si="19"/>
        <v>28</v>
      </c>
      <c r="AO40" s="128">
        <f t="shared" si="20"/>
        <v>304</v>
      </c>
      <c r="AP40" s="99">
        <f t="shared" si="21"/>
        <v>44651</v>
      </c>
      <c r="AQ40" s="99">
        <f t="shared" si="22"/>
        <v>44644</v>
      </c>
      <c r="AR40" s="144">
        <f>$AQ40+IF(AND(DAY($AQ40)=27,MONTH($AQ40)=7),3,IF(AND(WEEKDAY($AQ40)=5,ISERROR(VLOOKUP($AQ40+1,Factores!$A:$A,1,0))=FALSE),4,IF(OR(WEEKDAY($AQ40)=1,ISERROR(VLOOKUP($AQ40,Factores!$A:$A,1,0))=FALSE),1,IF(WEEKDAY($AQ40)=7,2,0))))</f>
        <v>44644</v>
      </c>
      <c r="AS40" s="144">
        <v>44644</v>
      </c>
      <c r="AT40" s="129">
        <f t="shared" si="23"/>
        <v>548.48452454043377</v>
      </c>
      <c r="AU40" s="149"/>
      <c r="AV40" s="214"/>
      <c r="AW40" s="99">
        <v>44494</v>
      </c>
      <c r="AX40" s="107"/>
      <c r="AY40" s="133">
        <f t="shared" si="3"/>
        <v>3</v>
      </c>
      <c r="AZ40" s="134">
        <f t="shared" si="24"/>
        <v>2022</v>
      </c>
      <c r="BA40" s="133">
        <f t="shared" si="4"/>
        <v>1</v>
      </c>
      <c r="BB40" s="134">
        <f t="shared" si="25"/>
        <v>2023</v>
      </c>
      <c r="BC40" s="133">
        <f t="shared" si="5"/>
        <v>11</v>
      </c>
      <c r="BD40" s="134">
        <f t="shared" si="26"/>
        <v>2023</v>
      </c>
      <c r="BE40" s="132">
        <f t="shared" si="27"/>
        <v>44644</v>
      </c>
      <c r="BF40" s="132">
        <f>$BE40+IF(OR(WEEKDAY($BE40)=1,ISERROR(VLOOKUP($BE40,Factores!$A:$A,1,0))=FALSE),1,IF(WEEKDAY($BE40)=7,2,0))</f>
        <v>44644</v>
      </c>
      <c r="BG40" s="132">
        <f t="shared" si="0"/>
        <v>44644</v>
      </c>
      <c r="CO40" s="211">
        <f t="shared" si="6"/>
        <v>10</v>
      </c>
      <c r="CQ40" s="209">
        <f t="shared" si="28"/>
        <v>44645</v>
      </c>
      <c r="CR40" s="209">
        <f t="shared" si="7"/>
        <v>44645</v>
      </c>
      <c r="CS40" s="209">
        <f>$CR40+IF(AND(WEEKDAY($CR40)=6, ISERROR(VLOOKUP($CR40,Factores!$A:$A,1,0))=FALSE),3,0)</f>
        <v>44645</v>
      </c>
      <c r="CT40" s="209">
        <f t="shared" si="1"/>
        <v>44645</v>
      </c>
      <c r="CV40" s="151">
        <f t="shared" si="29"/>
        <v>44644</v>
      </c>
      <c r="CW40" s="211">
        <f t="shared" si="30"/>
        <v>28</v>
      </c>
      <c r="CX40" s="211">
        <f t="shared" si="31"/>
        <v>304</v>
      </c>
    </row>
    <row r="41" spans="1:102" s="211" customFormat="1" ht="12.75" customHeight="1">
      <c r="A41" s="204"/>
      <c r="B41" s="205"/>
      <c r="C41" s="205"/>
      <c r="D41" s="72"/>
      <c r="E41" s="205"/>
      <c r="F41" s="187">
        <f t="shared" si="8"/>
        <v>11</v>
      </c>
      <c r="G41" s="188">
        <v>44676</v>
      </c>
      <c r="H41" s="242">
        <f t="shared" si="9"/>
        <v>-22713.783333333333</v>
      </c>
      <c r="I41" s="242"/>
      <c r="J41" s="242"/>
      <c r="K41" s="189">
        <v>446.49</v>
      </c>
      <c r="L41" s="242">
        <v>170.01</v>
      </c>
      <c r="M41" s="242"/>
      <c r="N41" s="242"/>
      <c r="O41" s="190"/>
      <c r="P41" s="190">
        <f t="shared" si="2"/>
        <v>616.5</v>
      </c>
      <c r="Q41" s="191">
        <f t="shared" si="10"/>
        <v>0</v>
      </c>
      <c r="R41" s="233">
        <f t="shared" si="11"/>
        <v>616.5</v>
      </c>
      <c r="S41" s="234"/>
      <c r="T41" s="204"/>
      <c r="U41" s="204"/>
      <c r="V41" s="204"/>
      <c r="W41" s="204"/>
      <c r="X41" s="204"/>
      <c r="Y41" s="204"/>
      <c r="AF41" s="212"/>
      <c r="AG41" s="213">
        <f t="shared" si="12"/>
        <v>44670</v>
      </c>
      <c r="AH41" s="211">
        <f t="shared" si="13"/>
        <v>11</v>
      </c>
      <c r="AI41" s="127">
        <f t="shared" si="14"/>
        <v>0.83380047959836956</v>
      </c>
      <c r="AJ41" s="127" t="e">
        <f t="shared" si="15"/>
        <v>#N/A</v>
      </c>
      <c r="AK41" s="211" t="e">
        <f t="shared" si="16"/>
        <v>#N/A</v>
      </c>
      <c r="AL41" s="120">
        <f t="shared" si="17"/>
        <v>4</v>
      </c>
      <c r="AM41" s="120">
        <f t="shared" si="18"/>
        <v>2022</v>
      </c>
      <c r="AN41" s="128">
        <f t="shared" si="19"/>
        <v>32</v>
      </c>
      <c r="AO41" s="128">
        <f t="shared" si="20"/>
        <v>336</v>
      </c>
      <c r="AP41" s="99">
        <f t="shared" si="21"/>
        <v>44681</v>
      </c>
      <c r="AQ41" s="99">
        <f t="shared" si="22"/>
        <v>44675</v>
      </c>
      <c r="AR41" s="144">
        <f>$AQ41+IF(AND(DAY($AQ41)=27,MONTH($AQ41)=7),3,IF(AND(WEEKDAY($AQ41)=5,ISERROR(VLOOKUP($AQ41+1,Factores!$A:$A,1,0))=FALSE),4,IF(OR(WEEKDAY($AQ41)=1,ISERROR(VLOOKUP($AQ41,Factores!$A:$A,1,0))=FALSE),1,IF(WEEKDAY($AQ41)=7,2,0))))</f>
        <v>44676</v>
      </c>
      <c r="AS41" s="144">
        <v>44676</v>
      </c>
      <c r="AT41" s="129">
        <f t="shared" si="23"/>
        <v>541.77667629720236</v>
      </c>
      <c r="AU41" s="149"/>
      <c r="AV41" s="214"/>
      <c r="AW41" s="99">
        <f>AW40+15</f>
        <v>44509</v>
      </c>
      <c r="AX41" s="107"/>
      <c r="AY41" s="133">
        <f t="shared" si="3"/>
        <v>4</v>
      </c>
      <c r="AZ41" s="134">
        <f t="shared" si="24"/>
        <v>2022</v>
      </c>
      <c r="BA41" s="133">
        <f t="shared" si="4"/>
        <v>3</v>
      </c>
      <c r="BB41" s="134">
        <f t="shared" si="25"/>
        <v>2023</v>
      </c>
      <c r="BC41" s="133">
        <f t="shared" si="5"/>
        <v>2</v>
      </c>
      <c r="BD41" s="134">
        <f t="shared" si="26"/>
        <v>2024</v>
      </c>
      <c r="BE41" s="132">
        <f t="shared" si="27"/>
        <v>44675</v>
      </c>
      <c r="BF41" s="132">
        <f>$BE41+IF(OR(WEEKDAY($BE41)=1,ISERROR(VLOOKUP($BE41,Factores!$A:$A,1,0))=FALSE),1,IF(WEEKDAY($BE41)=7,2,0))</f>
        <v>44676</v>
      </c>
      <c r="BG41" s="132">
        <f t="shared" si="0"/>
        <v>44676</v>
      </c>
      <c r="CO41" s="211">
        <f t="shared" si="6"/>
        <v>11</v>
      </c>
      <c r="CQ41" s="209">
        <f t="shared" si="28"/>
        <v>44675</v>
      </c>
      <c r="CR41" s="209">
        <f t="shared" si="7"/>
        <v>44676</v>
      </c>
      <c r="CS41" s="209">
        <f>$CR41+IF(AND(WEEKDAY($CR41)=6, ISERROR(VLOOKUP($CR41,Factores!$A:$A,1,0))=FALSE),3,0)</f>
        <v>44676</v>
      </c>
      <c r="CT41" s="209">
        <f t="shared" si="1"/>
        <v>44676</v>
      </c>
      <c r="CV41" s="151">
        <f t="shared" si="29"/>
        <v>44676</v>
      </c>
      <c r="CW41" s="211">
        <f t="shared" si="30"/>
        <v>32</v>
      </c>
      <c r="CX41" s="211">
        <f t="shared" si="31"/>
        <v>336</v>
      </c>
    </row>
    <row r="42" spans="1:102" s="211" customFormat="1" ht="12.75" customHeight="1">
      <c r="A42" s="204"/>
      <c r="B42" s="205"/>
      <c r="C42" s="205"/>
      <c r="D42" s="72"/>
      <c r="E42" s="205"/>
      <c r="F42" s="187">
        <f t="shared" si="8"/>
        <v>12</v>
      </c>
      <c r="G42" s="188">
        <v>44705</v>
      </c>
      <c r="H42" s="242">
        <f t="shared" si="9"/>
        <v>-23181.313333333332</v>
      </c>
      <c r="I42" s="242"/>
      <c r="J42" s="242"/>
      <c r="K42" s="189">
        <v>467.53</v>
      </c>
      <c r="L42" s="242">
        <v>148.97</v>
      </c>
      <c r="M42" s="242"/>
      <c r="N42" s="242"/>
      <c r="O42" s="190"/>
      <c r="P42" s="190">
        <f t="shared" si="2"/>
        <v>616.5</v>
      </c>
      <c r="Q42" s="191">
        <f t="shared" si="10"/>
        <v>0</v>
      </c>
      <c r="R42" s="233">
        <f t="shared" si="11"/>
        <v>616.5</v>
      </c>
      <c r="S42" s="234"/>
      <c r="T42" s="204"/>
      <c r="U42" s="204"/>
      <c r="V42" s="204"/>
      <c r="W42" s="204"/>
      <c r="X42" s="204"/>
      <c r="Y42" s="204"/>
      <c r="AF42" s="212"/>
      <c r="AG42" s="213">
        <f t="shared" si="12"/>
        <v>44700</v>
      </c>
      <c r="AH42" s="211">
        <f t="shared" si="13"/>
        <v>12</v>
      </c>
      <c r="AI42" s="127">
        <f t="shared" si="14"/>
        <v>0.82082211997880095</v>
      </c>
      <c r="AJ42" s="127" t="e">
        <f t="shared" si="15"/>
        <v>#N/A</v>
      </c>
      <c r="AK42" s="211" t="e">
        <f t="shared" si="16"/>
        <v>#N/A</v>
      </c>
      <c r="AL42" s="120">
        <f t="shared" si="17"/>
        <v>5</v>
      </c>
      <c r="AM42" s="120">
        <f t="shared" si="18"/>
        <v>2022</v>
      </c>
      <c r="AN42" s="128">
        <f t="shared" si="19"/>
        <v>29</v>
      </c>
      <c r="AO42" s="128">
        <f t="shared" si="20"/>
        <v>365</v>
      </c>
      <c r="AP42" s="99">
        <f t="shared" si="21"/>
        <v>44712</v>
      </c>
      <c r="AQ42" s="99">
        <f t="shared" si="22"/>
        <v>44705</v>
      </c>
      <c r="AR42" s="144">
        <f>$AQ42+IF(AND(DAY($AQ42)=27,MONTH($AQ42)=7),3,IF(AND(WEEKDAY($AQ42)=5,ISERROR(VLOOKUP($AQ42+1,Factores!$A:$A,1,0))=FALSE),4,IF(OR(WEEKDAY($AQ42)=1,ISERROR(VLOOKUP($AQ42,Factores!$A:$A,1,0))=FALSE),1,IF(WEEKDAY($AQ42)=7,2,0))))</f>
        <v>44705</v>
      </c>
      <c r="AS42" s="144">
        <v>44705</v>
      </c>
      <c r="AT42" s="129">
        <f t="shared" si="23"/>
        <v>535.76857580513695</v>
      </c>
      <c r="AU42" s="149"/>
      <c r="AV42" s="214"/>
      <c r="AW42" s="99">
        <v>44524</v>
      </c>
      <c r="AX42" s="107"/>
      <c r="AY42" s="133">
        <f t="shared" si="3"/>
        <v>5</v>
      </c>
      <c r="AZ42" s="134">
        <f t="shared" si="24"/>
        <v>2022</v>
      </c>
      <c r="BA42" s="133">
        <f t="shared" si="4"/>
        <v>5</v>
      </c>
      <c r="BB42" s="134">
        <f t="shared" si="25"/>
        <v>2023</v>
      </c>
      <c r="BC42" s="133">
        <f t="shared" si="5"/>
        <v>5</v>
      </c>
      <c r="BD42" s="134">
        <f t="shared" si="26"/>
        <v>2024</v>
      </c>
      <c r="BE42" s="132">
        <f t="shared" si="27"/>
        <v>44705</v>
      </c>
      <c r="BF42" s="132">
        <f>$BE42+IF(OR(WEEKDAY($BE42)=1,ISERROR(VLOOKUP($BE42,Factores!$A:$A,1,0))=FALSE),1,IF(WEEKDAY($BE42)=7,2,0))</f>
        <v>44705</v>
      </c>
      <c r="BG42" s="132">
        <f t="shared" si="0"/>
        <v>44705</v>
      </c>
      <c r="CO42" s="211">
        <f t="shared" si="6"/>
        <v>12</v>
      </c>
      <c r="CQ42" s="209">
        <f t="shared" si="28"/>
        <v>44706</v>
      </c>
      <c r="CR42" s="209">
        <f t="shared" si="7"/>
        <v>44706</v>
      </c>
      <c r="CS42" s="209">
        <f>$CR42+IF(AND(WEEKDAY($CR42)=6, ISERROR(VLOOKUP($CR42,Factores!$A:$A,1,0))=FALSE),3,0)</f>
        <v>44706</v>
      </c>
      <c r="CT42" s="209">
        <f t="shared" si="1"/>
        <v>44706</v>
      </c>
      <c r="CV42" s="151">
        <f t="shared" si="29"/>
        <v>44705</v>
      </c>
      <c r="CW42" s="211">
        <f t="shared" si="30"/>
        <v>29</v>
      </c>
      <c r="CX42" s="211">
        <f t="shared" si="31"/>
        <v>365</v>
      </c>
    </row>
    <row r="43" spans="1:102" s="211" customFormat="1" ht="12.75" customHeight="1">
      <c r="A43" s="204"/>
      <c r="B43" s="205"/>
      <c r="C43" s="205"/>
      <c r="D43" s="72"/>
      <c r="E43" s="205"/>
      <c r="F43" s="187">
        <f t="shared" si="8"/>
        <v>13</v>
      </c>
      <c r="G43" s="188">
        <v>44736</v>
      </c>
      <c r="H43" s="242">
        <f t="shared" si="9"/>
        <v>-23644.113333333331</v>
      </c>
      <c r="I43" s="242"/>
      <c r="J43" s="242"/>
      <c r="K43" s="189">
        <v>462.8</v>
      </c>
      <c r="L43" s="242">
        <v>153.69999999999999</v>
      </c>
      <c r="M43" s="242"/>
      <c r="N43" s="242"/>
      <c r="O43" s="190"/>
      <c r="P43" s="190">
        <f t="shared" si="2"/>
        <v>616.5</v>
      </c>
      <c r="Q43" s="191">
        <f t="shared" si="10"/>
        <v>0</v>
      </c>
      <c r="R43" s="233">
        <f t="shared" si="11"/>
        <v>616.5</v>
      </c>
      <c r="S43" s="234"/>
      <c r="T43" s="204"/>
      <c r="U43" s="204"/>
      <c r="V43" s="204"/>
      <c r="W43" s="204"/>
      <c r="X43" s="204"/>
      <c r="Y43" s="204"/>
      <c r="AG43" s="213">
        <f t="shared" si="12"/>
        <v>44730</v>
      </c>
      <c r="AH43" s="211">
        <f t="shared" si="13"/>
        <v>13</v>
      </c>
      <c r="AI43" s="127">
        <f t="shared" si="14"/>
        <v>0.80717201120542836</v>
      </c>
      <c r="AJ43" s="127" t="e">
        <f t="shared" si="15"/>
        <v>#N/A</v>
      </c>
      <c r="AK43" s="211" t="e">
        <f t="shared" si="16"/>
        <v>#N/A</v>
      </c>
      <c r="AL43" s="120">
        <f t="shared" si="17"/>
        <v>6</v>
      </c>
      <c r="AM43" s="120">
        <f t="shared" si="18"/>
        <v>2022</v>
      </c>
      <c r="AN43" s="128">
        <f t="shared" si="19"/>
        <v>31</v>
      </c>
      <c r="AO43" s="128">
        <f t="shared" si="20"/>
        <v>396</v>
      </c>
      <c r="AP43" s="99">
        <f t="shared" si="21"/>
        <v>44742</v>
      </c>
      <c r="AQ43" s="99">
        <f t="shared" si="22"/>
        <v>44736</v>
      </c>
      <c r="AR43" s="144">
        <f>$AQ43+IF(AND(DAY($AQ43)=27,MONTH($AQ43)=7),3,IF(AND(WEEKDAY($AQ43)=5,ISERROR(VLOOKUP($AQ43+1,Factores!$A:$A,1,0))=FALSE),4,IF(OR(WEEKDAY($AQ43)=1,ISERROR(VLOOKUP($AQ43,Factores!$A:$A,1,0))=FALSE),1,IF(WEEKDAY($AQ43)=7,2,0))))</f>
        <v>44736</v>
      </c>
      <c r="AS43" s="144">
        <v>44736</v>
      </c>
      <c r="AT43" s="129">
        <f t="shared" si="23"/>
        <v>529.4197832653598</v>
      </c>
      <c r="AU43" s="149"/>
      <c r="AV43" s="214"/>
      <c r="AW43" s="99">
        <f>AW42+15</f>
        <v>44539</v>
      </c>
      <c r="AX43" s="107"/>
      <c r="AY43" s="133">
        <f t="shared" si="3"/>
        <v>6</v>
      </c>
      <c r="AZ43" s="134">
        <f t="shared" si="24"/>
        <v>2022</v>
      </c>
      <c r="BA43" s="133">
        <f t="shared" si="4"/>
        <v>7</v>
      </c>
      <c r="BB43" s="134">
        <f t="shared" si="25"/>
        <v>2023</v>
      </c>
      <c r="BC43" s="133">
        <f t="shared" si="5"/>
        <v>8</v>
      </c>
      <c r="BD43" s="134">
        <f t="shared" si="26"/>
        <v>2024</v>
      </c>
      <c r="BE43" s="132">
        <f t="shared" si="27"/>
        <v>44736</v>
      </c>
      <c r="BF43" s="132">
        <f>$BE43+IF(OR(WEEKDAY($BE43)=1,ISERROR(VLOOKUP($BE43,Factores!$A:$A,1,0))=FALSE),1,IF(WEEKDAY($BE43)=7,2,0))</f>
        <v>44736</v>
      </c>
      <c r="BG43" s="132">
        <f t="shared" si="0"/>
        <v>44736</v>
      </c>
      <c r="CO43" s="211">
        <f t="shared" si="6"/>
        <v>13</v>
      </c>
      <c r="CQ43" s="209">
        <f t="shared" si="28"/>
        <v>44736</v>
      </c>
      <c r="CR43" s="209">
        <f t="shared" si="7"/>
        <v>44736</v>
      </c>
      <c r="CS43" s="209">
        <f>$CR43+IF(AND(WEEKDAY($CR43)=6, ISERROR(VLOOKUP($CR43,Factores!$A:$A,1,0))=FALSE),3,0)</f>
        <v>44736</v>
      </c>
      <c r="CT43" s="209">
        <f t="shared" si="1"/>
        <v>44736</v>
      </c>
      <c r="CV43" s="151">
        <f t="shared" si="29"/>
        <v>44736</v>
      </c>
      <c r="CW43" s="211">
        <f t="shared" si="30"/>
        <v>31</v>
      </c>
      <c r="CX43" s="211">
        <f t="shared" si="31"/>
        <v>396</v>
      </c>
    </row>
    <row r="44" spans="1:102" s="211" customFormat="1" ht="12.75" customHeight="1">
      <c r="A44" s="204"/>
      <c r="B44" s="205"/>
      <c r="C44" s="205"/>
      <c r="D44" s="72"/>
      <c r="E44" s="205"/>
      <c r="F44" s="187">
        <f t="shared" si="8"/>
        <v>14</v>
      </c>
      <c r="G44" s="188">
        <v>44767</v>
      </c>
      <c r="H44" s="242">
        <f t="shared" si="9"/>
        <v>-24112.453333333331</v>
      </c>
      <c r="I44" s="242"/>
      <c r="J44" s="242"/>
      <c r="K44" s="189">
        <v>468.34000000000003</v>
      </c>
      <c r="L44" s="242">
        <v>148.16</v>
      </c>
      <c r="M44" s="242"/>
      <c r="N44" s="242"/>
      <c r="O44" s="190"/>
      <c r="P44" s="190">
        <f t="shared" si="2"/>
        <v>616.5</v>
      </c>
      <c r="Q44" s="191">
        <f t="shared" si="10"/>
        <v>0</v>
      </c>
      <c r="R44" s="233">
        <f t="shared" si="11"/>
        <v>616.5</v>
      </c>
      <c r="S44" s="234"/>
      <c r="T44" s="204"/>
      <c r="U44" s="204"/>
      <c r="V44" s="204"/>
      <c r="W44" s="204"/>
      <c r="X44" s="204"/>
      <c r="Y44" s="204"/>
      <c r="AG44" s="213">
        <f t="shared" si="12"/>
        <v>44760</v>
      </c>
      <c r="AH44" s="211">
        <f t="shared" si="13"/>
        <v>14</v>
      </c>
      <c r="AI44" s="127">
        <f t="shared" si="14"/>
        <v>0.79374890102893769</v>
      </c>
      <c r="AJ44" s="127" t="e">
        <f t="shared" si="15"/>
        <v>#N/A</v>
      </c>
      <c r="AK44" s="211" t="e">
        <f t="shared" si="16"/>
        <v>#N/A</v>
      </c>
      <c r="AL44" s="120">
        <f t="shared" si="17"/>
        <v>7</v>
      </c>
      <c r="AM44" s="120">
        <f t="shared" si="18"/>
        <v>2022</v>
      </c>
      <c r="AN44" s="128">
        <f t="shared" si="19"/>
        <v>31</v>
      </c>
      <c r="AO44" s="128">
        <f t="shared" si="20"/>
        <v>427</v>
      </c>
      <c r="AP44" s="99">
        <f t="shared" si="21"/>
        <v>44773</v>
      </c>
      <c r="AQ44" s="99">
        <f t="shared" si="22"/>
        <v>44766</v>
      </c>
      <c r="AR44" s="144">
        <f>$AQ44+IF(AND(DAY($AQ44)=27,MONTH($AQ44)=7),3,IF(AND(WEEKDAY($AQ44)=5,ISERROR(VLOOKUP($AQ44+1,Factores!$A:$A,1,0))=FALSE),4,IF(OR(WEEKDAY($AQ44)=1,ISERROR(VLOOKUP($AQ44,Factores!$A:$A,1,0))=FALSE),1,IF(WEEKDAY($AQ44)=7,2,0))))</f>
        <v>44767</v>
      </c>
      <c r="AS44" s="144">
        <v>44767</v>
      </c>
      <c r="AT44" s="129">
        <f t="shared" si="23"/>
        <v>523.14622314594703</v>
      </c>
      <c r="AU44" s="149"/>
      <c r="AV44" s="214"/>
      <c r="AW44" s="99">
        <v>44554</v>
      </c>
      <c r="AX44" s="107"/>
      <c r="AY44" s="133">
        <f t="shared" si="3"/>
        <v>7</v>
      </c>
      <c r="AZ44" s="134">
        <f t="shared" si="24"/>
        <v>2022</v>
      </c>
      <c r="BA44" s="133">
        <f t="shared" si="4"/>
        <v>9</v>
      </c>
      <c r="BB44" s="134">
        <f t="shared" si="25"/>
        <v>2023</v>
      </c>
      <c r="BC44" s="133">
        <f t="shared" si="5"/>
        <v>11</v>
      </c>
      <c r="BD44" s="134">
        <f t="shared" si="26"/>
        <v>2024</v>
      </c>
      <c r="BE44" s="132">
        <f t="shared" si="27"/>
        <v>44766</v>
      </c>
      <c r="BF44" s="132">
        <f>$BE44+IF(OR(WEEKDAY($BE44)=1,ISERROR(VLOOKUP($BE44,Factores!$A:$A,1,0))=FALSE),1,IF(WEEKDAY($BE44)=7,2,0))</f>
        <v>44767</v>
      </c>
      <c r="BG44" s="132">
        <f t="shared" si="0"/>
        <v>44767</v>
      </c>
      <c r="CO44" s="211">
        <f t="shared" si="6"/>
        <v>14</v>
      </c>
      <c r="CQ44" s="209">
        <f t="shared" si="28"/>
        <v>44766</v>
      </c>
      <c r="CR44" s="209">
        <f t="shared" si="7"/>
        <v>44767</v>
      </c>
      <c r="CS44" s="209">
        <f>$CR44+IF(AND(WEEKDAY($CR44)=6, ISERROR(VLOOKUP($CR44,Factores!$A:$A,1,0))=FALSE),3,0)</f>
        <v>44767</v>
      </c>
      <c r="CT44" s="209">
        <f t="shared" si="1"/>
        <v>44767</v>
      </c>
      <c r="CV44" s="151">
        <f t="shared" si="29"/>
        <v>44767</v>
      </c>
    </row>
    <row r="45" spans="1:102" s="211" customFormat="1" ht="12.75" customHeight="1">
      <c r="A45" s="204"/>
      <c r="B45" s="205"/>
      <c r="C45" s="205"/>
      <c r="D45" s="72"/>
      <c r="E45" s="205"/>
      <c r="F45" s="187">
        <f t="shared" si="8"/>
        <v>15</v>
      </c>
      <c r="G45" s="199">
        <v>44797</v>
      </c>
      <c r="H45" s="242">
        <f t="shared" si="9"/>
        <v>-24591.033333333333</v>
      </c>
      <c r="I45" s="242"/>
      <c r="J45" s="242"/>
      <c r="K45" s="189">
        <v>478.58000000000004</v>
      </c>
      <c r="L45" s="242">
        <v>137.91999999999999</v>
      </c>
      <c r="M45" s="242"/>
      <c r="N45" s="242"/>
      <c r="O45" s="190"/>
      <c r="P45" s="190">
        <f t="shared" si="2"/>
        <v>616.5</v>
      </c>
      <c r="Q45" s="191">
        <f t="shared" si="10"/>
        <v>0</v>
      </c>
      <c r="R45" s="233">
        <f t="shared" si="11"/>
        <v>616.5</v>
      </c>
      <c r="S45" s="234"/>
      <c r="T45" s="204"/>
      <c r="U45" s="204"/>
      <c r="V45" s="204"/>
      <c r="W45" s="204"/>
      <c r="X45" s="204"/>
      <c r="Y45" s="204"/>
      <c r="AG45" s="213">
        <f t="shared" si="12"/>
        <v>44790</v>
      </c>
      <c r="AH45" s="211">
        <f t="shared" si="13"/>
        <v>15</v>
      </c>
      <c r="AI45" s="127">
        <f t="shared" si="14"/>
        <v>0.78097137122789795</v>
      </c>
      <c r="AJ45" s="127" t="e">
        <f t="shared" si="15"/>
        <v>#N/A</v>
      </c>
      <c r="AK45" s="211" t="e">
        <f t="shared" si="16"/>
        <v>#N/A</v>
      </c>
      <c r="AL45" s="120">
        <f t="shared" si="17"/>
        <v>8</v>
      </c>
      <c r="AM45" s="120">
        <f t="shared" si="18"/>
        <v>2022</v>
      </c>
      <c r="AN45" s="128">
        <f t="shared" si="19"/>
        <v>30</v>
      </c>
      <c r="AO45" s="128">
        <f t="shared" si="20"/>
        <v>457</v>
      </c>
      <c r="AP45" s="99">
        <f t="shared" si="21"/>
        <v>44804</v>
      </c>
      <c r="AQ45" s="99">
        <f t="shared" si="22"/>
        <v>44797</v>
      </c>
      <c r="AR45" s="144">
        <f>$AQ45+IF(AND(DAY($AQ45)=27,MONTH($AQ45)=7),3,IF(AND(WEEKDAY($AQ45)=5,ISERROR(VLOOKUP($AQ45+1,Factores!$A:$A,1,0))=FALSE),4,IF(OR(WEEKDAY($AQ45)=1,ISERROR(VLOOKUP($AQ45,Factores!$A:$A,1,0))=FALSE),1,IF(WEEKDAY($AQ45)=7,2,0))))</f>
        <v>44797</v>
      </c>
      <c r="AS45" s="144">
        <v>44797</v>
      </c>
      <c r="AT45" s="129">
        <f t="shared" si="23"/>
        <v>517.14582744300537</v>
      </c>
      <c r="AU45" s="149"/>
      <c r="AV45" s="214"/>
      <c r="AW45" s="99">
        <f>AW44+15</f>
        <v>44569</v>
      </c>
      <c r="AX45" s="107"/>
      <c r="AY45" s="133">
        <f t="shared" si="3"/>
        <v>8</v>
      </c>
      <c r="AZ45" s="134">
        <f t="shared" si="24"/>
        <v>2022</v>
      </c>
      <c r="BA45" s="133">
        <f t="shared" si="4"/>
        <v>11</v>
      </c>
      <c r="BB45" s="134">
        <f t="shared" si="25"/>
        <v>2023</v>
      </c>
      <c r="BC45" s="133">
        <f t="shared" si="5"/>
        <v>2</v>
      </c>
      <c r="BD45" s="134">
        <f t="shared" si="26"/>
        <v>2025</v>
      </c>
      <c r="BE45" s="132">
        <f t="shared" si="27"/>
        <v>44797</v>
      </c>
      <c r="BF45" s="132">
        <f>$BE45+IF(OR(WEEKDAY($BE45)=1,ISERROR(VLOOKUP($BE45,Factores!$A:$A,1,0))=FALSE),1,IF(WEEKDAY($BE45)=7,2,0))</f>
        <v>44797</v>
      </c>
      <c r="BG45" s="132">
        <f t="shared" si="0"/>
        <v>44797</v>
      </c>
      <c r="CO45" s="211">
        <f t="shared" si="6"/>
        <v>15</v>
      </c>
      <c r="CQ45" s="209">
        <f t="shared" si="28"/>
        <v>44797</v>
      </c>
      <c r="CR45" s="209">
        <f t="shared" si="7"/>
        <v>44797</v>
      </c>
      <c r="CS45" s="209">
        <f>$CR45+IF(AND(WEEKDAY($CR45)=6, ISERROR(VLOOKUP($CR45,Factores!$A:$A,1,0))=FALSE),3,0)</f>
        <v>44797</v>
      </c>
      <c r="CT45" s="209">
        <f t="shared" si="1"/>
        <v>44797</v>
      </c>
      <c r="CV45" s="151">
        <f t="shared" si="29"/>
        <v>44797</v>
      </c>
    </row>
    <row r="46" spans="1:102" s="211" customFormat="1" ht="12.75" customHeight="1">
      <c r="A46" s="204"/>
      <c r="B46" s="205"/>
      <c r="C46" s="205"/>
      <c r="D46" s="72"/>
      <c r="E46" s="205"/>
      <c r="F46" s="187">
        <f t="shared" si="8"/>
        <v>16</v>
      </c>
      <c r="G46" s="199">
        <v>44830</v>
      </c>
      <c r="H46" s="242">
        <f t="shared" si="9"/>
        <v>-25061.853333333333</v>
      </c>
      <c r="I46" s="242"/>
      <c r="J46" s="242"/>
      <c r="K46" s="189">
        <v>470.82</v>
      </c>
      <c r="L46" s="242">
        <v>145.68</v>
      </c>
      <c r="M46" s="242"/>
      <c r="N46" s="242"/>
      <c r="O46" s="190"/>
      <c r="P46" s="190">
        <f t="shared" si="2"/>
        <v>616.5</v>
      </c>
      <c r="Q46" s="191">
        <f t="shared" si="10"/>
        <v>0</v>
      </c>
      <c r="R46" s="233">
        <f t="shared" si="11"/>
        <v>616.5</v>
      </c>
      <c r="S46" s="234"/>
      <c r="T46" s="204"/>
      <c r="U46" s="204"/>
      <c r="V46" s="204"/>
      <c r="W46" s="204"/>
      <c r="X46" s="204"/>
      <c r="Y46" s="204"/>
      <c r="AG46" s="213">
        <f t="shared" si="12"/>
        <v>44820</v>
      </c>
      <c r="AH46" s="211">
        <f t="shared" si="13"/>
        <v>16</v>
      </c>
      <c r="AI46" s="127">
        <f t="shared" si="14"/>
        <v>0.76715353108110362</v>
      </c>
      <c r="AJ46" s="127" t="e">
        <f t="shared" si="15"/>
        <v>#N/A</v>
      </c>
      <c r="AK46" s="211" t="e">
        <f t="shared" si="16"/>
        <v>#N/A</v>
      </c>
      <c r="AL46" s="120">
        <f t="shared" si="17"/>
        <v>9</v>
      </c>
      <c r="AM46" s="120">
        <f t="shared" si="18"/>
        <v>2022</v>
      </c>
      <c r="AN46" s="128">
        <f t="shared" si="19"/>
        <v>33</v>
      </c>
      <c r="AO46" s="128">
        <f t="shared" si="20"/>
        <v>490</v>
      </c>
      <c r="AP46" s="99">
        <f t="shared" si="21"/>
        <v>44834</v>
      </c>
      <c r="AQ46" s="99">
        <f t="shared" si="22"/>
        <v>44828</v>
      </c>
      <c r="AR46" s="144">
        <f>$AQ46+IF(AND(DAY($AQ46)=27,MONTH($AQ46)=7),3,IF(AND(WEEKDAY($AQ46)=5,ISERROR(VLOOKUP($AQ46+1,Factores!$A:$A,1,0))=FALSE),4,IF(OR(WEEKDAY($AQ46)=1,ISERROR(VLOOKUP($AQ46,Factores!$A:$A,1,0))=FALSE),1,IF(WEEKDAY($AQ46)=7,2,0))))</f>
        <v>44830</v>
      </c>
      <c r="AS46" s="144">
        <v>44830</v>
      </c>
      <c r="AT46" s="129">
        <f t="shared" si="23"/>
        <v>510.62485282971232</v>
      </c>
      <c r="AU46" s="149"/>
      <c r="AV46" s="214"/>
      <c r="AW46" s="99">
        <v>44585</v>
      </c>
      <c r="AX46" s="131"/>
      <c r="AY46" s="133">
        <f t="shared" si="3"/>
        <v>9</v>
      </c>
      <c r="AZ46" s="134">
        <f t="shared" si="24"/>
        <v>2022</v>
      </c>
      <c r="BA46" s="133">
        <f t="shared" si="4"/>
        <v>1</v>
      </c>
      <c r="BB46" s="134">
        <f t="shared" si="25"/>
        <v>2024</v>
      </c>
      <c r="BC46" s="133">
        <f t="shared" si="5"/>
        <v>5</v>
      </c>
      <c r="BD46" s="134">
        <f t="shared" si="26"/>
        <v>2025</v>
      </c>
      <c r="BE46" s="132">
        <f t="shared" si="27"/>
        <v>44828</v>
      </c>
      <c r="BF46" s="132">
        <f>$BE46+IF(OR(WEEKDAY($BE46)=1,ISERROR(VLOOKUP($BE46,Factores!$A:$A,1,0))=FALSE),1,IF(WEEKDAY($BE46)=7,2,0))</f>
        <v>44830</v>
      </c>
      <c r="BG46" s="132">
        <f t="shared" si="0"/>
        <v>44830</v>
      </c>
      <c r="CO46" s="211">
        <f t="shared" si="6"/>
        <v>16</v>
      </c>
      <c r="CQ46" s="209">
        <f t="shared" si="28"/>
        <v>44827</v>
      </c>
      <c r="CR46" s="209">
        <f t="shared" si="7"/>
        <v>44827</v>
      </c>
      <c r="CS46" s="209">
        <f>$CR46+IF(AND(WEEKDAY($CR46)=6, ISERROR(VLOOKUP($CR46,Factores!$A:$A,1,0))=FALSE),3,0)</f>
        <v>44827</v>
      </c>
      <c r="CT46" s="209">
        <f t="shared" si="1"/>
        <v>44827</v>
      </c>
      <c r="CV46" s="151">
        <f t="shared" si="29"/>
        <v>44830</v>
      </c>
    </row>
    <row r="47" spans="1:102" s="211" customFormat="1" ht="12.75" customHeight="1">
      <c r="A47" s="204"/>
      <c r="B47" s="205"/>
      <c r="C47" s="205"/>
      <c r="D47" s="72"/>
      <c r="E47" s="205"/>
      <c r="F47" s="187">
        <f t="shared" si="8"/>
        <v>17</v>
      </c>
      <c r="G47" s="199">
        <v>44858</v>
      </c>
      <c r="H47" s="242">
        <f t="shared" si="9"/>
        <v>-25559.953333333331</v>
      </c>
      <c r="I47" s="242"/>
      <c r="J47" s="242"/>
      <c r="K47" s="189">
        <v>498.1</v>
      </c>
      <c r="L47" s="242">
        <v>118.4</v>
      </c>
      <c r="M47" s="242"/>
      <c r="N47" s="242"/>
      <c r="O47" s="190"/>
      <c r="P47" s="190">
        <f t="shared" si="2"/>
        <v>616.5</v>
      </c>
      <c r="Q47" s="191">
        <f t="shared" si="10"/>
        <v>0</v>
      </c>
      <c r="R47" s="233">
        <f t="shared" si="11"/>
        <v>616.5</v>
      </c>
      <c r="S47" s="234"/>
      <c r="T47" s="204"/>
      <c r="U47" s="204"/>
      <c r="V47" s="204"/>
      <c r="W47" s="204"/>
      <c r="X47" s="204"/>
      <c r="Y47" s="204"/>
      <c r="AG47" s="213">
        <f t="shared" si="12"/>
        <v>44850</v>
      </c>
      <c r="AH47" s="211">
        <f t="shared" si="13"/>
        <v>17</v>
      </c>
      <c r="AI47" s="127">
        <f t="shared" si="14"/>
        <v>0.75562119871666011</v>
      </c>
      <c r="AJ47" s="127" t="e">
        <f t="shared" si="15"/>
        <v>#N/A</v>
      </c>
      <c r="AK47" s="211" t="e">
        <f t="shared" si="16"/>
        <v>#N/A</v>
      </c>
      <c r="AL47" s="120">
        <f t="shared" si="17"/>
        <v>10</v>
      </c>
      <c r="AM47" s="120">
        <f t="shared" si="18"/>
        <v>2022</v>
      </c>
      <c r="AN47" s="128">
        <f t="shared" si="19"/>
        <v>28</v>
      </c>
      <c r="AO47" s="128">
        <f t="shared" si="20"/>
        <v>518</v>
      </c>
      <c r="AP47" s="99">
        <f t="shared" si="21"/>
        <v>44865</v>
      </c>
      <c r="AQ47" s="99">
        <f t="shared" si="22"/>
        <v>44858</v>
      </c>
      <c r="AR47" s="144">
        <f>$AQ47+IF(AND(DAY($AQ47)=27,MONTH($AQ47)=7),3,IF(AND(WEEKDAY($AQ47)=5,ISERROR(VLOOKUP($AQ47+1,Factores!$A:$A,1,0))=FALSE),4,IF(OR(WEEKDAY($AQ47)=1,ISERROR(VLOOKUP($AQ47,Factores!$A:$A,1,0))=FALSE),1,IF(WEEKDAY($AQ47)=7,2,0))))</f>
        <v>44858</v>
      </c>
      <c r="AS47" s="144">
        <v>44858</v>
      </c>
      <c r="AT47" s="129">
        <f t="shared" si="23"/>
        <v>505.15642840581677</v>
      </c>
      <c r="AU47" s="149"/>
      <c r="AV47" s="214"/>
      <c r="AW47" s="99">
        <f>AW46+15</f>
        <v>44600</v>
      </c>
      <c r="AX47" s="131"/>
      <c r="AY47" s="133">
        <f t="shared" si="3"/>
        <v>10</v>
      </c>
      <c r="AZ47" s="134">
        <f t="shared" si="24"/>
        <v>2022</v>
      </c>
      <c r="BA47" s="133">
        <f t="shared" si="4"/>
        <v>3</v>
      </c>
      <c r="BB47" s="134">
        <f t="shared" si="25"/>
        <v>2024</v>
      </c>
      <c r="BC47" s="133">
        <f t="shared" si="5"/>
        <v>8</v>
      </c>
      <c r="BD47" s="134">
        <f t="shared" si="26"/>
        <v>2025</v>
      </c>
      <c r="BE47" s="132">
        <f t="shared" si="27"/>
        <v>44858</v>
      </c>
      <c r="BF47" s="132">
        <f>$BE47+IF(OR(WEEKDAY($BE47)=1,ISERROR(VLOOKUP($BE47,Factores!$A:$A,1,0))=FALSE),1,IF(WEEKDAY($BE47)=7,2,0))</f>
        <v>44858</v>
      </c>
      <c r="BG47" s="132">
        <f t="shared" si="0"/>
        <v>44858</v>
      </c>
      <c r="CO47" s="211">
        <f t="shared" si="6"/>
        <v>17</v>
      </c>
      <c r="CQ47" s="209">
        <f t="shared" si="28"/>
        <v>44857</v>
      </c>
      <c r="CR47" s="209">
        <f t="shared" si="7"/>
        <v>44858</v>
      </c>
      <c r="CS47" s="209">
        <f>$CR47+IF(AND(WEEKDAY($CR47)=6, ISERROR(VLOOKUP($CR47,Factores!$A:$A,1,0))=FALSE),3,0)</f>
        <v>44858</v>
      </c>
      <c r="CT47" s="209">
        <f t="shared" si="1"/>
        <v>44858</v>
      </c>
      <c r="CV47" s="151">
        <f t="shared" si="29"/>
        <v>44858</v>
      </c>
    </row>
    <row r="48" spans="1:102" s="206" customFormat="1" ht="12.75" customHeight="1">
      <c r="A48" s="205"/>
      <c r="B48" s="205"/>
      <c r="C48" s="205"/>
      <c r="D48" s="32"/>
      <c r="E48" s="77"/>
      <c r="F48" s="187">
        <f t="shared" si="8"/>
        <v>18</v>
      </c>
      <c r="G48" s="199">
        <v>44889</v>
      </c>
      <c r="H48" s="242">
        <f t="shared" si="9"/>
        <v>-26051.263333333332</v>
      </c>
      <c r="I48" s="242"/>
      <c r="J48" s="242"/>
      <c r="K48" s="189">
        <v>491.31</v>
      </c>
      <c r="L48" s="242">
        <v>125.19</v>
      </c>
      <c r="M48" s="242"/>
      <c r="N48" s="242"/>
      <c r="O48" s="190"/>
      <c r="P48" s="190">
        <f t="shared" si="2"/>
        <v>616.5</v>
      </c>
      <c r="Q48" s="191">
        <f t="shared" si="10"/>
        <v>0</v>
      </c>
      <c r="R48" s="233">
        <f t="shared" si="11"/>
        <v>616.5</v>
      </c>
      <c r="S48" s="234"/>
      <c r="T48" s="205"/>
      <c r="U48" s="205"/>
      <c r="V48" s="205"/>
      <c r="W48" s="205"/>
      <c r="X48" s="204"/>
      <c r="Y48" s="204"/>
      <c r="AG48" s="213">
        <f t="shared" si="12"/>
        <v>44880</v>
      </c>
      <c r="AH48" s="211">
        <f t="shared" si="13"/>
        <v>18</v>
      </c>
      <c r="AI48" s="127">
        <f t="shared" si="14"/>
        <v>0.74305536830968311</v>
      </c>
      <c r="AJ48" s="127" t="e">
        <f t="shared" si="15"/>
        <v>#N/A</v>
      </c>
      <c r="AK48" s="211" t="e">
        <f t="shared" si="16"/>
        <v>#N/A</v>
      </c>
      <c r="AL48" s="120">
        <f t="shared" si="17"/>
        <v>11</v>
      </c>
      <c r="AM48" s="120">
        <f t="shared" si="18"/>
        <v>2022</v>
      </c>
      <c r="AN48" s="128">
        <f t="shared" si="19"/>
        <v>31</v>
      </c>
      <c r="AO48" s="128">
        <f t="shared" si="20"/>
        <v>549</v>
      </c>
      <c r="AP48" s="99">
        <f t="shared" si="21"/>
        <v>44895</v>
      </c>
      <c r="AQ48" s="99">
        <f t="shared" si="22"/>
        <v>44889</v>
      </c>
      <c r="AR48" s="144">
        <f>$AQ48+IF(AND(DAY($AQ48)=27,MONTH($AQ48)=7),3,IF(AND(WEEKDAY($AQ48)=5,ISERROR(VLOOKUP($AQ48+1,Factores!$A:$A,1,0))=FALSE),4,IF(OR(WEEKDAY($AQ48)=1,ISERROR(VLOOKUP($AQ48,Factores!$A:$A,1,0))=FALSE),1,IF(WEEKDAY($AQ48)=7,2,0))))</f>
        <v>44889</v>
      </c>
      <c r="AS48" s="144">
        <v>44889</v>
      </c>
      <c r="AT48" s="129">
        <f t="shared" si="23"/>
        <v>499.17038609405222</v>
      </c>
      <c r="AU48" s="149"/>
      <c r="AV48" s="208"/>
      <c r="AW48" s="99">
        <v>44616</v>
      </c>
      <c r="AX48" s="131"/>
      <c r="AY48" s="133">
        <f t="shared" si="3"/>
        <v>11</v>
      </c>
      <c r="AZ48" s="134">
        <f t="shared" si="24"/>
        <v>2022</v>
      </c>
      <c r="BA48" s="133">
        <f t="shared" si="4"/>
        <v>5</v>
      </c>
      <c r="BB48" s="134">
        <f t="shared" si="25"/>
        <v>2024</v>
      </c>
      <c r="BC48" s="133">
        <f t="shared" si="5"/>
        <v>11</v>
      </c>
      <c r="BD48" s="134">
        <f t="shared" si="26"/>
        <v>2025</v>
      </c>
      <c r="BE48" s="132">
        <f t="shared" si="27"/>
        <v>44889</v>
      </c>
      <c r="BF48" s="132">
        <f>$BE48+IF(OR(WEEKDAY($BE48)=1,ISERROR(VLOOKUP($BE48,Factores!$A:$A,1,0))=FALSE),1,IF(WEEKDAY($BE48)=7,2,0))</f>
        <v>44889</v>
      </c>
      <c r="BG48" s="132">
        <f t="shared" si="0"/>
        <v>44889</v>
      </c>
      <c r="CO48" s="211">
        <f t="shared" si="6"/>
        <v>18</v>
      </c>
      <c r="CP48" s="211"/>
      <c r="CQ48" s="209">
        <f t="shared" si="28"/>
        <v>44888</v>
      </c>
      <c r="CR48" s="209">
        <f t="shared" si="7"/>
        <v>44888</v>
      </c>
      <c r="CS48" s="209">
        <f>$CR48+IF(AND(WEEKDAY($CR48)=6, ISERROR(VLOOKUP($CR48,Factores!$A:$A,1,0))=FALSE),3,0)</f>
        <v>44888</v>
      </c>
      <c r="CT48" s="209">
        <f t="shared" si="1"/>
        <v>44888</v>
      </c>
      <c r="CU48" s="211"/>
      <c r="CV48" s="151">
        <f t="shared" si="29"/>
        <v>44889</v>
      </c>
    </row>
    <row r="49" spans="1:100" s="206" customFormat="1" ht="12.75" customHeight="1">
      <c r="A49" s="205"/>
      <c r="B49" s="205"/>
      <c r="C49" s="205"/>
      <c r="D49" s="32"/>
      <c r="E49" s="77"/>
      <c r="F49" s="187">
        <f t="shared" si="8"/>
        <v>19</v>
      </c>
      <c r="G49" s="199">
        <v>44921</v>
      </c>
      <c r="H49" s="242">
        <f t="shared" si="9"/>
        <v>-26544.593333333334</v>
      </c>
      <c r="I49" s="242"/>
      <c r="J49" s="242"/>
      <c r="K49" s="189">
        <v>493.33</v>
      </c>
      <c r="L49" s="242">
        <v>123.17</v>
      </c>
      <c r="M49" s="242"/>
      <c r="N49" s="242"/>
      <c r="O49" s="190"/>
      <c r="P49" s="190">
        <f t="shared" si="2"/>
        <v>616.5</v>
      </c>
      <c r="Q49" s="191">
        <f t="shared" si="10"/>
        <v>0</v>
      </c>
      <c r="R49" s="233">
        <f t="shared" si="11"/>
        <v>616.5</v>
      </c>
      <c r="S49" s="234"/>
      <c r="T49" s="205"/>
      <c r="U49" s="205"/>
      <c r="V49" s="205"/>
      <c r="W49" s="205"/>
      <c r="X49" s="204"/>
      <c r="Y49" s="204"/>
      <c r="AG49" s="213">
        <f t="shared" si="12"/>
        <v>44910</v>
      </c>
      <c r="AH49" s="211">
        <f t="shared" si="13"/>
        <v>19</v>
      </c>
      <c r="AI49" s="127">
        <f t="shared" si="14"/>
        <v>0.73030333648813284</v>
      </c>
      <c r="AJ49" s="127" t="e">
        <f t="shared" si="15"/>
        <v>#N/A</v>
      </c>
      <c r="AK49" s="211" t="e">
        <f t="shared" si="16"/>
        <v>#N/A</v>
      </c>
      <c r="AL49" s="120">
        <f t="shared" si="17"/>
        <v>12</v>
      </c>
      <c r="AM49" s="120">
        <f t="shared" si="18"/>
        <v>2022</v>
      </c>
      <c r="AN49" s="128">
        <f t="shared" si="19"/>
        <v>32</v>
      </c>
      <c r="AO49" s="128">
        <f t="shared" si="20"/>
        <v>581</v>
      </c>
      <c r="AP49" s="99">
        <f t="shared" si="21"/>
        <v>44926</v>
      </c>
      <c r="AQ49" s="99">
        <f t="shared" si="22"/>
        <v>44919</v>
      </c>
      <c r="AR49" s="144">
        <f>$AQ49+IF(AND(DAY($AQ49)=27,MONTH($AQ49)=7),3,IF(AND(WEEKDAY($AQ49)=5,ISERROR(VLOOKUP($AQ49+1,Factores!$A:$A,1,0))=FALSE),4,IF(OR(WEEKDAY($AQ49)=1,ISERROR(VLOOKUP($AQ49,Factores!$A:$A,1,0))=FALSE),1,IF(WEEKDAY($AQ49)=7,2,0))))</f>
        <v>44921</v>
      </c>
      <c r="AS49" s="144">
        <v>44921</v>
      </c>
      <c r="AT49" s="129">
        <f t="shared" si="23"/>
        <v>493.06563920034608</v>
      </c>
      <c r="AU49" s="149"/>
      <c r="AV49" s="208"/>
      <c r="AW49" s="99">
        <f>AW48+15</f>
        <v>44631</v>
      </c>
      <c r="AX49" s="131"/>
      <c r="AY49" s="133">
        <f t="shared" si="3"/>
        <v>12</v>
      </c>
      <c r="AZ49" s="134">
        <f t="shared" si="24"/>
        <v>2022</v>
      </c>
      <c r="BA49" s="133">
        <f t="shared" si="4"/>
        <v>7</v>
      </c>
      <c r="BB49" s="134">
        <f t="shared" si="25"/>
        <v>2024</v>
      </c>
      <c r="BC49" s="133">
        <f t="shared" si="5"/>
        <v>2</v>
      </c>
      <c r="BD49" s="134">
        <f t="shared" si="26"/>
        <v>2026</v>
      </c>
      <c r="BE49" s="132">
        <f t="shared" si="27"/>
        <v>44919</v>
      </c>
      <c r="BF49" s="132">
        <f>$BE49+IF(OR(WEEKDAY($BE49)=1,ISERROR(VLOOKUP($BE49,Factores!$A:$A,1,0))=FALSE),1,IF(WEEKDAY($BE49)=7,2,0))</f>
        <v>44921</v>
      </c>
      <c r="BG49" s="132">
        <f t="shared" si="0"/>
        <v>44921</v>
      </c>
      <c r="CO49" s="211">
        <f t="shared" si="6"/>
        <v>19</v>
      </c>
      <c r="CP49" s="211"/>
      <c r="CQ49" s="209">
        <f t="shared" si="28"/>
        <v>44918</v>
      </c>
      <c r="CR49" s="209">
        <f t="shared" si="7"/>
        <v>44918</v>
      </c>
      <c r="CS49" s="209">
        <f>$CR49+IF(AND(WEEKDAY($CR49)=6, ISERROR(VLOOKUP($CR49,Factores!$A:$A,1,0))=FALSE),3,0)</f>
        <v>44918</v>
      </c>
      <c r="CT49" s="209">
        <f t="shared" si="1"/>
        <v>44918</v>
      </c>
      <c r="CU49" s="211"/>
      <c r="CV49" s="151">
        <f t="shared" si="29"/>
        <v>44921</v>
      </c>
    </row>
    <row r="50" spans="1:100" s="206" customFormat="1" ht="12.75" customHeight="1">
      <c r="A50" s="205"/>
      <c r="B50" s="205"/>
      <c r="C50" s="205"/>
      <c r="D50" s="32"/>
      <c r="E50" s="77"/>
      <c r="F50" s="187">
        <f t="shared" si="8"/>
        <v>20</v>
      </c>
      <c r="G50" s="199">
        <v>44950</v>
      </c>
      <c r="H50" s="242">
        <f t="shared" si="9"/>
        <v>-27055.063333333335</v>
      </c>
      <c r="I50" s="242"/>
      <c r="J50" s="242"/>
      <c r="K50" s="189">
        <v>510.47</v>
      </c>
      <c r="L50" s="242">
        <v>106.03</v>
      </c>
      <c r="M50" s="242"/>
      <c r="N50" s="242"/>
      <c r="O50" s="190"/>
      <c r="P50" s="190">
        <f t="shared" si="2"/>
        <v>616.5</v>
      </c>
      <c r="Q50" s="191">
        <f t="shared" si="10"/>
        <v>0</v>
      </c>
      <c r="R50" s="233">
        <f t="shared" si="11"/>
        <v>616.5</v>
      </c>
      <c r="S50" s="234"/>
      <c r="T50" s="205"/>
      <c r="U50" s="205"/>
      <c r="V50" s="205"/>
      <c r="W50" s="205"/>
      <c r="X50" s="204"/>
      <c r="Y50" s="204"/>
      <c r="AG50" s="213">
        <f t="shared" si="12"/>
        <v>44940</v>
      </c>
      <c r="AH50" s="211">
        <f t="shared" si="13"/>
        <v>20</v>
      </c>
      <c r="AI50" s="127">
        <f t="shared" si="14"/>
        <v>0.71893594157264973</v>
      </c>
      <c r="AJ50" s="127" t="e">
        <f t="shared" si="15"/>
        <v>#N/A</v>
      </c>
      <c r="AK50" s="211" t="e">
        <f t="shared" si="16"/>
        <v>#N/A</v>
      </c>
      <c r="AL50" s="120">
        <f t="shared" si="17"/>
        <v>1</v>
      </c>
      <c r="AM50" s="120">
        <f t="shared" si="18"/>
        <v>2023</v>
      </c>
      <c r="AN50" s="128">
        <f t="shared" si="19"/>
        <v>29</v>
      </c>
      <c r="AO50" s="128">
        <f t="shared" si="20"/>
        <v>610</v>
      </c>
      <c r="AP50" s="99">
        <f t="shared" si="21"/>
        <v>44957</v>
      </c>
      <c r="AQ50" s="99">
        <f t="shared" si="22"/>
        <v>44950</v>
      </c>
      <c r="AR50" s="144">
        <f>$AQ50+IF(AND(DAY($AQ50)=27,MONTH($AQ50)=7),3,IF(AND(WEEKDAY($AQ50)=5,ISERROR(VLOOKUP($AQ50+1,Factores!$A:$A,1,0))=FALSE),4,IF(OR(WEEKDAY($AQ50)=1,ISERROR(VLOOKUP($AQ50,Factores!$A:$A,1,0))=FALSE),1,IF(WEEKDAY($AQ50)=7,2,0))))</f>
        <v>44950</v>
      </c>
      <c r="AS50" s="144">
        <v>44950</v>
      </c>
      <c r="AT50" s="129">
        <f t="shared" si="23"/>
        <v>487.59772587165355</v>
      </c>
      <c r="AU50" s="149"/>
      <c r="AV50" s="208"/>
      <c r="AW50" s="99">
        <v>44644</v>
      </c>
      <c r="AX50" s="131"/>
      <c r="AY50" s="133">
        <f t="shared" si="3"/>
        <v>1</v>
      </c>
      <c r="AZ50" s="134">
        <f t="shared" si="24"/>
        <v>2023</v>
      </c>
      <c r="BA50" s="133">
        <f t="shared" si="4"/>
        <v>9</v>
      </c>
      <c r="BB50" s="134">
        <f t="shared" si="25"/>
        <v>2024</v>
      </c>
      <c r="BC50" s="133">
        <f t="shared" si="5"/>
        <v>5</v>
      </c>
      <c r="BD50" s="134">
        <f t="shared" si="26"/>
        <v>2026</v>
      </c>
      <c r="BE50" s="132">
        <f t="shared" si="27"/>
        <v>44950</v>
      </c>
      <c r="BF50" s="132">
        <f>$BE50+IF(OR(WEEKDAY($BE50)=1,ISERROR(VLOOKUP($BE50,Factores!$A:$A,1,0))=FALSE),1,IF(WEEKDAY($BE50)=7,2,0))</f>
        <v>44950</v>
      </c>
      <c r="BG50" s="132">
        <f t="shared" si="0"/>
        <v>44950</v>
      </c>
      <c r="CO50" s="211">
        <f t="shared" si="6"/>
        <v>20</v>
      </c>
      <c r="CP50" s="211"/>
      <c r="CQ50" s="209">
        <f t="shared" si="28"/>
        <v>44948</v>
      </c>
      <c r="CR50" s="209">
        <f t="shared" si="7"/>
        <v>44949</v>
      </c>
      <c r="CS50" s="209">
        <f>$CR50+IF(AND(WEEKDAY($CR50)=6, ISERROR(VLOOKUP($CR50,Factores!$A:$A,1,0))=FALSE),3,0)</f>
        <v>44949</v>
      </c>
      <c r="CT50" s="209">
        <f t="shared" si="1"/>
        <v>44949</v>
      </c>
      <c r="CU50" s="211"/>
      <c r="CV50" s="151">
        <f t="shared" si="29"/>
        <v>44950</v>
      </c>
    </row>
    <row r="51" spans="1:100" s="206" customFormat="1" ht="12.75" customHeight="1">
      <c r="A51" s="205"/>
      <c r="B51" s="205"/>
      <c r="C51" s="205"/>
      <c r="D51" s="32"/>
      <c r="E51" s="32"/>
      <c r="F51" s="187">
        <f t="shared" si="8"/>
        <v>21</v>
      </c>
      <c r="G51" s="199">
        <v>44981</v>
      </c>
      <c r="H51" s="242">
        <f t="shared" si="9"/>
        <v>-27564.303333333337</v>
      </c>
      <c r="I51" s="242"/>
      <c r="J51" s="242"/>
      <c r="K51" s="189">
        <v>509.24</v>
      </c>
      <c r="L51" s="242">
        <v>107.26</v>
      </c>
      <c r="M51" s="242"/>
      <c r="N51" s="242"/>
      <c r="O51" s="190"/>
      <c r="P51" s="190">
        <f t="shared" si="2"/>
        <v>616.5</v>
      </c>
      <c r="Q51" s="191">
        <f t="shared" si="10"/>
        <v>0</v>
      </c>
      <c r="R51" s="233">
        <f t="shared" si="11"/>
        <v>616.5</v>
      </c>
      <c r="S51" s="234"/>
      <c r="T51" s="205"/>
      <c r="U51" s="205"/>
      <c r="V51" s="205"/>
      <c r="W51" s="205"/>
      <c r="X51" s="204"/>
      <c r="Y51" s="204"/>
      <c r="AG51" s="213">
        <f t="shared" si="12"/>
        <v>44970</v>
      </c>
      <c r="AH51" s="211">
        <f t="shared" si="13"/>
        <v>21</v>
      </c>
      <c r="AI51" s="127">
        <f t="shared" si="14"/>
        <v>0.70698017970330918</v>
      </c>
      <c r="AJ51" s="127" t="e">
        <f t="shared" si="15"/>
        <v>#N/A</v>
      </c>
      <c r="AK51" s="211" t="e">
        <f t="shared" si="16"/>
        <v>#N/A</v>
      </c>
      <c r="AL51" s="120">
        <f t="shared" si="17"/>
        <v>2</v>
      </c>
      <c r="AM51" s="120">
        <f t="shared" si="18"/>
        <v>2023</v>
      </c>
      <c r="AN51" s="128">
        <f t="shared" si="19"/>
        <v>31</v>
      </c>
      <c r="AO51" s="128">
        <f t="shared" si="20"/>
        <v>641</v>
      </c>
      <c r="AP51" s="99">
        <f t="shared" si="21"/>
        <v>44985</v>
      </c>
      <c r="AQ51" s="99">
        <f t="shared" si="22"/>
        <v>44981</v>
      </c>
      <c r="AR51" s="144">
        <f>$AQ51+IF(AND(DAY($AQ51)=27,MONTH($AQ51)=7),3,IF(AND(WEEKDAY($AQ51)=5,ISERROR(VLOOKUP($AQ51+1,Factores!$A:$A,1,0))=FALSE),4,IF(OR(WEEKDAY($AQ51)=1,ISERROR(VLOOKUP($AQ51,Factores!$A:$A,1,0))=FALSE),1,IF(WEEKDAY($AQ51)=7,2,0))))</f>
        <v>44981</v>
      </c>
      <c r="AS51" s="144">
        <v>44981</v>
      </c>
      <c r="AT51" s="129">
        <f t="shared" si="23"/>
        <v>481.8197520519418</v>
      </c>
      <c r="AU51" s="149"/>
      <c r="AV51" s="208"/>
      <c r="AW51" s="99">
        <f>AW50+15</f>
        <v>44659</v>
      </c>
      <c r="AX51" s="89"/>
      <c r="AY51" s="133">
        <f t="shared" si="3"/>
        <v>2</v>
      </c>
      <c r="AZ51" s="134">
        <f t="shared" si="24"/>
        <v>2023</v>
      </c>
      <c r="BA51" s="133">
        <f t="shared" si="4"/>
        <v>11</v>
      </c>
      <c r="BB51" s="134">
        <f t="shared" si="25"/>
        <v>2024</v>
      </c>
      <c r="BC51" s="133">
        <f t="shared" si="5"/>
        <v>8</v>
      </c>
      <c r="BD51" s="134">
        <f t="shared" si="26"/>
        <v>2026</v>
      </c>
      <c r="BE51" s="132">
        <f t="shared" si="27"/>
        <v>44981</v>
      </c>
      <c r="BF51" s="132">
        <f>$BE51+IF(OR(WEEKDAY($BE51)=1,ISERROR(VLOOKUP($BE51,Factores!$A:$A,1,0))=FALSE),1,IF(WEEKDAY($BE51)=7,2,0))</f>
        <v>44981</v>
      </c>
      <c r="BG51" s="132">
        <f t="shared" si="0"/>
        <v>44981</v>
      </c>
      <c r="CO51" s="211">
        <f t="shared" si="6"/>
        <v>21</v>
      </c>
      <c r="CP51" s="211"/>
      <c r="CQ51" s="209">
        <f t="shared" si="28"/>
        <v>44979</v>
      </c>
      <c r="CR51" s="209">
        <f t="shared" si="7"/>
        <v>44979</v>
      </c>
      <c r="CS51" s="209">
        <f>$CR51+IF(AND(WEEKDAY($CR51)=6, ISERROR(VLOOKUP($CR51,Factores!$A:$A,1,0))=FALSE),3,0)</f>
        <v>44979</v>
      </c>
      <c r="CT51" s="209">
        <f t="shared" si="1"/>
        <v>44979</v>
      </c>
      <c r="CU51" s="211"/>
      <c r="CV51" s="151">
        <f t="shared" si="29"/>
        <v>44981</v>
      </c>
    </row>
    <row r="52" spans="1:100" s="206" customFormat="1" ht="12.75" customHeight="1">
      <c r="A52" s="205"/>
      <c r="B52" s="205"/>
      <c r="C52" s="205"/>
      <c r="D52" s="32"/>
      <c r="E52" s="32"/>
      <c r="F52" s="187">
        <f t="shared" si="8"/>
        <v>22</v>
      </c>
      <c r="G52" s="199">
        <v>45009</v>
      </c>
      <c r="H52" s="242">
        <f t="shared" si="9"/>
        <v>-28089.493333333336</v>
      </c>
      <c r="I52" s="242"/>
      <c r="J52" s="242"/>
      <c r="K52" s="189">
        <v>525.19000000000005</v>
      </c>
      <c r="L52" s="242">
        <v>91.31</v>
      </c>
      <c r="M52" s="242"/>
      <c r="N52" s="242"/>
      <c r="O52" s="190"/>
      <c r="P52" s="190">
        <f t="shared" si="2"/>
        <v>616.5</v>
      </c>
      <c r="Q52" s="191">
        <f t="shared" si="10"/>
        <v>0</v>
      </c>
      <c r="R52" s="233">
        <f t="shared" si="11"/>
        <v>616.5</v>
      </c>
      <c r="S52" s="234"/>
      <c r="T52" s="205"/>
      <c r="U52" s="205"/>
      <c r="V52" s="205"/>
      <c r="W52" s="204"/>
      <c r="X52" s="204"/>
      <c r="Y52" s="204"/>
      <c r="AG52" s="213">
        <f t="shared" si="12"/>
        <v>45000</v>
      </c>
      <c r="AH52" s="211">
        <f t="shared" si="13"/>
        <v>22</v>
      </c>
      <c r="AI52" s="127">
        <f t="shared" si="14"/>
        <v>0.69635241084467803</v>
      </c>
      <c r="AJ52" s="127" t="e">
        <f t="shared" si="15"/>
        <v>#N/A</v>
      </c>
      <c r="AK52" s="211" t="e">
        <f t="shared" si="16"/>
        <v>#N/A</v>
      </c>
      <c r="AL52" s="120">
        <f t="shared" si="17"/>
        <v>3</v>
      </c>
      <c r="AM52" s="120">
        <f t="shared" si="18"/>
        <v>2023</v>
      </c>
      <c r="AN52" s="128">
        <f t="shared" si="19"/>
        <v>28</v>
      </c>
      <c r="AO52" s="128">
        <f t="shared" si="20"/>
        <v>669</v>
      </c>
      <c r="AP52" s="99">
        <f t="shared" si="21"/>
        <v>45016</v>
      </c>
      <c r="AQ52" s="99">
        <f t="shared" si="22"/>
        <v>45009</v>
      </c>
      <c r="AR52" s="144">
        <f>$AQ52+IF(AND(DAY($AQ52)=27,MONTH($AQ52)=7),3,IF(AND(WEEKDAY($AQ52)=5,ISERROR(VLOOKUP($AQ52+1,Factores!$A:$A,1,0))=FALSE),4,IF(OR(WEEKDAY($AQ52)=1,ISERROR(VLOOKUP($AQ52,Factores!$A:$A,1,0))=FALSE),1,IF(WEEKDAY($AQ52)=7,2,0))))</f>
        <v>45009</v>
      </c>
      <c r="AS52" s="144">
        <v>45009</v>
      </c>
      <c r="AT52" s="129">
        <f t="shared" si="23"/>
        <v>476.65980951206149</v>
      </c>
      <c r="AU52" s="149"/>
      <c r="AV52" s="208"/>
      <c r="AW52" s="99">
        <v>44676</v>
      </c>
      <c r="AX52" s="89"/>
      <c r="AY52" s="133">
        <f t="shared" si="3"/>
        <v>3</v>
      </c>
      <c r="AZ52" s="134">
        <f t="shared" si="24"/>
        <v>2023</v>
      </c>
      <c r="BA52" s="133">
        <f t="shared" si="4"/>
        <v>1</v>
      </c>
      <c r="BB52" s="134">
        <f t="shared" si="25"/>
        <v>2025</v>
      </c>
      <c r="BC52" s="133">
        <f t="shared" si="5"/>
        <v>11</v>
      </c>
      <c r="BD52" s="134">
        <f t="shared" si="26"/>
        <v>2026</v>
      </c>
      <c r="BE52" s="132">
        <f t="shared" si="27"/>
        <v>45009</v>
      </c>
      <c r="BF52" s="132">
        <f>$BE52+IF(OR(WEEKDAY($BE52)=1,ISERROR(VLOOKUP($BE52,Factores!$A:$A,1,0))=FALSE),1,IF(WEEKDAY($BE52)=7,2,0))</f>
        <v>45009</v>
      </c>
      <c r="BG52" s="132">
        <f t="shared" si="0"/>
        <v>45009</v>
      </c>
      <c r="CO52" s="211">
        <f t="shared" si="6"/>
        <v>22</v>
      </c>
      <c r="CP52" s="211"/>
      <c r="CQ52" s="209">
        <f t="shared" si="28"/>
        <v>45009</v>
      </c>
      <c r="CR52" s="209">
        <f t="shared" si="7"/>
        <v>45009</v>
      </c>
      <c r="CS52" s="209">
        <f>$CR52+IF(AND(WEEKDAY($CR52)=6, ISERROR(VLOOKUP($CR52,Factores!$A:$A,1,0))=FALSE),3,0)</f>
        <v>45009</v>
      </c>
      <c r="CT52" s="209">
        <f t="shared" si="1"/>
        <v>45009</v>
      </c>
      <c r="CU52" s="211"/>
      <c r="CV52" s="151">
        <f t="shared" si="29"/>
        <v>45009</v>
      </c>
    </row>
    <row r="53" spans="1:100" s="206" customFormat="1" ht="12.75" customHeight="1">
      <c r="A53" s="205"/>
      <c r="B53" s="205"/>
      <c r="C53" s="205"/>
      <c r="D53" s="32"/>
      <c r="E53" s="32"/>
      <c r="F53" s="187">
        <f t="shared" si="8"/>
        <v>23</v>
      </c>
      <c r="G53" s="199">
        <v>45040</v>
      </c>
      <c r="H53" s="242">
        <f t="shared" si="9"/>
        <v>-28611.133333333335</v>
      </c>
      <c r="I53" s="242"/>
      <c r="J53" s="242"/>
      <c r="K53" s="189">
        <v>521.64</v>
      </c>
      <c r="L53" s="242">
        <v>94.86</v>
      </c>
      <c r="M53" s="242"/>
      <c r="N53" s="242"/>
      <c r="O53" s="190"/>
      <c r="P53" s="190">
        <f t="shared" si="2"/>
        <v>616.5</v>
      </c>
      <c r="Q53" s="191">
        <f t="shared" si="10"/>
        <v>0</v>
      </c>
      <c r="R53" s="233">
        <f t="shared" si="11"/>
        <v>616.5</v>
      </c>
      <c r="S53" s="234"/>
      <c r="T53" s="205"/>
      <c r="U53" s="205"/>
      <c r="V53" s="205"/>
      <c r="W53" s="204"/>
      <c r="X53" s="204"/>
      <c r="Y53" s="204"/>
      <c r="AG53" s="213">
        <f t="shared" si="12"/>
        <v>45030</v>
      </c>
      <c r="AH53" s="211">
        <f t="shared" si="13"/>
        <v>23</v>
      </c>
      <c r="AI53" s="127">
        <f t="shared" si="14"/>
        <v>0.68477220860442201</v>
      </c>
      <c r="AJ53" s="127" t="e">
        <f t="shared" si="15"/>
        <v>#N/A</v>
      </c>
      <c r="AK53" s="211" t="e">
        <f t="shared" si="16"/>
        <v>#N/A</v>
      </c>
      <c r="AL53" s="120">
        <f t="shared" si="17"/>
        <v>4</v>
      </c>
      <c r="AM53" s="120">
        <f t="shared" si="18"/>
        <v>2023</v>
      </c>
      <c r="AN53" s="128">
        <f t="shared" si="19"/>
        <v>31</v>
      </c>
      <c r="AO53" s="128">
        <f t="shared" si="20"/>
        <v>700</v>
      </c>
      <c r="AP53" s="99">
        <f t="shared" si="21"/>
        <v>45046</v>
      </c>
      <c r="AQ53" s="99">
        <f t="shared" si="22"/>
        <v>45040</v>
      </c>
      <c r="AR53" s="144">
        <f>$AQ53+IF(AND(DAY($AQ53)=27,MONTH($AQ53)=7),3,IF(AND(WEEKDAY($AQ53)=5,ISERROR(VLOOKUP($AQ53+1,Factores!$A:$A,1,0))=FALSE),4,IF(OR(WEEKDAY($AQ53)=1,ISERROR(VLOOKUP($AQ53,Factores!$A:$A,1,0))=FALSE),1,IF(WEEKDAY($AQ53)=7,2,0))))</f>
        <v>45040</v>
      </c>
      <c r="AS53" s="144">
        <v>45040</v>
      </c>
      <c r="AT53" s="129">
        <f t="shared" si="23"/>
        <v>471.01144867250662</v>
      </c>
      <c r="AU53" s="149"/>
      <c r="AV53" s="208"/>
      <c r="AW53" s="99">
        <f>AW52+15</f>
        <v>44691</v>
      </c>
      <c r="AX53" s="89"/>
      <c r="AY53" s="133">
        <f t="shared" si="3"/>
        <v>4</v>
      </c>
      <c r="AZ53" s="134">
        <f t="shared" si="24"/>
        <v>2023</v>
      </c>
      <c r="BA53" s="133">
        <f t="shared" si="4"/>
        <v>3</v>
      </c>
      <c r="BB53" s="134">
        <f t="shared" si="25"/>
        <v>2025</v>
      </c>
      <c r="BC53" s="133">
        <f t="shared" si="5"/>
        <v>2</v>
      </c>
      <c r="BD53" s="134">
        <f t="shared" si="26"/>
        <v>2027</v>
      </c>
      <c r="BE53" s="132">
        <f t="shared" si="27"/>
        <v>45040</v>
      </c>
      <c r="BF53" s="132">
        <f>$BE53+IF(OR(WEEKDAY($BE53)=1,ISERROR(VLOOKUP($BE53,Factores!$A:$A,1,0))=FALSE),1,IF(WEEKDAY($BE53)=7,2,0))</f>
        <v>45040</v>
      </c>
      <c r="BG53" s="132">
        <f t="shared" si="0"/>
        <v>45040</v>
      </c>
      <c r="CO53" s="211">
        <f t="shared" si="6"/>
        <v>23</v>
      </c>
      <c r="CP53" s="211"/>
      <c r="CQ53" s="209">
        <f t="shared" si="28"/>
        <v>45039</v>
      </c>
      <c r="CR53" s="209">
        <f t="shared" si="7"/>
        <v>45040</v>
      </c>
      <c r="CS53" s="209">
        <f>$CR53+IF(AND(WEEKDAY($CR53)=6, ISERROR(VLOOKUP($CR53,Factores!$A:$A,1,0))=FALSE),3,0)</f>
        <v>45040</v>
      </c>
      <c r="CT53" s="209">
        <f t="shared" si="1"/>
        <v>45040</v>
      </c>
      <c r="CU53" s="211"/>
      <c r="CV53" s="151">
        <f t="shared" si="29"/>
        <v>45040</v>
      </c>
    </row>
    <row r="54" spans="1:100" s="206" customFormat="1" ht="12.75" customHeight="1">
      <c r="A54" s="205"/>
      <c r="B54" s="205"/>
      <c r="C54" s="205"/>
      <c r="D54" s="32"/>
      <c r="E54" s="32"/>
      <c r="F54" s="187">
        <f t="shared" si="8"/>
        <v>24</v>
      </c>
      <c r="G54" s="199">
        <v>45070</v>
      </c>
      <c r="H54" s="242">
        <f t="shared" si="9"/>
        <v>-29141.903333333335</v>
      </c>
      <c r="I54" s="242"/>
      <c r="J54" s="242"/>
      <c r="K54" s="189">
        <v>530.77</v>
      </c>
      <c r="L54" s="242">
        <v>85.73</v>
      </c>
      <c r="M54" s="242"/>
      <c r="N54" s="242"/>
      <c r="O54" s="190"/>
      <c r="P54" s="190">
        <f t="shared" si="2"/>
        <v>616.5</v>
      </c>
      <c r="Q54" s="191">
        <f t="shared" si="10"/>
        <v>0</v>
      </c>
      <c r="R54" s="233">
        <f t="shared" si="11"/>
        <v>616.5</v>
      </c>
      <c r="S54" s="234"/>
      <c r="T54" s="205"/>
      <c r="U54" s="205"/>
      <c r="V54" s="205"/>
      <c r="W54" s="204"/>
      <c r="X54" s="204"/>
      <c r="Y54" s="204"/>
      <c r="AG54" s="213">
        <f t="shared" si="12"/>
        <v>45060</v>
      </c>
      <c r="AH54" s="211">
        <f t="shared" si="13"/>
        <v>24</v>
      </c>
      <c r="AI54" s="127">
        <f t="shared" si="14"/>
        <v>0.67374895264649315</v>
      </c>
      <c r="AJ54" s="127" t="e">
        <f t="shared" si="15"/>
        <v>#N/A</v>
      </c>
      <c r="AK54" s="211" t="e">
        <f t="shared" si="16"/>
        <v>#N/A</v>
      </c>
      <c r="AL54" s="120">
        <f t="shared" si="17"/>
        <v>5</v>
      </c>
      <c r="AM54" s="120">
        <f t="shared" si="18"/>
        <v>2023</v>
      </c>
      <c r="AN54" s="128">
        <f t="shared" si="19"/>
        <v>30</v>
      </c>
      <c r="AO54" s="128">
        <f t="shared" si="20"/>
        <v>730</v>
      </c>
      <c r="AP54" s="99">
        <f t="shared" si="21"/>
        <v>45077</v>
      </c>
      <c r="AQ54" s="99">
        <f t="shared" si="22"/>
        <v>45070</v>
      </c>
      <c r="AR54" s="144">
        <f>$AQ54+IF(AND(DAY($AQ54)=27,MONTH($AQ54)=7),3,IF(AND(WEEKDAY($AQ54)=5,ISERROR(VLOOKUP($AQ54+1,Factores!$A:$A,1,0))=FALSE),4,IF(OR(WEEKDAY($AQ54)=1,ISERROR(VLOOKUP($AQ54,Factores!$A:$A,1,0))=FALSE),1,IF(WEEKDAY($AQ54)=7,2,0))))</f>
        <v>45070</v>
      </c>
      <c r="AS54" s="144">
        <v>45070</v>
      </c>
      <c r="AT54" s="129">
        <f t="shared" si="23"/>
        <v>465.60902971656901</v>
      </c>
      <c r="AU54" s="149"/>
      <c r="AV54" s="208"/>
      <c r="AW54" s="99">
        <v>44705</v>
      </c>
      <c r="AX54" s="89"/>
      <c r="AY54" s="133">
        <f t="shared" si="3"/>
        <v>5</v>
      </c>
      <c r="AZ54" s="134">
        <f t="shared" si="24"/>
        <v>2023</v>
      </c>
      <c r="BA54" s="133">
        <f t="shared" si="4"/>
        <v>5</v>
      </c>
      <c r="BB54" s="134">
        <f t="shared" si="25"/>
        <v>2025</v>
      </c>
      <c r="BC54" s="133">
        <f t="shared" si="5"/>
        <v>5</v>
      </c>
      <c r="BD54" s="134">
        <f t="shared" si="26"/>
        <v>2027</v>
      </c>
      <c r="BE54" s="132">
        <f t="shared" si="27"/>
        <v>45070</v>
      </c>
      <c r="BF54" s="132">
        <f>$BE54+IF(OR(WEEKDAY($BE54)=1,ISERROR(VLOOKUP($BE54,Factores!$A:$A,1,0))=FALSE),1,IF(WEEKDAY($BE54)=7,2,0))</f>
        <v>45070</v>
      </c>
      <c r="BG54" s="132">
        <f t="shared" si="0"/>
        <v>45070</v>
      </c>
      <c r="CO54" s="211">
        <f t="shared" si="6"/>
        <v>24</v>
      </c>
      <c r="CP54" s="211"/>
      <c r="CQ54" s="209">
        <f t="shared" si="28"/>
        <v>45070</v>
      </c>
      <c r="CR54" s="209">
        <f t="shared" si="7"/>
        <v>45070</v>
      </c>
      <c r="CS54" s="209">
        <f>$CR54+IF(AND(WEEKDAY($CR54)=6, ISERROR(VLOOKUP($CR54,Factores!$A:$A,1,0))=FALSE),3,0)</f>
        <v>45070</v>
      </c>
      <c r="CT54" s="209">
        <f t="shared" si="1"/>
        <v>45070</v>
      </c>
      <c r="CU54" s="211"/>
      <c r="CV54" s="151">
        <f t="shared" si="29"/>
        <v>45070</v>
      </c>
    </row>
    <row r="55" spans="1:100" s="206" customFormat="1" ht="12.75" customHeight="1">
      <c r="A55" s="205"/>
      <c r="B55" s="205"/>
      <c r="C55" s="205"/>
      <c r="D55" s="32"/>
      <c r="E55" s="32"/>
      <c r="F55" s="187">
        <f t="shared" si="8"/>
        <v>25</v>
      </c>
      <c r="G55" s="199">
        <v>45103</v>
      </c>
      <c r="H55" s="242">
        <f t="shared" si="9"/>
        <v>-29670.823333333334</v>
      </c>
      <c r="I55" s="242"/>
      <c r="J55" s="242"/>
      <c r="K55" s="189">
        <v>528.91999999999996</v>
      </c>
      <c r="L55" s="242">
        <v>87.58</v>
      </c>
      <c r="M55" s="242"/>
      <c r="N55" s="242"/>
      <c r="O55" s="190"/>
      <c r="P55" s="190">
        <f t="shared" si="2"/>
        <v>616.5</v>
      </c>
      <c r="Q55" s="191">
        <f t="shared" si="10"/>
        <v>0</v>
      </c>
      <c r="R55" s="233">
        <f t="shared" si="11"/>
        <v>616.5</v>
      </c>
      <c r="S55" s="234"/>
      <c r="T55" s="205"/>
      <c r="U55" s="205"/>
      <c r="V55" s="205"/>
      <c r="W55" s="204"/>
      <c r="X55" s="204"/>
      <c r="Y55" s="204"/>
      <c r="AG55" s="213">
        <f t="shared" si="12"/>
        <v>45090</v>
      </c>
      <c r="AH55" s="211">
        <f t="shared" si="13"/>
        <v>25</v>
      </c>
      <c r="AI55" s="127">
        <f t="shared" si="14"/>
        <v>0.66182821435860717</v>
      </c>
      <c r="AJ55" s="127" t="e">
        <f t="shared" si="15"/>
        <v>#N/A</v>
      </c>
      <c r="AK55" s="211" t="e">
        <f t="shared" si="16"/>
        <v>#N/A</v>
      </c>
      <c r="AL55" s="120">
        <f t="shared" si="17"/>
        <v>6</v>
      </c>
      <c r="AM55" s="120">
        <f t="shared" si="18"/>
        <v>2023</v>
      </c>
      <c r="AN55" s="128">
        <f t="shared" si="19"/>
        <v>33</v>
      </c>
      <c r="AO55" s="128">
        <f t="shared" si="20"/>
        <v>763</v>
      </c>
      <c r="AP55" s="99">
        <f t="shared" si="21"/>
        <v>45107</v>
      </c>
      <c r="AQ55" s="99">
        <f t="shared" si="22"/>
        <v>45101</v>
      </c>
      <c r="AR55" s="144">
        <f>$AQ55+IF(AND(DAY($AQ55)=27,MONTH($AQ55)=7),3,IF(AND(WEEKDAY($AQ55)=5,ISERROR(VLOOKUP($AQ55+1,Factores!$A:$A,1,0))=FALSE),4,IF(OR(WEEKDAY($AQ55)=1,ISERROR(VLOOKUP($AQ55,Factores!$A:$A,1,0))=FALSE),1,IF(WEEKDAY($AQ55)=7,2,0))))</f>
        <v>45103</v>
      </c>
      <c r="AS55" s="144">
        <v>45103</v>
      </c>
      <c r="AT55" s="129">
        <f t="shared" si="23"/>
        <v>459.73791077606785</v>
      </c>
      <c r="AU55" s="149"/>
      <c r="AV55" s="208"/>
      <c r="AW55" s="99">
        <f>AW54+15</f>
        <v>44720</v>
      </c>
      <c r="AX55" s="89"/>
      <c r="AY55" s="133">
        <f t="shared" si="3"/>
        <v>6</v>
      </c>
      <c r="AZ55" s="134">
        <f t="shared" si="24"/>
        <v>2023</v>
      </c>
      <c r="BA55" s="133">
        <f t="shared" si="4"/>
        <v>7</v>
      </c>
      <c r="BB55" s="134">
        <f t="shared" si="25"/>
        <v>2025</v>
      </c>
      <c r="BC55" s="133">
        <f t="shared" si="5"/>
        <v>8</v>
      </c>
      <c r="BD55" s="134">
        <f t="shared" si="26"/>
        <v>2027</v>
      </c>
      <c r="BE55" s="132">
        <f t="shared" si="27"/>
        <v>45101</v>
      </c>
      <c r="BF55" s="132">
        <f>$BE55+IF(OR(WEEKDAY($BE55)=1,ISERROR(VLOOKUP($BE55,Factores!$A:$A,1,0))=FALSE),1,IF(WEEKDAY($BE55)=7,2,0))</f>
        <v>45103</v>
      </c>
      <c r="BG55" s="132">
        <f t="shared" si="0"/>
        <v>45103</v>
      </c>
      <c r="CO55" s="211">
        <f t="shared" si="6"/>
        <v>25</v>
      </c>
      <c r="CP55" s="211"/>
      <c r="CQ55" s="209">
        <f t="shared" si="28"/>
        <v>45100</v>
      </c>
      <c r="CR55" s="209">
        <f t="shared" si="7"/>
        <v>45100</v>
      </c>
      <c r="CS55" s="209">
        <f>$CR55+IF(AND(WEEKDAY($CR55)=6, ISERROR(VLOOKUP($CR55,Factores!$A:$A,1,0))=FALSE),3,0)</f>
        <v>45100</v>
      </c>
      <c r="CT55" s="209">
        <f t="shared" si="1"/>
        <v>45100</v>
      </c>
      <c r="CU55" s="211"/>
      <c r="CV55" s="151">
        <f t="shared" si="29"/>
        <v>45103</v>
      </c>
    </row>
    <row r="56" spans="1:100" s="206" customFormat="1" ht="12.75" customHeight="1">
      <c r="A56" s="205"/>
      <c r="B56" s="205"/>
      <c r="C56" s="205"/>
      <c r="D56" s="32"/>
      <c r="E56" s="32"/>
      <c r="F56" s="187">
        <f t="shared" si="8"/>
        <v>26</v>
      </c>
      <c r="G56" s="199">
        <v>45131</v>
      </c>
      <c r="H56" s="242">
        <f t="shared" si="9"/>
        <v>-30218.803333333333</v>
      </c>
      <c r="I56" s="242"/>
      <c r="J56" s="242"/>
      <c r="K56" s="189">
        <v>547.98</v>
      </c>
      <c r="L56" s="242">
        <v>68.52</v>
      </c>
      <c r="M56" s="242"/>
      <c r="N56" s="242"/>
      <c r="O56" s="190"/>
      <c r="P56" s="190">
        <f t="shared" si="2"/>
        <v>616.5</v>
      </c>
      <c r="Q56" s="191">
        <f t="shared" si="10"/>
        <v>0</v>
      </c>
      <c r="R56" s="233">
        <f t="shared" si="11"/>
        <v>616.5</v>
      </c>
      <c r="S56" s="234"/>
      <c r="T56" s="205"/>
      <c r="U56" s="205"/>
      <c r="V56" s="205"/>
      <c r="W56" s="204"/>
      <c r="X56" s="204"/>
      <c r="Y56" s="204"/>
      <c r="AG56" s="213">
        <f t="shared" si="12"/>
        <v>45120</v>
      </c>
      <c r="AH56" s="211">
        <f t="shared" si="13"/>
        <v>26</v>
      </c>
      <c r="AI56" s="127">
        <f t="shared" si="14"/>
        <v>0.65187919812271267</v>
      </c>
      <c r="AJ56" s="127" t="e">
        <f t="shared" si="15"/>
        <v>#N/A</v>
      </c>
      <c r="AK56" s="211" t="e">
        <f t="shared" si="16"/>
        <v>#N/A</v>
      </c>
      <c r="AL56" s="120">
        <f t="shared" si="17"/>
        <v>7</v>
      </c>
      <c r="AM56" s="120">
        <f t="shared" si="18"/>
        <v>2023</v>
      </c>
      <c r="AN56" s="128">
        <f t="shared" si="19"/>
        <v>28</v>
      </c>
      <c r="AO56" s="128">
        <f t="shared" si="20"/>
        <v>791</v>
      </c>
      <c r="AP56" s="99">
        <f t="shared" si="21"/>
        <v>45138</v>
      </c>
      <c r="AQ56" s="99">
        <f t="shared" si="22"/>
        <v>45131</v>
      </c>
      <c r="AR56" s="144">
        <f>$AQ56+IF(AND(DAY($AQ56)=27,MONTH($AQ56)=7),3,IF(AND(WEEKDAY($AQ56)=5,ISERROR(VLOOKUP($AQ56+1,Factores!$A:$A,1,0))=FALSE),4,IF(OR(WEEKDAY($AQ56)=1,ISERROR(VLOOKUP($AQ56,Factores!$A:$A,1,0))=FALSE),1,IF(WEEKDAY($AQ56)=7,2,0))))</f>
        <v>45131</v>
      </c>
      <c r="AS56" s="144">
        <v>45131</v>
      </c>
      <c r="AT56" s="129">
        <f t="shared" si="23"/>
        <v>454.81444885300107</v>
      </c>
      <c r="AU56" s="149"/>
      <c r="AV56" s="208"/>
      <c r="AW56" s="99">
        <v>44736</v>
      </c>
      <c r="AX56" s="89"/>
      <c r="AY56" s="133">
        <f t="shared" si="3"/>
        <v>7</v>
      </c>
      <c r="AZ56" s="134">
        <f t="shared" si="24"/>
        <v>2023</v>
      </c>
      <c r="BA56" s="133">
        <f t="shared" si="4"/>
        <v>9</v>
      </c>
      <c r="BB56" s="134">
        <f t="shared" si="25"/>
        <v>2025</v>
      </c>
      <c r="BC56" s="133">
        <f t="shared" si="5"/>
        <v>11</v>
      </c>
      <c r="BD56" s="134">
        <f t="shared" si="26"/>
        <v>2027</v>
      </c>
      <c r="BE56" s="132">
        <f t="shared" si="27"/>
        <v>45131</v>
      </c>
      <c r="BF56" s="132">
        <f>$BE56+IF(OR(WEEKDAY($BE56)=1,ISERROR(VLOOKUP($BE56,Factores!$A:$A,1,0))=FALSE),1,IF(WEEKDAY($BE56)=7,2,0))</f>
        <v>45131</v>
      </c>
      <c r="BG56" s="132">
        <f t="shared" si="0"/>
        <v>45131</v>
      </c>
      <c r="CO56" s="211">
        <f t="shared" si="6"/>
        <v>26</v>
      </c>
      <c r="CP56" s="211"/>
      <c r="CQ56" s="209">
        <f t="shared" si="28"/>
        <v>45130</v>
      </c>
      <c r="CR56" s="209">
        <f t="shared" si="7"/>
        <v>45131</v>
      </c>
      <c r="CS56" s="209">
        <f>$CR56+IF(AND(WEEKDAY($CR56)=6, ISERROR(VLOOKUP($CR56,Factores!$A:$A,1,0))=FALSE),3,0)</f>
        <v>45131</v>
      </c>
      <c r="CT56" s="209">
        <f t="shared" si="1"/>
        <v>45131</v>
      </c>
      <c r="CU56" s="211"/>
      <c r="CV56" s="151">
        <f t="shared" si="29"/>
        <v>45131</v>
      </c>
    </row>
    <row r="57" spans="1:100" s="206" customFormat="1" ht="12.75" customHeight="1">
      <c r="A57" s="205"/>
      <c r="B57" s="205"/>
      <c r="C57" s="205"/>
      <c r="D57" s="32"/>
      <c r="E57" s="32"/>
      <c r="F57" s="187">
        <f t="shared" si="8"/>
        <v>27</v>
      </c>
      <c r="G57" s="199">
        <v>45162</v>
      </c>
      <c r="H57" s="242">
        <f t="shared" si="9"/>
        <v>-30765.973333333332</v>
      </c>
      <c r="I57" s="242"/>
      <c r="J57" s="242"/>
      <c r="K57" s="189">
        <v>547.16999999999996</v>
      </c>
      <c r="L57" s="242">
        <v>69.33</v>
      </c>
      <c r="M57" s="242"/>
      <c r="N57" s="242"/>
      <c r="O57" s="190"/>
      <c r="P57" s="190">
        <f t="shared" si="2"/>
        <v>616.5</v>
      </c>
      <c r="Q57" s="191">
        <f t="shared" si="10"/>
        <v>0</v>
      </c>
      <c r="R57" s="233">
        <f t="shared" si="11"/>
        <v>616.5</v>
      </c>
      <c r="S57" s="234"/>
      <c r="T57" s="205"/>
      <c r="U57" s="205"/>
      <c r="V57" s="205"/>
      <c r="W57" s="204"/>
      <c r="X57" s="204"/>
      <c r="Y57" s="204"/>
      <c r="AG57" s="213">
        <f t="shared" si="12"/>
        <v>45150</v>
      </c>
      <c r="AH57" s="211">
        <f t="shared" si="13"/>
        <v>27</v>
      </c>
      <c r="AI57" s="127">
        <f t="shared" si="14"/>
        <v>0.64103857657403429</v>
      </c>
      <c r="AJ57" s="127" t="e">
        <f t="shared" si="15"/>
        <v>#N/A</v>
      </c>
      <c r="AK57" s="211" t="e">
        <f t="shared" si="16"/>
        <v>#N/A</v>
      </c>
      <c r="AL57" s="120">
        <f t="shared" si="17"/>
        <v>8</v>
      </c>
      <c r="AM57" s="120">
        <f t="shared" si="18"/>
        <v>2023</v>
      </c>
      <c r="AN57" s="128">
        <f t="shared" si="19"/>
        <v>31</v>
      </c>
      <c r="AO57" s="128">
        <f t="shared" si="20"/>
        <v>822</v>
      </c>
      <c r="AP57" s="99">
        <f t="shared" si="21"/>
        <v>45169</v>
      </c>
      <c r="AQ57" s="99">
        <f t="shared" si="22"/>
        <v>45162</v>
      </c>
      <c r="AR57" s="144">
        <f>$AQ57+IF(AND(DAY($AQ57)=27,MONTH($AQ57)=7),3,IF(AND(WEEKDAY($AQ57)=5,ISERROR(VLOOKUP($AQ57+1,Factores!$A:$A,1,0))=FALSE),4,IF(OR(WEEKDAY($AQ57)=1,ISERROR(VLOOKUP($AQ57,Factores!$A:$A,1,0))=FALSE),1,IF(WEEKDAY($AQ57)=7,2,0))))</f>
        <v>45162</v>
      </c>
      <c r="AS57" s="144">
        <v>45162</v>
      </c>
      <c r="AT57" s="129">
        <f t="shared" si="23"/>
        <v>449.42495288354928</v>
      </c>
      <c r="AU57" s="149"/>
      <c r="AV57" s="208"/>
      <c r="AW57" s="99">
        <f>AW56+15</f>
        <v>44751</v>
      </c>
      <c r="AX57" s="89"/>
      <c r="AY57" s="133">
        <f t="shared" si="3"/>
        <v>8</v>
      </c>
      <c r="AZ57" s="134">
        <f t="shared" si="24"/>
        <v>2023</v>
      </c>
      <c r="BA57" s="133">
        <f t="shared" si="4"/>
        <v>11</v>
      </c>
      <c r="BB57" s="134">
        <f t="shared" si="25"/>
        <v>2025</v>
      </c>
      <c r="BC57" s="133">
        <f t="shared" si="5"/>
        <v>2</v>
      </c>
      <c r="BD57" s="134">
        <f t="shared" si="26"/>
        <v>2028</v>
      </c>
      <c r="BE57" s="132">
        <f t="shared" si="27"/>
        <v>45162</v>
      </c>
      <c r="BF57" s="132">
        <f>$BE57+IF(OR(WEEKDAY($BE57)=1,ISERROR(VLOOKUP($BE57,Factores!$A:$A,1,0))=FALSE),1,IF(WEEKDAY($BE57)=7,2,0))</f>
        <v>45162</v>
      </c>
      <c r="BG57" s="132">
        <f t="shared" si="0"/>
        <v>45162</v>
      </c>
      <c r="CO57" s="211">
        <f t="shared" si="6"/>
        <v>27</v>
      </c>
      <c r="CP57" s="211"/>
      <c r="CQ57" s="209">
        <f t="shared" si="28"/>
        <v>45161</v>
      </c>
      <c r="CR57" s="209">
        <f t="shared" si="7"/>
        <v>45161</v>
      </c>
      <c r="CS57" s="209">
        <f>$CR57+IF(AND(WEEKDAY($CR57)=6, ISERROR(VLOOKUP($CR57,Factores!$A:$A,1,0))=FALSE),3,0)</f>
        <v>45161</v>
      </c>
      <c r="CT57" s="209">
        <f t="shared" si="1"/>
        <v>45161</v>
      </c>
      <c r="CU57" s="211"/>
      <c r="CV57" s="151">
        <f t="shared" si="29"/>
        <v>45162</v>
      </c>
    </row>
    <row r="58" spans="1:100" s="206" customFormat="1" ht="12.75" customHeight="1">
      <c r="A58" s="205"/>
      <c r="B58" s="205"/>
      <c r="C58" s="205"/>
      <c r="D58" s="32"/>
      <c r="E58" s="32"/>
      <c r="F58" s="187">
        <f t="shared" si="8"/>
        <v>28</v>
      </c>
      <c r="G58" s="199">
        <v>45194</v>
      </c>
      <c r="H58" s="242">
        <f t="shared" si="9"/>
        <v>-31317.66333333333</v>
      </c>
      <c r="I58" s="242"/>
      <c r="J58" s="242"/>
      <c r="K58" s="189">
        <v>551.69000000000005</v>
      </c>
      <c r="L58" s="242">
        <v>64.81</v>
      </c>
      <c r="M58" s="242"/>
      <c r="N58" s="242"/>
      <c r="O58" s="190"/>
      <c r="P58" s="190">
        <f t="shared" si="2"/>
        <v>616.5</v>
      </c>
      <c r="Q58" s="191">
        <f t="shared" si="10"/>
        <v>0</v>
      </c>
      <c r="R58" s="233">
        <f t="shared" si="11"/>
        <v>616.5</v>
      </c>
      <c r="S58" s="234"/>
      <c r="T58" s="205"/>
      <c r="U58" s="205"/>
      <c r="V58" s="205"/>
      <c r="W58" s="204"/>
      <c r="X58" s="204"/>
      <c r="Y58" s="204"/>
      <c r="AG58" s="213">
        <f t="shared" si="12"/>
        <v>45180</v>
      </c>
      <c r="AH58" s="211">
        <f t="shared" si="13"/>
        <v>28</v>
      </c>
      <c r="AI58" s="127">
        <f t="shared" si="14"/>
        <v>0.63003731788464623</v>
      </c>
      <c r="AJ58" s="127" t="e">
        <f t="shared" si="15"/>
        <v>#N/A</v>
      </c>
      <c r="AK58" s="211" t="e">
        <f t="shared" si="16"/>
        <v>#N/A</v>
      </c>
      <c r="AL58" s="120">
        <f t="shared" si="17"/>
        <v>9</v>
      </c>
      <c r="AM58" s="120">
        <f t="shared" si="18"/>
        <v>2023</v>
      </c>
      <c r="AN58" s="128">
        <f t="shared" si="19"/>
        <v>32</v>
      </c>
      <c r="AO58" s="128">
        <f t="shared" si="20"/>
        <v>854</v>
      </c>
      <c r="AP58" s="99">
        <f t="shared" si="21"/>
        <v>45199</v>
      </c>
      <c r="AQ58" s="99">
        <f t="shared" si="22"/>
        <v>45193</v>
      </c>
      <c r="AR58" s="144">
        <f>$AQ58+IF(AND(DAY($AQ58)=27,MONTH($AQ58)=7),3,IF(AND(WEEKDAY($AQ58)=5,ISERROR(VLOOKUP($AQ58+1,Factores!$A:$A,1,0))=FALSE),4,IF(OR(WEEKDAY($AQ58)=1,ISERROR(VLOOKUP($AQ58,Factores!$A:$A,1,0))=FALSE),1,IF(WEEKDAY($AQ58)=7,2,0))))</f>
        <v>45194</v>
      </c>
      <c r="AS58" s="144">
        <v>45194</v>
      </c>
      <c r="AT58" s="129">
        <f t="shared" si="23"/>
        <v>443.92858198194494</v>
      </c>
      <c r="AU58" s="149"/>
      <c r="AV58" s="208"/>
      <c r="AW58" s="99">
        <v>44767</v>
      </c>
      <c r="AX58" s="89"/>
      <c r="AY58" s="133">
        <f t="shared" si="3"/>
        <v>9</v>
      </c>
      <c r="AZ58" s="134">
        <f t="shared" si="24"/>
        <v>2023</v>
      </c>
      <c r="BA58" s="133">
        <f t="shared" si="4"/>
        <v>1</v>
      </c>
      <c r="BB58" s="134">
        <f t="shared" si="25"/>
        <v>2026</v>
      </c>
      <c r="BC58" s="133">
        <f t="shared" si="5"/>
        <v>5</v>
      </c>
      <c r="BD58" s="134">
        <f t="shared" si="26"/>
        <v>2028</v>
      </c>
      <c r="BE58" s="132">
        <f t="shared" si="27"/>
        <v>45193</v>
      </c>
      <c r="BF58" s="132">
        <f>$BE58+IF(OR(WEEKDAY($BE58)=1,ISERROR(VLOOKUP($BE58,Factores!$A:$A,1,0))=FALSE),1,IF(WEEKDAY($BE58)=7,2,0))</f>
        <v>45194</v>
      </c>
      <c r="BG58" s="132">
        <f t="shared" si="0"/>
        <v>45194</v>
      </c>
      <c r="CO58" s="211">
        <f t="shared" si="6"/>
        <v>28</v>
      </c>
      <c r="CP58" s="211"/>
      <c r="CQ58" s="209">
        <f t="shared" si="28"/>
        <v>45191</v>
      </c>
      <c r="CR58" s="209">
        <f t="shared" si="7"/>
        <v>45191</v>
      </c>
      <c r="CS58" s="209">
        <f>$CR58+IF(AND(WEEKDAY($CR58)=6, ISERROR(VLOOKUP($CR58,Factores!$A:$A,1,0))=FALSE),3,0)</f>
        <v>45191</v>
      </c>
      <c r="CT58" s="209">
        <f t="shared" si="1"/>
        <v>45191</v>
      </c>
      <c r="CU58" s="211"/>
      <c r="CV58" s="151">
        <f t="shared" si="29"/>
        <v>45194</v>
      </c>
    </row>
    <row r="59" spans="1:100" s="206" customFormat="1" ht="12.75" customHeight="1">
      <c r="A59" s="205"/>
      <c r="B59" s="205"/>
      <c r="C59" s="205"/>
      <c r="D59" s="32"/>
      <c r="E59" s="32"/>
      <c r="F59" s="187">
        <f t="shared" si="8"/>
        <v>29</v>
      </c>
      <c r="G59" s="199">
        <v>45223</v>
      </c>
      <c r="H59" s="242">
        <f t="shared" si="9"/>
        <v>-31881.653333333332</v>
      </c>
      <c r="I59" s="242"/>
      <c r="J59" s="242"/>
      <c r="K59" s="189">
        <v>563.99</v>
      </c>
      <c r="L59" s="242">
        <v>52.51</v>
      </c>
      <c r="M59" s="242"/>
      <c r="N59" s="242"/>
      <c r="O59" s="190"/>
      <c r="P59" s="190">
        <f t="shared" si="2"/>
        <v>616.5</v>
      </c>
      <c r="Q59" s="191">
        <f t="shared" si="10"/>
        <v>0</v>
      </c>
      <c r="R59" s="233">
        <f t="shared" si="11"/>
        <v>616.5</v>
      </c>
      <c r="S59" s="234"/>
      <c r="T59" s="205"/>
      <c r="U59" s="205"/>
      <c r="V59" s="205"/>
      <c r="W59" s="204"/>
      <c r="X59" s="204"/>
      <c r="Y59" s="204"/>
      <c r="AG59" s="213">
        <f t="shared" si="12"/>
        <v>45210</v>
      </c>
      <c r="AH59" s="211">
        <f t="shared" si="13"/>
        <v>29</v>
      </c>
      <c r="AI59" s="127">
        <f t="shared" si="14"/>
        <v>0.62023059423153171</v>
      </c>
      <c r="AJ59" s="127" t="e">
        <f t="shared" si="15"/>
        <v>#N/A</v>
      </c>
      <c r="AK59" s="211" t="e">
        <f t="shared" si="16"/>
        <v>#N/A</v>
      </c>
      <c r="AL59" s="120">
        <f t="shared" si="17"/>
        <v>10</v>
      </c>
      <c r="AM59" s="120">
        <f t="shared" si="18"/>
        <v>2023</v>
      </c>
      <c r="AN59" s="128">
        <f t="shared" si="19"/>
        <v>29</v>
      </c>
      <c r="AO59" s="128">
        <f t="shared" si="20"/>
        <v>883</v>
      </c>
      <c r="AP59" s="99">
        <f t="shared" si="21"/>
        <v>45230</v>
      </c>
      <c r="AQ59" s="99">
        <f t="shared" si="22"/>
        <v>45223</v>
      </c>
      <c r="AR59" s="144">
        <f>$AQ59+IF(AND(DAY($AQ59)=27,MONTH($AQ59)=7),3,IF(AND(WEEKDAY($AQ59)=5,ISERROR(VLOOKUP($AQ59+1,Factores!$A:$A,1,0))=FALSE),4,IF(OR(WEEKDAY($AQ59)=1,ISERROR(VLOOKUP($AQ59,Factores!$A:$A,1,0))=FALSE),1,IF(WEEKDAY($AQ59)=7,2,0))))</f>
        <v>45223</v>
      </c>
      <c r="AS59" s="144">
        <v>45223</v>
      </c>
      <c r="AT59" s="129">
        <f t="shared" si="23"/>
        <v>439.00558022026598</v>
      </c>
      <c r="AU59" s="149"/>
      <c r="AV59" s="208"/>
      <c r="AW59" s="99">
        <f>AW58+15</f>
        <v>44782</v>
      </c>
      <c r="AX59" s="89"/>
      <c r="AY59" s="133">
        <f t="shared" si="3"/>
        <v>10</v>
      </c>
      <c r="AZ59" s="134">
        <f t="shared" si="24"/>
        <v>2023</v>
      </c>
      <c r="BA59" s="133">
        <f t="shared" si="4"/>
        <v>3</v>
      </c>
      <c r="BB59" s="134">
        <f t="shared" si="25"/>
        <v>2026</v>
      </c>
      <c r="BC59" s="133">
        <f t="shared" si="5"/>
        <v>8</v>
      </c>
      <c r="BD59" s="134">
        <f t="shared" si="26"/>
        <v>2028</v>
      </c>
      <c r="BE59" s="132">
        <f t="shared" si="27"/>
        <v>45223</v>
      </c>
      <c r="BF59" s="132">
        <f>$BE59+IF(OR(WEEKDAY($BE59)=1,ISERROR(VLOOKUP($BE59,Factores!$A:$A,1,0))=FALSE),1,IF(WEEKDAY($BE59)=7,2,0))</f>
        <v>45223</v>
      </c>
      <c r="BG59" s="132">
        <f t="shared" si="0"/>
        <v>45223</v>
      </c>
      <c r="CO59" s="211">
        <f t="shared" si="6"/>
        <v>29</v>
      </c>
      <c r="CP59" s="211"/>
      <c r="CQ59" s="209">
        <f t="shared" si="28"/>
        <v>45221</v>
      </c>
      <c r="CR59" s="209">
        <f t="shared" si="7"/>
        <v>45222</v>
      </c>
      <c r="CS59" s="209">
        <f>$CR59+IF(AND(WEEKDAY($CR59)=6, ISERROR(VLOOKUP($CR59,Factores!$A:$A,1,0))=FALSE),3,0)</f>
        <v>45222</v>
      </c>
      <c r="CT59" s="209">
        <f t="shared" si="1"/>
        <v>45222</v>
      </c>
      <c r="CU59" s="211"/>
      <c r="CV59" s="151">
        <f t="shared" si="29"/>
        <v>45223</v>
      </c>
    </row>
    <row r="60" spans="1:100" s="206" customFormat="1" ht="12.75" customHeight="1">
      <c r="A60" s="205"/>
      <c r="B60" s="205"/>
      <c r="C60" s="205"/>
      <c r="D60" s="32"/>
      <c r="E60" s="32"/>
      <c r="F60" s="187">
        <f t="shared" si="8"/>
        <v>30</v>
      </c>
      <c r="G60" s="199">
        <v>45254</v>
      </c>
      <c r="H60" s="242">
        <f t="shared" si="9"/>
        <v>-32448.75333333333</v>
      </c>
      <c r="I60" s="242"/>
      <c r="J60" s="242"/>
      <c r="K60" s="189">
        <v>567.1</v>
      </c>
      <c r="L60" s="242">
        <v>49.4</v>
      </c>
      <c r="M60" s="242"/>
      <c r="N60" s="242"/>
      <c r="O60" s="190"/>
      <c r="P60" s="190">
        <f t="shared" si="2"/>
        <v>616.5</v>
      </c>
      <c r="Q60" s="191">
        <f t="shared" si="10"/>
        <v>0</v>
      </c>
      <c r="R60" s="233">
        <f t="shared" si="11"/>
        <v>616.5</v>
      </c>
      <c r="S60" s="234"/>
      <c r="T60" s="205"/>
      <c r="U60" s="205"/>
      <c r="V60" s="205"/>
      <c r="W60" s="204"/>
      <c r="X60" s="204"/>
      <c r="Y60" s="204"/>
      <c r="AG60" s="213">
        <f t="shared" si="12"/>
        <v>45240</v>
      </c>
      <c r="AH60" s="211">
        <f t="shared" si="13"/>
        <v>30</v>
      </c>
      <c r="AI60" s="127">
        <f t="shared" si="14"/>
        <v>0.60991628267758302</v>
      </c>
      <c r="AJ60" s="127" t="e">
        <f t="shared" si="15"/>
        <v>#N/A</v>
      </c>
      <c r="AK60" s="211" t="e">
        <f t="shared" si="16"/>
        <v>#N/A</v>
      </c>
      <c r="AL60" s="120">
        <f t="shared" si="17"/>
        <v>11</v>
      </c>
      <c r="AM60" s="120">
        <f t="shared" si="18"/>
        <v>2023</v>
      </c>
      <c r="AN60" s="128">
        <f t="shared" si="19"/>
        <v>31</v>
      </c>
      <c r="AO60" s="128">
        <f t="shared" si="20"/>
        <v>914</v>
      </c>
      <c r="AP60" s="99">
        <f t="shared" si="21"/>
        <v>45260</v>
      </c>
      <c r="AQ60" s="99">
        <f t="shared" si="22"/>
        <v>45254</v>
      </c>
      <c r="AR60" s="144">
        <f>$AQ60+IF(AND(DAY($AQ60)=27,MONTH($AQ60)=7),3,IF(AND(WEEKDAY($AQ60)=5,ISERROR(VLOOKUP($AQ60+1,Factores!$A:$A,1,0))=FALSE),4,IF(OR(WEEKDAY($AQ60)=1,ISERROR(VLOOKUP($AQ60,Factores!$A:$A,1,0))=FALSE),1,IF(WEEKDAY($AQ60)=7,2,0))))</f>
        <v>45254</v>
      </c>
      <c r="AS60" s="144">
        <v>45254</v>
      </c>
      <c r="AT60" s="129">
        <f t="shared" si="23"/>
        <v>433.80341742369939</v>
      </c>
      <c r="AU60" s="149"/>
      <c r="AV60" s="208"/>
      <c r="AW60" s="99">
        <v>44797</v>
      </c>
      <c r="AX60" s="89"/>
      <c r="AY60" s="133">
        <f t="shared" si="3"/>
        <v>11</v>
      </c>
      <c r="AZ60" s="134">
        <f t="shared" si="24"/>
        <v>2023</v>
      </c>
      <c r="BA60" s="133">
        <f t="shared" si="4"/>
        <v>5</v>
      </c>
      <c r="BB60" s="134">
        <f t="shared" si="25"/>
        <v>2026</v>
      </c>
      <c r="BC60" s="133">
        <f t="shared" si="5"/>
        <v>11</v>
      </c>
      <c r="BD60" s="134">
        <f t="shared" si="26"/>
        <v>2028</v>
      </c>
      <c r="BE60" s="132">
        <f t="shared" si="27"/>
        <v>45254</v>
      </c>
      <c r="BF60" s="132">
        <f>$BE60+IF(OR(WEEKDAY($BE60)=1,ISERROR(VLOOKUP($BE60,Factores!$A:$A,1,0))=FALSE),1,IF(WEEKDAY($BE60)=7,2,0))</f>
        <v>45254</v>
      </c>
      <c r="BG60" s="132">
        <f t="shared" si="0"/>
        <v>45254</v>
      </c>
      <c r="CO60" s="211">
        <f t="shared" si="6"/>
        <v>30</v>
      </c>
      <c r="CP60" s="211"/>
      <c r="CQ60" s="209">
        <f t="shared" si="28"/>
        <v>45252</v>
      </c>
      <c r="CR60" s="209">
        <f t="shared" si="7"/>
        <v>45252</v>
      </c>
      <c r="CS60" s="209">
        <f>$CR60+IF(AND(WEEKDAY($CR60)=6, ISERROR(VLOOKUP($CR60,Factores!$A:$A,1,0))=FALSE),3,0)</f>
        <v>45252</v>
      </c>
      <c r="CT60" s="209">
        <f t="shared" si="1"/>
        <v>45252</v>
      </c>
      <c r="CU60" s="211"/>
      <c r="CV60" s="151">
        <f t="shared" si="29"/>
        <v>45254</v>
      </c>
    </row>
    <row r="61" spans="1:100" s="206" customFormat="1" ht="12.75" customHeight="1">
      <c r="A61" s="205"/>
      <c r="B61" s="205"/>
      <c r="C61" s="205"/>
      <c r="D61" s="32"/>
      <c r="E61" s="32"/>
      <c r="F61" s="187">
        <f t="shared" si="8"/>
        <v>31</v>
      </c>
      <c r="G61" s="199">
        <v>45285</v>
      </c>
      <c r="H61" s="242">
        <f t="shared" si="9"/>
        <v>-33022.653333333328</v>
      </c>
      <c r="I61" s="242"/>
      <c r="J61" s="242"/>
      <c r="K61" s="189">
        <v>573.9</v>
      </c>
      <c r="L61" s="242">
        <v>42.6</v>
      </c>
      <c r="M61" s="242"/>
      <c r="N61" s="242"/>
      <c r="O61" s="190"/>
      <c r="P61" s="190">
        <f t="shared" si="2"/>
        <v>616.5</v>
      </c>
      <c r="Q61" s="191">
        <f t="shared" si="10"/>
        <v>0</v>
      </c>
      <c r="R61" s="233">
        <f t="shared" si="11"/>
        <v>616.5</v>
      </c>
      <c r="S61" s="234"/>
      <c r="T61" s="205"/>
      <c r="U61" s="205"/>
      <c r="V61" s="205"/>
      <c r="W61" s="204"/>
      <c r="X61" s="204"/>
      <c r="Y61" s="204"/>
      <c r="AG61" s="213">
        <f t="shared" si="12"/>
        <v>45270</v>
      </c>
      <c r="AH61" s="211">
        <f t="shared" si="13"/>
        <v>31</v>
      </c>
      <c r="AI61" s="127">
        <f t="shared" si="14"/>
        <v>0.59977349607551722</v>
      </c>
      <c r="AJ61" s="127" t="e">
        <f t="shared" si="15"/>
        <v>#N/A</v>
      </c>
      <c r="AK61" s="211" t="e">
        <f t="shared" si="16"/>
        <v>#N/A</v>
      </c>
      <c r="AL61" s="120">
        <f t="shared" si="17"/>
        <v>12</v>
      </c>
      <c r="AM61" s="120">
        <f t="shared" si="18"/>
        <v>2023</v>
      </c>
      <c r="AN61" s="128">
        <f t="shared" si="19"/>
        <v>31</v>
      </c>
      <c r="AO61" s="128">
        <f t="shared" si="20"/>
        <v>945</v>
      </c>
      <c r="AP61" s="99">
        <f t="shared" si="21"/>
        <v>45291</v>
      </c>
      <c r="AQ61" s="99">
        <f t="shared" si="22"/>
        <v>45284</v>
      </c>
      <c r="AR61" s="144">
        <f>$AQ61+IF(AND(DAY($AQ61)=27,MONTH($AQ61)=7),3,IF(AND(WEEKDAY($AQ61)=5,ISERROR(VLOOKUP($AQ61+1,Factores!$A:$A,1,0))=FALSE),4,IF(OR(WEEKDAY($AQ61)=1,ISERROR(VLOOKUP($AQ61,Factores!$A:$A,1,0))=FALSE),1,IF(WEEKDAY($AQ61)=7,2,0))))</f>
        <v>45285</v>
      </c>
      <c r="AS61" s="144">
        <v>45285</v>
      </c>
      <c r="AT61" s="129">
        <f t="shared" si="23"/>
        <v>428.66289962432933</v>
      </c>
      <c r="AU61" s="149"/>
      <c r="AV61" s="208"/>
      <c r="AW61" s="99">
        <f>AW60+15</f>
        <v>44812</v>
      </c>
      <c r="AX61" s="89"/>
      <c r="AY61" s="133">
        <f t="shared" si="3"/>
        <v>12</v>
      </c>
      <c r="AZ61" s="134">
        <f t="shared" si="24"/>
        <v>2023</v>
      </c>
      <c r="BA61" s="133">
        <f t="shared" si="4"/>
        <v>7</v>
      </c>
      <c r="BB61" s="134">
        <f t="shared" si="25"/>
        <v>2026</v>
      </c>
      <c r="BC61" s="133">
        <f t="shared" si="5"/>
        <v>2</v>
      </c>
      <c r="BD61" s="134">
        <f t="shared" si="26"/>
        <v>2029</v>
      </c>
      <c r="BE61" s="132">
        <f t="shared" si="27"/>
        <v>45284</v>
      </c>
      <c r="BF61" s="132">
        <f>$BE61+IF(OR(WEEKDAY($BE61)=1,ISERROR(VLOOKUP($BE61,Factores!$A:$A,1,0))=FALSE),1,IF(WEEKDAY($BE61)=7,2,0))</f>
        <v>45285</v>
      </c>
      <c r="BG61" s="132">
        <f t="shared" si="0"/>
        <v>45285</v>
      </c>
      <c r="CO61" s="211">
        <f t="shared" si="6"/>
        <v>31</v>
      </c>
      <c r="CP61" s="211"/>
      <c r="CQ61" s="209">
        <f t="shared" si="28"/>
        <v>45282</v>
      </c>
      <c r="CR61" s="209">
        <f t="shared" si="7"/>
        <v>45282</v>
      </c>
      <c r="CS61" s="209">
        <f>$CR61+IF(AND(WEEKDAY($CR61)=6, ISERROR(VLOOKUP($CR61,Factores!$A:$A,1,0))=FALSE),3,0)</f>
        <v>45282</v>
      </c>
      <c r="CT61" s="209">
        <f t="shared" si="1"/>
        <v>45282</v>
      </c>
      <c r="CU61" s="211"/>
      <c r="CV61" s="151">
        <f t="shared" si="29"/>
        <v>45285</v>
      </c>
    </row>
    <row r="62" spans="1:100" s="206" customFormat="1" ht="12.75" customHeight="1">
      <c r="A62" s="205"/>
      <c r="B62" s="205"/>
      <c r="C62" s="205"/>
      <c r="D62" s="32"/>
      <c r="E62" s="32"/>
      <c r="F62" s="187">
        <f t="shared" si="8"/>
        <v>32</v>
      </c>
      <c r="G62" s="199">
        <v>45315</v>
      </c>
      <c r="H62" s="242">
        <f t="shared" si="9"/>
        <v>-33604.593333333331</v>
      </c>
      <c r="I62" s="242"/>
      <c r="J62" s="242"/>
      <c r="K62" s="189">
        <v>581.94000000000005</v>
      </c>
      <c r="L62" s="242">
        <v>34.56</v>
      </c>
      <c r="M62" s="242"/>
      <c r="N62" s="242"/>
      <c r="O62" s="190"/>
      <c r="P62" s="190">
        <f t="shared" si="2"/>
        <v>616.5</v>
      </c>
      <c r="Q62" s="191">
        <f t="shared" si="10"/>
        <v>0</v>
      </c>
      <c r="R62" s="233">
        <f t="shared" si="11"/>
        <v>616.5</v>
      </c>
      <c r="S62" s="234"/>
      <c r="T62" s="205"/>
      <c r="U62" s="205"/>
      <c r="V62" s="205"/>
      <c r="W62" s="204"/>
      <c r="X62" s="204"/>
      <c r="Y62" s="204"/>
      <c r="AG62" s="213">
        <f t="shared" si="12"/>
        <v>45300</v>
      </c>
      <c r="AH62" s="211">
        <f t="shared" si="13"/>
        <v>32</v>
      </c>
      <c r="AI62" s="127">
        <f t="shared" si="14"/>
        <v>0.59011852369061779</v>
      </c>
      <c r="AJ62" s="127" t="e">
        <f t="shared" si="15"/>
        <v>#N/A</v>
      </c>
      <c r="AK62" s="211" t="e">
        <f t="shared" si="16"/>
        <v>#N/A</v>
      </c>
      <c r="AL62" s="120">
        <f t="shared" si="17"/>
        <v>1</v>
      </c>
      <c r="AM62" s="120">
        <f t="shared" si="18"/>
        <v>2024</v>
      </c>
      <c r="AN62" s="128">
        <f t="shared" si="19"/>
        <v>30</v>
      </c>
      <c r="AO62" s="128">
        <f t="shared" si="20"/>
        <v>975</v>
      </c>
      <c r="AP62" s="99">
        <f t="shared" si="21"/>
        <v>45322</v>
      </c>
      <c r="AQ62" s="99">
        <f t="shared" si="22"/>
        <v>45315</v>
      </c>
      <c r="AR62" s="144">
        <f>$AQ62+IF(AND(DAY($AQ62)=27,MONTH($AQ62)=7),3,IF(AND(WEEKDAY($AQ62)=5,ISERROR(VLOOKUP($AQ62+1,Factores!$A:$A,1,0))=FALSE),4,IF(OR(WEEKDAY($AQ62)=1,ISERROR(VLOOKUP($AQ62,Factores!$A:$A,1,0))=FALSE),1,IF(WEEKDAY($AQ62)=7,2,0))))</f>
        <v>45315</v>
      </c>
      <c r="AS62" s="144">
        <v>45315</v>
      </c>
      <c r="AT62" s="129">
        <f t="shared" si="23"/>
        <v>423.74621112097213</v>
      </c>
      <c r="AU62" s="149"/>
      <c r="AV62" s="208"/>
      <c r="AW62" s="99">
        <v>44830</v>
      </c>
      <c r="AX62" s="89"/>
      <c r="AY62" s="133">
        <f t="shared" si="3"/>
        <v>1</v>
      </c>
      <c r="AZ62" s="134">
        <f t="shared" si="24"/>
        <v>2024</v>
      </c>
      <c r="BA62" s="133">
        <f t="shared" si="4"/>
        <v>9</v>
      </c>
      <c r="BB62" s="134">
        <f t="shared" si="25"/>
        <v>2026</v>
      </c>
      <c r="BC62" s="133">
        <f t="shared" si="5"/>
        <v>5</v>
      </c>
      <c r="BD62" s="134">
        <f t="shared" si="26"/>
        <v>2029</v>
      </c>
      <c r="BE62" s="132">
        <f t="shared" si="27"/>
        <v>45315</v>
      </c>
      <c r="BF62" s="132">
        <f>$BE62+IF(OR(WEEKDAY($BE62)=1,ISERROR(VLOOKUP($BE62,Factores!$A:$A,1,0))=FALSE),1,IF(WEEKDAY($BE62)=7,2,0))</f>
        <v>45315</v>
      </c>
      <c r="BG62" s="132">
        <f t="shared" si="0"/>
        <v>45315</v>
      </c>
      <c r="CO62" s="211">
        <f t="shared" si="6"/>
        <v>32</v>
      </c>
      <c r="CP62" s="211"/>
      <c r="CQ62" s="209">
        <f t="shared" si="28"/>
        <v>45312</v>
      </c>
      <c r="CR62" s="209">
        <f t="shared" si="7"/>
        <v>45313</v>
      </c>
      <c r="CS62" s="209">
        <f>$CR62+IF(AND(WEEKDAY($CR62)=6, ISERROR(VLOOKUP($CR62,Factores!$A:$A,1,0))=FALSE),3,0)</f>
        <v>45313</v>
      </c>
      <c r="CT62" s="209">
        <f t="shared" si="1"/>
        <v>45313</v>
      </c>
      <c r="CU62" s="211"/>
      <c r="CV62" s="151">
        <f t="shared" si="29"/>
        <v>45315</v>
      </c>
    </row>
    <row r="63" spans="1:100" s="206" customFormat="1" ht="12.75" customHeight="1">
      <c r="A63" s="205"/>
      <c r="B63" s="205"/>
      <c r="C63" s="205"/>
      <c r="D63" s="32"/>
      <c r="E63" s="32"/>
      <c r="F63" s="187">
        <f t="shared" si="8"/>
        <v>33</v>
      </c>
      <c r="G63" s="199">
        <v>45348</v>
      </c>
      <c r="H63" s="242">
        <f t="shared" si="9"/>
        <v>-34190.48333333333</v>
      </c>
      <c r="I63" s="242"/>
      <c r="J63" s="242"/>
      <c r="K63" s="189">
        <v>585.89</v>
      </c>
      <c r="L63" s="242">
        <v>30.61</v>
      </c>
      <c r="M63" s="242"/>
      <c r="N63" s="242"/>
      <c r="O63" s="190"/>
      <c r="P63" s="190">
        <f t="shared" si="2"/>
        <v>616.5</v>
      </c>
      <c r="Q63" s="191">
        <f t="shared" si="10"/>
        <v>0</v>
      </c>
      <c r="R63" s="233">
        <f t="shared" si="11"/>
        <v>616.5</v>
      </c>
      <c r="S63" s="234"/>
      <c r="T63" s="205"/>
      <c r="U63" s="205"/>
      <c r="V63" s="205"/>
      <c r="W63" s="204"/>
      <c r="X63" s="204"/>
      <c r="Y63" s="204"/>
      <c r="AG63" s="213">
        <f t="shared" si="12"/>
        <v>45330</v>
      </c>
      <c r="AH63" s="211">
        <f t="shared" si="13"/>
        <v>33</v>
      </c>
      <c r="AI63" s="127">
        <f t="shared" si="14"/>
        <v>0.57967747075522191</v>
      </c>
      <c r="AJ63" s="127" t="e">
        <f t="shared" si="15"/>
        <v>#N/A</v>
      </c>
      <c r="AK63" s="211" t="e">
        <f t="shared" si="16"/>
        <v>#N/A</v>
      </c>
      <c r="AL63" s="120">
        <f t="shared" si="17"/>
        <v>2</v>
      </c>
      <c r="AM63" s="120">
        <f t="shared" si="18"/>
        <v>2024</v>
      </c>
      <c r="AN63" s="128">
        <f t="shared" si="19"/>
        <v>33</v>
      </c>
      <c r="AO63" s="128">
        <f t="shared" si="20"/>
        <v>1008</v>
      </c>
      <c r="AP63" s="99">
        <f t="shared" si="21"/>
        <v>45351</v>
      </c>
      <c r="AQ63" s="99">
        <f t="shared" si="22"/>
        <v>45346</v>
      </c>
      <c r="AR63" s="144">
        <f>$AQ63+IF(AND(DAY($AQ63)=27,MONTH($AQ63)=7),3,IF(AND(WEEKDAY($AQ63)=5,ISERROR(VLOOKUP($AQ63+1,Factores!$A:$A,1,0))=FALSE),4,IF(OR(WEEKDAY($AQ63)=1,ISERROR(VLOOKUP($AQ63,Factores!$A:$A,1,0))=FALSE),1,IF(WEEKDAY($AQ63)=7,2,0))))</f>
        <v>45348</v>
      </c>
      <c r="AS63" s="144">
        <v>45348</v>
      </c>
      <c r="AT63" s="129">
        <f t="shared" si="23"/>
        <v>418.40296335880493</v>
      </c>
      <c r="AU63" s="149"/>
      <c r="AV63" s="208"/>
      <c r="AW63" s="99">
        <f>AW62+15</f>
        <v>44845</v>
      </c>
      <c r="AX63" s="89"/>
      <c r="AY63" s="133">
        <f t="shared" si="3"/>
        <v>2</v>
      </c>
      <c r="AZ63" s="134">
        <f t="shared" si="24"/>
        <v>2024</v>
      </c>
      <c r="BA63" s="133">
        <f t="shared" si="4"/>
        <v>11</v>
      </c>
      <c r="BB63" s="134">
        <f t="shared" si="25"/>
        <v>2026</v>
      </c>
      <c r="BC63" s="133">
        <f t="shared" si="5"/>
        <v>8</v>
      </c>
      <c r="BD63" s="134">
        <f t="shared" si="26"/>
        <v>2029</v>
      </c>
      <c r="BE63" s="132">
        <f t="shared" si="27"/>
        <v>45346</v>
      </c>
      <c r="BF63" s="132">
        <f>$BE63+IF(OR(WEEKDAY($BE63)=1,ISERROR(VLOOKUP($BE63,Factores!$A:$A,1,0))=FALSE),1,IF(WEEKDAY($BE63)=7,2,0))</f>
        <v>45348</v>
      </c>
      <c r="BG63" s="132">
        <f t="shared" si="0"/>
        <v>45348</v>
      </c>
      <c r="CO63" s="211">
        <f t="shared" si="6"/>
        <v>33</v>
      </c>
      <c r="CP63" s="211"/>
      <c r="CQ63" s="209">
        <f t="shared" si="28"/>
        <v>45343</v>
      </c>
      <c r="CR63" s="209">
        <f t="shared" si="7"/>
        <v>45343</v>
      </c>
      <c r="CS63" s="209">
        <f>$CR63+IF(AND(WEEKDAY($CR63)=6, ISERROR(VLOOKUP($CR63,Factores!$A:$A,1,0))=FALSE),3,0)</f>
        <v>45343</v>
      </c>
      <c r="CT63" s="209">
        <f t="shared" si="1"/>
        <v>45343</v>
      </c>
      <c r="CU63" s="211"/>
      <c r="CV63" s="151">
        <f t="shared" si="29"/>
        <v>45348</v>
      </c>
    </row>
    <row r="64" spans="1:100" s="206" customFormat="1" ht="12.75" customHeight="1">
      <c r="A64" s="205"/>
      <c r="B64" s="205"/>
      <c r="C64" s="205"/>
      <c r="D64" s="32"/>
      <c r="E64" s="32"/>
      <c r="F64" s="187">
        <f t="shared" si="8"/>
        <v>34</v>
      </c>
      <c r="G64" s="199">
        <v>45376</v>
      </c>
      <c r="H64" s="242">
        <f t="shared" si="9"/>
        <v>-34787.383333333331</v>
      </c>
      <c r="I64" s="242"/>
      <c r="J64" s="242"/>
      <c r="K64" s="189">
        <v>596.9</v>
      </c>
      <c r="L64" s="242">
        <v>19.600000000000001</v>
      </c>
      <c r="M64" s="242"/>
      <c r="N64" s="242"/>
      <c r="O64" s="190"/>
      <c r="P64" s="190">
        <f t="shared" si="2"/>
        <v>616.5</v>
      </c>
      <c r="Q64" s="191">
        <f t="shared" si="10"/>
        <v>0</v>
      </c>
      <c r="R64" s="233">
        <f t="shared" si="11"/>
        <v>616.5</v>
      </c>
      <c r="S64" s="234"/>
      <c r="T64" s="205"/>
      <c r="U64" s="205"/>
      <c r="V64" s="205"/>
      <c r="W64" s="204"/>
      <c r="X64" s="204"/>
      <c r="Y64" s="204"/>
      <c r="AG64" s="213">
        <f t="shared" si="12"/>
        <v>45360</v>
      </c>
      <c r="AH64" s="211">
        <f t="shared" si="13"/>
        <v>34</v>
      </c>
      <c r="AI64" s="127">
        <f t="shared" si="14"/>
        <v>0.57096339595000212</v>
      </c>
      <c r="AJ64" s="127" t="e">
        <f t="shared" si="15"/>
        <v>#N/A</v>
      </c>
      <c r="AK64" s="211" t="e">
        <f t="shared" si="16"/>
        <v>#N/A</v>
      </c>
      <c r="AL64" s="120">
        <f t="shared" si="17"/>
        <v>3</v>
      </c>
      <c r="AM64" s="120">
        <f t="shared" si="18"/>
        <v>2024</v>
      </c>
      <c r="AN64" s="128">
        <f t="shared" si="19"/>
        <v>28</v>
      </c>
      <c r="AO64" s="128">
        <f t="shared" si="20"/>
        <v>1036</v>
      </c>
      <c r="AP64" s="99">
        <f t="shared" si="21"/>
        <v>45382</v>
      </c>
      <c r="AQ64" s="99">
        <f t="shared" si="22"/>
        <v>45375</v>
      </c>
      <c r="AR64" s="144">
        <f>$AQ64+IF(AND(DAY($AQ64)=27,MONTH($AQ64)=7),3,IF(AND(WEEKDAY($AQ64)=5,ISERROR(VLOOKUP($AQ64+1,Factores!$A:$A,1,0))=FALSE),4,IF(OR(WEEKDAY($AQ64)=1,ISERROR(VLOOKUP($AQ64,Factores!$A:$A,1,0))=FALSE),1,IF(WEEKDAY($AQ64)=7,2,0))))</f>
        <v>45376</v>
      </c>
      <c r="AS64" s="144">
        <v>45376</v>
      </c>
      <c r="AT64" s="129">
        <f t="shared" si="23"/>
        <v>413.92216895331882</v>
      </c>
      <c r="AU64" s="149"/>
      <c r="AV64" s="208"/>
      <c r="AW64" s="99">
        <v>44858</v>
      </c>
      <c r="AX64" s="89"/>
      <c r="AY64" s="133">
        <f t="shared" si="3"/>
        <v>3</v>
      </c>
      <c r="AZ64" s="134">
        <f t="shared" si="24"/>
        <v>2024</v>
      </c>
      <c r="BA64" s="133">
        <f t="shared" si="4"/>
        <v>1</v>
      </c>
      <c r="BB64" s="134">
        <f t="shared" si="25"/>
        <v>2027</v>
      </c>
      <c r="BC64" s="133">
        <f t="shared" si="5"/>
        <v>11</v>
      </c>
      <c r="BD64" s="134">
        <f t="shared" si="26"/>
        <v>2029</v>
      </c>
      <c r="BE64" s="132">
        <f t="shared" si="27"/>
        <v>45375</v>
      </c>
      <c r="BF64" s="132">
        <f>$BE64+IF(OR(WEEKDAY($BE64)=1,ISERROR(VLOOKUP($BE64,Factores!$A:$A,1,0))=FALSE),1,IF(WEEKDAY($BE64)=7,2,0))</f>
        <v>45376</v>
      </c>
      <c r="BG64" s="132">
        <f t="shared" si="0"/>
        <v>45376</v>
      </c>
      <c r="CO64" s="211">
        <f t="shared" si="6"/>
        <v>34</v>
      </c>
      <c r="CP64" s="211"/>
      <c r="CQ64" s="209">
        <f t="shared" si="28"/>
        <v>45373</v>
      </c>
      <c r="CR64" s="209">
        <f t="shared" si="7"/>
        <v>45373</v>
      </c>
      <c r="CS64" s="209">
        <f>$CR64+IF(AND(WEEKDAY($CR64)=6, ISERROR(VLOOKUP($CR64,Factores!$A:$A,1,0))=FALSE),3,0)</f>
        <v>45373</v>
      </c>
      <c r="CT64" s="209">
        <f t="shared" si="1"/>
        <v>45373</v>
      </c>
      <c r="CU64" s="211"/>
      <c r="CV64" s="151">
        <f t="shared" si="29"/>
        <v>45376</v>
      </c>
    </row>
    <row r="65" spans="1:100" s="206" customFormat="1" ht="12.75" customHeight="1">
      <c r="A65" s="205"/>
      <c r="B65" s="205"/>
      <c r="C65" s="205"/>
      <c r="D65" s="32"/>
      <c r="E65" s="32"/>
      <c r="F65" s="187">
        <f t="shared" si="8"/>
        <v>35</v>
      </c>
      <c r="G65" s="199">
        <v>45406</v>
      </c>
      <c r="H65" s="242">
        <f t="shared" si="9"/>
        <v>-35389.793333333335</v>
      </c>
      <c r="I65" s="242"/>
      <c r="J65" s="242"/>
      <c r="K65" s="189">
        <v>602.41</v>
      </c>
      <c r="L65" s="242">
        <v>14.09</v>
      </c>
      <c r="M65" s="242"/>
      <c r="N65" s="242"/>
      <c r="O65" s="190"/>
      <c r="P65" s="190">
        <f t="shared" si="2"/>
        <v>616.5</v>
      </c>
      <c r="Q65" s="191">
        <f t="shared" si="10"/>
        <v>0</v>
      </c>
      <c r="R65" s="233">
        <f t="shared" si="11"/>
        <v>616.5</v>
      </c>
      <c r="S65" s="234"/>
      <c r="T65" s="205"/>
      <c r="U65" s="205"/>
      <c r="V65" s="205"/>
      <c r="W65" s="204"/>
      <c r="X65" s="204"/>
      <c r="Y65" s="204"/>
      <c r="AG65" s="213">
        <f t="shared" si="12"/>
        <v>45390</v>
      </c>
      <c r="AH65" s="211">
        <f t="shared" si="13"/>
        <v>35</v>
      </c>
      <c r="AI65" s="127">
        <f t="shared" si="14"/>
        <v>0.56177219984554527</v>
      </c>
      <c r="AJ65" s="127" t="e">
        <f t="shared" si="15"/>
        <v>#N/A</v>
      </c>
      <c r="AK65" s="211" t="e">
        <f t="shared" si="16"/>
        <v>#N/A</v>
      </c>
      <c r="AL65" s="120">
        <f t="shared" si="17"/>
        <v>4</v>
      </c>
      <c r="AM65" s="120">
        <f t="shared" si="18"/>
        <v>2024</v>
      </c>
      <c r="AN65" s="128">
        <f t="shared" si="19"/>
        <v>30</v>
      </c>
      <c r="AO65" s="128">
        <f t="shared" si="20"/>
        <v>1066</v>
      </c>
      <c r="AP65" s="99">
        <f t="shared" si="21"/>
        <v>45412</v>
      </c>
      <c r="AQ65" s="99">
        <f t="shared" si="22"/>
        <v>45406</v>
      </c>
      <c r="AR65" s="144">
        <f>$AQ65+IF(AND(DAY($AQ65)=27,MONTH($AQ65)=7),3,IF(AND(WEEKDAY($AQ65)=5,ISERROR(VLOOKUP($AQ65+1,Factores!$A:$A,1,0))=FALSE),4,IF(OR(WEEKDAY($AQ65)=1,ISERROR(VLOOKUP($AQ65,Factores!$A:$A,1,0))=FALSE),1,IF(WEEKDAY($AQ65)=7,2,0))))</f>
        <v>45406</v>
      </c>
      <c r="AS65" s="144">
        <v>45406</v>
      </c>
      <c r="AT65" s="129">
        <f t="shared" si="23"/>
        <v>409.17455405321664</v>
      </c>
      <c r="AU65" s="149"/>
      <c r="AV65" s="208"/>
      <c r="AW65" s="99">
        <f>AW64+15</f>
        <v>44873</v>
      </c>
      <c r="AX65" s="89"/>
      <c r="AY65" s="133">
        <f t="shared" si="3"/>
        <v>4</v>
      </c>
      <c r="AZ65" s="134">
        <f t="shared" si="24"/>
        <v>2024</v>
      </c>
      <c r="BA65" s="133">
        <f t="shared" si="4"/>
        <v>3</v>
      </c>
      <c r="BB65" s="134">
        <f t="shared" si="25"/>
        <v>2027</v>
      </c>
      <c r="BC65" s="133">
        <f t="shared" si="5"/>
        <v>2</v>
      </c>
      <c r="BD65" s="134">
        <f t="shared" si="26"/>
        <v>2030</v>
      </c>
      <c r="BE65" s="132">
        <f t="shared" si="27"/>
        <v>45406</v>
      </c>
      <c r="BF65" s="132">
        <f>$BE65+IF(OR(WEEKDAY($BE65)=1,ISERROR(VLOOKUP($BE65,Factores!$A:$A,1,0))=FALSE),1,IF(WEEKDAY($BE65)=7,2,0))</f>
        <v>45406</v>
      </c>
      <c r="BG65" s="132">
        <f t="shared" si="0"/>
        <v>45406</v>
      </c>
      <c r="CO65" s="211">
        <f t="shared" si="6"/>
        <v>35</v>
      </c>
      <c r="CP65" s="211"/>
      <c r="CQ65" s="209">
        <f t="shared" si="28"/>
        <v>45403</v>
      </c>
      <c r="CR65" s="209">
        <f t="shared" si="7"/>
        <v>45404</v>
      </c>
      <c r="CS65" s="209">
        <f>$CR65+IF(AND(WEEKDAY($CR65)=6, ISERROR(VLOOKUP($CR65,Factores!$A:$A,1,0))=FALSE),3,0)</f>
        <v>45404</v>
      </c>
      <c r="CT65" s="209">
        <f t="shared" si="1"/>
        <v>45404</v>
      </c>
      <c r="CU65" s="211"/>
      <c r="CV65" s="151">
        <f t="shared" si="29"/>
        <v>45406</v>
      </c>
    </row>
    <row r="66" spans="1:100" s="206" customFormat="1" ht="12.75" customHeight="1">
      <c r="A66" s="205"/>
      <c r="B66" s="205"/>
      <c r="C66" s="205"/>
      <c r="D66" s="32"/>
      <c r="E66" s="32"/>
      <c r="F66" s="192">
        <f t="shared" si="8"/>
        <v>36</v>
      </c>
      <c r="G66" s="200">
        <v>45436</v>
      </c>
      <c r="H66" s="241">
        <f t="shared" si="9"/>
        <v>-36001.756666666668</v>
      </c>
      <c r="I66" s="241"/>
      <c r="J66" s="241"/>
      <c r="K66" s="193">
        <v>611.96333333333621</v>
      </c>
      <c r="L66" s="241">
        <v>7.1</v>
      </c>
      <c r="M66" s="241"/>
      <c r="N66" s="241"/>
      <c r="O66" s="194"/>
      <c r="P66" s="194">
        <f>K66+L66+O66</f>
        <v>619.06333333333623</v>
      </c>
      <c r="Q66" s="195">
        <f t="shared" si="10"/>
        <v>0</v>
      </c>
      <c r="R66" s="235">
        <f t="shared" si="11"/>
        <v>619.06333333333623</v>
      </c>
      <c r="S66" s="236"/>
      <c r="T66" s="205"/>
      <c r="U66" s="205"/>
      <c r="V66" s="205"/>
      <c r="W66" s="204"/>
      <c r="X66" s="204"/>
      <c r="Y66" s="204"/>
      <c r="AG66" s="213">
        <f t="shared" si="12"/>
        <v>45420</v>
      </c>
      <c r="AH66" s="211">
        <f t="shared" si="13"/>
        <v>36</v>
      </c>
      <c r="AI66" s="127">
        <f t="shared" si="14"/>
        <v>0.55272896083681455</v>
      </c>
      <c r="AJ66" s="127" t="e">
        <f t="shared" si="15"/>
        <v>#N/A</v>
      </c>
      <c r="AK66" s="211" t="e">
        <f t="shared" si="16"/>
        <v>#N/A</v>
      </c>
      <c r="AL66" s="120">
        <f t="shared" si="17"/>
        <v>5</v>
      </c>
      <c r="AM66" s="120">
        <f t="shared" si="18"/>
        <v>2024</v>
      </c>
      <c r="AN66" s="128">
        <f t="shared" si="19"/>
        <v>30</v>
      </c>
      <c r="AO66" s="128">
        <f t="shared" si="20"/>
        <v>1096</v>
      </c>
      <c r="AP66" s="99"/>
      <c r="AQ66" s="99">
        <f t="shared" si="22"/>
        <v>45436</v>
      </c>
      <c r="AR66" s="144">
        <f>$AQ66+IF(AND(DAY($AQ66)=27,MONTH($AQ66)=7),3,IF(AND(WEEKDAY($AQ66)=5,ISERROR(VLOOKUP($AQ66+1,Factores!$A:$A,1,0))=FALSE),4,IF(OR(WEEKDAY($AQ66)=1,ISERROR(VLOOKUP($AQ66,Factores!$A:$A,1,0))=FALSE),1,IF(WEEKDAY($AQ66)=7,2,0))))</f>
        <v>45436</v>
      </c>
      <c r="AS66" s="144">
        <v>45436</v>
      </c>
      <c r="AT66" s="129">
        <f t="shared" si="23"/>
        <v>406.16317876769978</v>
      </c>
      <c r="AU66" s="149"/>
      <c r="AV66" s="208"/>
      <c r="AW66" s="99">
        <v>44889</v>
      </c>
      <c r="AX66" s="89"/>
      <c r="AY66" s="133">
        <f t="shared" si="3"/>
        <v>5</v>
      </c>
      <c r="AZ66" s="134">
        <f t="shared" si="24"/>
        <v>2024</v>
      </c>
      <c r="BA66" s="133">
        <f t="shared" si="4"/>
        <v>5</v>
      </c>
      <c r="BB66" s="134">
        <f t="shared" si="25"/>
        <v>2027</v>
      </c>
      <c r="BC66" s="133">
        <f t="shared" si="5"/>
        <v>5</v>
      </c>
      <c r="BD66" s="134">
        <f t="shared" si="26"/>
        <v>2030</v>
      </c>
      <c r="BE66" s="132">
        <f t="shared" si="27"/>
        <v>45436</v>
      </c>
      <c r="BF66" s="132">
        <f>$BE66+IF(OR(WEEKDAY($BE66)=1,ISERROR(VLOOKUP($BE66,Factores!$A:$A,1,0))=FALSE),1,IF(WEEKDAY($BE66)=7,2,0))</f>
        <v>45436</v>
      </c>
      <c r="BG66" s="132">
        <f t="shared" si="0"/>
        <v>45436</v>
      </c>
      <c r="CO66" s="211">
        <f t="shared" si="6"/>
        <v>36</v>
      </c>
      <c r="CP66" s="211"/>
      <c r="CQ66" s="209">
        <f t="shared" si="28"/>
        <v>45434</v>
      </c>
      <c r="CR66" s="209">
        <f t="shared" si="7"/>
        <v>45434</v>
      </c>
      <c r="CS66" s="209">
        <f>$CR66+IF(AND(WEEKDAY($CR66)=6, ISERROR(VLOOKUP($CR66,Factores!$A:$A,1,0))=FALSE),3,0)</f>
        <v>45434</v>
      </c>
      <c r="CT66" s="209">
        <f t="shared" si="1"/>
        <v>45434</v>
      </c>
      <c r="CU66" s="211"/>
      <c r="CV66" s="151">
        <f t="shared" si="29"/>
        <v>45436</v>
      </c>
    </row>
    <row r="67" spans="1:100" s="206" customFormat="1" ht="4.5" customHeight="1">
      <c r="A67" s="205"/>
      <c r="B67" s="205"/>
      <c r="C67" s="205"/>
      <c r="D67" s="32"/>
      <c r="E67" s="32"/>
      <c r="F67" s="220"/>
      <c r="G67" s="223"/>
      <c r="H67" s="230"/>
      <c r="I67" s="230"/>
      <c r="J67" s="230"/>
      <c r="K67" s="221"/>
      <c r="L67" s="230"/>
      <c r="M67" s="230"/>
      <c r="N67" s="230"/>
      <c r="O67" s="219"/>
      <c r="P67" s="219"/>
      <c r="Q67" s="222"/>
      <c r="R67" s="231"/>
      <c r="S67" s="232"/>
      <c r="T67" s="205"/>
      <c r="U67" s="205"/>
      <c r="V67" s="205"/>
      <c r="W67" s="204"/>
      <c r="X67" s="204"/>
      <c r="Y67" s="204"/>
      <c r="AG67" s="213"/>
      <c r="AH67" s="211">
        <f t="shared" si="13"/>
        <v>37</v>
      </c>
      <c r="AI67" s="127"/>
      <c r="AJ67" s="127"/>
      <c r="AK67" s="211"/>
      <c r="AL67" s="120"/>
      <c r="AM67" s="120"/>
      <c r="AN67" s="128"/>
      <c r="AO67" s="128"/>
      <c r="AP67" s="99"/>
      <c r="AQ67" s="99"/>
      <c r="AR67" s="144"/>
      <c r="AS67" s="144"/>
      <c r="AT67" s="129"/>
      <c r="AU67" s="149"/>
      <c r="AV67" s="208"/>
      <c r="AW67" s="99">
        <f>AW66+15</f>
        <v>44904</v>
      </c>
      <c r="AX67" s="89"/>
      <c r="AY67" s="133">
        <f t="shared" si="3"/>
        <v>6</v>
      </c>
      <c r="AZ67" s="134">
        <f t="shared" si="24"/>
        <v>2024</v>
      </c>
      <c r="BA67" s="133">
        <f t="shared" si="4"/>
        <v>7</v>
      </c>
      <c r="BB67" s="134">
        <f t="shared" si="25"/>
        <v>2027</v>
      </c>
      <c r="BC67" s="133">
        <f t="shared" si="5"/>
        <v>8</v>
      </c>
      <c r="BD67" s="134">
        <f t="shared" si="26"/>
        <v>2030</v>
      </c>
      <c r="BE67" s="132">
        <f t="shared" si="27"/>
        <v>45467</v>
      </c>
      <c r="BF67" s="132">
        <f>$BE67+IF(OR(WEEKDAY($BE67)=1,ISERROR(VLOOKUP($BE67,Factores!$A:$A,1,0))=FALSE),1,IF(WEEKDAY($BE67)=7,2,0))</f>
        <v>45467</v>
      </c>
      <c r="BG67" s="132">
        <f t="shared" si="0"/>
        <v>45467</v>
      </c>
      <c r="CO67" s="211">
        <f t="shared" si="6"/>
        <v>37</v>
      </c>
      <c r="CP67" s="211"/>
      <c r="CQ67" s="209">
        <f t="shared" si="28"/>
        <v>45464</v>
      </c>
      <c r="CR67" s="209">
        <f t="shared" si="7"/>
        <v>45464</v>
      </c>
      <c r="CS67" s="209">
        <f>$CR67+IF(AND(WEEKDAY($CR67)=6, ISERROR(VLOOKUP($CR67,Factores!$A:$A,1,0))=FALSE),3,0)</f>
        <v>45464</v>
      </c>
      <c r="CT67" s="209">
        <f t="shared" si="1"/>
        <v>45464</v>
      </c>
      <c r="CU67" s="211"/>
      <c r="CV67" s="151">
        <f t="shared" si="29"/>
        <v>0</v>
      </c>
    </row>
    <row r="68" spans="1:100" s="206" customFormat="1" ht="12.75" customHeight="1">
      <c r="A68" s="205"/>
      <c r="B68" s="205"/>
      <c r="C68" s="205"/>
      <c r="D68" s="32"/>
      <c r="E68" s="32"/>
      <c r="F68" s="224"/>
      <c r="G68" s="225"/>
      <c r="H68" s="240"/>
      <c r="I68" s="240"/>
      <c r="J68" s="240"/>
      <c r="K68" s="226">
        <f>SUM(K$31:K66)</f>
        <v>18000.903333333339</v>
      </c>
      <c r="L68" s="240">
        <f>SUM(L$31:N66)</f>
        <v>4195.6600000000008</v>
      </c>
      <c r="M68" s="240"/>
      <c r="N68" s="240"/>
      <c r="O68" s="227"/>
      <c r="P68" s="227">
        <f>SUM(P$31:P66)</f>
        <v>22196.563333333335</v>
      </c>
      <c r="Q68" s="228"/>
      <c r="R68" s="237">
        <f>SUM(R$31:S66)</f>
        <v>22196.563333333335</v>
      </c>
      <c r="S68" s="238"/>
      <c r="T68" s="205"/>
      <c r="U68" s="205"/>
      <c r="V68" s="205"/>
      <c r="W68" s="204"/>
      <c r="X68" s="204"/>
      <c r="Y68" s="204"/>
      <c r="AG68" s="213"/>
      <c r="AH68" s="211">
        <f t="shared" si="13"/>
        <v>38</v>
      </c>
      <c r="AI68" s="127"/>
      <c r="AJ68" s="127"/>
      <c r="AK68" s="211"/>
      <c r="AL68" s="120"/>
      <c r="AM68" s="120"/>
      <c r="AN68" s="128"/>
      <c r="AO68" s="128"/>
      <c r="AP68" s="99"/>
      <c r="AQ68" s="99"/>
      <c r="AR68" s="144"/>
      <c r="AS68" s="144"/>
      <c r="AT68" s="129"/>
      <c r="AU68" s="149"/>
      <c r="AV68" s="208"/>
      <c r="AW68" s="99">
        <v>44921</v>
      </c>
      <c r="AX68" s="89"/>
      <c r="AY68" s="133"/>
      <c r="AZ68" s="134"/>
      <c r="BA68" s="133"/>
      <c r="BB68" s="134"/>
      <c r="BC68" s="133"/>
      <c r="BD68" s="134"/>
      <c r="BE68" s="132"/>
      <c r="BF68" s="132"/>
      <c r="BG68" s="132"/>
      <c r="CO68" s="211"/>
      <c r="CP68" s="211"/>
      <c r="CQ68" s="209"/>
      <c r="CR68" s="209"/>
      <c r="CS68" s="209"/>
      <c r="CT68" s="209"/>
      <c r="CU68" s="211"/>
      <c r="CV68" s="151"/>
    </row>
    <row r="69" spans="1:100" s="206" customFormat="1" ht="12.75" customHeight="1">
      <c r="A69" s="205"/>
      <c r="B69" s="205"/>
      <c r="C69" s="205"/>
      <c r="D69" s="32"/>
      <c r="E69" s="32"/>
      <c r="F69" s="220"/>
      <c r="G69" s="223"/>
      <c r="H69" s="230"/>
      <c r="I69" s="230"/>
      <c r="J69" s="230"/>
      <c r="K69" s="221"/>
      <c r="L69" s="230"/>
      <c r="M69" s="230"/>
      <c r="N69" s="230"/>
      <c r="O69" s="219"/>
      <c r="P69" s="219"/>
      <c r="Q69" s="222"/>
      <c r="R69" s="231"/>
      <c r="S69" s="232"/>
      <c r="T69" s="205"/>
      <c r="U69" s="205"/>
      <c r="V69" s="205"/>
      <c r="W69" s="204"/>
      <c r="X69" s="204"/>
      <c r="Y69" s="204"/>
      <c r="AG69" s="213"/>
      <c r="AH69" s="211"/>
      <c r="AI69" s="127"/>
      <c r="AJ69" s="127"/>
      <c r="AK69" s="211"/>
      <c r="AL69" s="120"/>
      <c r="AM69" s="120"/>
      <c r="AN69" s="128"/>
      <c r="AO69" s="128"/>
      <c r="AP69" s="99"/>
      <c r="AQ69" s="99"/>
      <c r="AR69" s="144"/>
      <c r="AS69" s="144"/>
      <c r="AT69" s="129"/>
      <c r="AU69" s="149"/>
      <c r="AV69" s="208"/>
      <c r="AW69" s="99">
        <f>AW68+15</f>
        <v>44936</v>
      </c>
      <c r="AX69" s="89"/>
      <c r="AY69" s="133"/>
      <c r="AZ69" s="134"/>
      <c r="BA69" s="133"/>
      <c r="BB69" s="134"/>
      <c r="BC69" s="133"/>
      <c r="BD69" s="134"/>
      <c r="BE69" s="132"/>
      <c r="BF69" s="132"/>
      <c r="BG69" s="132"/>
      <c r="CO69" s="211"/>
      <c r="CP69" s="211"/>
      <c r="CQ69" s="209"/>
      <c r="CR69" s="209"/>
      <c r="CS69" s="209"/>
      <c r="CT69" s="209"/>
      <c r="CU69" s="211"/>
      <c r="CV69" s="151"/>
    </row>
    <row r="70" spans="1:100" s="206" customFormat="1" ht="12.75" customHeight="1">
      <c r="A70" s="205"/>
      <c r="B70" s="205"/>
      <c r="C70" s="205"/>
      <c r="D70" s="205"/>
      <c r="E70" s="205"/>
      <c r="F70" s="220"/>
      <c r="G70" s="223"/>
      <c r="H70" s="230"/>
      <c r="I70" s="230"/>
      <c r="J70" s="230"/>
      <c r="K70" s="221"/>
      <c r="L70" s="230"/>
      <c r="M70" s="230"/>
      <c r="N70" s="230"/>
      <c r="O70" s="219"/>
      <c r="P70" s="219"/>
      <c r="Q70" s="222"/>
      <c r="R70" s="231"/>
      <c r="S70" s="232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  <c r="AE70" s="205"/>
      <c r="AF70" s="205"/>
      <c r="AG70" s="213"/>
      <c r="AH70" s="211"/>
      <c r="AI70" s="127"/>
      <c r="AJ70" s="127"/>
      <c r="AK70" s="211"/>
      <c r="AL70" s="120"/>
      <c r="AM70" s="120"/>
      <c r="AN70" s="128"/>
      <c r="AO70" s="128"/>
      <c r="AP70" s="99"/>
      <c r="AQ70" s="99"/>
      <c r="AR70" s="144"/>
      <c r="AS70" s="144"/>
      <c r="AT70" s="129"/>
      <c r="AU70" s="149"/>
      <c r="AV70" s="208"/>
      <c r="AW70" s="99"/>
      <c r="AX70" s="89"/>
      <c r="AY70" s="133"/>
      <c r="AZ70" s="134"/>
      <c r="BA70" s="133"/>
      <c r="BB70" s="134"/>
      <c r="BC70" s="133"/>
      <c r="BD70" s="134"/>
      <c r="BE70" s="132"/>
      <c r="BF70" s="132"/>
      <c r="BG70" s="132"/>
      <c r="CO70" s="211"/>
      <c r="CP70" s="211"/>
      <c r="CQ70" s="209"/>
      <c r="CR70" s="209"/>
      <c r="CS70" s="209"/>
      <c r="CT70" s="209"/>
      <c r="CU70" s="211"/>
      <c r="CV70" s="151"/>
    </row>
    <row r="71" spans="1:100" s="206" customFormat="1" ht="12.75" customHeight="1">
      <c r="A71" s="205"/>
      <c r="B71" s="205"/>
      <c r="C71" s="205"/>
      <c r="D71" s="32"/>
      <c r="E71" s="32"/>
      <c r="F71" s="220"/>
      <c r="G71" s="223"/>
      <c r="H71" s="230"/>
      <c r="I71" s="230"/>
      <c r="J71" s="230"/>
      <c r="K71" s="221"/>
      <c r="L71" s="230"/>
      <c r="M71" s="230"/>
      <c r="N71" s="230"/>
      <c r="O71" s="219"/>
      <c r="P71" s="219"/>
      <c r="Q71" s="222"/>
      <c r="R71" s="231"/>
      <c r="S71" s="232"/>
      <c r="T71" s="205"/>
      <c r="U71" s="205"/>
      <c r="V71" s="205"/>
      <c r="W71" s="204"/>
      <c r="X71" s="204"/>
      <c r="Y71" s="204"/>
      <c r="AG71" s="213"/>
      <c r="AH71" s="211"/>
      <c r="AI71" s="127"/>
      <c r="AJ71" s="127"/>
      <c r="AK71" s="211"/>
      <c r="AL71" s="120"/>
      <c r="AM71" s="120"/>
      <c r="AN71" s="128"/>
      <c r="AO71" s="128"/>
      <c r="AP71" s="99"/>
      <c r="AQ71" s="99"/>
      <c r="AR71" s="144"/>
      <c r="AS71" s="144"/>
      <c r="AT71" s="129"/>
      <c r="AU71" s="149"/>
      <c r="AV71" s="208"/>
      <c r="AW71" s="99">
        <f>AW70+15</f>
        <v>15</v>
      </c>
      <c r="AX71" s="89"/>
      <c r="AY71" s="133"/>
      <c r="AZ71" s="134"/>
      <c r="BA71" s="133"/>
      <c r="BB71" s="134"/>
      <c r="BC71" s="133"/>
      <c r="BD71" s="134"/>
      <c r="BE71" s="132"/>
      <c r="BF71" s="132"/>
      <c r="BG71" s="132"/>
      <c r="CO71" s="211"/>
      <c r="CP71" s="211"/>
      <c r="CQ71" s="209"/>
      <c r="CR71" s="209"/>
      <c r="CS71" s="209"/>
      <c r="CT71" s="209"/>
      <c r="CU71" s="211"/>
      <c r="CV71" s="151"/>
    </row>
    <row r="72" spans="1:100" s="206" customFormat="1" ht="12.75" customHeight="1">
      <c r="A72" s="205"/>
      <c r="B72" s="205"/>
      <c r="C72" s="205"/>
      <c r="D72" s="32"/>
      <c r="E72" s="32"/>
      <c r="F72" s="220"/>
      <c r="G72" s="223"/>
      <c r="H72" s="230"/>
      <c r="I72" s="230"/>
      <c r="J72" s="230"/>
      <c r="K72" s="221"/>
      <c r="L72" s="230"/>
      <c r="M72" s="230"/>
      <c r="N72" s="230"/>
      <c r="O72" s="219"/>
      <c r="P72" s="219"/>
      <c r="Q72" s="222"/>
      <c r="R72" s="231"/>
      <c r="S72" s="232"/>
      <c r="T72" s="205"/>
      <c r="U72" s="205"/>
      <c r="V72" s="205"/>
      <c r="W72" s="204"/>
      <c r="X72" s="204"/>
      <c r="Y72" s="204"/>
      <c r="AG72" s="213"/>
      <c r="AH72" s="211"/>
      <c r="AI72" s="127"/>
      <c r="AJ72" s="127"/>
      <c r="AK72" s="211"/>
      <c r="AL72" s="120"/>
      <c r="AM72" s="120"/>
      <c r="AN72" s="128"/>
      <c r="AO72" s="128"/>
      <c r="AP72" s="99"/>
      <c r="AQ72" s="99"/>
      <c r="AR72" s="144"/>
      <c r="AS72" s="144"/>
      <c r="AT72" s="129"/>
      <c r="AU72" s="149"/>
      <c r="AV72" s="208"/>
      <c r="AW72" s="99"/>
      <c r="AX72" s="89"/>
      <c r="AY72" s="133"/>
      <c r="AZ72" s="134"/>
      <c r="BA72" s="133"/>
      <c r="BB72" s="134"/>
      <c r="BC72" s="133"/>
      <c r="BD72" s="134"/>
      <c r="BE72" s="132"/>
      <c r="BF72" s="132"/>
      <c r="BG72" s="132"/>
      <c r="CO72" s="211"/>
      <c r="CP72" s="211"/>
      <c r="CQ72" s="209"/>
      <c r="CR72" s="209"/>
      <c r="CS72" s="209"/>
      <c r="CT72" s="209"/>
      <c r="CU72" s="211"/>
      <c r="CV72" s="151"/>
    </row>
    <row r="73" spans="1:100" s="206" customFormat="1" ht="12.75" customHeight="1">
      <c r="A73" s="205"/>
      <c r="B73" s="205"/>
      <c r="C73" s="205"/>
      <c r="D73" s="32"/>
      <c r="E73" s="32"/>
      <c r="F73" s="220"/>
      <c r="G73" s="223"/>
      <c r="H73" s="230"/>
      <c r="I73" s="230"/>
      <c r="J73" s="230"/>
      <c r="K73" s="221"/>
      <c r="L73" s="230"/>
      <c r="M73" s="230"/>
      <c r="N73" s="230"/>
      <c r="O73" s="219"/>
      <c r="P73" s="219"/>
      <c r="Q73" s="222"/>
      <c r="R73" s="231"/>
      <c r="S73" s="232"/>
      <c r="T73" s="205"/>
      <c r="U73" s="205"/>
      <c r="V73" s="205"/>
      <c r="W73" s="204"/>
      <c r="X73" s="204"/>
      <c r="Y73" s="204"/>
      <c r="AG73" s="213"/>
      <c r="AH73" s="211"/>
      <c r="AI73" s="127"/>
      <c r="AJ73" s="127"/>
      <c r="AK73" s="211"/>
      <c r="AL73" s="120"/>
      <c r="AM73" s="120"/>
      <c r="AN73" s="128"/>
      <c r="AO73" s="128"/>
      <c r="AP73" s="99"/>
      <c r="AQ73" s="99"/>
      <c r="AR73" s="144"/>
      <c r="AS73" s="144"/>
      <c r="AT73" s="129"/>
      <c r="AU73" s="149"/>
      <c r="AV73" s="208"/>
      <c r="AW73" s="99"/>
      <c r="AX73" s="89"/>
      <c r="AY73" s="133"/>
      <c r="AZ73" s="134"/>
      <c r="BA73" s="133"/>
      <c r="BB73" s="134"/>
      <c r="BC73" s="133"/>
      <c r="BD73" s="134"/>
      <c r="BE73" s="132"/>
      <c r="BF73" s="132"/>
      <c r="BG73" s="132"/>
      <c r="CO73" s="211"/>
      <c r="CP73" s="211"/>
      <c r="CQ73" s="209"/>
      <c r="CR73" s="209"/>
      <c r="CS73" s="209"/>
      <c r="CT73" s="209"/>
      <c r="CU73" s="211"/>
      <c r="CV73" s="151"/>
    </row>
    <row r="74" spans="1:100" s="206" customFormat="1" ht="12.75" customHeight="1">
      <c r="A74" s="205"/>
      <c r="B74" s="205"/>
      <c r="C74" s="205"/>
      <c r="D74" s="32"/>
      <c r="E74" s="32"/>
      <c r="F74" s="220"/>
      <c r="G74" s="223"/>
      <c r="H74" s="230"/>
      <c r="I74" s="230"/>
      <c r="J74" s="230"/>
      <c r="K74" s="221"/>
      <c r="L74" s="230"/>
      <c r="M74" s="230"/>
      <c r="N74" s="230"/>
      <c r="O74" s="219"/>
      <c r="P74" s="219"/>
      <c r="Q74" s="222"/>
      <c r="R74" s="231"/>
      <c r="S74" s="232"/>
      <c r="T74" s="205"/>
      <c r="U74" s="205"/>
      <c r="V74" s="205"/>
      <c r="W74" s="204"/>
      <c r="X74" s="204"/>
      <c r="Y74" s="204"/>
      <c r="AG74" s="213"/>
      <c r="AH74" s="211"/>
      <c r="AI74" s="127"/>
      <c r="AJ74" s="127"/>
      <c r="AK74" s="211"/>
      <c r="AL74" s="120"/>
      <c r="AM74" s="120"/>
      <c r="AN74" s="128"/>
      <c r="AO74" s="128"/>
      <c r="AP74" s="99"/>
      <c r="AQ74" s="99"/>
      <c r="AR74" s="144"/>
      <c r="AS74" s="144"/>
      <c r="AT74" s="129"/>
      <c r="AU74" s="149"/>
      <c r="AV74" s="208"/>
      <c r="AW74" s="99"/>
      <c r="AX74" s="89"/>
      <c r="AY74" s="133"/>
      <c r="AZ74" s="134"/>
      <c r="BA74" s="133"/>
      <c r="BB74" s="134"/>
      <c r="BC74" s="133"/>
      <c r="BD74" s="134"/>
      <c r="BE74" s="132"/>
      <c r="BF74" s="132"/>
      <c r="BG74" s="132"/>
      <c r="CO74" s="211"/>
      <c r="CP74" s="211"/>
      <c r="CQ74" s="209"/>
      <c r="CR74" s="209"/>
      <c r="CS74" s="209"/>
      <c r="CT74" s="209"/>
      <c r="CU74" s="211"/>
      <c r="CV74" s="151"/>
    </row>
    <row r="75" spans="1:100" s="206" customFormat="1" ht="12.75" customHeight="1">
      <c r="A75" s="205"/>
      <c r="B75" s="205"/>
      <c r="C75" s="205"/>
      <c r="D75" s="32"/>
      <c r="E75" s="32"/>
      <c r="F75" s="220"/>
      <c r="G75" s="223"/>
      <c r="H75" s="230"/>
      <c r="I75" s="230"/>
      <c r="J75" s="230"/>
      <c r="K75" s="221"/>
      <c r="L75" s="230"/>
      <c r="M75" s="230"/>
      <c r="N75" s="230"/>
      <c r="O75" s="219"/>
      <c r="P75" s="219"/>
      <c r="Q75" s="222"/>
      <c r="R75" s="231"/>
      <c r="S75" s="232"/>
      <c r="T75" s="205"/>
      <c r="U75" s="205"/>
      <c r="V75" s="205"/>
      <c r="W75" s="204"/>
      <c r="X75" s="204"/>
      <c r="Y75" s="204"/>
      <c r="AG75" s="213"/>
      <c r="AH75" s="211"/>
      <c r="AI75" s="127"/>
      <c r="AJ75" s="127"/>
      <c r="AK75" s="211"/>
      <c r="AL75" s="120"/>
      <c r="AM75" s="120"/>
      <c r="AN75" s="128"/>
      <c r="AO75" s="128"/>
      <c r="AP75" s="99"/>
      <c r="AQ75" s="99"/>
      <c r="AR75" s="144"/>
      <c r="AS75" s="144"/>
      <c r="AT75" s="129"/>
      <c r="AU75" s="149"/>
      <c r="AV75" s="208"/>
      <c r="AW75" s="99"/>
      <c r="AX75" s="89"/>
      <c r="AY75" s="133"/>
      <c r="AZ75" s="134"/>
      <c r="BA75" s="133"/>
      <c r="BB75" s="134"/>
      <c r="BC75" s="133"/>
      <c r="BD75" s="134"/>
      <c r="BE75" s="132"/>
      <c r="BF75" s="132"/>
      <c r="BG75" s="132"/>
      <c r="CO75" s="211"/>
      <c r="CP75" s="211"/>
      <c r="CQ75" s="209"/>
      <c r="CR75" s="209"/>
      <c r="CS75" s="209"/>
      <c r="CT75" s="209"/>
      <c r="CU75" s="211"/>
      <c r="CV75" s="151"/>
    </row>
    <row r="76" spans="1:100" s="206" customFormat="1" ht="12.75" customHeight="1">
      <c r="A76" s="205"/>
      <c r="B76" s="205"/>
      <c r="C76" s="205"/>
      <c r="D76" s="32"/>
      <c r="E76" s="32"/>
      <c r="F76" s="220"/>
      <c r="G76" s="223"/>
      <c r="H76" s="230"/>
      <c r="I76" s="230"/>
      <c r="J76" s="230"/>
      <c r="K76" s="221"/>
      <c r="L76" s="230"/>
      <c r="M76" s="230"/>
      <c r="N76" s="230"/>
      <c r="O76" s="219"/>
      <c r="P76" s="219"/>
      <c r="Q76" s="222"/>
      <c r="R76" s="231"/>
      <c r="S76" s="232"/>
      <c r="T76" s="205"/>
      <c r="U76" s="205"/>
      <c r="V76" s="205"/>
      <c r="W76" s="204"/>
      <c r="X76" s="204"/>
      <c r="Y76" s="204"/>
      <c r="AG76" s="213"/>
      <c r="AH76" s="211"/>
      <c r="AI76" s="127"/>
      <c r="AJ76" s="127"/>
      <c r="AK76" s="211"/>
      <c r="AL76" s="120"/>
      <c r="AM76" s="120"/>
      <c r="AN76" s="128"/>
      <c r="AO76" s="128"/>
      <c r="AP76" s="99"/>
      <c r="AQ76" s="99"/>
      <c r="AR76" s="144"/>
      <c r="AS76" s="144"/>
      <c r="AT76" s="129"/>
      <c r="AU76" s="149"/>
      <c r="AV76" s="208"/>
      <c r="AW76" s="99"/>
      <c r="AX76" s="89"/>
      <c r="AY76" s="133"/>
      <c r="AZ76" s="134"/>
      <c r="BA76" s="133"/>
      <c r="BB76" s="134"/>
      <c r="BC76" s="133"/>
      <c r="BD76" s="134"/>
      <c r="BE76" s="132"/>
      <c r="BF76" s="132"/>
      <c r="BG76" s="132"/>
      <c r="CO76" s="211"/>
      <c r="CP76" s="211"/>
      <c r="CQ76" s="209"/>
      <c r="CR76" s="209"/>
      <c r="CS76" s="209"/>
      <c r="CT76" s="209"/>
      <c r="CU76" s="211"/>
      <c r="CV76" s="151"/>
    </row>
    <row r="77" spans="1:100" s="206" customFormat="1" ht="12.75" customHeight="1">
      <c r="A77" s="205"/>
      <c r="B77" s="205"/>
      <c r="C77" s="205"/>
      <c r="D77" s="32"/>
      <c r="E77" s="32"/>
      <c r="F77" s="220"/>
      <c r="G77" s="223"/>
      <c r="H77" s="230"/>
      <c r="I77" s="230"/>
      <c r="J77" s="230"/>
      <c r="K77" s="221"/>
      <c r="L77" s="230"/>
      <c r="M77" s="230"/>
      <c r="N77" s="230"/>
      <c r="O77" s="219"/>
      <c r="P77" s="219"/>
      <c r="Q77" s="222"/>
      <c r="R77" s="231"/>
      <c r="S77" s="232"/>
      <c r="T77" s="205"/>
      <c r="U77" s="205"/>
      <c r="V77" s="205"/>
      <c r="W77" s="204"/>
      <c r="X77" s="204"/>
      <c r="Y77" s="204"/>
      <c r="AG77" s="213"/>
      <c r="AH77" s="211"/>
      <c r="AI77" s="127"/>
      <c r="AJ77" s="127"/>
      <c r="AK77" s="211"/>
      <c r="AL77" s="120"/>
      <c r="AM77" s="120"/>
      <c r="AN77" s="128"/>
      <c r="AO77" s="128"/>
      <c r="AP77" s="99"/>
      <c r="AQ77" s="99"/>
      <c r="AR77" s="144"/>
      <c r="AS77" s="144"/>
      <c r="AT77" s="129"/>
      <c r="AU77" s="149"/>
      <c r="AV77" s="208"/>
      <c r="AW77" s="99"/>
      <c r="AX77" s="89"/>
      <c r="AY77" s="133"/>
      <c r="AZ77" s="134"/>
      <c r="BA77" s="133"/>
      <c r="BB77" s="134"/>
      <c r="BC77" s="133"/>
      <c r="BD77" s="134"/>
      <c r="BE77" s="132"/>
      <c r="BF77" s="132"/>
      <c r="BG77" s="132"/>
      <c r="CO77" s="211"/>
      <c r="CP77" s="211"/>
      <c r="CQ77" s="209"/>
      <c r="CR77" s="209"/>
      <c r="CS77" s="209"/>
      <c r="CT77" s="209"/>
      <c r="CU77" s="211"/>
      <c r="CV77" s="151"/>
    </row>
    <row r="78" spans="1:100" s="206" customFormat="1" ht="12.75" customHeight="1">
      <c r="A78" s="205"/>
      <c r="B78" s="205"/>
      <c r="C78" s="205"/>
      <c r="D78" s="32"/>
      <c r="E78" s="32"/>
      <c r="F78" s="220"/>
      <c r="G78" s="223"/>
      <c r="H78" s="230"/>
      <c r="I78" s="230"/>
      <c r="J78" s="230"/>
      <c r="K78" s="221"/>
      <c r="L78" s="230"/>
      <c r="M78" s="230"/>
      <c r="N78" s="230"/>
      <c r="O78" s="219"/>
      <c r="P78" s="219"/>
      <c r="Q78" s="222"/>
      <c r="R78" s="231"/>
      <c r="S78" s="232"/>
      <c r="T78" s="205"/>
      <c r="U78" s="205"/>
      <c r="V78" s="205"/>
      <c r="W78" s="204"/>
      <c r="X78" s="204"/>
      <c r="Y78" s="204"/>
      <c r="AG78" s="213"/>
      <c r="AH78" s="211"/>
      <c r="AI78" s="127"/>
      <c r="AJ78" s="127"/>
      <c r="AK78" s="211"/>
      <c r="AL78" s="120"/>
      <c r="AM78" s="120"/>
      <c r="AN78" s="128"/>
      <c r="AO78" s="128"/>
      <c r="AP78" s="99"/>
      <c r="AQ78" s="99"/>
      <c r="AR78" s="144"/>
      <c r="AS78" s="144"/>
      <c r="AT78" s="129"/>
      <c r="AU78" s="149"/>
      <c r="AV78" s="208"/>
      <c r="AW78" s="99"/>
      <c r="AX78" s="89"/>
      <c r="AY78" s="133"/>
      <c r="AZ78" s="134"/>
      <c r="BA78" s="133"/>
      <c r="BB78" s="134"/>
      <c r="BC78" s="133"/>
      <c r="BD78" s="134"/>
      <c r="BE78" s="132"/>
      <c r="BF78" s="132"/>
      <c r="BG78" s="132"/>
      <c r="CO78" s="211"/>
      <c r="CP78" s="211"/>
      <c r="CQ78" s="209"/>
      <c r="CR78" s="209"/>
      <c r="CS78" s="209"/>
      <c r="CT78" s="209"/>
      <c r="CU78" s="211"/>
      <c r="CV78" s="151"/>
    </row>
    <row r="79" spans="1:100" s="206" customFormat="1" ht="12.75" customHeight="1">
      <c r="A79" s="205"/>
      <c r="B79" s="205"/>
      <c r="C79" s="205"/>
      <c r="D79" s="32"/>
      <c r="E79" s="32"/>
      <c r="F79" s="220"/>
      <c r="G79" s="223"/>
      <c r="H79" s="230"/>
      <c r="I79" s="230"/>
      <c r="J79" s="230"/>
      <c r="K79" s="221"/>
      <c r="L79" s="230"/>
      <c r="M79" s="230"/>
      <c r="N79" s="230"/>
      <c r="O79" s="219"/>
      <c r="P79" s="219"/>
      <c r="Q79" s="222"/>
      <c r="R79" s="231"/>
      <c r="S79" s="232"/>
      <c r="T79" s="205"/>
      <c r="U79" s="205"/>
      <c r="V79" s="205"/>
      <c r="W79" s="204"/>
      <c r="X79" s="204"/>
      <c r="Y79" s="204"/>
      <c r="AG79" s="213"/>
      <c r="AH79" s="211"/>
      <c r="AI79" s="127"/>
      <c r="AJ79" s="127"/>
      <c r="AK79" s="211"/>
      <c r="AL79" s="120"/>
      <c r="AM79" s="120"/>
      <c r="AN79" s="128"/>
      <c r="AO79" s="128"/>
      <c r="AP79" s="99"/>
      <c r="AQ79" s="99"/>
      <c r="AR79" s="144"/>
      <c r="AS79" s="144"/>
      <c r="AT79" s="129"/>
      <c r="AU79" s="149"/>
      <c r="AV79" s="208"/>
      <c r="AW79" s="99"/>
      <c r="AX79" s="89"/>
      <c r="AY79" s="133"/>
      <c r="AZ79" s="134"/>
      <c r="BA79" s="133"/>
      <c r="BB79" s="134"/>
      <c r="BC79" s="133"/>
      <c r="BD79" s="134"/>
      <c r="BE79" s="132"/>
      <c r="BF79" s="132"/>
      <c r="BG79" s="132"/>
      <c r="CO79" s="211"/>
      <c r="CP79" s="211"/>
      <c r="CQ79" s="209"/>
      <c r="CR79" s="209"/>
      <c r="CS79" s="209"/>
      <c r="CT79" s="209"/>
      <c r="CU79" s="211"/>
      <c r="CV79" s="151"/>
    </row>
    <row r="80" spans="1:100" s="206" customFormat="1" ht="12.75" customHeight="1">
      <c r="A80" s="205"/>
      <c r="B80" s="205"/>
      <c r="C80" s="205"/>
      <c r="D80" s="32"/>
      <c r="E80" s="32"/>
      <c r="F80" s="220"/>
      <c r="G80" s="223"/>
      <c r="H80" s="230"/>
      <c r="I80" s="230"/>
      <c r="J80" s="230"/>
      <c r="K80" s="221"/>
      <c r="L80" s="230"/>
      <c r="M80" s="230"/>
      <c r="N80" s="230"/>
      <c r="O80" s="219"/>
      <c r="P80" s="219"/>
      <c r="Q80" s="222"/>
      <c r="R80" s="231"/>
      <c r="S80" s="232"/>
      <c r="T80" s="205"/>
      <c r="U80" s="205"/>
      <c r="V80" s="205"/>
      <c r="W80" s="204"/>
      <c r="X80" s="204"/>
      <c r="Y80" s="204"/>
      <c r="AG80" s="213"/>
      <c r="AH80" s="211"/>
      <c r="AI80" s="127"/>
      <c r="AJ80" s="127"/>
      <c r="AK80" s="211"/>
      <c r="AL80" s="120"/>
      <c r="AM80" s="120"/>
      <c r="AN80" s="128"/>
      <c r="AO80" s="128"/>
      <c r="AP80" s="99"/>
      <c r="AQ80" s="99"/>
      <c r="AR80" s="144"/>
      <c r="AS80" s="144"/>
      <c r="AT80" s="129"/>
      <c r="AU80" s="149"/>
      <c r="AV80" s="208"/>
      <c r="AW80" s="99"/>
      <c r="AX80" s="89"/>
      <c r="AY80" s="133"/>
      <c r="AZ80" s="134"/>
      <c r="BA80" s="133"/>
      <c r="BB80" s="134"/>
      <c r="BC80" s="133"/>
      <c r="BD80" s="134"/>
      <c r="BE80" s="132"/>
      <c r="BF80" s="132"/>
      <c r="BG80" s="132"/>
      <c r="CO80" s="211"/>
      <c r="CP80" s="211"/>
      <c r="CQ80" s="209"/>
      <c r="CR80" s="209"/>
      <c r="CS80" s="209"/>
      <c r="CT80" s="209"/>
      <c r="CU80" s="211"/>
      <c r="CV80" s="151"/>
    </row>
    <row r="81" spans="1:100" s="206" customFormat="1" ht="12.75" customHeight="1">
      <c r="A81" s="205"/>
      <c r="B81" s="205"/>
      <c r="C81" s="205"/>
      <c r="D81" s="32"/>
      <c r="E81" s="32"/>
      <c r="F81" s="220"/>
      <c r="G81" s="223"/>
      <c r="H81" s="230"/>
      <c r="I81" s="230"/>
      <c r="J81" s="230"/>
      <c r="K81" s="221"/>
      <c r="L81" s="230"/>
      <c r="M81" s="230"/>
      <c r="N81" s="230"/>
      <c r="O81" s="219"/>
      <c r="P81" s="219"/>
      <c r="Q81" s="222"/>
      <c r="R81" s="231"/>
      <c r="S81" s="232"/>
      <c r="T81" s="205"/>
      <c r="U81" s="205"/>
      <c r="V81" s="205"/>
      <c r="W81" s="204"/>
      <c r="X81" s="204"/>
      <c r="Y81" s="204"/>
      <c r="AG81" s="213"/>
      <c r="AH81" s="211"/>
      <c r="AI81" s="127"/>
      <c r="AJ81" s="127"/>
      <c r="AK81" s="211"/>
      <c r="AL81" s="120"/>
      <c r="AM81" s="120"/>
      <c r="AN81" s="128"/>
      <c r="AO81" s="128"/>
      <c r="AP81" s="99"/>
      <c r="AQ81" s="99"/>
      <c r="AR81" s="144"/>
      <c r="AS81" s="144"/>
      <c r="AT81" s="129"/>
      <c r="AU81" s="149"/>
      <c r="AV81" s="208"/>
      <c r="AW81" s="99"/>
      <c r="AX81" s="89"/>
      <c r="AY81" s="133"/>
      <c r="AZ81" s="134"/>
      <c r="BA81" s="133"/>
      <c r="BB81" s="134"/>
      <c r="BC81" s="133"/>
      <c r="BD81" s="134"/>
      <c r="BE81" s="132"/>
      <c r="BF81" s="132"/>
      <c r="BG81" s="132"/>
      <c r="CO81" s="211"/>
      <c r="CP81" s="211"/>
      <c r="CQ81" s="209"/>
      <c r="CR81" s="209"/>
      <c r="CS81" s="209"/>
      <c r="CT81" s="209"/>
      <c r="CU81" s="211"/>
      <c r="CV81" s="151"/>
    </row>
    <row r="82" spans="1:100" s="206" customFormat="1" ht="12.75" customHeight="1">
      <c r="A82" s="205"/>
      <c r="B82" s="205"/>
      <c r="C82" s="205"/>
      <c r="D82" s="32"/>
      <c r="E82" s="32"/>
      <c r="F82" s="220"/>
      <c r="G82" s="223"/>
      <c r="H82" s="230"/>
      <c r="I82" s="230"/>
      <c r="J82" s="230"/>
      <c r="K82" s="221"/>
      <c r="L82" s="230"/>
      <c r="M82" s="230"/>
      <c r="N82" s="230"/>
      <c r="O82" s="219"/>
      <c r="P82" s="219"/>
      <c r="Q82" s="222"/>
      <c r="R82" s="231"/>
      <c r="S82" s="232"/>
      <c r="T82" s="205"/>
      <c r="U82" s="205"/>
      <c r="V82" s="205"/>
      <c r="W82" s="204"/>
      <c r="X82" s="204"/>
      <c r="Y82" s="204"/>
      <c r="AG82" s="213"/>
      <c r="AH82" s="211"/>
      <c r="AI82" s="127"/>
      <c r="AJ82" s="127"/>
      <c r="AK82" s="211"/>
      <c r="AL82" s="120"/>
      <c r="AM82" s="120"/>
      <c r="AN82" s="128"/>
      <c r="AO82" s="128"/>
      <c r="AP82" s="99"/>
      <c r="AQ82" s="99"/>
      <c r="AR82" s="144"/>
      <c r="AS82" s="144"/>
      <c r="AT82" s="129"/>
      <c r="AU82" s="149"/>
      <c r="AV82" s="208"/>
      <c r="AW82" s="99"/>
      <c r="AX82" s="89"/>
      <c r="AY82" s="133"/>
      <c r="AZ82" s="134"/>
      <c r="BA82" s="133"/>
      <c r="BB82" s="134"/>
      <c r="BC82" s="133"/>
      <c r="BD82" s="134"/>
      <c r="BE82" s="132"/>
      <c r="BF82" s="132"/>
      <c r="BG82" s="132"/>
      <c r="CO82" s="211"/>
      <c r="CP82" s="211"/>
      <c r="CQ82" s="209"/>
      <c r="CR82" s="209"/>
      <c r="CS82" s="209"/>
      <c r="CT82" s="209"/>
      <c r="CU82" s="211"/>
      <c r="CV82" s="151"/>
    </row>
    <row r="83" spans="1:100" s="206" customFormat="1" ht="12.75" customHeight="1">
      <c r="A83" s="205"/>
      <c r="B83" s="205"/>
      <c r="C83" s="205"/>
      <c r="D83" s="32"/>
      <c r="E83" s="32"/>
      <c r="F83" s="220"/>
      <c r="G83" s="223"/>
      <c r="H83" s="230"/>
      <c r="I83" s="230"/>
      <c r="J83" s="230"/>
      <c r="K83" s="221"/>
      <c r="L83" s="230"/>
      <c r="M83" s="230"/>
      <c r="N83" s="230"/>
      <c r="O83" s="219"/>
      <c r="P83" s="219"/>
      <c r="Q83" s="222"/>
      <c r="R83" s="231"/>
      <c r="S83" s="232"/>
      <c r="T83" s="205"/>
      <c r="U83" s="205"/>
      <c r="V83" s="205"/>
      <c r="W83" s="204"/>
      <c r="X83" s="204"/>
      <c r="Y83" s="204"/>
      <c r="AG83" s="213"/>
      <c r="AH83" s="211"/>
      <c r="AI83" s="127"/>
      <c r="AJ83" s="127"/>
      <c r="AK83" s="211"/>
      <c r="AL83" s="120"/>
      <c r="AM83" s="120"/>
      <c r="AN83" s="128"/>
      <c r="AO83" s="128"/>
      <c r="AP83" s="99"/>
      <c r="AQ83" s="99"/>
      <c r="AR83" s="144"/>
      <c r="AS83" s="144"/>
      <c r="AT83" s="129"/>
      <c r="AU83" s="149"/>
      <c r="AV83" s="208"/>
      <c r="AW83" s="99"/>
      <c r="AX83" s="89"/>
      <c r="AY83" s="133"/>
      <c r="AZ83" s="134"/>
      <c r="BA83" s="133"/>
      <c r="BB83" s="134"/>
      <c r="BC83" s="133"/>
      <c r="BD83" s="134"/>
      <c r="BE83" s="132"/>
      <c r="BF83" s="132"/>
      <c r="BG83" s="132"/>
      <c r="CO83" s="211"/>
      <c r="CP83" s="211"/>
      <c r="CQ83" s="209"/>
      <c r="CR83" s="209"/>
      <c r="CS83" s="209"/>
      <c r="CT83" s="209"/>
      <c r="CU83" s="211"/>
      <c r="CV83" s="151"/>
    </row>
    <row r="84" spans="1:100" s="206" customFormat="1" ht="12.75" customHeight="1">
      <c r="A84" s="205"/>
      <c r="B84" s="205"/>
      <c r="C84" s="205"/>
      <c r="D84" s="32"/>
      <c r="E84" s="32"/>
      <c r="F84" s="220"/>
      <c r="G84" s="223"/>
      <c r="H84" s="230"/>
      <c r="I84" s="230"/>
      <c r="J84" s="230"/>
      <c r="K84" s="221"/>
      <c r="L84" s="230"/>
      <c r="M84" s="230"/>
      <c r="N84" s="230"/>
      <c r="O84" s="219"/>
      <c r="P84" s="219"/>
      <c r="Q84" s="222"/>
      <c r="R84" s="231"/>
      <c r="S84" s="232"/>
      <c r="T84" s="205"/>
      <c r="U84" s="205"/>
      <c r="V84" s="205"/>
      <c r="W84" s="204"/>
      <c r="X84" s="204"/>
      <c r="Y84" s="204"/>
      <c r="AG84" s="213"/>
      <c r="AH84" s="211"/>
      <c r="AI84" s="127"/>
      <c r="AJ84" s="127"/>
      <c r="AK84" s="211"/>
      <c r="AL84" s="120"/>
      <c r="AM84" s="120"/>
      <c r="AN84" s="128"/>
      <c r="AO84" s="128"/>
      <c r="AP84" s="99"/>
      <c r="AQ84" s="99"/>
      <c r="AR84" s="144"/>
      <c r="AS84" s="144"/>
      <c r="AT84" s="129"/>
      <c r="AU84" s="149"/>
      <c r="AV84" s="208"/>
      <c r="AW84" s="99"/>
      <c r="AX84" s="89"/>
      <c r="AY84" s="133"/>
      <c r="AZ84" s="134"/>
      <c r="BA84" s="133"/>
      <c r="BB84" s="134"/>
      <c r="BC84" s="133"/>
      <c r="BD84" s="134"/>
      <c r="BE84" s="132"/>
      <c r="BF84" s="132"/>
      <c r="BG84" s="132"/>
      <c r="CO84" s="211"/>
      <c r="CP84" s="211"/>
      <c r="CQ84" s="209"/>
      <c r="CR84" s="209"/>
      <c r="CS84" s="209"/>
      <c r="CT84" s="209"/>
      <c r="CU84" s="211"/>
      <c r="CV84" s="151"/>
    </row>
    <row r="85" spans="1:100" s="206" customFormat="1" ht="12.75" customHeight="1">
      <c r="A85" s="205"/>
      <c r="B85" s="205"/>
      <c r="C85" s="205"/>
      <c r="D85" s="32"/>
      <c r="E85" s="32"/>
      <c r="F85" s="220"/>
      <c r="G85" s="223"/>
      <c r="H85" s="230"/>
      <c r="I85" s="230"/>
      <c r="J85" s="230"/>
      <c r="K85" s="221"/>
      <c r="L85" s="230"/>
      <c r="M85" s="230"/>
      <c r="N85" s="230"/>
      <c r="O85" s="219"/>
      <c r="P85" s="219"/>
      <c r="Q85" s="222"/>
      <c r="R85" s="231"/>
      <c r="S85" s="232"/>
      <c r="T85" s="205"/>
      <c r="U85" s="205"/>
      <c r="V85" s="205"/>
      <c r="W85" s="204"/>
      <c r="X85" s="204"/>
      <c r="Y85" s="204"/>
      <c r="AG85" s="213"/>
      <c r="AH85" s="211"/>
      <c r="AI85" s="127"/>
      <c r="AJ85" s="127"/>
      <c r="AK85" s="211"/>
      <c r="AL85" s="120"/>
      <c r="AM85" s="120"/>
      <c r="AN85" s="128"/>
      <c r="AO85" s="128"/>
      <c r="AP85" s="99"/>
      <c r="AQ85" s="99"/>
      <c r="AR85" s="144"/>
      <c r="AS85" s="144"/>
      <c r="AT85" s="129"/>
      <c r="AU85" s="149"/>
      <c r="AV85" s="208"/>
      <c r="AW85" s="99"/>
      <c r="AX85" s="89"/>
      <c r="AY85" s="133"/>
      <c r="AZ85" s="134"/>
      <c r="BA85" s="133"/>
      <c r="BB85" s="134"/>
      <c r="BC85" s="133"/>
      <c r="BD85" s="134"/>
      <c r="BE85" s="132"/>
      <c r="BF85" s="132"/>
      <c r="BG85" s="132"/>
      <c r="CO85" s="211"/>
      <c r="CP85" s="211"/>
      <c r="CQ85" s="209"/>
      <c r="CR85" s="209"/>
      <c r="CS85" s="209"/>
      <c r="CT85" s="209"/>
      <c r="CU85" s="211"/>
      <c r="CV85" s="151"/>
    </row>
    <row r="86" spans="1:100" s="206" customFormat="1" ht="12.75" customHeight="1">
      <c r="A86" s="205"/>
      <c r="B86" s="205"/>
      <c r="C86" s="205"/>
      <c r="D86" s="32"/>
      <c r="E86" s="32"/>
      <c r="F86" s="220"/>
      <c r="G86" s="223"/>
      <c r="H86" s="230"/>
      <c r="I86" s="230"/>
      <c r="J86" s="230"/>
      <c r="K86" s="221"/>
      <c r="L86" s="230"/>
      <c r="M86" s="230"/>
      <c r="N86" s="230"/>
      <c r="O86" s="219"/>
      <c r="P86" s="219"/>
      <c r="Q86" s="222"/>
      <c r="R86" s="231"/>
      <c r="S86" s="232"/>
      <c r="T86" s="205"/>
      <c r="U86" s="205"/>
      <c r="V86" s="205"/>
      <c r="W86" s="204"/>
      <c r="X86" s="204"/>
      <c r="Y86" s="204"/>
      <c r="AG86" s="213"/>
      <c r="AH86" s="211"/>
      <c r="AI86" s="127"/>
      <c r="AJ86" s="127"/>
      <c r="AK86" s="211"/>
      <c r="AL86" s="120"/>
      <c r="AM86" s="120"/>
      <c r="AN86" s="128"/>
      <c r="AO86" s="128"/>
      <c r="AP86" s="99"/>
      <c r="AQ86" s="99"/>
      <c r="AR86" s="144"/>
      <c r="AS86" s="144"/>
      <c r="AT86" s="129"/>
      <c r="AU86" s="149"/>
      <c r="AV86" s="208"/>
      <c r="AW86" s="99"/>
      <c r="AX86" s="89"/>
      <c r="AY86" s="133"/>
      <c r="AZ86" s="134"/>
      <c r="BA86" s="133"/>
      <c r="BB86" s="134"/>
      <c r="BC86" s="133"/>
      <c r="BD86" s="134"/>
      <c r="BE86" s="132"/>
      <c r="BF86" s="132"/>
      <c r="BG86" s="132"/>
      <c r="CO86" s="211"/>
      <c r="CP86" s="211"/>
      <c r="CQ86" s="209"/>
      <c r="CR86" s="209"/>
      <c r="CS86" s="209"/>
      <c r="CT86" s="209"/>
      <c r="CU86" s="211"/>
      <c r="CV86" s="151"/>
    </row>
    <row r="87" spans="1:100" s="206" customFormat="1" ht="12.75" customHeight="1">
      <c r="A87" s="205"/>
      <c r="B87" s="205"/>
      <c r="C87" s="205"/>
      <c r="D87" s="32"/>
      <c r="E87" s="32"/>
      <c r="F87" s="220"/>
      <c r="G87" s="223"/>
      <c r="H87" s="230"/>
      <c r="I87" s="230"/>
      <c r="J87" s="230"/>
      <c r="K87" s="221"/>
      <c r="L87" s="230"/>
      <c r="M87" s="230"/>
      <c r="N87" s="230"/>
      <c r="O87" s="219"/>
      <c r="P87" s="219"/>
      <c r="Q87" s="222"/>
      <c r="R87" s="231"/>
      <c r="S87" s="232"/>
      <c r="T87" s="205"/>
      <c r="U87" s="205"/>
      <c r="V87" s="205"/>
      <c r="W87" s="204"/>
      <c r="X87" s="204"/>
      <c r="Y87" s="204"/>
      <c r="AG87" s="213"/>
      <c r="AH87" s="211"/>
      <c r="AI87" s="127"/>
      <c r="AJ87" s="127"/>
      <c r="AK87" s="211"/>
      <c r="AL87" s="120"/>
      <c r="AM87" s="120"/>
      <c r="AN87" s="128"/>
      <c r="AO87" s="128"/>
      <c r="AP87" s="99"/>
      <c r="AQ87" s="99"/>
      <c r="AR87" s="144"/>
      <c r="AS87" s="144"/>
      <c r="AT87" s="129"/>
      <c r="AU87" s="149"/>
      <c r="AV87" s="208"/>
      <c r="AW87" s="99"/>
      <c r="AX87" s="89"/>
      <c r="AY87" s="133"/>
      <c r="AZ87" s="134"/>
      <c r="BA87" s="133"/>
      <c r="BB87" s="134"/>
      <c r="BC87" s="133"/>
      <c r="BD87" s="134"/>
      <c r="BE87" s="132"/>
      <c r="BF87" s="132"/>
      <c r="BG87" s="132"/>
      <c r="CO87" s="211"/>
      <c r="CP87" s="211"/>
      <c r="CQ87" s="209"/>
      <c r="CR87" s="209"/>
      <c r="CS87" s="209"/>
      <c r="CT87" s="209"/>
      <c r="CU87" s="211"/>
      <c r="CV87" s="151"/>
    </row>
    <row r="88" spans="1:100" s="206" customFormat="1" ht="12.75" customHeight="1">
      <c r="A88" s="205"/>
      <c r="B88" s="205"/>
      <c r="C88" s="205"/>
      <c r="D88" s="32"/>
      <c r="E88" s="32"/>
      <c r="F88" s="220"/>
      <c r="G88" s="223"/>
      <c r="H88" s="230"/>
      <c r="I88" s="230"/>
      <c r="J88" s="230"/>
      <c r="K88" s="221"/>
      <c r="L88" s="230"/>
      <c r="M88" s="230"/>
      <c r="N88" s="230"/>
      <c r="O88" s="219"/>
      <c r="P88" s="219"/>
      <c r="Q88" s="222"/>
      <c r="R88" s="231"/>
      <c r="S88" s="232"/>
      <c r="T88" s="205"/>
      <c r="U88" s="205"/>
      <c r="V88" s="205"/>
      <c r="W88" s="204"/>
      <c r="X88" s="204"/>
      <c r="Y88" s="204"/>
      <c r="AG88" s="213"/>
      <c r="AH88" s="211"/>
      <c r="AI88" s="127"/>
      <c r="AJ88" s="127"/>
      <c r="AK88" s="211"/>
      <c r="AL88" s="120"/>
      <c r="AM88" s="120"/>
      <c r="AN88" s="128"/>
      <c r="AO88" s="128"/>
      <c r="AP88" s="99"/>
      <c r="AQ88" s="99"/>
      <c r="AR88" s="144"/>
      <c r="AS88" s="144"/>
      <c r="AT88" s="129"/>
      <c r="AU88" s="149"/>
      <c r="AV88" s="208"/>
      <c r="AW88" s="99"/>
      <c r="AX88" s="89"/>
      <c r="AY88" s="133"/>
      <c r="AZ88" s="134"/>
      <c r="BA88" s="133"/>
      <c r="BB88" s="134"/>
      <c r="BC88" s="133"/>
      <c r="BD88" s="134"/>
      <c r="BE88" s="132"/>
      <c r="BF88" s="132"/>
      <c r="BG88" s="132"/>
      <c r="CO88" s="211"/>
      <c r="CP88" s="211"/>
      <c r="CQ88" s="209"/>
      <c r="CR88" s="209"/>
      <c r="CS88" s="209"/>
      <c r="CT88" s="209"/>
      <c r="CU88" s="211"/>
      <c r="CV88" s="151"/>
    </row>
    <row r="89" spans="1:100" s="206" customFormat="1" ht="12.75" customHeight="1">
      <c r="A89" s="205"/>
      <c r="B89" s="205"/>
      <c r="C89" s="205"/>
      <c r="D89" s="32"/>
      <c r="E89" s="32"/>
      <c r="F89" s="220"/>
      <c r="G89" s="223"/>
      <c r="H89" s="230"/>
      <c r="I89" s="230"/>
      <c r="J89" s="230"/>
      <c r="K89" s="221"/>
      <c r="L89" s="230"/>
      <c r="M89" s="230"/>
      <c r="N89" s="230"/>
      <c r="O89" s="219"/>
      <c r="P89" s="219"/>
      <c r="Q89" s="222"/>
      <c r="R89" s="231"/>
      <c r="S89" s="232"/>
      <c r="T89" s="205"/>
      <c r="U89" s="205"/>
      <c r="V89" s="205"/>
      <c r="W89" s="204"/>
      <c r="X89" s="204"/>
      <c r="Y89" s="204"/>
      <c r="AG89" s="213"/>
      <c r="AH89" s="211"/>
      <c r="AI89" s="127"/>
      <c r="AJ89" s="127"/>
      <c r="AK89" s="211"/>
      <c r="AL89" s="120"/>
      <c r="AM89" s="120"/>
      <c r="AN89" s="128"/>
      <c r="AO89" s="128"/>
      <c r="AP89" s="99"/>
      <c r="AQ89" s="99"/>
      <c r="AR89" s="144"/>
      <c r="AS89" s="144"/>
      <c r="AT89" s="129"/>
      <c r="AU89" s="149"/>
      <c r="AV89" s="208"/>
      <c r="AW89" s="99"/>
      <c r="AX89" s="89"/>
      <c r="AY89" s="133"/>
      <c r="AZ89" s="134"/>
      <c r="BA89" s="133"/>
      <c r="BB89" s="134"/>
      <c r="BC89" s="133"/>
      <c r="BD89" s="134"/>
      <c r="BE89" s="132"/>
      <c r="BF89" s="132"/>
      <c r="BG89" s="132"/>
      <c r="CO89" s="211"/>
      <c r="CP89" s="211"/>
      <c r="CQ89" s="209"/>
      <c r="CR89" s="209"/>
      <c r="CS89" s="209"/>
      <c r="CT89" s="209"/>
      <c r="CU89" s="211"/>
      <c r="CV89" s="151"/>
    </row>
    <row r="90" spans="1:100" s="206" customFormat="1" ht="12.75" customHeight="1">
      <c r="A90" s="205"/>
      <c r="B90" s="205"/>
      <c r="C90" s="205"/>
      <c r="D90" s="32"/>
      <c r="E90" s="32"/>
      <c r="F90" s="220"/>
      <c r="G90" s="223"/>
      <c r="H90" s="230"/>
      <c r="I90" s="230"/>
      <c r="J90" s="230"/>
      <c r="K90" s="221"/>
      <c r="L90" s="230"/>
      <c r="M90" s="230"/>
      <c r="N90" s="230"/>
      <c r="O90" s="219"/>
      <c r="P90" s="219"/>
      <c r="Q90" s="222"/>
      <c r="R90" s="231"/>
      <c r="S90" s="232"/>
      <c r="T90" s="205"/>
      <c r="U90" s="205"/>
      <c r="V90" s="205"/>
      <c r="W90" s="204"/>
      <c r="X90" s="204"/>
      <c r="Y90" s="204"/>
      <c r="AG90" s="213"/>
      <c r="AH90" s="211"/>
      <c r="AI90" s="127"/>
      <c r="AJ90" s="127"/>
      <c r="AK90" s="211"/>
      <c r="AL90" s="120"/>
      <c r="AM90" s="120"/>
      <c r="AN90" s="128"/>
      <c r="AO90" s="128"/>
      <c r="AP90" s="99"/>
      <c r="AQ90" s="99"/>
      <c r="AR90" s="144"/>
      <c r="AS90" s="144"/>
      <c r="AT90" s="129"/>
      <c r="AU90" s="149"/>
      <c r="AV90" s="208"/>
      <c r="AW90" s="99"/>
      <c r="AX90" s="89"/>
      <c r="AY90" s="133"/>
      <c r="AZ90" s="134"/>
      <c r="BA90" s="133"/>
      <c r="BB90" s="134"/>
      <c r="BC90" s="133"/>
      <c r="BD90" s="134"/>
      <c r="BE90" s="132"/>
      <c r="BF90" s="132"/>
      <c r="BG90" s="132"/>
      <c r="CO90" s="211"/>
      <c r="CP90" s="211"/>
      <c r="CQ90" s="209"/>
      <c r="CR90" s="209"/>
      <c r="CS90" s="209"/>
      <c r="CT90" s="209"/>
      <c r="CU90" s="211"/>
      <c r="CV90" s="151"/>
    </row>
    <row r="91" spans="1:100" s="206" customFormat="1" ht="12.75" customHeight="1">
      <c r="A91" s="205"/>
      <c r="B91" s="205"/>
      <c r="C91" s="205"/>
      <c r="D91" s="32"/>
      <c r="E91" s="32"/>
      <c r="F91" s="220"/>
      <c r="G91" s="223"/>
      <c r="H91" s="230"/>
      <c r="I91" s="230"/>
      <c r="J91" s="230"/>
      <c r="K91" s="221"/>
      <c r="L91" s="230"/>
      <c r="M91" s="230"/>
      <c r="N91" s="230"/>
      <c r="O91" s="219"/>
      <c r="P91" s="219"/>
      <c r="Q91" s="222"/>
      <c r="R91" s="231"/>
      <c r="S91" s="232"/>
      <c r="T91" s="205"/>
      <c r="U91" s="205"/>
      <c r="V91" s="205"/>
      <c r="W91" s="204"/>
      <c r="X91" s="204"/>
      <c r="Y91" s="204"/>
      <c r="AG91" s="213"/>
      <c r="AH91" s="211"/>
      <c r="AI91" s="127"/>
      <c r="AJ91" s="127"/>
      <c r="AK91" s="211"/>
      <c r="AL91" s="120"/>
      <c r="AM91" s="120"/>
      <c r="AN91" s="128"/>
      <c r="AO91" s="128"/>
      <c r="AP91" s="99"/>
      <c r="AQ91" s="99"/>
      <c r="AR91" s="144"/>
      <c r="AS91" s="144"/>
      <c r="AT91" s="129"/>
      <c r="AU91" s="149"/>
      <c r="AV91" s="208"/>
      <c r="AW91" s="99"/>
      <c r="AX91" s="89"/>
      <c r="AY91" s="133"/>
      <c r="AZ91" s="134"/>
      <c r="BA91" s="133"/>
      <c r="BB91" s="134"/>
      <c r="BC91" s="133"/>
      <c r="BD91" s="134"/>
      <c r="BE91" s="132"/>
      <c r="BF91" s="132"/>
      <c r="BG91" s="132"/>
      <c r="CO91" s="211"/>
      <c r="CP91" s="211"/>
      <c r="CQ91" s="209"/>
      <c r="CR91" s="209"/>
      <c r="CS91" s="209"/>
      <c r="CT91" s="209"/>
      <c r="CU91" s="211"/>
      <c r="CV91" s="151"/>
    </row>
    <row r="92" spans="1:100" s="206" customFormat="1" ht="12.75" customHeight="1">
      <c r="A92" s="205"/>
      <c r="B92" s="205"/>
      <c r="C92" s="205"/>
      <c r="D92" s="32"/>
      <c r="E92" s="32"/>
      <c r="F92" s="220"/>
      <c r="G92" s="223"/>
      <c r="H92" s="230"/>
      <c r="I92" s="230"/>
      <c r="J92" s="230"/>
      <c r="K92" s="221"/>
      <c r="L92" s="230"/>
      <c r="M92" s="230"/>
      <c r="N92" s="230"/>
      <c r="O92" s="219"/>
      <c r="P92" s="219"/>
      <c r="Q92" s="222"/>
      <c r="R92" s="231"/>
      <c r="S92" s="232"/>
      <c r="T92" s="205"/>
      <c r="U92" s="205"/>
      <c r="V92" s="205"/>
      <c r="W92" s="204"/>
      <c r="X92" s="204"/>
      <c r="Y92" s="204"/>
      <c r="AG92" s="213"/>
      <c r="AH92" s="211"/>
      <c r="AI92" s="127"/>
      <c r="AJ92" s="127"/>
      <c r="AK92" s="211"/>
      <c r="AL92" s="120"/>
      <c r="AM92" s="120"/>
      <c r="AN92" s="128"/>
      <c r="AO92" s="128"/>
      <c r="AP92" s="99"/>
      <c r="AQ92" s="99"/>
      <c r="AR92" s="144"/>
      <c r="AS92" s="144"/>
      <c r="AT92" s="129"/>
      <c r="AU92" s="149"/>
      <c r="AV92" s="208"/>
      <c r="AW92" s="99"/>
      <c r="AX92" s="89"/>
      <c r="AY92" s="133"/>
      <c r="AZ92" s="134"/>
      <c r="BA92" s="133"/>
      <c r="BB92" s="134"/>
      <c r="BC92" s="133"/>
      <c r="BD92" s="134"/>
      <c r="BE92" s="132"/>
      <c r="BF92" s="132"/>
      <c r="BG92" s="132"/>
      <c r="CO92" s="211"/>
      <c r="CP92" s="211"/>
      <c r="CQ92" s="209"/>
      <c r="CR92" s="209"/>
      <c r="CS92" s="209"/>
      <c r="CT92" s="209"/>
      <c r="CU92" s="211"/>
      <c r="CV92" s="151"/>
    </row>
    <row r="93" spans="1:100" s="206" customFormat="1" ht="12.75" customHeight="1">
      <c r="A93" s="205"/>
      <c r="B93" s="205"/>
      <c r="C93" s="205"/>
      <c r="D93" s="32"/>
      <c r="E93" s="32"/>
      <c r="F93" s="220"/>
      <c r="G93" s="223"/>
      <c r="H93" s="230"/>
      <c r="I93" s="230"/>
      <c r="J93" s="230"/>
      <c r="K93" s="221"/>
      <c r="L93" s="230"/>
      <c r="M93" s="230"/>
      <c r="N93" s="230"/>
      <c r="O93" s="219"/>
      <c r="P93" s="219"/>
      <c r="Q93" s="222"/>
      <c r="R93" s="231"/>
      <c r="S93" s="232"/>
      <c r="T93" s="205"/>
      <c r="U93" s="205"/>
      <c r="V93" s="205"/>
      <c r="W93" s="204"/>
      <c r="X93" s="204"/>
      <c r="Y93" s="204"/>
      <c r="AG93" s="213"/>
      <c r="AH93" s="211"/>
      <c r="AI93" s="127"/>
      <c r="AJ93" s="127"/>
      <c r="AK93" s="211"/>
      <c r="AL93" s="120"/>
      <c r="AM93" s="120"/>
      <c r="AN93" s="128"/>
      <c r="AO93" s="128"/>
      <c r="AP93" s="99"/>
      <c r="AQ93" s="99"/>
      <c r="AR93" s="144"/>
      <c r="AS93" s="144"/>
      <c r="AT93" s="129"/>
      <c r="AU93" s="149"/>
      <c r="AV93" s="208"/>
      <c r="AW93" s="99"/>
      <c r="AX93" s="89"/>
      <c r="AY93" s="133"/>
      <c r="AZ93" s="134"/>
      <c r="BA93" s="133"/>
      <c r="BB93" s="134"/>
      <c r="BC93" s="133"/>
      <c r="BD93" s="134"/>
      <c r="BE93" s="132"/>
      <c r="BF93" s="132"/>
      <c r="BG93" s="132"/>
      <c r="CO93" s="211"/>
      <c r="CP93" s="211"/>
      <c r="CQ93" s="209"/>
      <c r="CR93" s="209"/>
      <c r="CS93" s="209"/>
      <c r="CT93" s="209"/>
      <c r="CU93" s="211"/>
      <c r="CV93" s="151"/>
    </row>
    <row r="94" spans="1:100" s="206" customFormat="1" ht="12.75" customHeight="1">
      <c r="A94" s="205"/>
      <c r="B94" s="205"/>
      <c r="C94" s="205"/>
      <c r="D94" s="32"/>
      <c r="E94" s="32"/>
      <c r="F94" s="220"/>
      <c r="G94" s="223"/>
      <c r="H94" s="230"/>
      <c r="I94" s="230"/>
      <c r="J94" s="230"/>
      <c r="K94" s="221"/>
      <c r="L94" s="230"/>
      <c r="M94" s="230"/>
      <c r="N94" s="230"/>
      <c r="O94" s="219"/>
      <c r="P94" s="219"/>
      <c r="Q94" s="222"/>
      <c r="R94" s="231"/>
      <c r="S94" s="232"/>
      <c r="T94" s="205"/>
      <c r="U94" s="205"/>
      <c r="V94" s="205"/>
      <c r="W94" s="204"/>
      <c r="X94" s="204"/>
      <c r="Y94" s="204"/>
      <c r="AG94" s="213"/>
      <c r="AH94" s="211"/>
      <c r="AI94" s="127"/>
      <c r="AJ94" s="127"/>
      <c r="AK94" s="211"/>
      <c r="AL94" s="120"/>
      <c r="AM94" s="120"/>
      <c r="AN94" s="128"/>
      <c r="AO94" s="128"/>
      <c r="AP94" s="99"/>
      <c r="AQ94" s="99"/>
      <c r="AR94" s="144"/>
      <c r="AS94" s="144"/>
      <c r="AT94" s="129"/>
      <c r="AU94" s="149"/>
      <c r="AV94" s="208"/>
      <c r="AW94" s="99"/>
      <c r="AX94" s="89"/>
      <c r="AY94" s="133"/>
      <c r="AZ94" s="134"/>
      <c r="BA94" s="133"/>
      <c r="BB94" s="134"/>
      <c r="BC94" s="133"/>
      <c r="BD94" s="134"/>
      <c r="BE94" s="132"/>
      <c r="BF94" s="132"/>
      <c r="BG94" s="132"/>
      <c r="CO94" s="211"/>
      <c r="CP94" s="211"/>
      <c r="CQ94" s="209"/>
      <c r="CR94" s="209"/>
      <c r="CS94" s="209"/>
      <c r="CT94" s="209"/>
      <c r="CU94" s="211"/>
      <c r="CV94" s="151"/>
    </row>
    <row r="95" spans="1:100" s="206" customFormat="1" ht="12.75" customHeight="1">
      <c r="A95" s="205"/>
      <c r="B95" s="205"/>
      <c r="C95" s="205"/>
      <c r="D95" s="32"/>
      <c r="E95" s="32"/>
      <c r="F95" s="220"/>
      <c r="G95" s="223"/>
      <c r="H95" s="230"/>
      <c r="I95" s="230"/>
      <c r="J95" s="230"/>
      <c r="K95" s="221"/>
      <c r="L95" s="230"/>
      <c r="M95" s="230"/>
      <c r="N95" s="230"/>
      <c r="O95" s="219"/>
      <c r="P95" s="219"/>
      <c r="Q95" s="222"/>
      <c r="R95" s="231"/>
      <c r="S95" s="232"/>
      <c r="T95" s="205"/>
      <c r="U95" s="205"/>
      <c r="V95" s="205"/>
      <c r="W95" s="204"/>
      <c r="X95" s="204"/>
      <c r="Y95" s="204"/>
      <c r="AG95" s="213"/>
      <c r="AH95" s="211"/>
      <c r="AI95" s="127"/>
      <c r="AJ95" s="127"/>
      <c r="AK95" s="211"/>
      <c r="AL95" s="120"/>
      <c r="AM95" s="120"/>
      <c r="AN95" s="128"/>
      <c r="AO95" s="128"/>
      <c r="AP95" s="99"/>
      <c r="AQ95" s="99"/>
      <c r="AR95" s="144"/>
      <c r="AS95" s="144"/>
      <c r="AT95" s="129"/>
      <c r="AU95" s="149"/>
      <c r="AV95" s="208"/>
      <c r="AW95" s="99"/>
      <c r="AX95" s="89"/>
      <c r="AY95" s="133"/>
      <c r="AZ95" s="134"/>
      <c r="BA95" s="133"/>
      <c r="BB95" s="134"/>
      <c r="BC95" s="133"/>
      <c r="BD95" s="134"/>
      <c r="BE95" s="132"/>
      <c r="BF95" s="132"/>
      <c r="BG95" s="132"/>
      <c r="CO95" s="211"/>
      <c r="CP95" s="211"/>
      <c r="CQ95" s="209"/>
      <c r="CR95" s="209"/>
      <c r="CS95" s="209"/>
      <c r="CT95" s="209"/>
      <c r="CU95" s="211"/>
      <c r="CV95" s="151"/>
    </row>
    <row r="96" spans="1:100" s="206" customFormat="1" ht="12.75" customHeight="1">
      <c r="A96" s="205"/>
      <c r="B96" s="205"/>
      <c r="C96" s="205"/>
      <c r="D96" s="32"/>
      <c r="E96" s="32"/>
      <c r="F96" s="220"/>
      <c r="G96" s="223"/>
      <c r="H96" s="230"/>
      <c r="I96" s="230"/>
      <c r="J96" s="230"/>
      <c r="K96" s="221"/>
      <c r="L96" s="230"/>
      <c r="M96" s="230"/>
      <c r="N96" s="230"/>
      <c r="O96" s="219"/>
      <c r="P96" s="219"/>
      <c r="Q96" s="222"/>
      <c r="R96" s="231"/>
      <c r="S96" s="232"/>
      <c r="T96" s="205"/>
      <c r="U96" s="205"/>
      <c r="V96" s="205"/>
      <c r="W96" s="204"/>
      <c r="X96" s="204"/>
      <c r="Y96" s="204"/>
      <c r="AG96" s="213"/>
      <c r="AH96" s="211"/>
      <c r="AI96" s="127"/>
      <c r="AJ96" s="127"/>
      <c r="AK96" s="211"/>
      <c r="AL96" s="120"/>
      <c r="AM96" s="120"/>
      <c r="AN96" s="128"/>
      <c r="AO96" s="128"/>
      <c r="AP96" s="99"/>
      <c r="AQ96" s="99"/>
      <c r="AR96" s="144"/>
      <c r="AS96" s="144"/>
      <c r="AT96" s="129"/>
      <c r="AU96" s="149"/>
      <c r="AV96" s="208"/>
      <c r="AW96" s="99"/>
      <c r="AX96" s="89"/>
      <c r="AY96" s="133"/>
      <c r="AZ96" s="134"/>
      <c r="BA96" s="133"/>
      <c r="BB96" s="134"/>
      <c r="BC96" s="133"/>
      <c r="BD96" s="134"/>
      <c r="BE96" s="132"/>
      <c r="BF96" s="132"/>
      <c r="BG96" s="132"/>
      <c r="CO96" s="211"/>
      <c r="CP96" s="211"/>
      <c r="CQ96" s="209"/>
      <c r="CR96" s="209"/>
      <c r="CS96" s="209"/>
      <c r="CT96" s="209"/>
      <c r="CU96" s="211"/>
      <c r="CV96" s="151"/>
    </row>
    <row r="97" spans="1:100" s="206" customFormat="1" ht="12.75" customHeight="1">
      <c r="A97" s="205"/>
      <c r="B97" s="205"/>
      <c r="C97" s="205"/>
      <c r="D97" s="32"/>
      <c r="E97" s="32"/>
      <c r="F97" s="220"/>
      <c r="G97" s="223"/>
      <c r="H97" s="230"/>
      <c r="I97" s="230"/>
      <c r="J97" s="230"/>
      <c r="K97" s="221"/>
      <c r="L97" s="230"/>
      <c r="M97" s="230"/>
      <c r="N97" s="230"/>
      <c r="O97" s="219"/>
      <c r="P97" s="219"/>
      <c r="Q97" s="222"/>
      <c r="R97" s="231"/>
      <c r="S97" s="232"/>
      <c r="T97" s="205"/>
      <c r="U97" s="205"/>
      <c r="V97" s="205"/>
      <c r="W97" s="204"/>
      <c r="X97" s="204"/>
      <c r="Y97" s="204"/>
      <c r="AG97" s="213"/>
      <c r="AH97" s="211"/>
      <c r="AI97" s="127"/>
      <c r="AJ97" s="127"/>
      <c r="AK97" s="211"/>
      <c r="AL97" s="120"/>
      <c r="AM97" s="120"/>
      <c r="AN97" s="128"/>
      <c r="AO97" s="128"/>
      <c r="AP97" s="99"/>
      <c r="AQ97" s="99"/>
      <c r="AR97" s="144"/>
      <c r="AS97" s="144"/>
      <c r="AT97" s="129"/>
      <c r="AU97" s="149"/>
      <c r="AV97" s="208"/>
      <c r="AW97" s="99"/>
      <c r="AX97" s="89"/>
      <c r="AY97" s="133"/>
      <c r="AZ97" s="134"/>
      <c r="BA97" s="133"/>
      <c r="BB97" s="134"/>
      <c r="BC97" s="133"/>
      <c r="BD97" s="134"/>
      <c r="BE97" s="132"/>
      <c r="BF97" s="132"/>
      <c r="BG97" s="132"/>
      <c r="CO97" s="211"/>
      <c r="CP97" s="211"/>
      <c r="CQ97" s="209"/>
      <c r="CR97" s="209"/>
      <c r="CS97" s="209"/>
      <c r="CT97" s="209"/>
      <c r="CU97" s="211"/>
      <c r="CV97" s="151"/>
    </row>
    <row r="98" spans="1:100" s="206" customFormat="1" ht="12.75" customHeight="1">
      <c r="A98" s="205"/>
      <c r="B98" s="205"/>
      <c r="C98" s="205"/>
      <c r="D98" s="32"/>
      <c r="E98" s="32"/>
      <c r="F98" s="220"/>
      <c r="G98" s="223"/>
      <c r="H98" s="230"/>
      <c r="I98" s="230"/>
      <c r="J98" s="230"/>
      <c r="K98" s="221"/>
      <c r="L98" s="230"/>
      <c r="M98" s="230"/>
      <c r="N98" s="230"/>
      <c r="O98" s="219"/>
      <c r="P98" s="219"/>
      <c r="Q98" s="222"/>
      <c r="R98" s="231"/>
      <c r="S98" s="232"/>
      <c r="T98" s="205"/>
      <c r="U98" s="205"/>
      <c r="V98" s="205"/>
      <c r="W98" s="204"/>
      <c r="X98" s="204"/>
      <c r="Y98" s="204"/>
      <c r="AG98" s="213"/>
      <c r="AH98" s="211"/>
      <c r="AI98" s="127"/>
      <c r="AJ98" s="127"/>
      <c r="AK98" s="211"/>
      <c r="AL98" s="120"/>
      <c r="AM98" s="120"/>
      <c r="AN98" s="128"/>
      <c r="AO98" s="128"/>
      <c r="AP98" s="99"/>
      <c r="AQ98" s="99"/>
      <c r="AR98" s="144"/>
      <c r="AS98" s="144"/>
      <c r="AT98" s="129"/>
      <c r="AU98" s="149"/>
      <c r="AV98" s="208"/>
      <c r="AW98" s="99"/>
      <c r="AX98" s="89"/>
      <c r="AY98" s="133"/>
      <c r="AZ98" s="134"/>
      <c r="BA98" s="133"/>
      <c r="BB98" s="134"/>
      <c r="BC98" s="133"/>
      <c r="BD98" s="134"/>
      <c r="BE98" s="132"/>
      <c r="BF98" s="132"/>
      <c r="BG98" s="132"/>
      <c r="CO98" s="211"/>
      <c r="CP98" s="211"/>
      <c r="CQ98" s="209"/>
      <c r="CR98" s="209"/>
      <c r="CS98" s="209"/>
      <c r="CT98" s="209"/>
      <c r="CU98" s="211"/>
      <c r="CV98" s="151"/>
    </row>
    <row r="99" spans="1:100" s="206" customFormat="1" ht="12.75" customHeight="1">
      <c r="A99" s="205"/>
      <c r="B99" s="205"/>
      <c r="C99" s="205"/>
      <c r="D99" s="32"/>
      <c r="E99" s="32"/>
      <c r="F99" s="220"/>
      <c r="G99" s="223"/>
      <c r="H99" s="230"/>
      <c r="I99" s="230"/>
      <c r="J99" s="230"/>
      <c r="K99" s="221"/>
      <c r="L99" s="230"/>
      <c r="M99" s="230"/>
      <c r="N99" s="230"/>
      <c r="O99" s="219"/>
      <c r="P99" s="219"/>
      <c r="Q99" s="222"/>
      <c r="R99" s="231"/>
      <c r="S99" s="232"/>
      <c r="T99" s="205"/>
      <c r="U99" s="205"/>
      <c r="V99" s="205"/>
      <c r="W99" s="204"/>
      <c r="X99" s="204"/>
      <c r="Y99" s="204"/>
      <c r="AG99" s="213"/>
      <c r="AH99" s="211"/>
      <c r="AI99" s="127"/>
      <c r="AJ99" s="127"/>
      <c r="AK99" s="211"/>
      <c r="AL99" s="120"/>
      <c r="AM99" s="120"/>
      <c r="AN99" s="128"/>
      <c r="AO99" s="128"/>
      <c r="AP99" s="99"/>
      <c r="AQ99" s="99"/>
      <c r="AR99" s="144"/>
      <c r="AS99" s="144"/>
      <c r="AT99" s="129"/>
      <c r="AU99" s="149"/>
      <c r="AV99" s="208"/>
      <c r="AW99" s="99"/>
      <c r="AX99" s="89"/>
      <c r="AY99" s="133"/>
      <c r="AZ99" s="134"/>
      <c r="BA99" s="133"/>
      <c r="BB99" s="134"/>
      <c r="BC99" s="133"/>
      <c r="BD99" s="134"/>
      <c r="BE99" s="132"/>
      <c r="BF99" s="132"/>
      <c r="BG99" s="132"/>
      <c r="CO99" s="211"/>
      <c r="CP99" s="211"/>
      <c r="CQ99" s="209"/>
      <c r="CR99" s="209"/>
      <c r="CS99" s="209"/>
      <c r="CT99" s="209"/>
      <c r="CU99" s="211"/>
      <c r="CV99" s="151"/>
    </row>
    <row r="100" spans="1:100" s="206" customFormat="1" ht="12.75" customHeight="1">
      <c r="A100" s="205"/>
      <c r="B100" s="205"/>
      <c r="C100" s="205"/>
      <c r="D100" s="32"/>
      <c r="E100" s="32"/>
      <c r="F100" s="220"/>
      <c r="G100" s="223"/>
      <c r="H100" s="230"/>
      <c r="I100" s="230"/>
      <c r="J100" s="230"/>
      <c r="K100" s="221"/>
      <c r="L100" s="230"/>
      <c r="M100" s="230"/>
      <c r="N100" s="230"/>
      <c r="O100" s="219"/>
      <c r="P100" s="219"/>
      <c r="Q100" s="222"/>
      <c r="R100" s="231"/>
      <c r="S100" s="232"/>
      <c r="T100" s="205"/>
      <c r="U100" s="205"/>
      <c r="V100" s="205"/>
      <c r="W100" s="204"/>
      <c r="X100" s="204"/>
      <c r="Y100" s="204"/>
      <c r="AG100" s="213"/>
      <c r="AH100" s="211"/>
      <c r="AI100" s="127"/>
      <c r="AJ100" s="127"/>
      <c r="AK100" s="211"/>
      <c r="AL100" s="120"/>
      <c r="AM100" s="120"/>
      <c r="AN100" s="128"/>
      <c r="AO100" s="128"/>
      <c r="AP100" s="99"/>
      <c r="AQ100" s="99"/>
      <c r="AR100" s="144"/>
      <c r="AS100" s="144"/>
      <c r="AT100" s="129"/>
      <c r="AU100" s="149"/>
      <c r="AV100" s="208"/>
      <c r="AW100" s="99"/>
      <c r="AX100" s="89"/>
      <c r="AY100" s="133"/>
      <c r="AZ100" s="134"/>
      <c r="BA100" s="133"/>
      <c r="BB100" s="134"/>
      <c r="BC100" s="133"/>
      <c r="BD100" s="134"/>
      <c r="BE100" s="132"/>
      <c r="BF100" s="132"/>
      <c r="BG100" s="132"/>
      <c r="CO100" s="211"/>
      <c r="CP100" s="211"/>
      <c r="CQ100" s="209"/>
      <c r="CR100" s="209"/>
      <c r="CS100" s="209"/>
      <c r="CT100" s="209"/>
      <c r="CU100" s="211"/>
      <c r="CV100" s="151"/>
    </row>
    <row r="101" spans="1:100" s="206" customFormat="1" ht="12.75" customHeight="1">
      <c r="A101" s="205"/>
      <c r="B101" s="205"/>
      <c r="C101" s="205"/>
      <c r="D101" s="32"/>
      <c r="E101" s="32"/>
      <c r="F101" s="220"/>
      <c r="G101" s="223"/>
      <c r="H101" s="230"/>
      <c r="I101" s="230"/>
      <c r="J101" s="230"/>
      <c r="K101" s="221"/>
      <c r="L101" s="230"/>
      <c r="M101" s="230"/>
      <c r="N101" s="230"/>
      <c r="O101" s="219"/>
      <c r="P101" s="219"/>
      <c r="Q101" s="222"/>
      <c r="R101" s="231"/>
      <c r="S101" s="232"/>
      <c r="T101" s="205"/>
      <c r="U101" s="205"/>
      <c r="V101" s="205"/>
      <c r="W101" s="204"/>
      <c r="X101" s="204"/>
      <c r="Y101" s="204"/>
      <c r="AG101" s="213"/>
      <c r="AH101" s="211"/>
      <c r="AI101" s="127"/>
      <c r="AJ101" s="127"/>
      <c r="AK101" s="211"/>
      <c r="AL101" s="120"/>
      <c r="AM101" s="120"/>
      <c r="AN101" s="128"/>
      <c r="AO101" s="128"/>
      <c r="AP101" s="99"/>
      <c r="AQ101" s="99"/>
      <c r="AR101" s="144"/>
      <c r="AS101" s="144"/>
      <c r="AT101" s="129"/>
      <c r="AU101" s="149"/>
      <c r="AV101" s="208"/>
      <c r="AW101" s="99"/>
      <c r="AX101" s="89"/>
      <c r="AY101" s="133"/>
      <c r="AZ101" s="134"/>
      <c r="BA101" s="133"/>
      <c r="BB101" s="134"/>
      <c r="BC101" s="133"/>
      <c r="BD101" s="134"/>
      <c r="BE101" s="132"/>
      <c r="BF101" s="132"/>
      <c r="BG101" s="132"/>
      <c r="CO101" s="211"/>
      <c r="CP101" s="211"/>
      <c r="CQ101" s="209"/>
      <c r="CR101" s="209"/>
      <c r="CS101" s="209"/>
      <c r="CT101" s="209"/>
      <c r="CU101" s="211"/>
      <c r="CV101" s="151"/>
    </row>
    <row r="102" spans="1:100" s="206" customFormat="1" ht="12.75" customHeight="1">
      <c r="A102" s="205"/>
      <c r="B102" s="205"/>
      <c r="C102" s="205"/>
      <c r="D102" s="32"/>
      <c r="E102" s="32"/>
      <c r="F102" s="220"/>
      <c r="G102" s="223"/>
      <c r="H102" s="230"/>
      <c r="I102" s="230"/>
      <c r="J102" s="230"/>
      <c r="K102" s="221"/>
      <c r="L102" s="230"/>
      <c r="M102" s="230"/>
      <c r="N102" s="230"/>
      <c r="O102" s="219"/>
      <c r="P102" s="219"/>
      <c r="Q102" s="222"/>
      <c r="R102" s="231"/>
      <c r="S102" s="232"/>
      <c r="T102" s="205"/>
      <c r="U102" s="205"/>
      <c r="V102" s="205"/>
      <c r="W102" s="204"/>
      <c r="X102" s="204"/>
      <c r="Y102" s="204"/>
      <c r="AG102" s="213"/>
      <c r="AH102" s="211"/>
      <c r="AI102" s="127"/>
      <c r="AJ102" s="127"/>
      <c r="AK102" s="211"/>
      <c r="AL102" s="120"/>
      <c r="AM102" s="120"/>
      <c r="AN102" s="128"/>
      <c r="AO102" s="128"/>
      <c r="AP102" s="99"/>
      <c r="AQ102" s="99"/>
      <c r="AR102" s="144"/>
      <c r="AS102" s="144"/>
      <c r="AT102" s="129"/>
      <c r="AU102" s="149"/>
      <c r="AV102" s="208"/>
      <c r="AW102" s="99"/>
      <c r="AX102" s="89"/>
      <c r="AY102" s="133"/>
      <c r="AZ102" s="134"/>
      <c r="BA102" s="133"/>
      <c r="BB102" s="134"/>
      <c r="BC102" s="133"/>
      <c r="BD102" s="134"/>
      <c r="BE102" s="132"/>
      <c r="BF102" s="132"/>
      <c r="BG102" s="132"/>
      <c r="CO102" s="211"/>
      <c r="CP102" s="211"/>
      <c r="CQ102" s="209"/>
      <c r="CR102" s="209"/>
      <c r="CS102" s="209"/>
      <c r="CT102" s="209"/>
      <c r="CU102" s="211"/>
      <c r="CV102" s="151"/>
    </row>
    <row r="103" spans="1:100" s="206" customFormat="1" ht="12.75" customHeight="1">
      <c r="A103" s="205"/>
      <c r="B103" s="205"/>
      <c r="C103" s="205"/>
      <c r="D103" s="32"/>
      <c r="E103" s="32"/>
      <c r="F103" s="220"/>
      <c r="G103" s="223"/>
      <c r="H103" s="230"/>
      <c r="I103" s="230"/>
      <c r="J103" s="230"/>
      <c r="K103" s="221"/>
      <c r="L103" s="230"/>
      <c r="M103" s="230"/>
      <c r="N103" s="230"/>
      <c r="O103" s="219"/>
      <c r="P103" s="219"/>
      <c r="Q103" s="222"/>
      <c r="R103" s="231"/>
      <c r="S103" s="232"/>
      <c r="T103" s="205"/>
      <c r="U103" s="205"/>
      <c r="V103" s="205"/>
      <c r="W103" s="204"/>
      <c r="X103" s="204"/>
      <c r="Y103" s="204"/>
      <c r="AG103" s="213"/>
      <c r="AH103" s="211"/>
      <c r="AI103" s="127"/>
      <c r="AJ103" s="127"/>
      <c r="AK103" s="211"/>
      <c r="AL103" s="120"/>
      <c r="AM103" s="120"/>
      <c r="AN103" s="128"/>
      <c r="AO103" s="128"/>
      <c r="AP103" s="99"/>
      <c r="AQ103" s="99"/>
      <c r="AR103" s="144"/>
      <c r="AS103" s="144"/>
      <c r="AT103" s="129"/>
      <c r="AU103" s="149"/>
      <c r="AV103" s="208"/>
      <c r="AW103" s="99"/>
      <c r="AX103" s="89"/>
      <c r="AY103" s="133"/>
      <c r="AZ103" s="134"/>
      <c r="BA103" s="133"/>
      <c r="BB103" s="134"/>
      <c r="BC103" s="133"/>
      <c r="BD103" s="134"/>
      <c r="BE103" s="132"/>
      <c r="BF103" s="132"/>
      <c r="BG103" s="132"/>
      <c r="CO103" s="211"/>
      <c r="CP103" s="211"/>
      <c r="CQ103" s="209"/>
      <c r="CR103" s="209"/>
      <c r="CS103" s="209"/>
      <c r="CT103" s="209"/>
      <c r="CU103" s="211"/>
      <c r="CV103" s="151"/>
    </row>
    <row r="104" spans="1:100" s="206" customFormat="1" ht="12.75" customHeight="1">
      <c r="A104" s="205"/>
      <c r="B104" s="205"/>
      <c r="C104" s="205"/>
      <c r="D104" s="32"/>
      <c r="E104" s="32"/>
      <c r="F104" s="220"/>
      <c r="G104" s="223"/>
      <c r="H104" s="230"/>
      <c r="I104" s="230"/>
      <c r="J104" s="230"/>
      <c r="K104" s="221"/>
      <c r="L104" s="230"/>
      <c r="M104" s="230"/>
      <c r="N104" s="230"/>
      <c r="O104" s="219"/>
      <c r="P104" s="219"/>
      <c r="Q104" s="222"/>
      <c r="R104" s="231"/>
      <c r="S104" s="232"/>
      <c r="T104" s="205"/>
      <c r="U104" s="205"/>
      <c r="V104" s="205"/>
      <c r="W104" s="204"/>
      <c r="X104" s="204"/>
      <c r="Y104" s="204"/>
      <c r="AG104" s="213"/>
      <c r="AH104" s="211"/>
      <c r="AI104" s="127"/>
      <c r="AJ104" s="127"/>
      <c r="AK104" s="211"/>
      <c r="AL104" s="120"/>
      <c r="AM104" s="120"/>
      <c r="AN104" s="128"/>
      <c r="AO104" s="128"/>
      <c r="AP104" s="99"/>
      <c r="AQ104" s="99"/>
      <c r="AR104" s="144"/>
      <c r="AS104" s="144"/>
      <c r="AT104" s="129"/>
      <c r="AU104" s="149"/>
      <c r="AV104" s="208"/>
      <c r="AW104" s="99"/>
      <c r="AX104" s="89"/>
      <c r="AY104" s="133"/>
      <c r="AZ104" s="134"/>
      <c r="BA104" s="133"/>
      <c r="BB104" s="134"/>
      <c r="BC104" s="133"/>
      <c r="BD104" s="134"/>
      <c r="BE104" s="132"/>
      <c r="BF104" s="132"/>
      <c r="BG104" s="132"/>
      <c r="CO104" s="211"/>
      <c r="CP104" s="211"/>
      <c r="CQ104" s="209"/>
      <c r="CR104" s="209"/>
      <c r="CS104" s="209"/>
      <c r="CT104" s="209"/>
      <c r="CU104" s="211"/>
      <c r="CV104" s="151"/>
    </row>
    <row r="105" spans="1:100" s="206" customFormat="1" ht="12.75" customHeight="1">
      <c r="A105" s="205"/>
      <c r="B105" s="205"/>
      <c r="C105" s="205"/>
      <c r="D105" s="32"/>
      <c r="E105" s="32"/>
      <c r="F105" s="220"/>
      <c r="G105" s="223"/>
      <c r="H105" s="230"/>
      <c r="I105" s="230"/>
      <c r="J105" s="230"/>
      <c r="K105" s="221"/>
      <c r="L105" s="230"/>
      <c r="M105" s="230"/>
      <c r="N105" s="230"/>
      <c r="O105" s="219"/>
      <c r="P105" s="219"/>
      <c r="Q105" s="222"/>
      <c r="R105" s="231"/>
      <c r="S105" s="232"/>
      <c r="T105" s="205"/>
      <c r="U105" s="205"/>
      <c r="V105" s="205"/>
      <c r="W105" s="204"/>
      <c r="X105" s="204"/>
      <c r="Y105" s="204"/>
      <c r="AG105" s="213"/>
      <c r="AH105" s="211"/>
      <c r="AI105" s="127"/>
      <c r="AJ105" s="127"/>
      <c r="AK105" s="211"/>
      <c r="AL105" s="120"/>
      <c r="AM105" s="120"/>
      <c r="AN105" s="128"/>
      <c r="AO105" s="128"/>
      <c r="AP105" s="99"/>
      <c r="AQ105" s="99"/>
      <c r="AR105" s="144"/>
      <c r="AS105" s="144"/>
      <c r="AT105" s="129"/>
      <c r="AU105" s="149"/>
      <c r="AV105" s="208"/>
      <c r="AW105" s="99"/>
      <c r="AX105" s="89"/>
      <c r="AY105" s="133"/>
      <c r="AZ105" s="134"/>
      <c r="BA105" s="133"/>
      <c r="BB105" s="134"/>
      <c r="BC105" s="133"/>
      <c r="BD105" s="134"/>
      <c r="BE105" s="132"/>
      <c r="BF105" s="132"/>
      <c r="BG105" s="132"/>
      <c r="CO105" s="211"/>
      <c r="CP105" s="211"/>
      <c r="CQ105" s="209"/>
      <c r="CR105" s="209"/>
      <c r="CS105" s="209"/>
      <c r="CT105" s="209"/>
      <c r="CU105" s="211"/>
      <c r="CV105" s="151"/>
    </row>
    <row r="106" spans="1:100" s="206" customFormat="1" ht="12.75" customHeight="1">
      <c r="A106" s="205"/>
      <c r="B106" s="205"/>
      <c r="C106" s="205"/>
      <c r="D106" s="32"/>
      <c r="E106" s="32"/>
      <c r="F106" s="220"/>
      <c r="G106" s="223"/>
      <c r="H106" s="230"/>
      <c r="I106" s="230"/>
      <c r="J106" s="230"/>
      <c r="K106" s="221"/>
      <c r="L106" s="230"/>
      <c r="M106" s="230"/>
      <c r="N106" s="230"/>
      <c r="O106" s="219"/>
      <c r="P106" s="219"/>
      <c r="Q106" s="222"/>
      <c r="R106" s="231"/>
      <c r="S106" s="232"/>
      <c r="T106" s="205"/>
      <c r="U106" s="205"/>
      <c r="V106" s="205"/>
      <c r="W106" s="204"/>
      <c r="X106" s="204"/>
      <c r="Y106" s="204"/>
      <c r="AG106" s="213"/>
      <c r="AH106" s="211"/>
      <c r="AI106" s="127"/>
      <c r="AJ106" s="127"/>
      <c r="AK106" s="211"/>
      <c r="AL106" s="120"/>
      <c r="AM106" s="120"/>
      <c r="AN106" s="128"/>
      <c r="AO106" s="128"/>
      <c r="AP106" s="99"/>
      <c r="AQ106" s="99"/>
      <c r="AR106" s="144"/>
      <c r="AS106" s="144"/>
      <c r="AT106" s="129"/>
      <c r="AU106" s="149"/>
      <c r="AV106" s="208"/>
      <c r="AW106" s="99"/>
      <c r="AX106" s="89"/>
      <c r="AY106" s="133"/>
      <c r="AZ106" s="134"/>
      <c r="BA106" s="133"/>
      <c r="BB106" s="134"/>
      <c r="BC106" s="133"/>
      <c r="BD106" s="134"/>
      <c r="BE106" s="132"/>
      <c r="BF106" s="132"/>
      <c r="BG106" s="132"/>
      <c r="CO106" s="211"/>
      <c r="CP106" s="211"/>
      <c r="CQ106" s="209"/>
      <c r="CR106" s="209"/>
      <c r="CS106" s="209"/>
      <c r="CT106" s="209"/>
      <c r="CU106" s="211"/>
      <c r="CV106" s="151"/>
    </row>
    <row r="107" spans="1:100" s="206" customFormat="1" ht="12.75" customHeight="1">
      <c r="A107" s="205"/>
      <c r="B107" s="205"/>
      <c r="C107" s="205"/>
      <c r="D107" s="32"/>
      <c r="E107" s="32"/>
      <c r="F107" s="220"/>
      <c r="G107" s="223"/>
      <c r="H107" s="230"/>
      <c r="I107" s="230"/>
      <c r="J107" s="230"/>
      <c r="K107" s="221"/>
      <c r="L107" s="230"/>
      <c r="M107" s="230"/>
      <c r="N107" s="230"/>
      <c r="O107" s="219"/>
      <c r="P107" s="219"/>
      <c r="Q107" s="222"/>
      <c r="R107" s="231"/>
      <c r="S107" s="232"/>
      <c r="T107" s="205"/>
      <c r="U107" s="205"/>
      <c r="V107" s="205"/>
      <c r="W107" s="204"/>
      <c r="X107" s="204"/>
      <c r="Y107" s="204"/>
      <c r="AG107" s="213"/>
      <c r="AH107" s="211"/>
      <c r="AI107" s="127"/>
      <c r="AJ107" s="127"/>
      <c r="AK107" s="211"/>
      <c r="AL107" s="120"/>
      <c r="AM107" s="120"/>
      <c r="AN107" s="128"/>
      <c r="AO107" s="128"/>
      <c r="AP107" s="99"/>
      <c r="AQ107" s="99"/>
      <c r="AR107" s="144"/>
      <c r="AS107" s="144"/>
      <c r="AT107" s="129"/>
      <c r="AU107" s="149"/>
      <c r="AV107" s="208"/>
      <c r="AW107" s="99"/>
      <c r="AX107" s="89"/>
      <c r="AY107" s="133"/>
      <c r="AZ107" s="134"/>
      <c r="BA107" s="133"/>
      <c r="BB107" s="134"/>
      <c r="BC107" s="133"/>
      <c r="BD107" s="134"/>
      <c r="BE107" s="132"/>
      <c r="BF107" s="132"/>
      <c r="BG107" s="132"/>
      <c r="CO107" s="211"/>
      <c r="CP107" s="211"/>
      <c r="CQ107" s="209"/>
      <c r="CR107" s="209"/>
      <c r="CS107" s="209"/>
      <c r="CT107" s="209"/>
      <c r="CU107" s="211"/>
      <c r="CV107" s="151"/>
    </row>
    <row r="108" spans="1:100" s="206" customFormat="1" ht="12.75" customHeight="1">
      <c r="A108" s="205"/>
      <c r="B108" s="205"/>
      <c r="C108" s="205"/>
      <c r="D108" s="32"/>
      <c r="E108" s="32"/>
      <c r="F108" s="220"/>
      <c r="G108" s="223"/>
      <c r="H108" s="230"/>
      <c r="I108" s="230"/>
      <c r="J108" s="230"/>
      <c r="K108" s="221"/>
      <c r="L108" s="230"/>
      <c r="M108" s="230"/>
      <c r="N108" s="230"/>
      <c r="O108" s="219"/>
      <c r="P108" s="219"/>
      <c r="Q108" s="222"/>
      <c r="R108" s="231"/>
      <c r="S108" s="232"/>
      <c r="T108" s="205"/>
      <c r="U108" s="205"/>
      <c r="V108" s="205"/>
      <c r="W108" s="204"/>
      <c r="X108" s="204"/>
      <c r="Y108" s="204"/>
      <c r="AG108" s="213"/>
      <c r="AH108" s="211"/>
      <c r="AI108" s="127"/>
      <c r="AJ108" s="127"/>
      <c r="AK108" s="211"/>
      <c r="AL108" s="120"/>
      <c r="AM108" s="120"/>
      <c r="AN108" s="128"/>
      <c r="AO108" s="128"/>
      <c r="AP108" s="99"/>
      <c r="AQ108" s="99"/>
      <c r="AR108" s="144"/>
      <c r="AS108" s="144"/>
      <c r="AT108" s="129"/>
      <c r="AU108" s="149"/>
      <c r="AV108" s="208"/>
      <c r="AW108" s="99"/>
      <c r="AX108" s="89"/>
      <c r="AY108" s="133"/>
      <c r="AZ108" s="134"/>
      <c r="BA108" s="133"/>
      <c r="BB108" s="134"/>
      <c r="BC108" s="133"/>
      <c r="BD108" s="134"/>
      <c r="BE108" s="132"/>
      <c r="BF108" s="132"/>
      <c r="BG108" s="132"/>
      <c r="CO108" s="211"/>
      <c r="CP108" s="211"/>
      <c r="CQ108" s="209"/>
      <c r="CR108" s="209"/>
      <c r="CS108" s="209"/>
      <c r="CT108" s="209"/>
      <c r="CU108" s="211"/>
      <c r="CV108" s="151"/>
    </row>
    <row r="109" spans="1:100" s="206" customFormat="1" ht="12.75" customHeight="1">
      <c r="A109" s="205"/>
      <c r="B109" s="205"/>
      <c r="C109" s="205"/>
      <c r="D109" s="32"/>
      <c r="E109" s="32"/>
      <c r="F109" s="220"/>
      <c r="G109" s="223"/>
      <c r="H109" s="230"/>
      <c r="I109" s="230"/>
      <c r="J109" s="230"/>
      <c r="K109" s="221"/>
      <c r="L109" s="230"/>
      <c r="M109" s="230"/>
      <c r="N109" s="230"/>
      <c r="O109" s="219"/>
      <c r="P109" s="219"/>
      <c r="Q109" s="222"/>
      <c r="R109" s="231"/>
      <c r="S109" s="232"/>
      <c r="T109" s="205"/>
      <c r="U109" s="205"/>
      <c r="V109" s="205"/>
      <c r="W109" s="204"/>
      <c r="X109" s="204"/>
      <c r="Y109" s="204"/>
      <c r="AG109" s="213"/>
      <c r="AH109" s="211"/>
      <c r="AI109" s="127"/>
      <c r="AJ109" s="127"/>
      <c r="AK109" s="211"/>
      <c r="AL109" s="120"/>
      <c r="AM109" s="120"/>
      <c r="AN109" s="128"/>
      <c r="AO109" s="128"/>
      <c r="AP109" s="99"/>
      <c r="AQ109" s="99"/>
      <c r="AR109" s="144"/>
      <c r="AS109" s="144"/>
      <c r="AT109" s="129"/>
      <c r="AU109" s="149"/>
      <c r="AV109" s="208"/>
      <c r="AW109" s="99"/>
      <c r="AX109" s="89"/>
      <c r="AY109" s="133"/>
      <c r="AZ109" s="134"/>
      <c r="BA109" s="133"/>
      <c r="BB109" s="134"/>
      <c r="BC109" s="133"/>
      <c r="BD109" s="134"/>
      <c r="BE109" s="132"/>
      <c r="BF109" s="132"/>
      <c r="BG109" s="132"/>
      <c r="CO109" s="211"/>
      <c r="CP109" s="211"/>
      <c r="CQ109" s="209"/>
      <c r="CR109" s="209"/>
      <c r="CS109" s="209"/>
      <c r="CT109" s="209"/>
      <c r="CU109" s="211"/>
      <c r="CV109" s="151"/>
    </row>
    <row r="110" spans="1:100" s="206" customFormat="1" ht="12.75" customHeight="1">
      <c r="A110" s="205"/>
      <c r="B110" s="205"/>
      <c r="C110" s="205"/>
      <c r="D110" s="32"/>
      <c r="E110" s="32"/>
      <c r="F110" s="220"/>
      <c r="G110" s="223"/>
      <c r="H110" s="230"/>
      <c r="I110" s="230"/>
      <c r="J110" s="230"/>
      <c r="K110" s="221"/>
      <c r="L110" s="230"/>
      <c r="M110" s="230"/>
      <c r="N110" s="230"/>
      <c r="O110" s="219"/>
      <c r="P110" s="219"/>
      <c r="Q110" s="222"/>
      <c r="R110" s="231"/>
      <c r="S110" s="232"/>
      <c r="T110" s="205"/>
      <c r="U110" s="205"/>
      <c r="V110" s="205"/>
      <c r="W110" s="204"/>
      <c r="X110" s="204"/>
      <c r="Y110" s="204"/>
      <c r="AG110" s="213"/>
      <c r="AH110" s="211"/>
      <c r="AI110" s="127"/>
      <c r="AJ110" s="127"/>
      <c r="AK110" s="211"/>
      <c r="AL110" s="120"/>
      <c r="AM110" s="120"/>
      <c r="AN110" s="128"/>
      <c r="AO110" s="128"/>
      <c r="AP110" s="99"/>
      <c r="AQ110" s="99"/>
      <c r="AR110" s="144"/>
      <c r="AS110" s="144"/>
      <c r="AT110" s="129"/>
      <c r="AU110" s="149"/>
      <c r="AV110" s="208"/>
      <c r="AW110" s="99"/>
      <c r="AX110" s="89"/>
      <c r="AY110" s="133"/>
      <c r="AZ110" s="134"/>
      <c r="BA110" s="133"/>
      <c r="BB110" s="134"/>
      <c r="BC110" s="133"/>
      <c r="BD110" s="134"/>
      <c r="BE110" s="132"/>
      <c r="BF110" s="132"/>
      <c r="BG110" s="132"/>
      <c r="CO110" s="211"/>
      <c r="CP110" s="211"/>
      <c r="CQ110" s="209"/>
      <c r="CR110" s="209"/>
      <c r="CS110" s="209"/>
      <c r="CT110" s="209"/>
      <c r="CU110" s="211"/>
      <c r="CV110" s="151"/>
    </row>
    <row r="111" spans="1:100" s="206" customFormat="1" ht="12.75" customHeight="1">
      <c r="A111" s="205"/>
      <c r="B111" s="205"/>
      <c r="C111" s="205"/>
      <c r="D111" s="32"/>
      <c r="E111" s="32"/>
      <c r="F111" s="220"/>
      <c r="G111" s="223"/>
      <c r="H111" s="230"/>
      <c r="I111" s="230"/>
      <c r="J111" s="230"/>
      <c r="K111" s="221"/>
      <c r="L111" s="230"/>
      <c r="M111" s="230"/>
      <c r="N111" s="230"/>
      <c r="O111" s="219"/>
      <c r="P111" s="219"/>
      <c r="Q111" s="222"/>
      <c r="R111" s="231"/>
      <c r="S111" s="232"/>
      <c r="T111" s="205"/>
      <c r="U111" s="205"/>
      <c r="V111" s="205"/>
      <c r="W111" s="204"/>
      <c r="X111" s="204"/>
      <c r="Y111" s="204"/>
      <c r="AG111" s="213"/>
      <c r="AH111" s="211"/>
      <c r="AI111" s="127"/>
      <c r="AJ111" s="127"/>
      <c r="AK111" s="211"/>
      <c r="AL111" s="120"/>
      <c r="AM111" s="120"/>
      <c r="AN111" s="128"/>
      <c r="AO111" s="128"/>
      <c r="AP111" s="99"/>
      <c r="AQ111" s="99"/>
      <c r="AR111" s="144"/>
      <c r="AS111" s="144"/>
      <c r="AT111" s="129"/>
      <c r="AU111" s="149"/>
      <c r="AV111" s="208"/>
      <c r="AW111" s="99"/>
      <c r="AX111" s="89"/>
      <c r="AY111" s="133"/>
      <c r="AZ111" s="134"/>
      <c r="BA111" s="133"/>
      <c r="BB111" s="134"/>
      <c r="BC111" s="133"/>
      <c r="BD111" s="134"/>
      <c r="BE111" s="132"/>
      <c r="BF111" s="132"/>
      <c r="BG111" s="132"/>
      <c r="CO111" s="211"/>
      <c r="CP111" s="211"/>
      <c r="CQ111" s="209"/>
      <c r="CR111" s="209"/>
      <c r="CS111" s="209"/>
      <c r="CT111" s="209"/>
      <c r="CU111" s="211"/>
      <c r="CV111" s="151"/>
    </row>
    <row r="112" spans="1:100" s="206" customFormat="1" ht="12.75" customHeight="1">
      <c r="A112" s="205"/>
      <c r="B112" s="205"/>
      <c r="C112" s="205"/>
      <c r="D112" s="32"/>
      <c r="E112" s="32"/>
      <c r="F112" s="220"/>
      <c r="G112" s="223"/>
      <c r="H112" s="230"/>
      <c r="I112" s="230"/>
      <c r="J112" s="230"/>
      <c r="K112" s="221"/>
      <c r="L112" s="230"/>
      <c r="M112" s="230"/>
      <c r="N112" s="230"/>
      <c r="O112" s="219"/>
      <c r="P112" s="219"/>
      <c r="Q112" s="222"/>
      <c r="R112" s="231"/>
      <c r="S112" s="232"/>
      <c r="T112" s="205"/>
      <c r="U112" s="205"/>
      <c r="V112" s="205"/>
      <c r="W112" s="204"/>
      <c r="X112" s="204"/>
      <c r="Y112" s="204"/>
      <c r="AG112" s="213"/>
      <c r="AH112" s="211"/>
      <c r="AI112" s="127"/>
      <c r="AJ112" s="127"/>
      <c r="AK112" s="211"/>
      <c r="AL112" s="120"/>
      <c r="AM112" s="120"/>
      <c r="AN112" s="128"/>
      <c r="AO112" s="128"/>
      <c r="AP112" s="99"/>
      <c r="AQ112" s="99"/>
      <c r="AR112" s="144"/>
      <c r="AS112" s="144"/>
      <c r="AT112" s="129"/>
      <c r="AU112" s="149"/>
      <c r="AV112" s="208"/>
      <c r="AW112" s="99"/>
      <c r="AX112" s="89"/>
      <c r="AY112" s="133"/>
      <c r="AZ112" s="134"/>
      <c r="BA112" s="133"/>
      <c r="BB112" s="134"/>
      <c r="BC112" s="133"/>
      <c r="BD112" s="134"/>
      <c r="BE112" s="132"/>
      <c r="BF112" s="132"/>
      <c r="BG112" s="132"/>
      <c r="CO112" s="211"/>
      <c r="CP112" s="211"/>
      <c r="CQ112" s="209"/>
      <c r="CR112" s="209"/>
      <c r="CS112" s="209"/>
      <c r="CT112" s="209"/>
      <c r="CU112" s="211"/>
      <c r="CV112" s="151"/>
    </row>
    <row r="113" spans="1:100" s="206" customFormat="1" ht="12.75" customHeight="1">
      <c r="A113" s="205"/>
      <c r="B113" s="205"/>
      <c r="C113" s="205"/>
      <c r="D113" s="32"/>
      <c r="E113" s="32"/>
      <c r="F113" s="220"/>
      <c r="G113" s="223"/>
      <c r="H113" s="230"/>
      <c r="I113" s="230"/>
      <c r="J113" s="230"/>
      <c r="K113" s="221"/>
      <c r="L113" s="230"/>
      <c r="M113" s="230"/>
      <c r="N113" s="230"/>
      <c r="O113" s="219"/>
      <c r="P113" s="219"/>
      <c r="Q113" s="222"/>
      <c r="R113" s="231"/>
      <c r="S113" s="232"/>
      <c r="T113" s="205"/>
      <c r="U113" s="205"/>
      <c r="V113" s="205"/>
      <c r="W113" s="204"/>
      <c r="X113" s="204"/>
      <c r="Y113" s="204"/>
      <c r="AG113" s="213"/>
      <c r="AH113" s="211"/>
      <c r="AI113" s="127"/>
      <c r="AJ113" s="127"/>
      <c r="AK113" s="211"/>
      <c r="AL113" s="120"/>
      <c r="AM113" s="120"/>
      <c r="AN113" s="128"/>
      <c r="AO113" s="128"/>
      <c r="AP113" s="99"/>
      <c r="AQ113" s="99"/>
      <c r="AR113" s="144"/>
      <c r="AS113" s="144"/>
      <c r="AT113" s="129"/>
      <c r="AU113" s="149"/>
      <c r="AV113" s="208"/>
      <c r="AW113" s="99"/>
      <c r="AX113" s="89"/>
      <c r="AY113" s="133"/>
      <c r="AZ113" s="134"/>
      <c r="BA113" s="133"/>
      <c r="BB113" s="134"/>
      <c r="BC113" s="133"/>
      <c r="BD113" s="134"/>
      <c r="BE113" s="132"/>
      <c r="BF113" s="132"/>
      <c r="BG113" s="132"/>
      <c r="CO113" s="211"/>
      <c r="CP113" s="211"/>
      <c r="CQ113" s="209"/>
      <c r="CR113" s="209"/>
      <c r="CS113" s="209"/>
      <c r="CT113" s="209"/>
      <c r="CU113" s="211"/>
      <c r="CV113" s="151"/>
    </row>
    <row r="114" spans="1:100" s="206" customFormat="1" ht="12.75" customHeight="1">
      <c r="A114" s="205"/>
      <c r="B114" s="205"/>
      <c r="C114" s="205"/>
      <c r="D114" s="32"/>
      <c r="E114" s="32"/>
      <c r="F114" s="220"/>
      <c r="G114" s="223"/>
      <c r="H114" s="230"/>
      <c r="I114" s="230"/>
      <c r="J114" s="230"/>
      <c r="K114" s="221"/>
      <c r="L114" s="230"/>
      <c r="M114" s="230"/>
      <c r="N114" s="230"/>
      <c r="O114" s="219"/>
      <c r="P114" s="219"/>
      <c r="Q114" s="222"/>
      <c r="R114" s="231"/>
      <c r="S114" s="232"/>
      <c r="T114" s="205"/>
      <c r="U114" s="205"/>
      <c r="V114" s="205"/>
      <c r="W114" s="204"/>
      <c r="X114" s="204"/>
      <c r="Y114" s="204"/>
      <c r="AG114" s="213"/>
      <c r="AH114" s="211"/>
      <c r="AI114" s="127"/>
      <c r="AJ114" s="127"/>
      <c r="AK114" s="211"/>
      <c r="AL114" s="120"/>
      <c r="AM114" s="120"/>
      <c r="AN114" s="128"/>
      <c r="AO114" s="128"/>
      <c r="AP114" s="99"/>
      <c r="AQ114" s="99"/>
      <c r="AR114" s="144"/>
      <c r="AS114" s="144"/>
      <c r="AT114" s="129"/>
      <c r="AU114" s="149"/>
      <c r="AV114" s="208"/>
      <c r="AW114" s="99"/>
      <c r="AX114" s="89"/>
      <c r="AY114" s="133"/>
      <c r="AZ114" s="134"/>
      <c r="BA114" s="133"/>
      <c r="BB114" s="134"/>
      <c r="BC114" s="133"/>
      <c r="BD114" s="134"/>
      <c r="BE114" s="132"/>
      <c r="BF114" s="132"/>
      <c r="BG114" s="132"/>
      <c r="CO114" s="211"/>
      <c r="CP114" s="211"/>
      <c r="CQ114" s="209"/>
      <c r="CR114" s="209"/>
      <c r="CS114" s="209"/>
      <c r="CT114" s="209"/>
      <c r="CU114" s="211"/>
      <c r="CV114" s="151"/>
    </row>
    <row r="115" spans="1:100" s="206" customFormat="1" ht="12.75" customHeight="1">
      <c r="A115" s="205"/>
      <c r="B115" s="205"/>
      <c r="C115" s="205"/>
      <c r="D115" s="32"/>
      <c r="E115" s="32"/>
      <c r="F115" s="220"/>
      <c r="G115" s="223"/>
      <c r="H115" s="230"/>
      <c r="I115" s="230"/>
      <c r="J115" s="230"/>
      <c r="K115" s="221"/>
      <c r="L115" s="230"/>
      <c r="M115" s="230"/>
      <c r="N115" s="230"/>
      <c r="O115" s="219"/>
      <c r="P115" s="219"/>
      <c r="Q115" s="222"/>
      <c r="R115" s="231"/>
      <c r="S115" s="232"/>
      <c r="T115" s="205"/>
      <c r="U115" s="205"/>
      <c r="V115" s="205"/>
      <c r="W115" s="204"/>
      <c r="X115" s="204"/>
      <c r="Y115" s="204"/>
      <c r="AG115" s="213"/>
      <c r="AH115" s="211"/>
      <c r="AI115" s="127"/>
      <c r="AJ115" s="127"/>
      <c r="AK115" s="211"/>
      <c r="AL115" s="120"/>
      <c r="AM115" s="120"/>
      <c r="AN115" s="128"/>
      <c r="AO115" s="128"/>
      <c r="AP115" s="99"/>
      <c r="AQ115" s="99"/>
      <c r="AR115" s="144"/>
      <c r="AS115" s="144"/>
      <c r="AT115" s="129"/>
      <c r="AU115" s="149"/>
      <c r="AV115" s="208"/>
      <c r="AW115" s="99"/>
      <c r="AX115" s="89"/>
      <c r="AY115" s="133"/>
      <c r="AZ115" s="134"/>
      <c r="BA115" s="133"/>
      <c r="BB115" s="134"/>
      <c r="BC115" s="133"/>
      <c r="BD115" s="134"/>
      <c r="BE115" s="132"/>
      <c r="BF115" s="132"/>
      <c r="BG115" s="132"/>
      <c r="CO115" s="211"/>
      <c r="CP115" s="211"/>
      <c r="CQ115" s="209"/>
      <c r="CR115" s="209"/>
      <c r="CS115" s="209"/>
      <c r="CT115" s="209"/>
      <c r="CU115" s="211"/>
      <c r="CV115" s="151"/>
    </row>
    <row r="116" spans="1:100" s="206" customFormat="1" ht="12.75" customHeight="1">
      <c r="A116" s="205"/>
      <c r="B116" s="205"/>
      <c r="C116" s="205"/>
      <c r="D116" s="32"/>
      <c r="E116" s="32"/>
      <c r="F116" s="220"/>
      <c r="G116" s="223"/>
      <c r="H116" s="230"/>
      <c r="I116" s="230"/>
      <c r="J116" s="230"/>
      <c r="K116" s="221"/>
      <c r="L116" s="230"/>
      <c r="M116" s="230"/>
      <c r="N116" s="230"/>
      <c r="O116" s="219"/>
      <c r="P116" s="219"/>
      <c r="Q116" s="222"/>
      <c r="R116" s="231"/>
      <c r="S116" s="232"/>
      <c r="T116" s="205"/>
      <c r="U116" s="205"/>
      <c r="V116" s="205"/>
      <c r="W116" s="204"/>
      <c r="X116" s="204"/>
      <c r="Y116" s="204"/>
      <c r="AG116" s="213"/>
      <c r="AH116" s="211"/>
      <c r="AI116" s="127"/>
      <c r="AJ116" s="127"/>
      <c r="AK116" s="211"/>
      <c r="AL116" s="120"/>
      <c r="AM116" s="120"/>
      <c r="AN116" s="128"/>
      <c r="AO116" s="128"/>
      <c r="AP116" s="99"/>
      <c r="AQ116" s="99"/>
      <c r="AR116" s="144"/>
      <c r="AS116" s="144"/>
      <c r="AT116" s="129"/>
      <c r="AU116" s="149"/>
      <c r="AV116" s="208"/>
      <c r="AW116" s="99"/>
      <c r="AX116" s="89"/>
      <c r="AY116" s="133"/>
      <c r="AZ116" s="134"/>
      <c r="BA116" s="133"/>
      <c r="BB116" s="134"/>
      <c r="BC116" s="133"/>
      <c r="BD116" s="134"/>
      <c r="BE116" s="132"/>
      <c r="BF116" s="132"/>
      <c r="BG116" s="132"/>
      <c r="CO116" s="211"/>
      <c r="CP116" s="211"/>
      <c r="CQ116" s="209"/>
      <c r="CR116" s="209"/>
      <c r="CS116" s="209"/>
      <c r="CT116" s="209"/>
      <c r="CU116" s="211"/>
      <c r="CV116" s="151"/>
    </row>
    <row r="117" spans="1:100" s="206" customFormat="1" ht="12.75" customHeight="1">
      <c r="A117" s="205"/>
      <c r="B117" s="205"/>
      <c r="C117" s="205"/>
      <c r="D117" s="32"/>
      <c r="E117" s="32"/>
      <c r="F117" s="220"/>
      <c r="G117" s="223"/>
      <c r="H117" s="230"/>
      <c r="I117" s="230"/>
      <c r="J117" s="230"/>
      <c r="K117" s="221"/>
      <c r="L117" s="230"/>
      <c r="M117" s="230"/>
      <c r="N117" s="230"/>
      <c r="O117" s="219"/>
      <c r="P117" s="219"/>
      <c r="Q117" s="222"/>
      <c r="R117" s="231"/>
      <c r="S117" s="232"/>
      <c r="T117" s="205"/>
      <c r="U117" s="205"/>
      <c r="V117" s="205"/>
      <c r="W117" s="204"/>
      <c r="X117" s="204"/>
      <c r="Y117" s="204"/>
      <c r="AG117" s="213"/>
      <c r="AH117" s="211"/>
      <c r="AI117" s="127"/>
      <c r="AJ117" s="127"/>
      <c r="AK117" s="211"/>
      <c r="AL117" s="120"/>
      <c r="AM117" s="120"/>
      <c r="AN117" s="128"/>
      <c r="AO117" s="128"/>
      <c r="AP117" s="99"/>
      <c r="AQ117" s="99"/>
      <c r="AR117" s="144"/>
      <c r="AS117" s="144"/>
      <c r="AT117" s="129"/>
      <c r="AU117" s="149"/>
      <c r="AV117" s="208"/>
      <c r="AW117" s="99"/>
      <c r="AX117" s="89"/>
      <c r="AY117" s="133"/>
      <c r="AZ117" s="134"/>
      <c r="BA117" s="133"/>
      <c r="BB117" s="134"/>
      <c r="BC117" s="133"/>
      <c r="BD117" s="134"/>
      <c r="BE117" s="132"/>
      <c r="BF117" s="132"/>
      <c r="BG117" s="132"/>
      <c r="CO117" s="211"/>
      <c r="CP117" s="211"/>
      <c r="CQ117" s="209"/>
      <c r="CR117" s="209"/>
      <c r="CS117" s="209"/>
      <c r="CT117" s="209"/>
      <c r="CU117" s="211"/>
      <c r="CV117" s="151"/>
    </row>
    <row r="118" spans="1:100" s="206" customFormat="1" ht="12.75" customHeight="1">
      <c r="A118" s="205"/>
      <c r="B118" s="205"/>
      <c r="C118" s="205"/>
      <c r="D118" s="32"/>
      <c r="E118" s="32"/>
      <c r="F118" s="220"/>
      <c r="G118" s="223"/>
      <c r="H118" s="230"/>
      <c r="I118" s="230"/>
      <c r="J118" s="230"/>
      <c r="K118" s="221"/>
      <c r="L118" s="230"/>
      <c r="M118" s="230"/>
      <c r="N118" s="230"/>
      <c r="O118" s="219"/>
      <c r="P118" s="219"/>
      <c r="Q118" s="222"/>
      <c r="R118" s="231"/>
      <c r="S118" s="232"/>
      <c r="T118" s="205"/>
      <c r="U118" s="205"/>
      <c r="V118" s="205"/>
      <c r="W118" s="204"/>
      <c r="X118" s="204"/>
      <c r="Y118" s="204"/>
      <c r="AG118" s="213"/>
      <c r="AH118" s="211"/>
      <c r="AI118" s="127"/>
      <c r="AJ118" s="127"/>
      <c r="AK118" s="211"/>
      <c r="AL118" s="120"/>
      <c r="AM118" s="120"/>
      <c r="AN118" s="128"/>
      <c r="AO118" s="128"/>
      <c r="AP118" s="99"/>
      <c r="AQ118" s="99"/>
      <c r="AR118" s="144"/>
      <c r="AS118" s="144"/>
      <c r="AT118" s="129"/>
      <c r="AU118" s="149"/>
      <c r="AV118" s="208"/>
      <c r="AW118" s="99"/>
      <c r="AX118" s="89"/>
      <c r="AY118" s="133"/>
      <c r="AZ118" s="134"/>
      <c r="BA118" s="133"/>
      <c r="BB118" s="134"/>
      <c r="BC118" s="133"/>
      <c r="BD118" s="134"/>
      <c r="BE118" s="132"/>
      <c r="BF118" s="132"/>
      <c r="BG118" s="132"/>
      <c r="CO118" s="211"/>
      <c r="CP118" s="211"/>
      <c r="CQ118" s="209"/>
      <c r="CR118" s="209"/>
      <c r="CS118" s="209"/>
      <c r="CT118" s="209"/>
      <c r="CU118" s="211"/>
      <c r="CV118" s="151"/>
    </row>
    <row r="119" spans="1:100" s="206" customFormat="1" ht="12.75" customHeight="1">
      <c r="A119" s="205"/>
      <c r="B119" s="205"/>
      <c r="C119" s="205"/>
      <c r="D119" s="32"/>
      <c r="E119" s="32"/>
      <c r="F119" s="220"/>
      <c r="G119" s="223"/>
      <c r="H119" s="230"/>
      <c r="I119" s="230"/>
      <c r="J119" s="230"/>
      <c r="K119" s="221"/>
      <c r="L119" s="230"/>
      <c r="M119" s="230"/>
      <c r="N119" s="230"/>
      <c r="O119" s="219"/>
      <c r="P119" s="219"/>
      <c r="Q119" s="222"/>
      <c r="R119" s="231"/>
      <c r="S119" s="232"/>
      <c r="T119" s="205"/>
      <c r="U119" s="205"/>
      <c r="V119" s="205"/>
      <c r="W119" s="204"/>
      <c r="X119" s="204"/>
      <c r="Y119" s="204"/>
      <c r="AG119" s="213"/>
      <c r="AH119" s="211"/>
      <c r="AI119" s="127"/>
      <c r="AJ119" s="127"/>
      <c r="AK119" s="211"/>
      <c r="AL119" s="120"/>
      <c r="AM119" s="120"/>
      <c r="AN119" s="128"/>
      <c r="AO119" s="128"/>
      <c r="AP119" s="99"/>
      <c r="AQ119" s="99"/>
      <c r="AR119" s="144"/>
      <c r="AS119" s="144"/>
      <c r="AT119" s="129"/>
      <c r="AU119" s="149"/>
      <c r="AV119" s="208"/>
      <c r="AW119" s="99"/>
      <c r="AX119" s="89"/>
      <c r="AY119" s="133"/>
      <c r="AZ119" s="134"/>
      <c r="BA119" s="133"/>
      <c r="BB119" s="134"/>
      <c r="BC119" s="133"/>
      <c r="BD119" s="134"/>
      <c r="BE119" s="132"/>
      <c r="BF119" s="132"/>
      <c r="BG119" s="132"/>
      <c r="CO119" s="211"/>
      <c r="CP119" s="211"/>
      <c r="CQ119" s="209"/>
      <c r="CR119" s="209"/>
      <c r="CS119" s="209"/>
      <c r="CT119" s="209"/>
      <c r="CU119" s="211"/>
      <c r="CV119" s="151"/>
    </row>
    <row r="120" spans="1:100" s="206" customFormat="1" ht="12.75" customHeight="1">
      <c r="A120" s="205"/>
      <c r="B120" s="205"/>
      <c r="C120" s="205"/>
      <c r="D120" s="32"/>
      <c r="E120" s="32"/>
      <c r="F120" s="220"/>
      <c r="G120" s="223"/>
      <c r="H120" s="230"/>
      <c r="I120" s="230"/>
      <c r="J120" s="230"/>
      <c r="K120" s="221"/>
      <c r="L120" s="230"/>
      <c r="M120" s="230"/>
      <c r="N120" s="230"/>
      <c r="O120" s="219"/>
      <c r="P120" s="219"/>
      <c r="Q120" s="222"/>
      <c r="R120" s="231"/>
      <c r="S120" s="232"/>
      <c r="T120" s="205"/>
      <c r="U120" s="205"/>
      <c r="V120" s="205"/>
      <c r="W120" s="204"/>
      <c r="X120" s="204"/>
      <c r="Y120" s="204"/>
      <c r="AG120" s="213"/>
      <c r="AH120" s="211"/>
      <c r="AI120" s="127"/>
      <c r="AJ120" s="127"/>
      <c r="AK120" s="211"/>
      <c r="AL120" s="120"/>
      <c r="AM120" s="120"/>
      <c r="AN120" s="128"/>
      <c r="AO120" s="128"/>
      <c r="AP120" s="99"/>
      <c r="AQ120" s="99"/>
      <c r="AR120" s="144"/>
      <c r="AS120" s="144"/>
      <c r="AT120" s="129"/>
      <c r="AU120" s="149"/>
      <c r="AV120" s="208"/>
      <c r="AW120" s="99"/>
      <c r="AX120" s="89"/>
      <c r="AY120" s="133"/>
      <c r="AZ120" s="134"/>
      <c r="BA120" s="133"/>
      <c r="BB120" s="134"/>
      <c r="BC120" s="133"/>
      <c r="BD120" s="134"/>
      <c r="BE120" s="132"/>
      <c r="BF120" s="132"/>
      <c r="BG120" s="132"/>
      <c r="CO120" s="211"/>
      <c r="CP120" s="211"/>
      <c r="CQ120" s="209"/>
      <c r="CR120" s="209"/>
      <c r="CS120" s="209"/>
      <c r="CT120" s="209"/>
      <c r="CU120" s="211"/>
      <c r="CV120" s="151"/>
    </row>
    <row r="121" spans="1:100" s="206" customFormat="1" ht="12.75" customHeight="1">
      <c r="A121" s="205"/>
      <c r="B121" s="205"/>
      <c r="C121" s="205"/>
      <c r="D121" s="32"/>
      <c r="E121" s="32"/>
      <c r="F121" s="220"/>
      <c r="G121" s="223"/>
      <c r="H121" s="230"/>
      <c r="I121" s="230"/>
      <c r="J121" s="230"/>
      <c r="K121" s="221"/>
      <c r="L121" s="230"/>
      <c r="M121" s="230"/>
      <c r="N121" s="230"/>
      <c r="O121" s="219"/>
      <c r="P121" s="219"/>
      <c r="Q121" s="222"/>
      <c r="R121" s="231"/>
      <c r="S121" s="232"/>
      <c r="T121" s="205"/>
      <c r="U121" s="205"/>
      <c r="V121" s="205"/>
      <c r="W121" s="204"/>
      <c r="X121" s="204"/>
      <c r="Y121" s="204"/>
      <c r="AG121" s="213"/>
      <c r="AH121" s="211"/>
      <c r="AI121" s="127"/>
      <c r="AJ121" s="127"/>
      <c r="AK121" s="211"/>
      <c r="AL121" s="120"/>
      <c r="AM121" s="120"/>
      <c r="AN121" s="128"/>
      <c r="AO121" s="128"/>
      <c r="AP121" s="99"/>
      <c r="AQ121" s="99"/>
      <c r="AR121" s="144"/>
      <c r="AS121" s="144"/>
      <c r="AT121" s="129"/>
      <c r="AU121" s="149"/>
      <c r="AV121" s="208"/>
      <c r="AW121" s="99"/>
      <c r="AX121" s="89"/>
      <c r="AY121" s="133"/>
      <c r="AZ121" s="134"/>
      <c r="BA121" s="133"/>
      <c r="BB121" s="134"/>
      <c r="BC121" s="133"/>
      <c r="BD121" s="134"/>
      <c r="BE121" s="132"/>
      <c r="BF121" s="132"/>
      <c r="BG121" s="132"/>
      <c r="CO121" s="211"/>
      <c r="CP121" s="211"/>
      <c r="CQ121" s="209"/>
      <c r="CR121" s="209"/>
      <c r="CS121" s="209"/>
      <c r="CT121" s="209"/>
      <c r="CU121" s="211"/>
      <c r="CV121" s="151"/>
    </row>
    <row r="122" spans="1:100" s="206" customFormat="1" ht="12.75" customHeight="1">
      <c r="A122" s="205"/>
      <c r="B122" s="205"/>
      <c r="C122" s="205"/>
      <c r="D122" s="32"/>
      <c r="E122" s="32"/>
      <c r="F122" s="220"/>
      <c r="G122" s="223"/>
      <c r="H122" s="230"/>
      <c r="I122" s="230"/>
      <c r="J122" s="230"/>
      <c r="K122" s="221"/>
      <c r="L122" s="230"/>
      <c r="M122" s="230"/>
      <c r="N122" s="230"/>
      <c r="O122" s="219"/>
      <c r="P122" s="219"/>
      <c r="Q122" s="222"/>
      <c r="R122" s="231"/>
      <c r="S122" s="232"/>
      <c r="T122" s="205"/>
      <c r="U122" s="205"/>
      <c r="V122" s="205"/>
      <c r="W122" s="204"/>
      <c r="X122" s="204"/>
      <c r="Y122" s="204"/>
      <c r="AG122" s="213"/>
      <c r="AH122" s="211"/>
      <c r="AI122" s="127"/>
      <c r="AJ122" s="127"/>
      <c r="AK122" s="211"/>
      <c r="AL122" s="120"/>
      <c r="AM122" s="120"/>
      <c r="AN122" s="128"/>
      <c r="AO122" s="128"/>
      <c r="AP122" s="99"/>
      <c r="AQ122" s="99"/>
      <c r="AR122" s="144"/>
      <c r="AS122" s="144"/>
      <c r="AT122" s="129"/>
      <c r="AU122" s="149"/>
      <c r="AV122" s="208"/>
      <c r="AW122" s="99"/>
      <c r="AX122" s="89"/>
      <c r="AY122" s="133"/>
      <c r="AZ122" s="134"/>
      <c r="BA122" s="133"/>
      <c r="BB122" s="134"/>
      <c r="BC122" s="133"/>
      <c r="BD122" s="134"/>
      <c r="BE122" s="132"/>
      <c r="BF122" s="132"/>
      <c r="BG122" s="132"/>
      <c r="CO122" s="211"/>
      <c r="CP122" s="211"/>
      <c r="CQ122" s="209"/>
      <c r="CR122" s="209"/>
      <c r="CS122" s="209"/>
      <c r="CT122" s="209"/>
      <c r="CU122" s="211"/>
      <c r="CV122" s="151"/>
    </row>
    <row r="123" spans="1:100" s="206" customFormat="1" ht="12.75" customHeight="1">
      <c r="A123" s="205"/>
      <c r="B123" s="205"/>
      <c r="C123" s="205"/>
      <c r="D123" s="32"/>
      <c r="E123" s="32"/>
      <c r="F123" s="220"/>
      <c r="G123" s="223"/>
      <c r="H123" s="230"/>
      <c r="I123" s="230"/>
      <c r="J123" s="230"/>
      <c r="K123" s="221"/>
      <c r="L123" s="230"/>
      <c r="M123" s="230"/>
      <c r="N123" s="230"/>
      <c r="O123" s="219"/>
      <c r="P123" s="219"/>
      <c r="Q123" s="222"/>
      <c r="R123" s="231"/>
      <c r="S123" s="232"/>
      <c r="T123" s="205"/>
      <c r="U123" s="205"/>
      <c r="V123" s="205"/>
      <c r="W123" s="204"/>
      <c r="X123" s="204"/>
      <c r="Y123" s="204"/>
      <c r="AG123" s="213"/>
      <c r="AH123" s="211"/>
      <c r="AI123" s="127"/>
      <c r="AJ123" s="127"/>
      <c r="AK123" s="211"/>
      <c r="AL123" s="120"/>
      <c r="AM123" s="120"/>
      <c r="AN123" s="128"/>
      <c r="AO123" s="128"/>
      <c r="AP123" s="99"/>
      <c r="AQ123" s="99"/>
      <c r="AR123" s="144"/>
      <c r="AS123" s="144"/>
      <c r="AT123" s="129"/>
      <c r="AU123" s="149"/>
      <c r="AV123" s="208"/>
      <c r="AW123" s="99"/>
      <c r="AX123" s="89"/>
      <c r="AY123" s="133"/>
      <c r="AZ123" s="134"/>
      <c r="BA123" s="133"/>
      <c r="BB123" s="134"/>
      <c r="BC123" s="133"/>
      <c r="BD123" s="134"/>
      <c r="BE123" s="132"/>
      <c r="BF123" s="132"/>
      <c r="BG123" s="132"/>
      <c r="CO123" s="211"/>
      <c r="CP123" s="211"/>
      <c r="CQ123" s="209"/>
      <c r="CR123" s="209"/>
      <c r="CS123" s="209"/>
      <c r="CT123" s="209"/>
      <c r="CU123" s="211"/>
      <c r="CV123" s="151"/>
    </row>
    <row r="124" spans="1:100" s="206" customFormat="1" ht="12.75" customHeight="1">
      <c r="A124" s="205"/>
      <c r="B124" s="205"/>
      <c r="C124" s="205"/>
      <c r="D124" s="32"/>
      <c r="E124" s="32"/>
      <c r="F124" s="220"/>
      <c r="G124" s="223"/>
      <c r="H124" s="230"/>
      <c r="I124" s="230"/>
      <c r="J124" s="230"/>
      <c r="K124" s="221"/>
      <c r="L124" s="230"/>
      <c r="M124" s="230"/>
      <c r="N124" s="230"/>
      <c r="O124" s="219"/>
      <c r="P124" s="219"/>
      <c r="Q124" s="222"/>
      <c r="R124" s="231"/>
      <c r="S124" s="232"/>
      <c r="T124" s="205"/>
      <c r="U124" s="205"/>
      <c r="V124" s="205"/>
      <c r="W124" s="204"/>
      <c r="X124" s="204"/>
      <c r="Y124" s="204"/>
      <c r="AG124" s="213"/>
      <c r="AH124" s="211"/>
      <c r="AI124" s="127"/>
      <c r="AJ124" s="127"/>
      <c r="AK124" s="211"/>
      <c r="AL124" s="120"/>
      <c r="AM124" s="120"/>
      <c r="AN124" s="128"/>
      <c r="AO124" s="128"/>
      <c r="AP124" s="99"/>
      <c r="AQ124" s="99"/>
      <c r="AR124" s="144"/>
      <c r="AS124" s="144"/>
      <c r="AT124" s="129"/>
      <c r="AU124" s="149"/>
      <c r="AV124" s="208"/>
      <c r="AW124" s="99"/>
      <c r="AX124" s="89"/>
      <c r="AY124" s="133"/>
      <c r="AZ124" s="134"/>
      <c r="BA124" s="133"/>
      <c r="BB124" s="134"/>
      <c r="BC124" s="133"/>
      <c r="BD124" s="134"/>
      <c r="BE124" s="132"/>
      <c r="BF124" s="132"/>
      <c r="BG124" s="132"/>
      <c r="CO124" s="211"/>
      <c r="CP124" s="211"/>
      <c r="CQ124" s="209"/>
      <c r="CR124" s="209"/>
      <c r="CS124" s="209"/>
      <c r="CT124" s="209"/>
      <c r="CU124" s="211"/>
      <c r="CV124" s="151"/>
    </row>
    <row r="125" spans="1:100" s="206" customFormat="1" ht="12.75" customHeight="1">
      <c r="A125" s="205"/>
      <c r="B125" s="205"/>
      <c r="C125" s="205"/>
      <c r="D125" s="32"/>
      <c r="E125" s="32"/>
      <c r="F125" s="220"/>
      <c r="G125" s="223"/>
      <c r="H125" s="230"/>
      <c r="I125" s="230"/>
      <c r="J125" s="230"/>
      <c r="K125" s="221"/>
      <c r="L125" s="230"/>
      <c r="M125" s="230"/>
      <c r="N125" s="230"/>
      <c r="O125" s="219"/>
      <c r="P125" s="219"/>
      <c r="Q125" s="222"/>
      <c r="R125" s="231"/>
      <c r="S125" s="232"/>
      <c r="T125" s="205"/>
      <c r="U125" s="205"/>
      <c r="V125" s="205"/>
      <c r="W125" s="204"/>
      <c r="X125" s="204"/>
      <c r="Y125" s="204"/>
      <c r="AG125" s="213"/>
      <c r="AH125" s="211"/>
      <c r="AI125" s="127"/>
      <c r="AJ125" s="127"/>
      <c r="AK125" s="211"/>
      <c r="AL125" s="120"/>
      <c r="AM125" s="120"/>
      <c r="AN125" s="128"/>
      <c r="AO125" s="128"/>
      <c r="AP125" s="99"/>
      <c r="AQ125" s="99"/>
      <c r="AR125" s="144"/>
      <c r="AS125" s="144"/>
      <c r="AT125" s="129"/>
      <c r="AU125" s="149"/>
      <c r="AV125" s="208"/>
      <c r="AW125" s="99"/>
      <c r="AX125" s="89"/>
      <c r="AY125" s="133"/>
      <c r="AZ125" s="134"/>
      <c r="BA125" s="133"/>
      <c r="BB125" s="134"/>
      <c r="BC125" s="133"/>
      <c r="BD125" s="134"/>
      <c r="BE125" s="132"/>
      <c r="BF125" s="132"/>
      <c r="BG125" s="132"/>
      <c r="CO125" s="211"/>
      <c r="CP125" s="211"/>
      <c r="CQ125" s="209"/>
      <c r="CR125" s="209"/>
      <c r="CS125" s="209"/>
      <c r="CT125" s="209"/>
      <c r="CU125" s="211"/>
      <c r="CV125" s="151"/>
    </row>
    <row r="126" spans="1:100" s="206" customFormat="1" ht="12.75" customHeight="1">
      <c r="A126" s="205"/>
      <c r="B126" s="205"/>
      <c r="C126" s="205"/>
      <c r="D126" s="32"/>
      <c r="E126" s="32"/>
      <c r="F126" s="220"/>
      <c r="G126" s="223"/>
      <c r="H126" s="230"/>
      <c r="I126" s="230"/>
      <c r="J126" s="230"/>
      <c r="K126" s="221"/>
      <c r="L126" s="230"/>
      <c r="M126" s="230"/>
      <c r="N126" s="230"/>
      <c r="O126" s="219"/>
      <c r="P126" s="219"/>
      <c r="Q126" s="222"/>
      <c r="R126" s="231"/>
      <c r="S126" s="232"/>
      <c r="T126" s="205"/>
      <c r="U126" s="205"/>
      <c r="V126" s="205"/>
      <c r="W126" s="204"/>
      <c r="X126" s="204"/>
      <c r="Y126" s="204"/>
      <c r="AG126" s="213"/>
      <c r="AH126" s="211"/>
      <c r="AI126" s="127"/>
      <c r="AJ126" s="127"/>
      <c r="AK126" s="211"/>
      <c r="AL126" s="120"/>
      <c r="AM126" s="120"/>
      <c r="AN126" s="128"/>
      <c r="AO126" s="128"/>
      <c r="AP126" s="99"/>
      <c r="AQ126" s="99"/>
      <c r="AR126" s="144"/>
      <c r="AS126" s="144"/>
      <c r="AT126" s="129"/>
      <c r="AU126" s="149"/>
      <c r="AV126" s="208"/>
      <c r="AW126" s="99"/>
      <c r="AX126" s="89"/>
      <c r="AY126" s="133"/>
      <c r="AZ126" s="134"/>
      <c r="BA126" s="133"/>
      <c r="BB126" s="134"/>
      <c r="BC126" s="133"/>
      <c r="BD126" s="134"/>
      <c r="BE126" s="132"/>
      <c r="BF126" s="132"/>
      <c r="BG126" s="132"/>
      <c r="CO126" s="211"/>
      <c r="CP126" s="211"/>
      <c r="CQ126" s="209"/>
      <c r="CR126" s="209"/>
      <c r="CS126" s="209"/>
      <c r="CT126" s="209"/>
      <c r="CU126" s="211"/>
      <c r="CV126" s="151"/>
    </row>
    <row r="127" spans="1:100" s="206" customFormat="1" ht="12.75" customHeight="1">
      <c r="A127" s="205"/>
      <c r="B127" s="205"/>
      <c r="C127" s="205"/>
      <c r="D127" s="32"/>
      <c r="E127" s="32"/>
      <c r="F127" s="220"/>
      <c r="G127" s="223"/>
      <c r="H127" s="230"/>
      <c r="I127" s="230"/>
      <c r="J127" s="230"/>
      <c r="K127" s="221"/>
      <c r="L127" s="230"/>
      <c r="M127" s="230"/>
      <c r="N127" s="230"/>
      <c r="O127" s="219"/>
      <c r="P127" s="219"/>
      <c r="Q127" s="222"/>
      <c r="R127" s="231"/>
      <c r="S127" s="232"/>
      <c r="T127" s="205"/>
      <c r="U127" s="205"/>
      <c r="V127" s="205"/>
      <c r="W127" s="204"/>
      <c r="X127" s="204"/>
      <c r="Y127" s="204"/>
      <c r="AG127" s="213"/>
      <c r="AH127" s="211"/>
      <c r="AI127" s="127"/>
      <c r="AJ127" s="127"/>
      <c r="AK127" s="211"/>
      <c r="AL127" s="120"/>
      <c r="AM127" s="120"/>
      <c r="AN127" s="128"/>
      <c r="AO127" s="128"/>
      <c r="AP127" s="99"/>
      <c r="AQ127" s="99"/>
      <c r="AR127" s="144"/>
      <c r="AS127" s="144"/>
      <c r="AT127" s="129"/>
      <c r="AU127" s="149"/>
      <c r="AV127" s="208"/>
      <c r="AW127" s="99"/>
      <c r="AX127" s="89"/>
      <c r="AY127" s="133"/>
      <c r="AZ127" s="134"/>
      <c r="BA127" s="133"/>
      <c r="BB127" s="134"/>
      <c r="BC127" s="133"/>
      <c r="BD127" s="134"/>
      <c r="BE127" s="132"/>
      <c r="BF127" s="132"/>
      <c r="BG127" s="132"/>
      <c r="CO127" s="211"/>
      <c r="CP127" s="211"/>
      <c r="CQ127" s="209"/>
      <c r="CR127" s="209"/>
      <c r="CS127" s="209"/>
      <c r="CT127" s="209"/>
      <c r="CU127" s="211"/>
      <c r="CV127" s="151"/>
    </row>
    <row r="128" spans="1:100" s="206" customFormat="1" ht="12.75" customHeight="1">
      <c r="A128" s="205"/>
      <c r="B128" s="205"/>
      <c r="C128" s="205"/>
      <c r="D128" s="32"/>
      <c r="E128" s="32"/>
      <c r="F128" s="220"/>
      <c r="G128" s="223"/>
      <c r="H128" s="230"/>
      <c r="I128" s="230"/>
      <c r="J128" s="230"/>
      <c r="K128" s="221"/>
      <c r="L128" s="230"/>
      <c r="M128" s="230"/>
      <c r="N128" s="230"/>
      <c r="O128" s="219"/>
      <c r="P128" s="219"/>
      <c r="Q128" s="222"/>
      <c r="R128" s="231"/>
      <c r="S128" s="232"/>
      <c r="T128" s="205"/>
      <c r="U128" s="205"/>
      <c r="V128" s="205"/>
      <c r="W128" s="204"/>
      <c r="X128" s="204"/>
      <c r="Y128" s="204"/>
      <c r="AG128" s="213"/>
      <c r="AH128" s="211"/>
      <c r="AI128" s="127"/>
      <c r="AJ128" s="127"/>
      <c r="AK128" s="211"/>
      <c r="AL128" s="120"/>
      <c r="AM128" s="120"/>
      <c r="AN128" s="128"/>
      <c r="AO128" s="128"/>
      <c r="AP128" s="99"/>
      <c r="AQ128" s="99"/>
      <c r="AR128" s="144"/>
      <c r="AS128" s="144"/>
      <c r="AT128" s="129"/>
      <c r="AU128" s="149"/>
      <c r="AV128" s="208"/>
      <c r="AW128" s="99"/>
      <c r="AX128" s="89"/>
      <c r="AY128" s="133"/>
      <c r="AZ128" s="134"/>
      <c r="BA128" s="133"/>
      <c r="BB128" s="134"/>
      <c r="BC128" s="133"/>
      <c r="BD128" s="134"/>
      <c r="BE128" s="132"/>
      <c r="BF128" s="132"/>
      <c r="BG128" s="132"/>
      <c r="CO128" s="211"/>
      <c r="CP128" s="211"/>
      <c r="CQ128" s="209"/>
      <c r="CR128" s="209"/>
      <c r="CS128" s="209"/>
      <c r="CT128" s="209"/>
      <c r="CU128" s="211"/>
      <c r="CV128" s="151"/>
    </row>
    <row r="129" spans="1:100" s="206" customFormat="1" ht="12.75" customHeight="1">
      <c r="A129" s="205"/>
      <c r="B129" s="205"/>
      <c r="C129" s="205"/>
      <c r="D129" s="32"/>
      <c r="E129" s="32"/>
      <c r="F129" s="220"/>
      <c r="G129" s="223"/>
      <c r="H129" s="230"/>
      <c r="I129" s="230"/>
      <c r="J129" s="230"/>
      <c r="K129" s="221"/>
      <c r="L129" s="230"/>
      <c r="M129" s="230"/>
      <c r="N129" s="230"/>
      <c r="O129" s="219"/>
      <c r="P129" s="219"/>
      <c r="Q129" s="222"/>
      <c r="R129" s="231"/>
      <c r="S129" s="232"/>
      <c r="T129" s="205"/>
      <c r="U129" s="205"/>
      <c r="V129" s="205"/>
      <c r="W129" s="204"/>
      <c r="X129" s="204"/>
      <c r="Y129" s="204"/>
      <c r="AG129" s="213"/>
      <c r="AH129" s="211"/>
      <c r="AI129" s="127"/>
      <c r="AJ129" s="127"/>
      <c r="AK129" s="211"/>
      <c r="AL129" s="120"/>
      <c r="AM129" s="120"/>
      <c r="AN129" s="128"/>
      <c r="AO129" s="128"/>
      <c r="AP129" s="99"/>
      <c r="AQ129" s="99"/>
      <c r="AR129" s="144"/>
      <c r="AS129" s="144"/>
      <c r="AT129" s="129"/>
      <c r="AU129" s="149"/>
      <c r="AV129" s="208"/>
      <c r="AW129" s="99"/>
      <c r="AX129" s="89"/>
      <c r="AY129" s="133"/>
      <c r="AZ129" s="134"/>
      <c r="BA129" s="133"/>
      <c r="BB129" s="134"/>
      <c r="BC129" s="133"/>
      <c r="BD129" s="134"/>
      <c r="BE129" s="132"/>
      <c r="BF129" s="132"/>
      <c r="BG129" s="132"/>
      <c r="CO129" s="211"/>
      <c r="CP129" s="211"/>
      <c r="CQ129" s="209"/>
      <c r="CR129" s="209"/>
      <c r="CS129" s="209"/>
      <c r="CT129" s="209"/>
      <c r="CU129" s="211"/>
      <c r="CV129" s="151"/>
    </row>
    <row r="130" spans="1:100" s="206" customFormat="1" ht="12.75" customHeight="1">
      <c r="A130" s="205"/>
      <c r="B130" s="205"/>
      <c r="C130" s="205"/>
      <c r="D130" s="32"/>
      <c r="E130" s="32"/>
      <c r="F130" s="220"/>
      <c r="G130" s="223"/>
      <c r="H130" s="230"/>
      <c r="I130" s="230"/>
      <c r="J130" s="230"/>
      <c r="K130" s="221"/>
      <c r="L130" s="230"/>
      <c r="M130" s="230"/>
      <c r="N130" s="230"/>
      <c r="O130" s="219"/>
      <c r="P130" s="219"/>
      <c r="Q130" s="222"/>
      <c r="R130" s="231"/>
      <c r="S130" s="232"/>
      <c r="T130" s="205"/>
      <c r="U130" s="205"/>
      <c r="V130" s="205"/>
      <c r="W130" s="204"/>
      <c r="X130" s="204"/>
      <c r="Y130" s="204"/>
      <c r="AG130" s="213"/>
      <c r="AH130" s="211"/>
      <c r="AI130" s="127"/>
      <c r="AJ130" s="127"/>
      <c r="AK130" s="211"/>
      <c r="AL130" s="120"/>
      <c r="AM130" s="120"/>
      <c r="AN130" s="128"/>
      <c r="AO130" s="128"/>
      <c r="AP130" s="99"/>
      <c r="AQ130" s="99"/>
      <c r="AR130" s="144"/>
      <c r="AS130" s="144"/>
      <c r="AT130" s="129"/>
      <c r="AU130" s="149"/>
      <c r="AV130" s="208"/>
      <c r="AW130" s="99"/>
      <c r="AX130" s="89"/>
      <c r="AY130" s="133"/>
      <c r="AZ130" s="134"/>
      <c r="BA130" s="133"/>
      <c r="BB130" s="134"/>
      <c r="BC130" s="133"/>
      <c r="BD130" s="134"/>
      <c r="BE130" s="132"/>
      <c r="BF130" s="132"/>
      <c r="BG130" s="132"/>
      <c r="CO130" s="211"/>
      <c r="CP130" s="211"/>
      <c r="CQ130" s="209"/>
      <c r="CR130" s="209"/>
      <c r="CS130" s="209"/>
      <c r="CT130" s="209"/>
      <c r="CU130" s="211"/>
      <c r="CV130" s="151"/>
    </row>
    <row r="131" spans="1:100" s="206" customFormat="1" ht="12.75" customHeight="1">
      <c r="A131" s="205"/>
      <c r="B131" s="205"/>
      <c r="C131" s="205"/>
      <c r="D131" s="32"/>
      <c r="E131" s="32"/>
      <c r="F131" s="220"/>
      <c r="G131" s="223"/>
      <c r="H131" s="230"/>
      <c r="I131" s="230"/>
      <c r="J131" s="230"/>
      <c r="K131" s="221"/>
      <c r="L131" s="230"/>
      <c r="M131" s="230"/>
      <c r="N131" s="230"/>
      <c r="O131" s="219"/>
      <c r="P131" s="219"/>
      <c r="Q131" s="222"/>
      <c r="R131" s="231"/>
      <c r="S131" s="232"/>
      <c r="T131" s="205"/>
      <c r="U131" s="205"/>
      <c r="V131" s="205"/>
      <c r="W131" s="204"/>
      <c r="X131" s="204"/>
      <c r="Y131" s="204"/>
      <c r="AG131" s="213"/>
      <c r="AH131" s="211"/>
      <c r="AI131" s="127"/>
      <c r="AJ131" s="127"/>
      <c r="AK131" s="211"/>
      <c r="AL131" s="120"/>
      <c r="AM131" s="120"/>
      <c r="AN131" s="128"/>
      <c r="AO131" s="128"/>
      <c r="AP131" s="99"/>
      <c r="AQ131" s="99"/>
      <c r="AR131" s="144"/>
      <c r="AS131" s="144"/>
      <c r="AT131" s="129"/>
      <c r="AU131" s="149"/>
      <c r="AV131" s="208"/>
      <c r="AW131" s="99"/>
      <c r="AX131" s="89"/>
      <c r="AY131" s="133"/>
      <c r="AZ131" s="134"/>
      <c r="BA131" s="133"/>
      <c r="BB131" s="134"/>
      <c r="BC131" s="133"/>
      <c r="BD131" s="134"/>
      <c r="BE131" s="132"/>
      <c r="BF131" s="132"/>
      <c r="BG131" s="132"/>
      <c r="CO131" s="211"/>
      <c r="CP131" s="211"/>
      <c r="CQ131" s="209"/>
      <c r="CR131" s="209"/>
      <c r="CS131" s="209"/>
      <c r="CT131" s="209"/>
      <c r="CU131" s="211"/>
      <c r="CV131" s="151"/>
    </row>
    <row r="132" spans="1:100" s="206" customFormat="1" ht="12.75" customHeight="1">
      <c r="A132" s="205"/>
      <c r="B132" s="205"/>
      <c r="C132" s="205"/>
      <c r="D132" s="32"/>
      <c r="E132" s="32"/>
      <c r="F132" s="220"/>
      <c r="G132" s="223"/>
      <c r="H132" s="230"/>
      <c r="I132" s="230"/>
      <c r="J132" s="230"/>
      <c r="K132" s="221"/>
      <c r="L132" s="230"/>
      <c r="M132" s="230"/>
      <c r="N132" s="230"/>
      <c r="O132" s="219"/>
      <c r="P132" s="219"/>
      <c r="Q132" s="222"/>
      <c r="R132" s="231"/>
      <c r="S132" s="232"/>
      <c r="T132" s="205"/>
      <c r="U132" s="205"/>
      <c r="V132" s="205"/>
      <c r="W132" s="204"/>
      <c r="X132" s="204"/>
      <c r="Y132" s="204"/>
      <c r="AG132" s="213"/>
      <c r="AH132" s="211"/>
      <c r="AI132" s="127"/>
      <c r="AJ132" s="127"/>
      <c r="AK132" s="211"/>
      <c r="AL132" s="120"/>
      <c r="AM132" s="120"/>
      <c r="AN132" s="128"/>
      <c r="AO132" s="128"/>
      <c r="AP132" s="99"/>
      <c r="AQ132" s="99"/>
      <c r="AR132" s="144"/>
      <c r="AS132" s="144"/>
      <c r="AT132" s="129"/>
      <c r="AU132" s="149"/>
      <c r="AV132" s="208"/>
      <c r="AW132" s="99"/>
      <c r="AX132" s="89"/>
      <c r="AY132" s="133"/>
      <c r="AZ132" s="134"/>
      <c r="BA132" s="133"/>
      <c r="BB132" s="134"/>
      <c r="BC132" s="133"/>
      <c r="BD132" s="134"/>
      <c r="BE132" s="132"/>
      <c r="BF132" s="132"/>
      <c r="BG132" s="132"/>
      <c r="CO132" s="211"/>
      <c r="CP132" s="211"/>
      <c r="CQ132" s="209"/>
      <c r="CR132" s="209"/>
      <c r="CS132" s="209"/>
      <c r="CT132" s="209"/>
      <c r="CU132" s="211"/>
      <c r="CV132" s="151"/>
    </row>
    <row r="133" spans="1:100" s="206" customFormat="1" ht="12.75" customHeight="1">
      <c r="A133" s="205"/>
      <c r="B133" s="205"/>
      <c r="C133" s="205"/>
      <c r="D133" s="32"/>
      <c r="E133" s="32"/>
      <c r="F133" s="220"/>
      <c r="G133" s="223"/>
      <c r="H133" s="230"/>
      <c r="I133" s="230"/>
      <c r="J133" s="230"/>
      <c r="K133" s="221"/>
      <c r="L133" s="230"/>
      <c r="M133" s="230"/>
      <c r="N133" s="230"/>
      <c r="O133" s="219"/>
      <c r="P133" s="219"/>
      <c r="Q133" s="222"/>
      <c r="R133" s="231"/>
      <c r="S133" s="232"/>
      <c r="T133" s="205"/>
      <c r="U133" s="205"/>
      <c r="V133" s="205"/>
      <c r="W133" s="204"/>
      <c r="X133" s="204"/>
      <c r="Y133" s="204"/>
      <c r="AG133" s="213"/>
      <c r="AH133" s="211"/>
      <c r="AI133" s="127"/>
      <c r="AJ133" s="127"/>
      <c r="AK133" s="211"/>
      <c r="AL133" s="120"/>
      <c r="AM133" s="120"/>
      <c r="AN133" s="128"/>
      <c r="AO133" s="128"/>
      <c r="AP133" s="99"/>
      <c r="AQ133" s="99"/>
      <c r="AR133" s="144"/>
      <c r="AS133" s="144"/>
      <c r="AT133" s="129"/>
      <c r="AU133" s="149"/>
      <c r="AV133" s="208"/>
      <c r="AW133" s="99"/>
      <c r="AX133" s="89"/>
      <c r="AY133" s="133"/>
      <c r="AZ133" s="134"/>
      <c r="BA133" s="133"/>
      <c r="BB133" s="134"/>
      <c r="BC133" s="133"/>
      <c r="BD133" s="134"/>
      <c r="BE133" s="132"/>
      <c r="BF133" s="132"/>
      <c r="BG133" s="132"/>
      <c r="CO133" s="211"/>
      <c r="CP133" s="211"/>
      <c r="CQ133" s="209"/>
      <c r="CR133" s="209"/>
      <c r="CS133" s="209"/>
      <c r="CT133" s="209"/>
      <c r="CU133" s="211"/>
      <c r="CV133" s="151"/>
    </row>
    <row r="134" spans="1:100" s="206" customFormat="1" ht="12.75" customHeight="1">
      <c r="A134" s="205"/>
      <c r="B134" s="205"/>
      <c r="C134" s="205"/>
      <c r="D134" s="32"/>
      <c r="E134" s="32"/>
      <c r="F134" s="220"/>
      <c r="G134" s="223"/>
      <c r="H134" s="230"/>
      <c r="I134" s="230"/>
      <c r="J134" s="230"/>
      <c r="K134" s="221"/>
      <c r="L134" s="230"/>
      <c r="M134" s="230"/>
      <c r="N134" s="230"/>
      <c r="O134" s="219"/>
      <c r="P134" s="219"/>
      <c r="Q134" s="222"/>
      <c r="R134" s="231"/>
      <c r="S134" s="232"/>
      <c r="T134" s="205"/>
      <c r="U134" s="205"/>
      <c r="V134" s="205"/>
      <c r="W134" s="204"/>
      <c r="X134" s="204"/>
      <c r="Y134" s="204"/>
      <c r="AG134" s="213"/>
      <c r="AH134" s="211"/>
      <c r="AI134" s="127"/>
      <c r="AJ134" s="127"/>
      <c r="AK134" s="211"/>
      <c r="AL134" s="120"/>
      <c r="AM134" s="120"/>
      <c r="AN134" s="128"/>
      <c r="AO134" s="128"/>
      <c r="AP134" s="99"/>
      <c r="AQ134" s="99"/>
      <c r="AR134" s="144"/>
      <c r="AS134" s="144"/>
      <c r="AT134" s="129"/>
      <c r="AU134" s="149"/>
      <c r="AV134" s="208"/>
      <c r="AW134" s="99"/>
      <c r="AX134" s="89"/>
      <c r="AY134" s="133"/>
      <c r="AZ134" s="134"/>
      <c r="BA134" s="133"/>
      <c r="BB134" s="134"/>
      <c r="BC134" s="133"/>
      <c r="BD134" s="134"/>
      <c r="BE134" s="132"/>
      <c r="BF134" s="132"/>
      <c r="BG134" s="132"/>
      <c r="CO134" s="211"/>
      <c r="CP134" s="211"/>
      <c r="CQ134" s="209"/>
      <c r="CR134" s="209"/>
      <c r="CS134" s="209"/>
      <c r="CT134" s="209"/>
      <c r="CU134" s="211"/>
      <c r="CV134" s="151"/>
    </row>
    <row r="135" spans="1:100" s="206" customFormat="1" ht="12.75" customHeight="1">
      <c r="A135" s="205"/>
      <c r="B135" s="205"/>
      <c r="C135" s="205"/>
      <c r="D135" s="32"/>
      <c r="E135" s="32"/>
      <c r="F135" s="220"/>
      <c r="G135" s="223"/>
      <c r="H135" s="230"/>
      <c r="I135" s="230"/>
      <c r="J135" s="230"/>
      <c r="K135" s="221"/>
      <c r="L135" s="230"/>
      <c r="M135" s="230"/>
      <c r="N135" s="230"/>
      <c r="O135" s="219"/>
      <c r="P135" s="219"/>
      <c r="Q135" s="222"/>
      <c r="R135" s="231"/>
      <c r="S135" s="232"/>
      <c r="T135" s="205"/>
      <c r="U135" s="205"/>
      <c r="V135" s="205"/>
      <c r="W135" s="204"/>
      <c r="X135" s="204"/>
      <c r="Y135" s="204"/>
      <c r="AG135" s="213"/>
      <c r="AH135" s="211"/>
      <c r="AI135" s="127"/>
      <c r="AJ135" s="127"/>
      <c r="AK135" s="211"/>
      <c r="AL135" s="120"/>
      <c r="AM135" s="120"/>
      <c r="AN135" s="128"/>
      <c r="AO135" s="128"/>
      <c r="AP135" s="99"/>
      <c r="AQ135" s="99"/>
      <c r="AR135" s="144"/>
      <c r="AS135" s="144"/>
      <c r="AT135" s="129"/>
      <c r="AU135" s="149"/>
      <c r="AV135" s="208"/>
      <c r="AW135" s="99"/>
      <c r="AX135" s="89"/>
      <c r="AY135" s="133"/>
      <c r="AZ135" s="134"/>
      <c r="BA135" s="133"/>
      <c r="BB135" s="134"/>
      <c r="BC135" s="133"/>
      <c r="BD135" s="134"/>
      <c r="BE135" s="132"/>
      <c r="BF135" s="132"/>
      <c r="BG135" s="132"/>
      <c r="CO135" s="211"/>
      <c r="CP135" s="211"/>
      <c r="CQ135" s="209"/>
      <c r="CR135" s="209"/>
      <c r="CS135" s="209"/>
      <c r="CT135" s="209"/>
      <c r="CU135" s="211"/>
      <c r="CV135" s="151"/>
    </row>
    <row r="136" spans="1:100" s="206" customFormat="1" ht="12.75" customHeight="1">
      <c r="A136" s="205"/>
      <c r="B136" s="205"/>
      <c r="C136" s="205"/>
      <c r="D136" s="32"/>
      <c r="E136" s="32"/>
      <c r="F136" s="220"/>
      <c r="G136" s="223"/>
      <c r="H136" s="230"/>
      <c r="I136" s="230"/>
      <c r="J136" s="230"/>
      <c r="K136" s="221"/>
      <c r="L136" s="230"/>
      <c r="M136" s="230"/>
      <c r="N136" s="230"/>
      <c r="O136" s="219"/>
      <c r="P136" s="219"/>
      <c r="Q136" s="222"/>
      <c r="R136" s="231"/>
      <c r="S136" s="232"/>
      <c r="T136" s="205"/>
      <c r="U136" s="205"/>
      <c r="V136" s="205"/>
      <c r="W136" s="204"/>
      <c r="X136" s="204"/>
      <c r="Y136" s="204"/>
      <c r="AG136" s="213"/>
      <c r="AH136" s="211"/>
      <c r="AI136" s="127"/>
      <c r="AJ136" s="127"/>
      <c r="AK136" s="211"/>
      <c r="AL136" s="120"/>
      <c r="AM136" s="120"/>
      <c r="AN136" s="128"/>
      <c r="AO136" s="128"/>
      <c r="AP136" s="99"/>
      <c r="AQ136" s="99"/>
      <c r="AR136" s="144"/>
      <c r="AS136" s="144"/>
      <c r="AT136" s="129"/>
      <c r="AU136" s="149"/>
      <c r="AV136" s="208"/>
      <c r="AW136" s="99"/>
      <c r="AX136" s="89"/>
      <c r="AY136" s="133"/>
      <c r="AZ136" s="134"/>
      <c r="BA136" s="133"/>
      <c r="BB136" s="134"/>
      <c r="BC136" s="133"/>
      <c r="BD136" s="134"/>
      <c r="BE136" s="132"/>
      <c r="BF136" s="132"/>
      <c r="BG136" s="132"/>
      <c r="CO136" s="211"/>
      <c r="CP136" s="211"/>
      <c r="CQ136" s="209"/>
      <c r="CR136" s="209"/>
      <c r="CS136" s="209"/>
      <c r="CT136" s="209"/>
      <c r="CU136" s="211"/>
      <c r="CV136" s="151"/>
    </row>
    <row r="137" spans="1:100" s="206" customFormat="1" ht="12.75" customHeight="1">
      <c r="A137" s="205"/>
      <c r="B137" s="205"/>
      <c r="C137" s="205"/>
      <c r="D137" s="32"/>
      <c r="E137" s="32"/>
      <c r="F137" s="220"/>
      <c r="G137" s="223"/>
      <c r="H137" s="230"/>
      <c r="I137" s="230"/>
      <c r="J137" s="230"/>
      <c r="K137" s="221"/>
      <c r="L137" s="230"/>
      <c r="M137" s="230"/>
      <c r="N137" s="230"/>
      <c r="O137" s="219"/>
      <c r="P137" s="219"/>
      <c r="Q137" s="222"/>
      <c r="R137" s="231"/>
      <c r="S137" s="232"/>
      <c r="T137" s="205"/>
      <c r="U137" s="205"/>
      <c r="V137" s="205"/>
      <c r="W137" s="204"/>
      <c r="X137" s="204"/>
      <c r="Y137" s="204"/>
      <c r="AG137" s="213"/>
      <c r="AH137" s="211"/>
      <c r="AI137" s="127"/>
      <c r="AJ137" s="127"/>
      <c r="AK137" s="211"/>
      <c r="AL137" s="120"/>
      <c r="AM137" s="120"/>
      <c r="AN137" s="128"/>
      <c r="AO137" s="128"/>
      <c r="AP137" s="99"/>
      <c r="AQ137" s="99"/>
      <c r="AR137" s="144"/>
      <c r="AS137" s="144"/>
      <c r="AT137" s="129"/>
      <c r="AU137" s="149"/>
      <c r="AV137" s="208"/>
      <c r="AW137" s="99"/>
      <c r="AX137" s="89"/>
      <c r="AY137" s="133"/>
      <c r="AZ137" s="134"/>
      <c r="BA137" s="133"/>
      <c r="BB137" s="134"/>
      <c r="BC137" s="133"/>
      <c r="BD137" s="134"/>
      <c r="BE137" s="132"/>
      <c r="BF137" s="132"/>
      <c r="BG137" s="132"/>
      <c r="CO137" s="211"/>
      <c r="CP137" s="211"/>
      <c r="CQ137" s="209"/>
      <c r="CR137" s="209"/>
      <c r="CS137" s="209"/>
      <c r="CT137" s="209"/>
      <c r="CU137" s="211"/>
      <c r="CV137" s="151"/>
    </row>
    <row r="138" spans="1:100" s="206" customFormat="1" ht="12.75" customHeight="1">
      <c r="A138" s="205"/>
      <c r="B138" s="205"/>
      <c r="C138" s="205"/>
      <c r="D138" s="32"/>
      <c r="E138" s="32"/>
      <c r="F138" s="220"/>
      <c r="G138" s="223"/>
      <c r="H138" s="230"/>
      <c r="I138" s="230"/>
      <c r="J138" s="230"/>
      <c r="K138" s="221"/>
      <c r="L138" s="230"/>
      <c r="M138" s="230"/>
      <c r="N138" s="230"/>
      <c r="O138" s="219"/>
      <c r="P138" s="219"/>
      <c r="Q138" s="222"/>
      <c r="R138" s="231"/>
      <c r="S138" s="232"/>
      <c r="T138" s="205"/>
      <c r="U138" s="205"/>
      <c r="V138" s="205"/>
      <c r="W138" s="204"/>
      <c r="X138" s="204"/>
      <c r="Y138" s="204"/>
      <c r="AG138" s="213"/>
      <c r="AH138" s="211"/>
      <c r="AI138" s="127"/>
      <c r="AJ138" s="127"/>
      <c r="AK138" s="211"/>
      <c r="AL138" s="120"/>
      <c r="AM138" s="120"/>
      <c r="AN138" s="128"/>
      <c r="AO138" s="128"/>
      <c r="AP138" s="99"/>
      <c r="AQ138" s="99"/>
      <c r="AR138" s="144"/>
      <c r="AS138" s="144"/>
      <c r="AT138" s="129"/>
      <c r="AU138" s="149"/>
      <c r="AV138" s="208"/>
      <c r="AW138" s="99"/>
      <c r="AX138" s="89"/>
      <c r="AY138" s="133"/>
      <c r="AZ138" s="134"/>
      <c r="BA138" s="133"/>
      <c r="BB138" s="134"/>
      <c r="BC138" s="133"/>
      <c r="BD138" s="134"/>
      <c r="BE138" s="132"/>
      <c r="BF138" s="132"/>
      <c r="BG138" s="132"/>
      <c r="CO138" s="211"/>
      <c r="CP138" s="211"/>
      <c r="CQ138" s="209"/>
      <c r="CR138" s="209"/>
      <c r="CS138" s="209"/>
      <c r="CT138" s="209"/>
      <c r="CU138" s="211"/>
      <c r="CV138" s="151"/>
    </row>
    <row r="139" spans="1:100" s="206" customFormat="1" ht="12.75" customHeight="1">
      <c r="A139" s="205"/>
      <c r="B139" s="205"/>
      <c r="C139" s="205"/>
      <c r="D139" s="32"/>
      <c r="E139" s="32"/>
      <c r="F139" s="220"/>
      <c r="G139" s="223"/>
      <c r="H139" s="230"/>
      <c r="I139" s="230"/>
      <c r="J139" s="230"/>
      <c r="K139" s="221"/>
      <c r="L139" s="230"/>
      <c r="M139" s="230"/>
      <c r="N139" s="230"/>
      <c r="O139" s="219"/>
      <c r="P139" s="219"/>
      <c r="Q139" s="222"/>
      <c r="R139" s="231"/>
      <c r="S139" s="232"/>
      <c r="T139" s="205"/>
      <c r="U139" s="205"/>
      <c r="V139" s="205"/>
      <c r="W139" s="204"/>
      <c r="X139" s="204"/>
      <c r="Y139" s="204"/>
      <c r="AG139" s="213"/>
      <c r="AH139" s="211"/>
      <c r="AI139" s="127"/>
      <c r="AJ139" s="127"/>
      <c r="AK139" s="211"/>
      <c r="AL139" s="120"/>
      <c r="AM139" s="120"/>
      <c r="AN139" s="128"/>
      <c r="AO139" s="128"/>
      <c r="AP139" s="99"/>
      <c r="AQ139" s="99"/>
      <c r="AR139" s="144"/>
      <c r="AS139" s="144"/>
      <c r="AT139" s="129"/>
      <c r="AU139" s="149"/>
      <c r="AV139" s="208"/>
      <c r="AW139" s="99"/>
      <c r="AX139" s="89"/>
      <c r="AY139" s="133"/>
      <c r="AZ139" s="134"/>
      <c r="BA139" s="133"/>
      <c r="BB139" s="134"/>
      <c r="BC139" s="133"/>
      <c r="BD139" s="134"/>
      <c r="BE139" s="132"/>
      <c r="BF139" s="132"/>
      <c r="BG139" s="132"/>
      <c r="CO139" s="211"/>
      <c r="CP139" s="211"/>
      <c r="CQ139" s="209"/>
      <c r="CR139" s="209"/>
      <c r="CS139" s="209"/>
      <c r="CT139" s="209"/>
      <c r="CU139" s="211"/>
      <c r="CV139" s="151"/>
    </row>
    <row r="140" spans="1:100" s="206" customFormat="1" ht="12.75" customHeight="1">
      <c r="A140" s="205"/>
      <c r="B140" s="205"/>
      <c r="C140" s="205"/>
      <c r="D140" s="32"/>
      <c r="E140" s="32"/>
      <c r="F140" s="220"/>
      <c r="G140" s="223"/>
      <c r="H140" s="230"/>
      <c r="I140" s="230"/>
      <c r="J140" s="230"/>
      <c r="K140" s="221"/>
      <c r="L140" s="230"/>
      <c r="M140" s="230"/>
      <c r="N140" s="230"/>
      <c r="O140" s="219"/>
      <c r="P140" s="219"/>
      <c r="Q140" s="222"/>
      <c r="R140" s="231"/>
      <c r="S140" s="232"/>
      <c r="T140" s="205"/>
      <c r="U140" s="205"/>
      <c r="V140" s="205"/>
      <c r="W140" s="204"/>
      <c r="X140" s="204"/>
      <c r="Y140" s="204"/>
      <c r="AG140" s="213"/>
      <c r="AH140" s="211"/>
      <c r="AI140" s="127"/>
      <c r="AJ140" s="127"/>
      <c r="AK140" s="211"/>
      <c r="AL140" s="120"/>
      <c r="AM140" s="120"/>
      <c r="AN140" s="128"/>
      <c r="AO140" s="128"/>
      <c r="AP140" s="99"/>
      <c r="AQ140" s="99"/>
      <c r="AR140" s="144"/>
      <c r="AS140" s="144"/>
      <c r="AT140" s="129"/>
      <c r="AU140" s="149"/>
      <c r="AV140" s="208"/>
      <c r="AW140" s="99"/>
      <c r="AX140" s="89"/>
      <c r="AY140" s="133"/>
      <c r="AZ140" s="134"/>
      <c r="BA140" s="133"/>
      <c r="BB140" s="134"/>
      <c r="BC140" s="133"/>
      <c r="BD140" s="134"/>
      <c r="BE140" s="132"/>
      <c r="BF140" s="132"/>
      <c r="BG140" s="132"/>
      <c r="CO140" s="211"/>
      <c r="CP140" s="211"/>
      <c r="CQ140" s="209"/>
      <c r="CR140" s="209"/>
      <c r="CS140" s="209"/>
      <c r="CT140" s="209"/>
      <c r="CU140" s="211"/>
      <c r="CV140" s="151"/>
    </row>
    <row r="141" spans="1:100" s="206" customFormat="1" ht="12.75" customHeight="1">
      <c r="A141" s="205"/>
      <c r="B141" s="205"/>
      <c r="C141" s="205"/>
      <c r="D141" s="32"/>
      <c r="E141" s="32"/>
      <c r="F141" s="220"/>
      <c r="G141" s="223"/>
      <c r="H141" s="230"/>
      <c r="I141" s="230"/>
      <c r="J141" s="230"/>
      <c r="K141" s="221"/>
      <c r="L141" s="230"/>
      <c r="M141" s="230"/>
      <c r="N141" s="230"/>
      <c r="O141" s="219"/>
      <c r="P141" s="219"/>
      <c r="Q141" s="222"/>
      <c r="R141" s="231"/>
      <c r="S141" s="232"/>
      <c r="T141" s="205"/>
      <c r="U141" s="205"/>
      <c r="V141" s="205"/>
      <c r="W141" s="204"/>
      <c r="X141" s="204"/>
      <c r="Y141" s="204"/>
      <c r="AG141" s="213"/>
      <c r="AH141" s="211"/>
      <c r="AI141" s="127"/>
      <c r="AJ141" s="127"/>
      <c r="AK141" s="211"/>
      <c r="AL141" s="120"/>
      <c r="AM141" s="120"/>
      <c r="AN141" s="128"/>
      <c r="AO141" s="128"/>
      <c r="AP141" s="99"/>
      <c r="AQ141" s="99"/>
      <c r="AR141" s="144"/>
      <c r="AS141" s="144"/>
      <c r="AT141" s="129"/>
      <c r="AU141" s="149"/>
      <c r="AV141" s="208"/>
      <c r="AW141" s="99"/>
      <c r="AX141" s="89"/>
      <c r="AY141" s="133"/>
      <c r="AZ141" s="134"/>
      <c r="BA141" s="133"/>
      <c r="BB141" s="134"/>
      <c r="BC141" s="133"/>
      <c r="BD141" s="134"/>
      <c r="BE141" s="132"/>
      <c r="BF141" s="132"/>
      <c r="BG141" s="132"/>
      <c r="CO141" s="211"/>
      <c r="CP141" s="211"/>
      <c r="CQ141" s="209"/>
      <c r="CR141" s="209"/>
      <c r="CS141" s="209"/>
      <c r="CT141" s="209"/>
      <c r="CU141" s="211"/>
      <c r="CV141" s="151"/>
    </row>
    <row r="142" spans="1:100" s="206" customFormat="1" ht="12.75" customHeight="1">
      <c r="A142" s="205"/>
      <c r="B142" s="205"/>
      <c r="C142" s="205"/>
      <c r="D142" s="32"/>
      <c r="E142" s="32"/>
      <c r="F142" s="220"/>
      <c r="G142" s="223"/>
      <c r="H142" s="230"/>
      <c r="I142" s="230"/>
      <c r="J142" s="230"/>
      <c r="K142" s="221"/>
      <c r="L142" s="230"/>
      <c r="M142" s="230"/>
      <c r="N142" s="230"/>
      <c r="O142" s="219"/>
      <c r="P142" s="219"/>
      <c r="Q142" s="222"/>
      <c r="R142" s="231"/>
      <c r="S142" s="232"/>
      <c r="T142" s="205"/>
      <c r="U142" s="205"/>
      <c r="V142" s="205"/>
      <c r="W142" s="204"/>
      <c r="X142" s="204"/>
      <c r="Y142" s="204"/>
      <c r="AG142" s="213"/>
      <c r="AH142" s="211"/>
      <c r="AI142" s="127"/>
      <c r="AJ142" s="127"/>
      <c r="AK142" s="211"/>
      <c r="AL142" s="120"/>
      <c r="AM142" s="120"/>
      <c r="AN142" s="128"/>
      <c r="AO142" s="128"/>
      <c r="AP142" s="99"/>
      <c r="AQ142" s="99"/>
      <c r="AR142" s="144"/>
      <c r="AS142" s="144"/>
      <c r="AT142" s="129"/>
      <c r="AU142" s="149"/>
      <c r="AV142" s="208"/>
      <c r="AW142" s="99"/>
      <c r="AX142" s="89"/>
      <c r="AY142" s="133"/>
      <c r="AZ142" s="134"/>
      <c r="BA142" s="133"/>
      <c r="BB142" s="134"/>
      <c r="BC142" s="133"/>
      <c r="BD142" s="134"/>
      <c r="BE142" s="132"/>
      <c r="BF142" s="132"/>
      <c r="BG142" s="132"/>
      <c r="CO142" s="211"/>
      <c r="CP142" s="211"/>
      <c r="CQ142" s="209"/>
      <c r="CR142" s="209"/>
      <c r="CS142" s="209"/>
      <c r="CT142" s="209"/>
      <c r="CU142" s="211"/>
      <c r="CV142" s="151"/>
    </row>
    <row r="143" spans="1:100" s="206" customFormat="1" ht="12.75" customHeight="1">
      <c r="A143" s="205"/>
      <c r="B143" s="205"/>
      <c r="C143" s="205"/>
      <c r="D143" s="32"/>
      <c r="E143" s="32"/>
      <c r="F143" s="220"/>
      <c r="G143" s="223"/>
      <c r="H143" s="230"/>
      <c r="I143" s="230"/>
      <c r="J143" s="230"/>
      <c r="K143" s="221"/>
      <c r="L143" s="230"/>
      <c r="M143" s="230"/>
      <c r="N143" s="230"/>
      <c r="O143" s="219"/>
      <c r="P143" s="219"/>
      <c r="Q143" s="222"/>
      <c r="R143" s="231"/>
      <c r="S143" s="232"/>
      <c r="T143" s="205"/>
      <c r="U143" s="205"/>
      <c r="V143" s="205"/>
      <c r="W143" s="204"/>
      <c r="X143" s="204"/>
      <c r="Y143" s="204"/>
      <c r="AG143" s="213"/>
      <c r="AH143" s="211"/>
      <c r="AI143" s="127"/>
      <c r="AJ143" s="127"/>
      <c r="AK143" s="211"/>
      <c r="AL143" s="120"/>
      <c r="AM143" s="120"/>
      <c r="AN143" s="128"/>
      <c r="AO143" s="128"/>
      <c r="AP143" s="99"/>
      <c r="AQ143" s="99"/>
      <c r="AR143" s="144"/>
      <c r="AS143" s="144"/>
      <c r="AT143" s="129"/>
      <c r="AU143" s="149"/>
      <c r="AV143" s="208"/>
      <c r="AW143" s="99"/>
      <c r="AX143" s="89"/>
      <c r="AY143" s="133"/>
      <c r="AZ143" s="134"/>
      <c r="BA143" s="133"/>
      <c r="BB143" s="134"/>
      <c r="BC143" s="133"/>
      <c r="BD143" s="134"/>
      <c r="BE143" s="132"/>
      <c r="BF143" s="132"/>
      <c r="BG143" s="132"/>
      <c r="CO143" s="211"/>
      <c r="CP143" s="211"/>
      <c r="CQ143" s="209"/>
      <c r="CR143" s="209"/>
      <c r="CS143" s="209"/>
      <c r="CT143" s="209"/>
      <c r="CU143" s="211"/>
      <c r="CV143" s="151"/>
    </row>
    <row r="144" spans="1:100" s="206" customFormat="1" ht="12.75" customHeight="1">
      <c r="A144" s="205"/>
      <c r="B144" s="205"/>
      <c r="C144" s="205"/>
      <c r="D144" s="32"/>
      <c r="E144" s="32"/>
      <c r="F144" s="220"/>
      <c r="G144" s="223"/>
      <c r="H144" s="230"/>
      <c r="I144" s="230"/>
      <c r="J144" s="230"/>
      <c r="K144" s="221"/>
      <c r="L144" s="230"/>
      <c r="M144" s="230"/>
      <c r="N144" s="230"/>
      <c r="O144" s="219"/>
      <c r="P144" s="219"/>
      <c r="Q144" s="222"/>
      <c r="R144" s="231"/>
      <c r="S144" s="232"/>
      <c r="T144" s="205"/>
      <c r="U144" s="205"/>
      <c r="V144" s="205"/>
      <c r="W144" s="204"/>
      <c r="X144" s="204"/>
      <c r="Y144" s="204"/>
      <c r="AG144" s="213"/>
      <c r="AH144" s="211"/>
      <c r="AI144" s="127"/>
      <c r="AJ144" s="127"/>
      <c r="AK144" s="211"/>
      <c r="AL144" s="120"/>
      <c r="AM144" s="120"/>
      <c r="AN144" s="128"/>
      <c r="AO144" s="128"/>
      <c r="AP144" s="99"/>
      <c r="AQ144" s="99"/>
      <c r="AR144" s="144"/>
      <c r="AS144" s="144"/>
      <c r="AT144" s="129"/>
      <c r="AU144" s="149"/>
      <c r="AV144" s="208"/>
      <c r="AW144" s="99"/>
      <c r="AX144" s="89"/>
      <c r="AY144" s="133"/>
      <c r="AZ144" s="134"/>
      <c r="BA144" s="133"/>
      <c r="BB144" s="134"/>
      <c r="BC144" s="133"/>
      <c r="BD144" s="134"/>
      <c r="BE144" s="132"/>
      <c r="BF144" s="132"/>
      <c r="BG144" s="132"/>
      <c r="CO144" s="211"/>
      <c r="CP144" s="211"/>
      <c r="CQ144" s="209"/>
      <c r="CR144" s="209"/>
      <c r="CS144" s="209"/>
      <c r="CT144" s="209"/>
      <c r="CU144" s="211"/>
      <c r="CV144" s="151"/>
    </row>
    <row r="145" spans="1:100" s="206" customFormat="1" ht="12.75" customHeight="1">
      <c r="A145" s="205"/>
      <c r="B145" s="205"/>
      <c r="C145" s="205"/>
      <c r="D145" s="32"/>
      <c r="E145" s="32"/>
      <c r="F145" s="220"/>
      <c r="G145" s="223"/>
      <c r="H145" s="230"/>
      <c r="I145" s="230"/>
      <c r="J145" s="230"/>
      <c r="K145" s="221"/>
      <c r="L145" s="230"/>
      <c r="M145" s="230"/>
      <c r="N145" s="230"/>
      <c r="O145" s="219"/>
      <c r="P145" s="219"/>
      <c r="Q145" s="222"/>
      <c r="R145" s="231"/>
      <c r="S145" s="232"/>
      <c r="T145" s="205"/>
      <c r="U145" s="205"/>
      <c r="V145" s="205"/>
      <c r="W145" s="204"/>
      <c r="X145" s="204"/>
      <c r="Y145" s="204"/>
      <c r="AG145" s="213"/>
      <c r="AH145" s="211"/>
      <c r="AI145" s="127"/>
      <c r="AJ145" s="127"/>
      <c r="AK145" s="211"/>
      <c r="AL145" s="120"/>
      <c r="AM145" s="120"/>
      <c r="AN145" s="128"/>
      <c r="AO145" s="128"/>
      <c r="AP145" s="99"/>
      <c r="AQ145" s="99"/>
      <c r="AR145" s="144"/>
      <c r="AS145" s="144"/>
      <c r="AT145" s="129"/>
      <c r="AU145" s="149"/>
      <c r="AV145" s="208"/>
      <c r="AW145" s="99"/>
      <c r="AX145" s="89"/>
      <c r="AY145" s="133"/>
      <c r="AZ145" s="134"/>
      <c r="BA145" s="133"/>
      <c r="BB145" s="134"/>
      <c r="BC145" s="133"/>
      <c r="BD145" s="134"/>
      <c r="BE145" s="132"/>
      <c r="BF145" s="132"/>
      <c r="BG145" s="132"/>
      <c r="CO145" s="211"/>
      <c r="CP145" s="211"/>
      <c r="CQ145" s="209"/>
      <c r="CR145" s="209"/>
      <c r="CS145" s="209"/>
      <c r="CT145" s="209"/>
      <c r="CU145" s="211"/>
      <c r="CV145" s="151"/>
    </row>
    <row r="146" spans="1:100" s="206" customFormat="1" ht="12.75" customHeight="1">
      <c r="A146" s="205"/>
      <c r="B146" s="205"/>
      <c r="C146" s="205"/>
      <c r="D146" s="32"/>
      <c r="E146" s="32"/>
      <c r="F146" s="220"/>
      <c r="G146" s="223"/>
      <c r="H146" s="230"/>
      <c r="I146" s="230"/>
      <c r="J146" s="230"/>
      <c r="K146" s="221"/>
      <c r="L146" s="230"/>
      <c r="M146" s="230"/>
      <c r="N146" s="230"/>
      <c r="O146" s="219"/>
      <c r="P146" s="219"/>
      <c r="Q146" s="222"/>
      <c r="R146" s="231"/>
      <c r="S146" s="232"/>
      <c r="T146" s="205"/>
      <c r="U146" s="205"/>
      <c r="V146" s="205"/>
      <c r="W146" s="204"/>
      <c r="X146" s="204"/>
      <c r="Y146" s="204"/>
      <c r="AG146" s="213"/>
      <c r="AH146" s="211"/>
      <c r="AI146" s="127"/>
      <c r="AJ146" s="127"/>
      <c r="AK146" s="211"/>
      <c r="AL146" s="120"/>
      <c r="AM146" s="120"/>
      <c r="AN146" s="128"/>
      <c r="AO146" s="128"/>
      <c r="AP146" s="99"/>
      <c r="AQ146" s="99"/>
      <c r="AR146" s="144"/>
      <c r="AS146" s="144"/>
      <c r="AT146" s="129"/>
      <c r="AU146" s="149"/>
      <c r="AV146" s="208"/>
      <c r="AW146" s="99"/>
      <c r="AX146" s="89"/>
      <c r="AY146" s="133"/>
      <c r="AZ146" s="134"/>
      <c r="BA146" s="133"/>
      <c r="BB146" s="134"/>
      <c r="BC146" s="133"/>
      <c r="BD146" s="134"/>
      <c r="BE146" s="132"/>
      <c r="BF146" s="132"/>
      <c r="BG146" s="132"/>
      <c r="CO146" s="211"/>
      <c r="CP146" s="211"/>
      <c r="CQ146" s="209"/>
      <c r="CR146" s="209"/>
      <c r="CS146" s="209"/>
      <c r="CT146" s="209"/>
      <c r="CU146" s="211"/>
      <c r="CV146" s="151"/>
    </row>
    <row r="147" spans="1:100" s="206" customFormat="1" ht="12.75" customHeight="1">
      <c r="A147" s="205"/>
      <c r="B147" s="205"/>
      <c r="C147" s="205"/>
      <c r="D147" s="32"/>
      <c r="E147" s="32"/>
      <c r="F147" s="220"/>
      <c r="G147" s="223"/>
      <c r="H147" s="230"/>
      <c r="I147" s="230"/>
      <c r="J147" s="230"/>
      <c r="K147" s="221"/>
      <c r="L147" s="230"/>
      <c r="M147" s="230"/>
      <c r="N147" s="230"/>
      <c r="O147" s="219"/>
      <c r="P147" s="219"/>
      <c r="Q147" s="222"/>
      <c r="R147" s="231"/>
      <c r="S147" s="232"/>
      <c r="T147" s="205"/>
      <c r="U147" s="205"/>
      <c r="V147" s="205"/>
      <c r="W147" s="204"/>
      <c r="X147" s="204"/>
      <c r="Y147" s="204"/>
      <c r="AG147" s="213"/>
      <c r="AH147" s="211"/>
      <c r="AI147" s="127"/>
      <c r="AJ147" s="127"/>
      <c r="AK147" s="211"/>
      <c r="AL147" s="120"/>
      <c r="AM147" s="120"/>
      <c r="AN147" s="128"/>
      <c r="AO147" s="128"/>
      <c r="AP147" s="99"/>
      <c r="AQ147" s="99"/>
      <c r="AR147" s="144"/>
      <c r="AS147" s="144"/>
      <c r="AT147" s="129"/>
      <c r="AU147" s="149"/>
      <c r="AV147" s="208"/>
      <c r="AW147" s="99"/>
      <c r="AX147" s="89"/>
      <c r="AY147" s="133"/>
      <c r="AZ147" s="134"/>
      <c r="BA147" s="133"/>
      <c r="BB147" s="134"/>
      <c r="BC147" s="133"/>
      <c r="BD147" s="134"/>
      <c r="BE147" s="132"/>
      <c r="BF147" s="132"/>
      <c r="BG147" s="132"/>
      <c r="CO147" s="211"/>
      <c r="CP147" s="211"/>
      <c r="CQ147" s="209"/>
      <c r="CR147" s="209"/>
      <c r="CS147" s="209"/>
      <c r="CT147" s="209"/>
      <c r="CU147" s="211"/>
      <c r="CV147" s="151"/>
    </row>
    <row r="148" spans="1:100" s="206" customFormat="1" ht="12.75" customHeight="1">
      <c r="A148" s="205"/>
      <c r="B148" s="205"/>
      <c r="C148" s="205"/>
      <c r="D148" s="32"/>
      <c r="E148" s="32"/>
      <c r="F148" s="220"/>
      <c r="G148" s="223"/>
      <c r="H148" s="230"/>
      <c r="I148" s="230"/>
      <c r="J148" s="230"/>
      <c r="K148" s="221"/>
      <c r="L148" s="230"/>
      <c r="M148" s="230"/>
      <c r="N148" s="230"/>
      <c r="O148" s="219"/>
      <c r="P148" s="219"/>
      <c r="Q148" s="222"/>
      <c r="R148" s="231"/>
      <c r="S148" s="232"/>
      <c r="T148" s="205"/>
      <c r="U148" s="205"/>
      <c r="V148" s="205"/>
      <c r="W148" s="204"/>
      <c r="X148" s="204"/>
      <c r="Y148" s="204"/>
      <c r="AG148" s="213"/>
      <c r="AH148" s="211"/>
      <c r="AI148" s="127"/>
      <c r="AJ148" s="127"/>
      <c r="AK148" s="211"/>
      <c r="AL148" s="120"/>
      <c r="AM148" s="120"/>
      <c r="AN148" s="128"/>
      <c r="AO148" s="128"/>
      <c r="AP148" s="99"/>
      <c r="AQ148" s="99"/>
      <c r="AR148" s="144"/>
      <c r="AS148" s="144"/>
      <c r="AT148" s="129"/>
      <c r="AU148" s="149"/>
      <c r="AV148" s="208"/>
      <c r="AW148" s="99"/>
      <c r="AX148" s="89"/>
      <c r="AY148" s="133"/>
      <c r="AZ148" s="134"/>
      <c r="BA148" s="133"/>
      <c r="BB148" s="134"/>
      <c r="BC148" s="133"/>
      <c r="BD148" s="134"/>
      <c r="BE148" s="132"/>
      <c r="BF148" s="132"/>
      <c r="BG148" s="132"/>
      <c r="CO148" s="211"/>
      <c r="CP148" s="211"/>
      <c r="CQ148" s="209"/>
      <c r="CR148" s="209"/>
      <c r="CS148" s="209"/>
      <c r="CT148" s="209"/>
      <c r="CU148" s="211"/>
      <c r="CV148" s="151"/>
    </row>
    <row r="149" spans="1:100" s="206" customFormat="1" ht="12.75" customHeight="1">
      <c r="A149" s="205"/>
      <c r="B149" s="205"/>
      <c r="C149" s="205"/>
      <c r="D149" s="32"/>
      <c r="E149" s="32"/>
      <c r="F149" s="220"/>
      <c r="G149" s="223"/>
      <c r="H149" s="230"/>
      <c r="I149" s="230"/>
      <c r="J149" s="230"/>
      <c r="K149" s="221"/>
      <c r="L149" s="230"/>
      <c r="M149" s="230"/>
      <c r="N149" s="230"/>
      <c r="O149" s="219"/>
      <c r="P149" s="219"/>
      <c r="Q149" s="222"/>
      <c r="R149" s="231"/>
      <c r="S149" s="232"/>
      <c r="T149" s="205"/>
      <c r="U149" s="205"/>
      <c r="V149" s="205"/>
      <c r="W149" s="204"/>
      <c r="X149" s="204"/>
      <c r="Y149" s="204"/>
      <c r="AG149" s="213"/>
      <c r="AH149" s="211"/>
      <c r="AI149" s="127"/>
      <c r="AJ149" s="127"/>
      <c r="AK149" s="211"/>
      <c r="AL149" s="120"/>
      <c r="AM149" s="120"/>
      <c r="AN149" s="128"/>
      <c r="AO149" s="128"/>
      <c r="AP149" s="99"/>
      <c r="AQ149" s="99"/>
      <c r="AR149" s="144"/>
      <c r="AS149" s="144"/>
      <c r="AT149" s="129"/>
      <c r="AU149" s="149"/>
      <c r="AV149" s="208"/>
      <c r="AW149" s="99"/>
      <c r="AX149" s="89"/>
      <c r="AY149" s="133"/>
      <c r="AZ149" s="134"/>
      <c r="BA149" s="133"/>
      <c r="BB149" s="134"/>
      <c r="BC149" s="133"/>
      <c r="BD149" s="134"/>
      <c r="BE149" s="132"/>
      <c r="BF149" s="132"/>
      <c r="BG149" s="132"/>
      <c r="CO149" s="211"/>
      <c r="CP149" s="211"/>
      <c r="CQ149" s="209"/>
      <c r="CR149" s="209"/>
      <c r="CS149" s="209"/>
      <c r="CT149" s="209"/>
      <c r="CU149" s="211"/>
      <c r="CV149" s="151"/>
    </row>
    <row r="150" spans="1:100" s="206" customFormat="1" ht="12.75" customHeight="1">
      <c r="A150" s="205"/>
      <c r="B150" s="205"/>
      <c r="C150" s="205"/>
      <c r="D150" s="32"/>
      <c r="E150" s="32"/>
      <c r="F150" s="220"/>
      <c r="G150" s="223"/>
      <c r="H150" s="230"/>
      <c r="I150" s="230"/>
      <c r="J150" s="230"/>
      <c r="K150" s="221"/>
      <c r="L150" s="230"/>
      <c r="M150" s="230"/>
      <c r="N150" s="230"/>
      <c r="O150" s="219"/>
      <c r="P150" s="219"/>
      <c r="Q150" s="222"/>
      <c r="R150" s="231"/>
      <c r="S150" s="232"/>
      <c r="T150" s="205"/>
      <c r="U150" s="205"/>
      <c r="V150" s="205"/>
      <c r="W150" s="204"/>
      <c r="X150" s="204"/>
      <c r="Y150" s="204"/>
      <c r="AG150" s="213"/>
      <c r="AH150" s="211"/>
      <c r="AI150" s="127"/>
      <c r="AJ150" s="127"/>
      <c r="AK150" s="211"/>
      <c r="AL150" s="120"/>
      <c r="AM150" s="120"/>
      <c r="AN150" s="128"/>
      <c r="AO150" s="128"/>
      <c r="AP150" s="99"/>
      <c r="AQ150" s="99"/>
      <c r="AR150" s="144"/>
      <c r="AS150" s="144"/>
      <c r="AT150" s="129"/>
      <c r="AU150" s="149"/>
      <c r="AV150" s="208"/>
      <c r="AW150" s="99"/>
      <c r="AX150" s="89"/>
      <c r="AY150" s="133"/>
      <c r="AZ150" s="134"/>
      <c r="BA150" s="133"/>
      <c r="BB150" s="134"/>
      <c r="BC150" s="133"/>
      <c r="BD150" s="134"/>
      <c r="BE150" s="132"/>
      <c r="BF150" s="132"/>
      <c r="BG150" s="132"/>
      <c r="CO150" s="211"/>
      <c r="CP150" s="211"/>
      <c r="CQ150" s="209"/>
      <c r="CR150" s="209"/>
      <c r="CS150" s="209"/>
      <c r="CT150" s="209"/>
      <c r="CU150" s="211"/>
      <c r="CV150" s="151"/>
    </row>
    <row r="151" spans="1:100" s="206" customFormat="1" ht="12.75" customHeight="1">
      <c r="A151" s="205"/>
      <c r="B151" s="205"/>
      <c r="C151" s="205"/>
      <c r="D151" s="32"/>
      <c r="E151" s="32"/>
      <c r="F151" s="220"/>
      <c r="G151" s="223"/>
      <c r="H151" s="230"/>
      <c r="I151" s="230"/>
      <c r="J151" s="230"/>
      <c r="K151" s="221"/>
      <c r="L151" s="230"/>
      <c r="M151" s="230"/>
      <c r="N151" s="230"/>
      <c r="O151" s="219"/>
      <c r="P151" s="219"/>
      <c r="Q151" s="222"/>
      <c r="R151" s="231"/>
      <c r="S151" s="232"/>
      <c r="T151" s="205"/>
      <c r="U151" s="205"/>
      <c r="V151" s="205"/>
      <c r="W151" s="204"/>
      <c r="X151" s="204"/>
      <c r="Y151" s="204"/>
      <c r="AG151" s="213"/>
      <c r="AH151" s="211"/>
      <c r="AI151" s="127"/>
      <c r="AJ151" s="127"/>
      <c r="AK151" s="211"/>
      <c r="AL151" s="120"/>
      <c r="AM151" s="120"/>
      <c r="AN151" s="128"/>
      <c r="AO151" s="128"/>
      <c r="AP151" s="99"/>
      <c r="AQ151" s="99"/>
      <c r="AR151" s="144"/>
      <c r="AS151" s="144"/>
      <c r="AT151" s="129"/>
      <c r="AU151" s="149"/>
      <c r="AV151" s="208"/>
      <c r="AW151" s="99"/>
      <c r="AX151" s="89"/>
      <c r="AY151" s="133"/>
      <c r="AZ151" s="134"/>
      <c r="BA151" s="133"/>
      <c r="BB151" s="134"/>
      <c r="BC151" s="133"/>
      <c r="BD151" s="134"/>
      <c r="BE151" s="132"/>
      <c r="BF151" s="132"/>
      <c r="BG151" s="132"/>
      <c r="CO151" s="211"/>
      <c r="CP151" s="211"/>
      <c r="CQ151" s="209"/>
      <c r="CR151" s="209"/>
      <c r="CS151" s="209"/>
      <c r="CT151" s="209"/>
      <c r="CU151" s="211"/>
      <c r="CV151" s="151"/>
    </row>
    <row r="152" spans="1:100" s="206" customFormat="1" ht="12.75" customHeight="1">
      <c r="A152" s="205"/>
      <c r="B152" s="205"/>
      <c r="C152" s="205"/>
      <c r="D152" s="32"/>
      <c r="E152" s="32"/>
      <c r="F152" s="220"/>
      <c r="G152" s="223"/>
      <c r="H152" s="230"/>
      <c r="I152" s="230"/>
      <c r="J152" s="230"/>
      <c r="K152" s="221"/>
      <c r="L152" s="230"/>
      <c r="M152" s="230"/>
      <c r="N152" s="230"/>
      <c r="O152" s="219"/>
      <c r="P152" s="219"/>
      <c r="Q152" s="222"/>
      <c r="R152" s="231"/>
      <c r="S152" s="232"/>
      <c r="T152" s="205"/>
      <c r="U152" s="205"/>
      <c r="V152" s="205"/>
      <c r="W152" s="204"/>
      <c r="X152" s="204"/>
      <c r="Y152" s="204"/>
      <c r="AG152" s="213"/>
      <c r="AH152" s="211"/>
      <c r="AI152" s="127"/>
      <c r="AJ152" s="127"/>
      <c r="AK152" s="211"/>
      <c r="AL152" s="120"/>
      <c r="AM152" s="120"/>
      <c r="AN152" s="128"/>
      <c r="AO152" s="128"/>
      <c r="AP152" s="99"/>
      <c r="AQ152" s="99"/>
      <c r="AR152" s="144"/>
      <c r="AS152" s="144"/>
      <c r="AT152" s="129"/>
      <c r="AU152" s="149"/>
      <c r="AV152" s="208"/>
      <c r="AW152" s="99"/>
      <c r="AX152" s="89"/>
      <c r="AY152" s="133"/>
      <c r="AZ152" s="134"/>
      <c r="BA152" s="133"/>
      <c r="BB152" s="134"/>
      <c r="BC152" s="133"/>
      <c r="BD152" s="134"/>
      <c r="BE152" s="132"/>
      <c r="BF152" s="132"/>
      <c r="BG152" s="132"/>
      <c r="CO152" s="211"/>
      <c r="CP152" s="211"/>
      <c r="CQ152" s="209"/>
      <c r="CR152" s="209"/>
      <c r="CS152" s="209"/>
      <c r="CT152" s="209"/>
      <c r="CU152" s="211"/>
      <c r="CV152" s="151"/>
    </row>
    <row r="153" spans="1:100" s="206" customFormat="1" ht="12.75" customHeight="1">
      <c r="A153" s="205"/>
      <c r="B153" s="205"/>
      <c r="C153" s="205"/>
      <c r="D153" s="32"/>
      <c r="E153" s="32"/>
      <c r="F153" s="220"/>
      <c r="G153" s="223"/>
      <c r="H153" s="230"/>
      <c r="I153" s="230"/>
      <c r="J153" s="230"/>
      <c r="K153" s="221"/>
      <c r="L153" s="230"/>
      <c r="M153" s="230"/>
      <c r="N153" s="230"/>
      <c r="O153" s="219"/>
      <c r="P153" s="219"/>
      <c r="Q153" s="222"/>
      <c r="R153" s="231"/>
      <c r="S153" s="232"/>
      <c r="T153" s="205"/>
      <c r="U153" s="205"/>
      <c r="V153" s="205"/>
      <c r="W153" s="204"/>
      <c r="X153" s="204"/>
      <c r="Y153" s="204"/>
      <c r="AG153" s="213"/>
      <c r="AH153" s="211"/>
      <c r="AI153" s="127"/>
      <c r="AJ153" s="127"/>
      <c r="AK153" s="211"/>
      <c r="AL153" s="120"/>
      <c r="AM153" s="120"/>
      <c r="AN153" s="128"/>
      <c r="AO153" s="128"/>
      <c r="AP153" s="99"/>
      <c r="AQ153" s="99"/>
      <c r="AR153" s="144"/>
      <c r="AS153" s="144"/>
      <c r="AT153" s="129"/>
      <c r="AU153" s="149"/>
      <c r="AV153" s="208"/>
      <c r="AW153" s="99"/>
      <c r="AX153" s="89"/>
      <c r="AY153" s="133"/>
      <c r="AZ153" s="134"/>
      <c r="BA153" s="133"/>
      <c r="BB153" s="134"/>
      <c r="BC153" s="133"/>
      <c r="BD153" s="134"/>
      <c r="BE153" s="132"/>
      <c r="BF153" s="132"/>
      <c r="BG153" s="132"/>
      <c r="CO153" s="211"/>
      <c r="CP153" s="211"/>
      <c r="CQ153" s="209"/>
      <c r="CR153" s="209"/>
      <c r="CS153" s="209"/>
      <c r="CT153" s="209"/>
      <c r="CU153" s="211"/>
      <c r="CV153" s="151"/>
    </row>
    <row r="154" spans="1:100" s="206" customFormat="1" ht="12.75" customHeight="1">
      <c r="A154" s="205"/>
      <c r="B154" s="205"/>
      <c r="C154" s="205"/>
      <c r="D154" s="32"/>
      <c r="E154" s="32"/>
      <c r="F154" s="220"/>
      <c r="G154" s="223"/>
      <c r="H154" s="230"/>
      <c r="I154" s="230"/>
      <c r="J154" s="230"/>
      <c r="K154" s="221"/>
      <c r="L154" s="230"/>
      <c r="M154" s="230"/>
      <c r="N154" s="230"/>
      <c r="O154" s="219"/>
      <c r="P154" s="219"/>
      <c r="Q154" s="222"/>
      <c r="R154" s="231"/>
      <c r="S154" s="232"/>
      <c r="T154" s="205"/>
      <c r="U154" s="205"/>
      <c r="V154" s="205"/>
      <c r="W154" s="204"/>
      <c r="X154" s="204"/>
      <c r="Y154" s="204"/>
      <c r="AG154" s="213"/>
      <c r="AH154" s="211"/>
      <c r="AI154" s="127"/>
      <c r="AJ154" s="127"/>
      <c r="AK154" s="211"/>
      <c r="AL154" s="120"/>
      <c r="AM154" s="120"/>
      <c r="AN154" s="128"/>
      <c r="AO154" s="128"/>
      <c r="AP154" s="99"/>
      <c r="AQ154" s="99"/>
      <c r="AR154" s="144"/>
      <c r="AS154" s="144"/>
      <c r="AT154" s="129"/>
      <c r="AU154" s="149"/>
      <c r="AV154" s="208"/>
      <c r="AW154" s="99"/>
      <c r="AX154" s="89"/>
      <c r="AY154" s="133"/>
      <c r="AZ154" s="134"/>
      <c r="BA154" s="133"/>
      <c r="BB154" s="134"/>
      <c r="BC154" s="133"/>
      <c r="BD154" s="134"/>
      <c r="BE154" s="132"/>
      <c r="BF154" s="132"/>
      <c r="BG154" s="132"/>
      <c r="CO154" s="211"/>
      <c r="CP154" s="211"/>
      <c r="CQ154" s="209"/>
      <c r="CR154" s="209"/>
      <c r="CS154" s="209"/>
      <c r="CT154" s="209"/>
      <c r="CU154" s="211"/>
      <c r="CV154" s="151"/>
    </row>
    <row r="155" spans="1:100" s="206" customFormat="1" ht="12.75" customHeight="1">
      <c r="A155" s="205"/>
      <c r="B155" s="205"/>
      <c r="C155" s="205"/>
      <c r="D155" s="32"/>
      <c r="E155" s="32"/>
      <c r="F155" s="220"/>
      <c r="G155" s="223"/>
      <c r="H155" s="230"/>
      <c r="I155" s="230"/>
      <c r="J155" s="230"/>
      <c r="K155" s="221"/>
      <c r="L155" s="230"/>
      <c r="M155" s="230"/>
      <c r="N155" s="230"/>
      <c r="O155" s="219"/>
      <c r="P155" s="219"/>
      <c r="Q155" s="222"/>
      <c r="R155" s="231"/>
      <c r="S155" s="232"/>
      <c r="T155" s="205"/>
      <c r="U155" s="205"/>
      <c r="V155" s="205"/>
      <c r="W155" s="204"/>
      <c r="X155" s="204"/>
      <c r="Y155" s="204"/>
      <c r="AG155" s="213"/>
      <c r="AH155" s="211"/>
      <c r="AI155" s="127"/>
      <c r="AJ155" s="127"/>
      <c r="AK155" s="211"/>
      <c r="AL155" s="120"/>
      <c r="AM155" s="120"/>
      <c r="AN155" s="128"/>
      <c r="AO155" s="128"/>
      <c r="AP155" s="99"/>
      <c r="AQ155" s="99"/>
      <c r="AR155" s="144"/>
      <c r="AS155" s="144"/>
      <c r="AT155" s="129"/>
      <c r="AU155" s="149"/>
      <c r="AV155" s="208"/>
      <c r="AW155" s="99"/>
      <c r="AX155" s="89"/>
      <c r="AY155" s="133"/>
      <c r="AZ155" s="134"/>
      <c r="BA155" s="133"/>
      <c r="BB155" s="134"/>
      <c r="BC155" s="133"/>
      <c r="BD155" s="134"/>
      <c r="BE155" s="132"/>
      <c r="BF155" s="132"/>
      <c r="BG155" s="132"/>
      <c r="CO155" s="211"/>
      <c r="CP155" s="211"/>
      <c r="CQ155" s="209"/>
      <c r="CR155" s="209"/>
      <c r="CS155" s="209"/>
      <c r="CT155" s="209"/>
      <c r="CU155" s="211"/>
      <c r="CV155" s="151"/>
    </row>
    <row r="156" spans="1:100" s="206" customFormat="1" ht="12.75" customHeight="1">
      <c r="A156" s="205"/>
      <c r="B156" s="205"/>
      <c r="C156" s="205"/>
      <c r="D156" s="32"/>
      <c r="E156" s="32"/>
      <c r="F156" s="220"/>
      <c r="G156" s="223"/>
      <c r="H156" s="230"/>
      <c r="I156" s="230"/>
      <c r="J156" s="230"/>
      <c r="K156" s="221"/>
      <c r="L156" s="230"/>
      <c r="M156" s="230"/>
      <c r="N156" s="230"/>
      <c r="O156" s="219"/>
      <c r="P156" s="219"/>
      <c r="Q156" s="222"/>
      <c r="R156" s="231"/>
      <c r="S156" s="232"/>
      <c r="T156" s="205"/>
      <c r="U156" s="205"/>
      <c r="V156" s="205"/>
      <c r="W156" s="204"/>
      <c r="X156" s="204"/>
      <c r="Y156" s="204"/>
      <c r="AG156" s="213"/>
      <c r="AH156" s="211"/>
      <c r="AI156" s="127"/>
      <c r="AJ156" s="127"/>
      <c r="AK156" s="211"/>
      <c r="AL156" s="120"/>
      <c r="AM156" s="120"/>
      <c r="AN156" s="128"/>
      <c r="AO156" s="128"/>
      <c r="AP156" s="99"/>
      <c r="AQ156" s="99"/>
      <c r="AR156" s="144"/>
      <c r="AS156" s="144"/>
      <c r="AT156" s="129"/>
      <c r="AU156" s="149"/>
      <c r="AV156" s="208"/>
      <c r="AW156" s="99"/>
      <c r="AX156" s="89"/>
      <c r="AY156" s="133"/>
      <c r="AZ156" s="134"/>
      <c r="BA156" s="133"/>
      <c r="BB156" s="134"/>
      <c r="BC156" s="133"/>
      <c r="BD156" s="134"/>
      <c r="BE156" s="132"/>
      <c r="BF156" s="132"/>
      <c r="BG156" s="132"/>
      <c r="CO156" s="211"/>
      <c r="CP156" s="211"/>
      <c r="CQ156" s="209"/>
      <c r="CR156" s="209"/>
      <c r="CS156" s="209"/>
      <c r="CT156" s="209"/>
      <c r="CU156" s="211"/>
      <c r="CV156" s="151"/>
    </row>
    <row r="157" spans="1:100" s="206" customFormat="1" ht="12.75" customHeight="1">
      <c r="A157" s="205"/>
      <c r="B157" s="205"/>
      <c r="C157" s="205"/>
      <c r="D157" s="32"/>
      <c r="E157" s="32"/>
      <c r="F157" s="220"/>
      <c r="G157" s="223"/>
      <c r="H157" s="230"/>
      <c r="I157" s="230"/>
      <c r="J157" s="230"/>
      <c r="K157" s="221"/>
      <c r="L157" s="230"/>
      <c r="M157" s="230"/>
      <c r="N157" s="230"/>
      <c r="O157" s="219"/>
      <c r="P157" s="219"/>
      <c r="Q157" s="222"/>
      <c r="R157" s="231"/>
      <c r="S157" s="232"/>
      <c r="T157" s="205"/>
      <c r="U157" s="205"/>
      <c r="V157" s="205"/>
      <c r="W157" s="204"/>
      <c r="X157" s="204"/>
      <c r="Y157" s="204"/>
      <c r="AG157" s="213"/>
      <c r="AH157" s="211"/>
      <c r="AI157" s="127"/>
      <c r="AJ157" s="127"/>
      <c r="AK157" s="211"/>
      <c r="AL157" s="120"/>
      <c r="AM157" s="120"/>
      <c r="AN157" s="128"/>
      <c r="AO157" s="128"/>
      <c r="AP157" s="99"/>
      <c r="AQ157" s="99"/>
      <c r="AR157" s="144"/>
      <c r="AS157" s="144"/>
      <c r="AT157" s="129"/>
      <c r="AU157" s="149"/>
      <c r="AV157" s="208"/>
      <c r="AW157" s="99"/>
      <c r="AX157" s="89"/>
      <c r="AY157" s="133"/>
      <c r="AZ157" s="134"/>
      <c r="BA157" s="133"/>
      <c r="BB157" s="134"/>
      <c r="BC157" s="133"/>
      <c r="BD157" s="134"/>
      <c r="BE157" s="132"/>
      <c r="BF157" s="132"/>
      <c r="BG157" s="132"/>
      <c r="CO157" s="211"/>
      <c r="CP157" s="211"/>
      <c r="CQ157" s="209"/>
      <c r="CR157" s="209"/>
      <c r="CS157" s="209"/>
      <c r="CT157" s="209"/>
      <c r="CU157" s="211"/>
      <c r="CV157" s="151"/>
    </row>
    <row r="158" spans="1:100" s="206" customFormat="1" ht="12.75" customHeight="1">
      <c r="A158" s="205"/>
      <c r="B158" s="205"/>
      <c r="C158" s="205"/>
      <c r="D158" s="32"/>
      <c r="E158" s="32"/>
      <c r="F158" s="220"/>
      <c r="G158" s="223"/>
      <c r="H158" s="230"/>
      <c r="I158" s="230"/>
      <c r="J158" s="230"/>
      <c r="K158" s="221"/>
      <c r="L158" s="230"/>
      <c r="M158" s="230"/>
      <c r="N158" s="230"/>
      <c r="O158" s="219"/>
      <c r="P158" s="219"/>
      <c r="Q158" s="222"/>
      <c r="R158" s="231"/>
      <c r="S158" s="232"/>
      <c r="T158" s="205"/>
      <c r="U158" s="205"/>
      <c r="V158" s="205"/>
      <c r="W158" s="204"/>
      <c r="X158" s="204"/>
      <c r="Y158" s="204"/>
      <c r="AG158" s="213"/>
      <c r="AH158" s="211"/>
      <c r="AI158" s="127"/>
      <c r="AJ158" s="127"/>
      <c r="AK158" s="211"/>
      <c r="AL158" s="120"/>
      <c r="AM158" s="120"/>
      <c r="AN158" s="128"/>
      <c r="AO158" s="128"/>
      <c r="AP158" s="99"/>
      <c r="AQ158" s="99"/>
      <c r="AR158" s="144"/>
      <c r="AS158" s="144"/>
      <c r="AT158" s="129"/>
      <c r="AU158" s="149"/>
      <c r="AV158" s="208"/>
      <c r="AW158" s="99"/>
      <c r="AX158" s="89"/>
      <c r="AY158" s="133"/>
      <c r="AZ158" s="134"/>
      <c r="BA158" s="133"/>
      <c r="BB158" s="134"/>
      <c r="BC158" s="133"/>
      <c r="BD158" s="134"/>
      <c r="BE158" s="132"/>
      <c r="BF158" s="132"/>
      <c r="BG158" s="132"/>
      <c r="CO158" s="211"/>
      <c r="CP158" s="211"/>
      <c r="CQ158" s="209"/>
      <c r="CR158" s="209"/>
      <c r="CS158" s="209"/>
      <c r="CT158" s="209"/>
      <c r="CU158" s="211"/>
      <c r="CV158" s="151"/>
    </row>
    <row r="159" spans="1:100" s="206" customFormat="1" ht="12.75" customHeight="1">
      <c r="A159" s="205"/>
      <c r="B159" s="205"/>
      <c r="C159" s="205"/>
      <c r="D159" s="32"/>
      <c r="E159" s="32"/>
      <c r="F159" s="220"/>
      <c r="G159" s="223"/>
      <c r="H159" s="230"/>
      <c r="I159" s="230"/>
      <c r="J159" s="230"/>
      <c r="K159" s="221"/>
      <c r="L159" s="230"/>
      <c r="M159" s="230"/>
      <c r="N159" s="230"/>
      <c r="O159" s="219"/>
      <c r="P159" s="219"/>
      <c r="Q159" s="222"/>
      <c r="R159" s="231"/>
      <c r="S159" s="232"/>
      <c r="T159" s="205"/>
      <c r="U159" s="205"/>
      <c r="V159" s="205"/>
      <c r="W159" s="204"/>
      <c r="X159" s="204"/>
      <c r="Y159" s="204"/>
      <c r="AG159" s="213"/>
      <c r="AH159" s="211"/>
      <c r="AI159" s="127"/>
      <c r="AJ159" s="127"/>
      <c r="AK159" s="211"/>
      <c r="AL159" s="120"/>
      <c r="AM159" s="120"/>
      <c r="AN159" s="128"/>
      <c r="AO159" s="128"/>
      <c r="AP159" s="99"/>
      <c r="AQ159" s="99"/>
      <c r="AR159" s="144"/>
      <c r="AS159" s="144"/>
      <c r="AT159" s="129"/>
      <c r="AU159" s="149"/>
      <c r="AV159" s="208"/>
      <c r="AW159" s="99"/>
      <c r="AX159" s="89"/>
      <c r="AY159" s="133"/>
      <c r="AZ159" s="134"/>
      <c r="BA159" s="133"/>
      <c r="BB159" s="134"/>
      <c r="BC159" s="133"/>
      <c r="BD159" s="134"/>
      <c r="BE159" s="132"/>
      <c r="BF159" s="132"/>
      <c r="BG159" s="132"/>
      <c r="CO159" s="211"/>
      <c r="CP159" s="211"/>
      <c r="CQ159" s="209"/>
      <c r="CR159" s="209"/>
      <c r="CS159" s="209"/>
      <c r="CT159" s="209"/>
      <c r="CU159" s="211"/>
      <c r="CV159" s="151"/>
    </row>
    <row r="160" spans="1:100" s="206" customFormat="1" ht="12.75" customHeight="1">
      <c r="A160" s="205"/>
      <c r="B160" s="205"/>
      <c r="C160" s="205"/>
      <c r="D160" s="32"/>
      <c r="E160" s="32"/>
      <c r="F160" s="220"/>
      <c r="G160" s="223"/>
      <c r="H160" s="230"/>
      <c r="I160" s="230"/>
      <c r="J160" s="230"/>
      <c r="K160" s="221"/>
      <c r="L160" s="230"/>
      <c r="M160" s="230"/>
      <c r="N160" s="230"/>
      <c r="O160" s="219"/>
      <c r="P160" s="219"/>
      <c r="Q160" s="222"/>
      <c r="R160" s="231"/>
      <c r="S160" s="232"/>
      <c r="T160" s="205"/>
      <c r="U160" s="205"/>
      <c r="V160" s="205"/>
      <c r="W160" s="204"/>
      <c r="X160" s="204"/>
      <c r="Y160" s="204"/>
      <c r="AG160" s="213"/>
      <c r="AH160" s="211"/>
      <c r="AI160" s="127"/>
      <c r="AJ160" s="127"/>
      <c r="AK160" s="211"/>
      <c r="AL160" s="120"/>
      <c r="AM160" s="120"/>
      <c r="AN160" s="128"/>
      <c r="AO160" s="128"/>
      <c r="AP160" s="99"/>
      <c r="AQ160" s="99"/>
      <c r="AR160" s="144"/>
      <c r="AS160" s="144"/>
      <c r="AT160" s="129"/>
      <c r="AU160" s="149"/>
      <c r="AV160" s="208"/>
      <c r="AW160" s="99"/>
      <c r="AX160" s="89"/>
      <c r="AY160" s="133"/>
      <c r="AZ160" s="134"/>
      <c r="BA160" s="133"/>
      <c r="BB160" s="134"/>
      <c r="BC160" s="133"/>
      <c r="BD160" s="134"/>
      <c r="BE160" s="132"/>
      <c r="BF160" s="132"/>
      <c r="BG160" s="132"/>
      <c r="CO160" s="211"/>
      <c r="CP160" s="211"/>
      <c r="CQ160" s="209"/>
      <c r="CR160" s="209"/>
      <c r="CS160" s="209"/>
      <c r="CT160" s="209"/>
      <c r="CU160" s="211"/>
      <c r="CV160" s="151"/>
    </row>
    <row r="161" spans="1:100" s="206" customFormat="1" ht="12.75" customHeight="1">
      <c r="A161" s="205"/>
      <c r="B161" s="205"/>
      <c r="C161" s="205"/>
      <c r="D161" s="32"/>
      <c r="E161" s="32"/>
      <c r="F161" s="220"/>
      <c r="G161" s="223"/>
      <c r="H161" s="230"/>
      <c r="I161" s="230"/>
      <c r="J161" s="230"/>
      <c r="K161" s="221"/>
      <c r="L161" s="230"/>
      <c r="M161" s="230"/>
      <c r="N161" s="230"/>
      <c r="O161" s="219"/>
      <c r="P161" s="219"/>
      <c r="Q161" s="222"/>
      <c r="R161" s="231"/>
      <c r="S161" s="232"/>
      <c r="T161" s="205"/>
      <c r="U161" s="205"/>
      <c r="V161" s="205"/>
      <c r="W161" s="204"/>
      <c r="X161" s="204"/>
      <c r="Y161" s="204"/>
      <c r="AG161" s="213"/>
      <c r="AH161" s="211"/>
      <c r="AI161" s="127"/>
      <c r="AJ161" s="127"/>
      <c r="AK161" s="211"/>
      <c r="AL161" s="120"/>
      <c r="AM161" s="120"/>
      <c r="AN161" s="128"/>
      <c r="AO161" s="128"/>
      <c r="AP161" s="99"/>
      <c r="AQ161" s="99"/>
      <c r="AR161" s="144"/>
      <c r="AS161" s="144"/>
      <c r="AT161" s="129"/>
      <c r="AU161" s="149"/>
      <c r="AV161" s="208"/>
      <c r="AW161" s="99"/>
      <c r="AX161" s="89"/>
      <c r="AY161" s="133"/>
      <c r="AZ161" s="134"/>
      <c r="BA161" s="133"/>
      <c r="BB161" s="134"/>
      <c r="BC161" s="133"/>
      <c r="BD161" s="134"/>
      <c r="BE161" s="132"/>
      <c r="BF161" s="132"/>
      <c r="BG161" s="132"/>
      <c r="CO161" s="211"/>
      <c r="CP161" s="211"/>
      <c r="CQ161" s="209"/>
      <c r="CR161" s="209"/>
      <c r="CS161" s="209"/>
      <c r="CT161" s="209"/>
      <c r="CU161" s="211"/>
      <c r="CV161" s="151"/>
    </row>
    <row r="162" spans="1:100" s="206" customFormat="1" ht="12.75" customHeight="1">
      <c r="A162" s="205"/>
      <c r="B162" s="205"/>
      <c r="C162" s="205"/>
      <c r="D162" s="32"/>
      <c r="E162" s="32"/>
      <c r="F162" s="220"/>
      <c r="G162" s="223"/>
      <c r="H162" s="230"/>
      <c r="I162" s="230"/>
      <c r="J162" s="230"/>
      <c r="K162" s="221"/>
      <c r="L162" s="230"/>
      <c r="M162" s="230"/>
      <c r="N162" s="230"/>
      <c r="O162" s="219"/>
      <c r="P162" s="219"/>
      <c r="Q162" s="222"/>
      <c r="R162" s="231"/>
      <c r="S162" s="232"/>
      <c r="T162" s="205"/>
      <c r="U162" s="205"/>
      <c r="V162" s="205"/>
      <c r="W162" s="204"/>
      <c r="X162" s="204"/>
      <c r="Y162" s="204"/>
      <c r="AG162" s="213"/>
      <c r="AH162" s="211"/>
      <c r="AI162" s="127"/>
      <c r="AJ162" s="127"/>
      <c r="AK162" s="211"/>
      <c r="AL162" s="120"/>
      <c r="AM162" s="120"/>
      <c r="AN162" s="128"/>
      <c r="AO162" s="128"/>
      <c r="AP162" s="99"/>
      <c r="AQ162" s="99"/>
      <c r="AR162" s="144"/>
      <c r="AS162" s="144"/>
      <c r="AT162" s="129"/>
      <c r="AU162" s="149"/>
      <c r="AV162" s="208"/>
      <c r="AW162" s="99"/>
      <c r="AX162" s="89"/>
      <c r="AY162" s="133"/>
      <c r="AZ162" s="134"/>
      <c r="BA162" s="133"/>
      <c r="BB162" s="134"/>
      <c r="BC162" s="133"/>
      <c r="BD162" s="134"/>
      <c r="BE162" s="132"/>
      <c r="BF162" s="132"/>
      <c r="BG162" s="132"/>
      <c r="CO162" s="211"/>
      <c r="CP162" s="211"/>
      <c r="CQ162" s="209"/>
      <c r="CR162" s="209"/>
      <c r="CS162" s="209"/>
      <c r="CT162" s="209"/>
      <c r="CU162" s="211"/>
      <c r="CV162" s="151"/>
    </row>
    <row r="163" spans="1:100" s="206" customFormat="1" ht="12.75" customHeight="1">
      <c r="A163" s="205"/>
      <c r="B163" s="205"/>
      <c r="C163" s="205"/>
      <c r="D163" s="32"/>
      <c r="E163" s="32"/>
      <c r="F163" s="220"/>
      <c r="G163" s="223"/>
      <c r="H163" s="230"/>
      <c r="I163" s="230"/>
      <c r="J163" s="230"/>
      <c r="K163" s="221"/>
      <c r="L163" s="230"/>
      <c r="M163" s="230"/>
      <c r="N163" s="230"/>
      <c r="O163" s="219"/>
      <c r="P163" s="219"/>
      <c r="Q163" s="222"/>
      <c r="R163" s="231"/>
      <c r="S163" s="232"/>
      <c r="T163" s="205"/>
      <c r="U163" s="205"/>
      <c r="V163" s="205"/>
      <c r="W163" s="204"/>
      <c r="X163" s="204"/>
      <c r="Y163" s="204"/>
      <c r="AG163" s="213"/>
      <c r="AH163" s="211"/>
      <c r="AI163" s="127"/>
      <c r="AJ163" s="127"/>
      <c r="AK163" s="211"/>
      <c r="AL163" s="120"/>
      <c r="AM163" s="120"/>
      <c r="AN163" s="128"/>
      <c r="AO163" s="128"/>
      <c r="AP163" s="99"/>
      <c r="AQ163" s="99"/>
      <c r="AR163" s="144"/>
      <c r="AS163" s="144"/>
      <c r="AT163" s="129"/>
      <c r="AU163" s="149"/>
      <c r="AV163" s="208"/>
      <c r="AW163" s="99"/>
      <c r="AX163" s="89"/>
      <c r="AY163" s="133"/>
      <c r="AZ163" s="134"/>
      <c r="BA163" s="133"/>
      <c r="BB163" s="134"/>
      <c r="BC163" s="133"/>
      <c r="BD163" s="134"/>
      <c r="BE163" s="132"/>
      <c r="BF163" s="132"/>
      <c r="BG163" s="132"/>
      <c r="CO163" s="211"/>
      <c r="CP163" s="211"/>
      <c r="CQ163" s="209"/>
      <c r="CR163" s="209"/>
      <c r="CS163" s="209"/>
      <c r="CT163" s="209"/>
      <c r="CU163" s="211"/>
      <c r="CV163" s="151"/>
    </row>
    <row r="164" spans="1:100" s="206" customFormat="1" ht="12.75" customHeight="1">
      <c r="A164" s="205"/>
      <c r="B164" s="205"/>
      <c r="C164" s="205"/>
      <c r="D164" s="32"/>
      <c r="E164" s="32"/>
      <c r="F164" s="220"/>
      <c r="G164" s="223"/>
      <c r="H164" s="230"/>
      <c r="I164" s="230"/>
      <c r="J164" s="230"/>
      <c r="K164" s="221"/>
      <c r="L164" s="230"/>
      <c r="M164" s="230"/>
      <c r="N164" s="230"/>
      <c r="O164" s="219"/>
      <c r="P164" s="219"/>
      <c r="Q164" s="222"/>
      <c r="R164" s="231"/>
      <c r="S164" s="232"/>
      <c r="T164" s="205"/>
      <c r="U164" s="205"/>
      <c r="V164" s="205"/>
      <c r="W164" s="204"/>
      <c r="X164" s="204"/>
      <c r="Y164" s="204"/>
      <c r="AG164" s="213"/>
      <c r="AH164" s="211"/>
      <c r="AI164" s="127"/>
      <c r="AJ164" s="127"/>
      <c r="AK164" s="211"/>
      <c r="AL164" s="120"/>
      <c r="AM164" s="120"/>
      <c r="AN164" s="128"/>
      <c r="AO164" s="128"/>
      <c r="AP164" s="99"/>
      <c r="AQ164" s="99"/>
      <c r="AR164" s="144"/>
      <c r="AS164" s="144"/>
      <c r="AT164" s="129"/>
      <c r="AU164" s="149"/>
      <c r="AV164" s="208"/>
      <c r="AW164" s="99"/>
      <c r="AX164" s="89"/>
      <c r="AY164" s="133"/>
      <c r="AZ164" s="134"/>
      <c r="BA164" s="133"/>
      <c r="BB164" s="134"/>
      <c r="BC164" s="133"/>
      <c r="BD164" s="134"/>
      <c r="BE164" s="132"/>
      <c r="BF164" s="132"/>
      <c r="BG164" s="132"/>
      <c r="CO164" s="211"/>
      <c r="CP164" s="211"/>
      <c r="CQ164" s="209"/>
      <c r="CR164" s="209"/>
      <c r="CS164" s="209"/>
      <c r="CT164" s="209"/>
      <c r="CU164" s="211"/>
      <c r="CV164" s="151"/>
    </row>
    <row r="165" spans="1:100" s="206" customFormat="1" ht="12.75" customHeight="1">
      <c r="A165" s="205"/>
      <c r="B165" s="205"/>
      <c r="C165" s="205"/>
      <c r="D165" s="32"/>
      <c r="E165" s="32"/>
      <c r="F165" s="220"/>
      <c r="G165" s="223"/>
      <c r="H165" s="230"/>
      <c r="I165" s="230"/>
      <c r="J165" s="230"/>
      <c r="K165" s="221"/>
      <c r="L165" s="230"/>
      <c r="M165" s="230"/>
      <c r="N165" s="230"/>
      <c r="O165" s="219"/>
      <c r="P165" s="219"/>
      <c r="Q165" s="222"/>
      <c r="R165" s="231"/>
      <c r="S165" s="232"/>
      <c r="T165" s="205"/>
      <c r="U165" s="205"/>
      <c r="V165" s="205"/>
      <c r="W165" s="204"/>
      <c r="X165" s="204"/>
      <c r="Y165" s="204"/>
      <c r="AG165" s="213"/>
      <c r="AH165" s="211"/>
      <c r="AI165" s="127"/>
      <c r="AJ165" s="127"/>
      <c r="AK165" s="211"/>
      <c r="AL165" s="120"/>
      <c r="AM165" s="120"/>
      <c r="AN165" s="128"/>
      <c r="AO165" s="128"/>
      <c r="AP165" s="99"/>
      <c r="AQ165" s="99"/>
      <c r="AR165" s="144"/>
      <c r="AS165" s="144"/>
      <c r="AT165" s="129"/>
      <c r="AU165" s="149"/>
      <c r="AV165" s="208"/>
      <c r="AW165" s="99"/>
      <c r="AX165" s="89"/>
      <c r="AY165" s="133"/>
      <c r="AZ165" s="134"/>
      <c r="BA165" s="133"/>
      <c r="BB165" s="134"/>
      <c r="BC165" s="133"/>
      <c r="BD165" s="134"/>
      <c r="BE165" s="132"/>
      <c r="BF165" s="132"/>
      <c r="BG165" s="132"/>
      <c r="CO165" s="211"/>
      <c r="CP165" s="211"/>
      <c r="CQ165" s="209"/>
      <c r="CR165" s="209"/>
      <c r="CS165" s="209"/>
      <c r="CT165" s="209"/>
      <c r="CU165" s="211"/>
      <c r="CV165" s="151"/>
    </row>
    <row r="166" spans="1:100" s="206" customFormat="1" ht="12.75" customHeight="1">
      <c r="A166" s="205"/>
      <c r="B166" s="205"/>
      <c r="C166" s="205"/>
      <c r="D166" s="32"/>
      <c r="E166" s="32"/>
      <c r="F166" s="220"/>
      <c r="G166" s="223"/>
      <c r="H166" s="230"/>
      <c r="I166" s="230"/>
      <c r="J166" s="230"/>
      <c r="K166" s="221"/>
      <c r="L166" s="230"/>
      <c r="M166" s="230"/>
      <c r="N166" s="230"/>
      <c r="O166" s="219"/>
      <c r="P166" s="219"/>
      <c r="Q166" s="222"/>
      <c r="R166" s="231"/>
      <c r="S166" s="232"/>
      <c r="T166" s="205"/>
      <c r="U166" s="205"/>
      <c r="V166" s="205"/>
      <c r="W166" s="204"/>
      <c r="X166" s="204"/>
      <c r="Y166" s="204"/>
      <c r="AG166" s="213"/>
      <c r="AH166" s="211"/>
      <c r="AI166" s="127"/>
      <c r="AJ166" s="127"/>
      <c r="AK166" s="211"/>
      <c r="AL166" s="120"/>
      <c r="AM166" s="120"/>
      <c r="AN166" s="128"/>
      <c r="AO166" s="128"/>
      <c r="AP166" s="99"/>
      <c r="AQ166" s="99"/>
      <c r="AR166" s="144"/>
      <c r="AS166" s="144"/>
      <c r="AT166" s="129"/>
      <c r="AU166" s="149"/>
      <c r="AV166" s="208"/>
      <c r="AW166" s="99"/>
      <c r="AX166" s="89"/>
      <c r="AY166" s="133"/>
      <c r="AZ166" s="134"/>
      <c r="BA166" s="133"/>
      <c r="BB166" s="134"/>
      <c r="BC166" s="133"/>
      <c r="BD166" s="134"/>
      <c r="BE166" s="132"/>
      <c r="BF166" s="132"/>
      <c r="BG166" s="132"/>
      <c r="CO166" s="211"/>
      <c r="CP166" s="211"/>
      <c r="CQ166" s="209"/>
      <c r="CR166" s="209"/>
      <c r="CS166" s="209"/>
      <c r="CT166" s="209"/>
      <c r="CU166" s="211"/>
      <c r="CV166" s="151"/>
    </row>
    <row r="167" spans="1:100" s="206" customFormat="1" ht="12.75" customHeight="1">
      <c r="A167" s="205"/>
      <c r="B167" s="205"/>
      <c r="C167" s="205"/>
      <c r="D167" s="32"/>
      <c r="E167" s="32"/>
      <c r="F167" s="220"/>
      <c r="G167" s="223"/>
      <c r="H167" s="230"/>
      <c r="I167" s="230"/>
      <c r="J167" s="230"/>
      <c r="K167" s="221"/>
      <c r="L167" s="230"/>
      <c r="M167" s="230"/>
      <c r="N167" s="230"/>
      <c r="O167" s="219"/>
      <c r="P167" s="219"/>
      <c r="Q167" s="222"/>
      <c r="R167" s="231"/>
      <c r="S167" s="232"/>
      <c r="T167" s="205"/>
      <c r="U167" s="205"/>
      <c r="V167" s="205"/>
      <c r="W167" s="204"/>
      <c r="X167" s="204"/>
      <c r="Y167" s="204"/>
      <c r="AG167" s="213"/>
      <c r="AH167" s="211"/>
      <c r="AI167" s="127"/>
      <c r="AJ167" s="127"/>
      <c r="AK167" s="211"/>
      <c r="AL167" s="120"/>
      <c r="AM167" s="120"/>
      <c r="AN167" s="128"/>
      <c r="AO167" s="128"/>
      <c r="AP167" s="99"/>
      <c r="AQ167" s="99"/>
      <c r="AR167" s="144"/>
      <c r="AS167" s="144"/>
      <c r="AT167" s="129"/>
      <c r="AU167" s="149"/>
      <c r="AV167" s="208"/>
      <c r="AW167" s="99"/>
      <c r="AX167" s="89"/>
      <c r="AY167" s="133"/>
      <c r="AZ167" s="134"/>
      <c r="BA167" s="133"/>
      <c r="BB167" s="134"/>
      <c r="BC167" s="133"/>
      <c r="BD167" s="134"/>
      <c r="BE167" s="132"/>
      <c r="BF167" s="132"/>
      <c r="BG167" s="132"/>
      <c r="CO167" s="211"/>
      <c r="CP167" s="211"/>
      <c r="CQ167" s="209"/>
      <c r="CR167" s="209"/>
      <c r="CS167" s="209"/>
      <c r="CT167" s="209"/>
      <c r="CU167" s="211"/>
      <c r="CV167" s="151"/>
    </row>
    <row r="168" spans="1:100" s="206" customFormat="1" ht="12.75" customHeight="1">
      <c r="A168" s="205"/>
      <c r="B168" s="205"/>
      <c r="C168" s="205"/>
      <c r="D168" s="32"/>
      <c r="E168" s="32"/>
      <c r="F168" s="220"/>
      <c r="G168" s="223"/>
      <c r="H168" s="230"/>
      <c r="I168" s="230"/>
      <c r="J168" s="230"/>
      <c r="K168" s="221"/>
      <c r="L168" s="230"/>
      <c r="M168" s="230"/>
      <c r="N168" s="230"/>
      <c r="O168" s="219"/>
      <c r="P168" s="219"/>
      <c r="Q168" s="222"/>
      <c r="R168" s="231"/>
      <c r="S168" s="232"/>
      <c r="T168" s="205"/>
      <c r="U168" s="205"/>
      <c r="V168" s="205"/>
      <c r="W168" s="204"/>
      <c r="X168" s="204"/>
      <c r="Y168" s="204"/>
      <c r="AG168" s="213"/>
      <c r="AH168" s="211"/>
      <c r="AI168" s="127"/>
      <c r="AJ168" s="127"/>
      <c r="AK168" s="211"/>
      <c r="AL168" s="120"/>
      <c r="AM168" s="120"/>
      <c r="AN168" s="128"/>
      <c r="AO168" s="128"/>
      <c r="AP168" s="99"/>
      <c r="AQ168" s="99"/>
      <c r="AR168" s="144"/>
      <c r="AS168" s="144"/>
      <c r="AT168" s="129"/>
      <c r="AU168" s="149"/>
      <c r="AV168" s="208"/>
      <c r="AW168" s="99"/>
      <c r="AX168" s="89"/>
      <c r="AY168" s="133"/>
      <c r="AZ168" s="134"/>
      <c r="BA168" s="133"/>
      <c r="BB168" s="134"/>
      <c r="BC168" s="133"/>
      <c r="BD168" s="134"/>
      <c r="BE168" s="132"/>
      <c r="BF168" s="132"/>
      <c r="BG168" s="132"/>
      <c r="CO168" s="211"/>
      <c r="CP168" s="211"/>
      <c r="CQ168" s="209"/>
      <c r="CR168" s="209"/>
      <c r="CS168" s="209"/>
      <c r="CT168" s="209"/>
      <c r="CU168" s="211"/>
      <c r="CV168" s="151"/>
    </row>
    <row r="169" spans="1:100" s="206" customFormat="1" ht="12.75" customHeight="1">
      <c r="A169" s="205"/>
      <c r="B169" s="205"/>
      <c r="C169" s="205"/>
      <c r="D169" s="32"/>
      <c r="E169" s="32"/>
      <c r="F169" s="220"/>
      <c r="G169" s="223"/>
      <c r="H169" s="230"/>
      <c r="I169" s="230"/>
      <c r="J169" s="230"/>
      <c r="K169" s="221"/>
      <c r="L169" s="230"/>
      <c r="M169" s="230"/>
      <c r="N169" s="230"/>
      <c r="O169" s="219"/>
      <c r="P169" s="219"/>
      <c r="Q169" s="222"/>
      <c r="R169" s="231"/>
      <c r="S169" s="232"/>
      <c r="T169" s="205"/>
      <c r="U169" s="205"/>
      <c r="V169" s="205"/>
      <c r="W169" s="204"/>
      <c r="X169" s="204"/>
      <c r="Y169" s="204"/>
      <c r="AG169" s="213"/>
      <c r="AH169" s="211"/>
      <c r="AI169" s="127"/>
      <c r="AJ169" s="127"/>
      <c r="AK169" s="211"/>
      <c r="AL169" s="120"/>
      <c r="AM169" s="120"/>
      <c r="AN169" s="128"/>
      <c r="AO169" s="128"/>
      <c r="AP169" s="99"/>
      <c r="AQ169" s="99"/>
      <c r="AR169" s="144"/>
      <c r="AS169" s="144"/>
      <c r="AT169" s="129"/>
      <c r="AU169" s="149"/>
      <c r="AV169" s="208"/>
      <c r="AW169" s="99"/>
      <c r="AX169" s="89"/>
      <c r="AY169" s="133"/>
      <c r="AZ169" s="134"/>
      <c r="BA169" s="133"/>
      <c r="BB169" s="134"/>
      <c r="BC169" s="133"/>
      <c r="BD169" s="134"/>
      <c r="BE169" s="132"/>
      <c r="BF169" s="132"/>
      <c r="BG169" s="132"/>
      <c r="CO169" s="211"/>
      <c r="CP169" s="211"/>
      <c r="CQ169" s="209"/>
      <c r="CR169" s="209"/>
      <c r="CS169" s="209"/>
      <c r="CT169" s="209"/>
      <c r="CU169" s="211"/>
      <c r="CV169" s="151"/>
    </row>
    <row r="170" spans="1:100" s="206" customFormat="1" ht="12.75" customHeight="1">
      <c r="A170" s="205"/>
      <c r="B170" s="205"/>
      <c r="C170" s="205"/>
      <c r="D170" s="32"/>
      <c r="E170" s="32"/>
      <c r="F170" s="220"/>
      <c r="G170" s="223"/>
      <c r="H170" s="230"/>
      <c r="I170" s="230"/>
      <c r="J170" s="230"/>
      <c r="K170" s="221"/>
      <c r="L170" s="230"/>
      <c r="M170" s="230"/>
      <c r="N170" s="230"/>
      <c r="O170" s="219"/>
      <c r="P170" s="219"/>
      <c r="Q170" s="222"/>
      <c r="R170" s="231"/>
      <c r="S170" s="232"/>
      <c r="T170" s="205"/>
      <c r="U170" s="205"/>
      <c r="V170" s="205"/>
      <c r="W170" s="204"/>
      <c r="X170" s="204"/>
      <c r="Y170" s="204"/>
      <c r="AG170" s="213"/>
      <c r="AH170" s="211"/>
      <c r="AI170" s="127"/>
      <c r="AJ170" s="127"/>
      <c r="AK170" s="211"/>
      <c r="AL170" s="120"/>
      <c r="AM170" s="120"/>
      <c r="AN170" s="128"/>
      <c r="AO170" s="128"/>
      <c r="AP170" s="99"/>
      <c r="AQ170" s="99"/>
      <c r="AR170" s="144"/>
      <c r="AS170" s="144"/>
      <c r="AT170" s="129"/>
      <c r="AU170" s="149"/>
      <c r="AV170" s="208"/>
      <c r="AW170" s="99"/>
      <c r="AX170" s="89"/>
      <c r="AY170" s="133"/>
      <c r="AZ170" s="134"/>
      <c r="BA170" s="133"/>
      <c r="BB170" s="134"/>
      <c r="BC170" s="133"/>
      <c r="BD170" s="134"/>
      <c r="BE170" s="132"/>
      <c r="BF170" s="132"/>
      <c r="BG170" s="132"/>
      <c r="CO170" s="211"/>
      <c r="CP170" s="211"/>
      <c r="CQ170" s="209"/>
      <c r="CR170" s="209"/>
      <c r="CS170" s="209"/>
      <c r="CT170" s="209"/>
      <c r="CU170" s="211"/>
      <c r="CV170" s="151"/>
    </row>
    <row r="171" spans="1:100" s="206" customFormat="1" ht="12.75" customHeight="1">
      <c r="A171" s="205"/>
      <c r="B171" s="205"/>
      <c r="C171" s="205"/>
      <c r="D171" s="32"/>
      <c r="E171" s="32"/>
      <c r="F171" s="220"/>
      <c r="G171" s="223"/>
      <c r="H171" s="230"/>
      <c r="I171" s="230"/>
      <c r="J171" s="230"/>
      <c r="K171" s="221"/>
      <c r="L171" s="230"/>
      <c r="M171" s="230"/>
      <c r="N171" s="230"/>
      <c r="O171" s="219"/>
      <c r="P171" s="219"/>
      <c r="Q171" s="222"/>
      <c r="R171" s="231"/>
      <c r="S171" s="232"/>
      <c r="T171" s="205"/>
      <c r="U171" s="205"/>
      <c r="V171" s="205"/>
      <c r="W171" s="204"/>
      <c r="X171" s="204"/>
      <c r="Y171" s="204"/>
      <c r="AG171" s="213"/>
      <c r="AH171" s="211"/>
      <c r="AI171" s="127"/>
      <c r="AJ171" s="127"/>
      <c r="AK171" s="211"/>
      <c r="AL171" s="120"/>
      <c r="AM171" s="120"/>
      <c r="AN171" s="128"/>
      <c r="AO171" s="128"/>
      <c r="AP171" s="99"/>
      <c r="AQ171" s="99"/>
      <c r="AR171" s="144"/>
      <c r="AS171" s="144"/>
      <c r="AT171" s="129"/>
      <c r="AU171" s="149"/>
      <c r="AV171" s="208"/>
      <c r="AW171" s="99"/>
      <c r="AX171" s="89"/>
      <c r="AY171" s="133"/>
      <c r="AZ171" s="134"/>
      <c r="BA171" s="133"/>
      <c r="BB171" s="134"/>
      <c r="BC171" s="133"/>
      <c r="BD171" s="134"/>
      <c r="BE171" s="132"/>
      <c r="BF171" s="132"/>
      <c r="BG171" s="132"/>
      <c r="CO171" s="211"/>
      <c r="CP171" s="211"/>
      <c r="CQ171" s="209"/>
      <c r="CR171" s="209"/>
      <c r="CS171" s="209"/>
      <c r="CT171" s="209"/>
      <c r="CU171" s="211"/>
      <c r="CV171" s="151"/>
    </row>
    <row r="172" spans="1:100" s="206" customFormat="1" ht="12.75" customHeight="1">
      <c r="A172" s="205"/>
      <c r="B172" s="205"/>
      <c r="C172" s="205"/>
      <c r="D172" s="32"/>
      <c r="E172" s="32"/>
      <c r="F172" s="220"/>
      <c r="G172" s="223"/>
      <c r="H172" s="230"/>
      <c r="I172" s="230"/>
      <c r="J172" s="230"/>
      <c r="K172" s="221"/>
      <c r="L172" s="230"/>
      <c r="M172" s="230"/>
      <c r="N172" s="230"/>
      <c r="O172" s="219"/>
      <c r="P172" s="219"/>
      <c r="Q172" s="222"/>
      <c r="R172" s="231"/>
      <c r="S172" s="232"/>
      <c r="T172" s="205"/>
      <c r="U172" s="205"/>
      <c r="V172" s="205"/>
      <c r="W172" s="204"/>
      <c r="X172" s="204"/>
      <c r="Y172" s="204"/>
      <c r="AG172" s="213"/>
      <c r="AH172" s="211"/>
      <c r="AI172" s="127"/>
      <c r="AJ172" s="127"/>
      <c r="AK172" s="211"/>
      <c r="AL172" s="120"/>
      <c r="AM172" s="120"/>
      <c r="AN172" s="128"/>
      <c r="AO172" s="128"/>
      <c r="AP172" s="99"/>
      <c r="AQ172" s="99"/>
      <c r="AR172" s="144"/>
      <c r="AS172" s="144"/>
      <c r="AT172" s="129"/>
      <c r="AU172" s="149"/>
      <c r="AV172" s="208"/>
      <c r="AW172" s="99"/>
      <c r="AX172" s="89"/>
      <c r="AY172" s="133"/>
      <c r="AZ172" s="134"/>
      <c r="BA172" s="133"/>
      <c r="BB172" s="134"/>
      <c r="BC172" s="133"/>
      <c r="BD172" s="134"/>
      <c r="BE172" s="132"/>
      <c r="BF172" s="132"/>
      <c r="BG172" s="132"/>
      <c r="CO172" s="211"/>
      <c r="CP172" s="211"/>
      <c r="CQ172" s="209"/>
      <c r="CR172" s="209"/>
      <c r="CS172" s="209"/>
      <c r="CT172" s="209"/>
      <c r="CU172" s="211"/>
      <c r="CV172" s="151"/>
    </row>
    <row r="173" spans="1:100" s="206" customFormat="1" ht="12.75" customHeight="1">
      <c r="A173" s="205"/>
      <c r="B173" s="205"/>
      <c r="C173" s="205"/>
      <c r="D173" s="32"/>
      <c r="E173" s="32"/>
      <c r="F173" s="220"/>
      <c r="G173" s="223"/>
      <c r="H173" s="230"/>
      <c r="I173" s="230"/>
      <c r="J173" s="230"/>
      <c r="K173" s="221"/>
      <c r="L173" s="230"/>
      <c r="M173" s="230"/>
      <c r="N173" s="230"/>
      <c r="O173" s="219"/>
      <c r="P173" s="219"/>
      <c r="Q173" s="222"/>
      <c r="R173" s="231"/>
      <c r="S173" s="232"/>
      <c r="T173" s="205"/>
      <c r="U173" s="205"/>
      <c r="V173" s="205"/>
      <c r="W173" s="204"/>
      <c r="X173" s="204"/>
      <c r="Y173" s="204"/>
      <c r="AG173" s="213"/>
      <c r="AH173" s="211"/>
      <c r="AI173" s="127"/>
      <c r="AJ173" s="127"/>
      <c r="AK173" s="211"/>
      <c r="AL173" s="120"/>
      <c r="AM173" s="120"/>
      <c r="AN173" s="128"/>
      <c r="AO173" s="128"/>
      <c r="AP173" s="99"/>
      <c r="AQ173" s="99"/>
      <c r="AR173" s="144"/>
      <c r="AS173" s="144"/>
      <c r="AT173" s="129"/>
      <c r="AU173" s="149"/>
      <c r="AV173" s="208"/>
      <c r="AW173" s="99"/>
      <c r="AX173" s="89"/>
      <c r="AY173" s="133"/>
      <c r="AZ173" s="134"/>
      <c r="BA173" s="133"/>
      <c r="BB173" s="134"/>
      <c r="BC173" s="133"/>
      <c r="BD173" s="134"/>
      <c r="BE173" s="132"/>
      <c r="BF173" s="132"/>
      <c r="BG173" s="132"/>
      <c r="CO173" s="211"/>
      <c r="CP173" s="211"/>
      <c r="CQ173" s="209"/>
      <c r="CR173" s="209"/>
      <c r="CS173" s="209"/>
      <c r="CT173" s="209"/>
      <c r="CU173" s="211"/>
      <c r="CV173" s="151"/>
    </row>
    <row r="174" spans="1:100" s="206" customFormat="1" ht="12.75" customHeight="1">
      <c r="A174" s="205"/>
      <c r="B174" s="205"/>
      <c r="C174" s="205"/>
      <c r="D174" s="32"/>
      <c r="E174" s="32"/>
      <c r="F174" s="220"/>
      <c r="G174" s="223"/>
      <c r="H174" s="230"/>
      <c r="I174" s="230"/>
      <c r="J174" s="230"/>
      <c r="K174" s="221"/>
      <c r="L174" s="230"/>
      <c r="M174" s="230"/>
      <c r="N174" s="230"/>
      <c r="O174" s="219"/>
      <c r="P174" s="219"/>
      <c r="Q174" s="222"/>
      <c r="R174" s="231"/>
      <c r="S174" s="232"/>
      <c r="T174" s="205"/>
      <c r="U174" s="205"/>
      <c r="V174" s="205"/>
      <c r="W174" s="204"/>
      <c r="X174" s="204"/>
      <c r="Y174" s="204"/>
      <c r="AG174" s="213"/>
      <c r="AH174" s="211"/>
      <c r="AI174" s="127"/>
      <c r="AJ174" s="127"/>
      <c r="AK174" s="211"/>
      <c r="AL174" s="120"/>
      <c r="AM174" s="120"/>
      <c r="AN174" s="128"/>
      <c r="AO174" s="128"/>
      <c r="AP174" s="99"/>
      <c r="AQ174" s="99"/>
      <c r="AR174" s="144"/>
      <c r="AS174" s="144"/>
      <c r="AT174" s="129"/>
      <c r="AU174" s="149"/>
      <c r="AV174" s="208"/>
      <c r="AW174" s="99"/>
      <c r="AX174" s="89"/>
      <c r="AY174" s="133"/>
      <c r="AZ174" s="134"/>
      <c r="BA174" s="133"/>
      <c r="BB174" s="134"/>
      <c r="BC174" s="133"/>
      <c r="BD174" s="134"/>
      <c r="BE174" s="132"/>
      <c r="BF174" s="132"/>
      <c r="BG174" s="132"/>
      <c r="CO174" s="211"/>
      <c r="CP174" s="211"/>
      <c r="CQ174" s="209"/>
      <c r="CR174" s="209"/>
      <c r="CS174" s="209"/>
      <c r="CT174" s="209"/>
      <c r="CU174" s="211"/>
      <c r="CV174" s="151"/>
    </row>
    <row r="175" spans="1:100" s="206" customFormat="1" ht="12.75" customHeight="1">
      <c r="A175" s="205"/>
      <c r="B175" s="205"/>
      <c r="C175" s="205"/>
      <c r="D175" s="32"/>
      <c r="E175" s="32"/>
      <c r="F175" s="220"/>
      <c r="G175" s="223"/>
      <c r="H175" s="230"/>
      <c r="I175" s="230"/>
      <c r="J175" s="230"/>
      <c r="K175" s="221"/>
      <c r="L175" s="230"/>
      <c r="M175" s="230"/>
      <c r="N175" s="230"/>
      <c r="O175" s="219"/>
      <c r="P175" s="219"/>
      <c r="Q175" s="222"/>
      <c r="R175" s="231"/>
      <c r="S175" s="232"/>
      <c r="T175" s="205"/>
      <c r="U175" s="205"/>
      <c r="V175" s="205"/>
      <c r="W175" s="204"/>
      <c r="X175" s="204"/>
      <c r="Y175" s="204"/>
      <c r="AG175" s="213"/>
      <c r="AH175" s="211"/>
      <c r="AI175" s="127"/>
      <c r="AJ175" s="127"/>
      <c r="AK175" s="211"/>
      <c r="AL175" s="120"/>
      <c r="AM175" s="120"/>
      <c r="AN175" s="128"/>
      <c r="AO175" s="128"/>
      <c r="AP175" s="99"/>
      <c r="AQ175" s="99"/>
      <c r="AR175" s="144"/>
      <c r="AS175" s="144"/>
      <c r="AT175" s="129"/>
      <c r="AU175" s="149"/>
      <c r="AV175" s="208"/>
      <c r="AW175" s="99"/>
      <c r="AX175" s="89"/>
      <c r="AY175" s="133"/>
      <c r="AZ175" s="134"/>
      <c r="BA175" s="133"/>
      <c r="BB175" s="134"/>
      <c r="BC175" s="133"/>
      <c r="BD175" s="134"/>
      <c r="BE175" s="132"/>
      <c r="BF175" s="132"/>
      <c r="BG175" s="132"/>
      <c r="CO175" s="211"/>
      <c r="CP175" s="211"/>
      <c r="CQ175" s="209"/>
      <c r="CR175" s="209"/>
      <c r="CS175" s="209"/>
      <c r="CT175" s="209"/>
      <c r="CU175" s="211"/>
      <c r="CV175" s="151"/>
    </row>
    <row r="176" spans="1:100" s="206" customFormat="1" ht="12.75" customHeight="1">
      <c r="A176" s="205"/>
      <c r="B176" s="205"/>
      <c r="C176" s="205"/>
      <c r="D176" s="32"/>
      <c r="E176" s="32"/>
      <c r="F176" s="220"/>
      <c r="G176" s="223"/>
      <c r="H176" s="230"/>
      <c r="I176" s="230"/>
      <c r="J176" s="230"/>
      <c r="K176" s="221"/>
      <c r="L176" s="230"/>
      <c r="M176" s="230"/>
      <c r="N176" s="230"/>
      <c r="O176" s="219"/>
      <c r="P176" s="219"/>
      <c r="Q176" s="222"/>
      <c r="R176" s="231"/>
      <c r="S176" s="232"/>
      <c r="T176" s="205"/>
      <c r="U176" s="205"/>
      <c r="V176" s="205"/>
      <c r="W176" s="204"/>
      <c r="X176" s="204"/>
      <c r="Y176" s="204"/>
      <c r="AG176" s="213"/>
      <c r="AH176" s="211"/>
      <c r="AI176" s="127"/>
      <c r="AJ176" s="127"/>
      <c r="AK176" s="211"/>
      <c r="AL176" s="120"/>
      <c r="AM176" s="120"/>
      <c r="AN176" s="128"/>
      <c r="AO176" s="128"/>
      <c r="AP176" s="99"/>
      <c r="AQ176" s="99"/>
      <c r="AR176" s="144"/>
      <c r="AS176" s="144"/>
      <c r="AT176" s="129"/>
      <c r="AU176" s="149"/>
      <c r="AV176" s="208"/>
      <c r="AW176" s="99"/>
      <c r="AX176" s="89"/>
      <c r="AY176" s="133"/>
      <c r="AZ176" s="134"/>
      <c r="BA176" s="133"/>
      <c r="BB176" s="134"/>
      <c r="BC176" s="133"/>
      <c r="BD176" s="134"/>
      <c r="BE176" s="132"/>
      <c r="BF176" s="132"/>
      <c r="BG176" s="132"/>
      <c r="CO176" s="211"/>
      <c r="CP176" s="211"/>
      <c r="CQ176" s="209"/>
      <c r="CR176" s="209"/>
      <c r="CS176" s="209"/>
      <c r="CT176" s="209"/>
      <c r="CU176" s="211"/>
      <c r="CV176" s="151"/>
    </row>
    <row r="177" spans="1:100" s="206" customFormat="1" ht="12.75" customHeight="1">
      <c r="A177" s="205"/>
      <c r="B177" s="205"/>
      <c r="C177" s="205"/>
      <c r="D177" s="32"/>
      <c r="E177" s="32"/>
      <c r="F177" s="220"/>
      <c r="G177" s="223"/>
      <c r="H177" s="230"/>
      <c r="I177" s="230"/>
      <c r="J177" s="230"/>
      <c r="K177" s="221"/>
      <c r="L177" s="230"/>
      <c r="M177" s="230"/>
      <c r="N177" s="230"/>
      <c r="O177" s="219"/>
      <c r="P177" s="219"/>
      <c r="Q177" s="222"/>
      <c r="R177" s="231"/>
      <c r="S177" s="232"/>
      <c r="T177" s="205"/>
      <c r="U177" s="205"/>
      <c r="V177" s="205"/>
      <c r="W177" s="204"/>
      <c r="X177" s="204"/>
      <c r="Y177" s="204"/>
      <c r="AG177" s="213"/>
      <c r="AH177" s="211"/>
      <c r="AI177" s="127"/>
      <c r="AJ177" s="127"/>
      <c r="AK177" s="211"/>
      <c r="AL177" s="120"/>
      <c r="AM177" s="120"/>
      <c r="AN177" s="128"/>
      <c r="AO177" s="128"/>
      <c r="AP177" s="99"/>
      <c r="AQ177" s="99"/>
      <c r="AR177" s="144"/>
      <c r="AS177" s="144"/>
      <c r="AT177" s="129"/>
      <c r="AU177" s="149"/>
      <c r="AV177" s="208"/>
      <c r="AW177" s="99"/>
      <c r="AX177" s="89"/>
      <c r="AY177" s="133"/>
      <c r="AZ177" s="134"/>
      <c r="BA177" s="133"/>
      <c r="BB177" s="134"/>
      <c r="BC177" s="133"/>
      <c r="BD177" s="134"/>
      <c r="BE177" s="132"/>
      <c r="BF177" s="132"/>
      <c r="BG177" s="132"/>
      <c r="CO177" s="211"/>
      <c r="CP177" s="211"/>
      <c r="CQ177" s="209"/>
      <c r="CR177" s="209"/>
      <c r="CS177" s="209"/>
      <c r="CT177" s="209"/>
      <c r="CU177" s="211"/>
      <c r="CV177" s="151"/>
    </row>
    <row r="178" spans="1:100" s="206" customFormat="1" ht="12.75" customHeight="1">
      <c r="A178" s="205"/>
      <c r="B178" s="205"/>
      <c r="C178" s="205"/>
      <c r="D178" s="32"/>
      <c r="E178" s="32"/>
      <c r="F178" s="220"/>
      <c r="G178" s="223"/>
      <c r="H178" s="230"/>
      <c r="I178" s="230"/>
      <c r="J178" s="230"/>
      <c r="K178" s="221"/>
      <c r="L178" s="230"/>
      <c r="M178" s="230"/>
      <c r="N178" s="230"/>
      <c r="O178" s="219"/>
      <c r="P178" s="219"/>
      <c r="Q178" s="222"/>
      <c r="R178" s="231"/>
      <c r="S178" s="232"/>
      <c r="T178" s="205"/>
      <c r="U178" s="205"/>
      <c r="V178" s="205"/>
      <c r="W178" s="204"/>
      <c r="X178" s="204"/>
      <c r="Y178" s="204"/>
      <c r="AG178" s="213"/>
      <c r="AH178" s="211"/>
      <c r="AI178" s="127"/>
      <c r="AJ178" s="127"/>
      <c r="AK178" s="211"/>
      <c r="AL178" s="120"/>
      <c r="AM178" s="120"/>
      <c r="AN178" s="128"/>
      <c r="AO178" s="128"/>
      <c r="AP178" s="99"/>
      <c r="AQ178" s="99"/>
      <c r="AR178" s="144"/>
      <c r="AS178" s="144"/>
      <c r="AT178" s="129"/>
      <c r="AU178" s="149"/>
      <c r="AV178" s="208"/>
      <c r="AW178" s="99"/>
      <c r="AX178" s="89"/>
      <c r="AY178" s="133"/>
      <c r="AZ178" s="134"/>
      <c r="BA178" s="133"/>
      <c r="BB178" s="134"/>
      <c r="BC178" s="133"/>
      <c r="BD178" s="134"/>
      <c r="BE178" s="132"/>
      <c r="BF178" s="132"/>
      <c r="BG178" s="132"/>
      <c r="CO178" s="211"/>
      <c r="CP178" s="211"/>
      <c r="CQ178" s="209"/>
      <c r="CR178" s="209"/>
      <c r="CS178" s="209"/>
      <c r="CT178" s="209"/>
      <c r="CU178" s="211"/>
      <c r="CV178" s="151"/>
    </row>
    <row r="179" spans="1:100" s="206" customFormat="1" ht="12.75" customHeight="1">
      <c r="A179" s="205"/>
      <c r="B179" s="205"/>
      <c r="C179" s="205"/>
      <c r="D179" s="32"/>
      <c r="E179" s="32"/>
      <c r="F179" s="220"/>
      <c r="G179" s="223"/>
      <c r="H179" s="230"/>
      <c r="I179" s="230"/>
      <c r="J179" s="230"/>
      <c r="K179" s="221"/>
      <c r="L179" s="230"/>
      <c r="M179" s="230"/>
      <c r="N179" s="230"/>
      <c r="O179" s="219"/>
      <c r="P179" s="219"/>
      <c r="Q179" s="222"/>
      <c r="R179" s="231"/>
      <c r="S179" s="232"/>
      <c r="T179" s="205"/>
      <c r="U179" s="205"/>
      <c r="V179" s="205"/>
      <c r="W179" s="204"/>
      <c r="X179" s="204"/>
      <c r="Y179" s="204"/>
      <c r="AG179" s="213"/>
      <c r="AH179" s="211"/>
      <c r="AI179" s="127"/>
      <c r="AJ179" s="127"/>
      <c r="AK179" s="211"/>
      <c r="AL179" s="120"/>
      <c r="AM179" s="120"/>
      <c r="AN179" s="128"/>
      <c r="AO179" s="128"/>
      <c r="AP179" s="99"/>
      <c r="AQ179" s="99"/>
      <c r="AR179" s="144"/>
      <c r="AS179" s="144"/>
      <c r="AT179" s="129"/>
      <c r="AU179" s="149"/>
      <c r="AV179" s="208"/>
      <c r="AW179" s="99"/>
      <c r="AX179" s="89"/>
      <c r="AY179" s="133"/>
      <c r="AZ179" s="134"/>
      <c r="BA179" s="133"/>
      <c r="BB179" s="134"/>
      <c r="BC179" s="133"/>
      <c r="BD179" s="134"/>
      <c r="BE179" s="132"/>
      <c r="BF179" s="132"/>
      <c r="BG179" s="132"/>
      <c r="CO179" s="211"/>
      <c r="CP179" s="211"/>
      <c r="CQ179" s="209"/>
      <c r="CR179" s="209"/>
      <c r="CS179" s="209"/>
      <c r="CT179" s="209"/>
      <c r="CU179" s="211"/>
      <c r="CV179" s="151"/>
    </row>
    <row r="180" spans="1:100" s="206" customFormat="1" ht="12.75" customHeight="1">
      <c r="A180" s="205"/>
      <c r="B180" s="205"/>
      <c r="C180" s="205"/>
      <c r="D180" s="32"/>
      <c r="E180" s="32"/>
      <c r="F180" s="220"/>
      <c r="G180" s="223"/>
      <c r="H180" s="230"/>
      <c r="I180" s="230"/>
      <c r="J180" s="230"/>
      <c r="K180" s="221"/>
      <c r="L180" s="230"/>
      <c r="M180" s="230"/>
      <c r="N180" s="230"/>
      <c r="O180" s="219"/>
      <c r="P180" s="219"/>
      <c r="Q180" s="222"/>
      <c r="R180" s="231"/>
      <c r="S180" s="232"/>
      <c r="T180" s="205"/>
      <c r="U180" s="205"/>
      <c r="V180" s="205"/>
      <c r="W180" s="204"/>
      <c r="X180" s="204"/>
      <c r="Y180" s="204"/>
      <c r="AG180" s="213"/>
      <c r="AH180" s="211"/>
      <c r="AI180" s="127"/>
      <c r="AJ180" s="127"/>
      <c r="AK180" s="211"/>
      <c r="AL180" s="120"/>
      <c r="AM180" s="120"/>
      <c r="AN180" s="128"/>
      <c r="AO180" s="128"/>
      <c r="AP180" s="99"/>
      <c r="AQ180" s="99"/>
      <c r="AR180" s="144"/>
      <c r="AS180" s="144"/>
      <c r="AT180" s="129"/>
      <c r="AU180" s="149"/>
      <c r="AV180" s="208"/>
      <c r="AW180" s="99"/>
      <c r="AX180" s="89"/>
      <c r="AY180" s="133"/>
      <c r="AZ180" s="134"/>
      <c r="BA180" s="133"/>
      <c r="BB180" s="134"/>
      <c r="BC180" s="133"/>
      <c r="BD180" s="134"/>
      <c r="BE180" s="132"/>
      <c r="BF180" s="132"/>
      <c r="BG180" s="132"/>
      <c r="CO180" s="211"/>
      <c r="CP180" s="211"/>
      <c r="CQ180" s="209"/>
      <c r="CR180" s="209"/>
      <c r="CS180" s="209"/>
      <c r="CT180" s="209"/>
      <c r="CU180" s="211"/>
      <c r="CV180" s="151"/>
    </row>
    <row r="181" spans="1:100" s="206" customFormat="1" ht="12.75" customHeight="1">
      <c r="A181" s="205"/>
      <c r="B181" s="205"/>
      <c r="C181" s="205"/>
      <c r="D181" s="32"/>
      <c r="E181" s="32"/>
      <c r="F181" s="220"/>
      <c r="G181" s="223"/>
      <c r="H181" s="230"/>
      <c r="I181" s="230"/>
      <c r="J181" s="230"/>
      <c r="K181" s="221"/>
      <c r="L181" s="230"/>
      <c r="M181" s="230"/>
      <c r="N181" s="230"/>
      <c r="O181" s="219"/>
      <c r="P181" s="219"/>
      <c r="Q181" s="222"/>
      <c r="R181" s="231"/>
      <c r="S181" s="232"/>
      <c r="T181" s="205"/>
      <c r="U181" s="205"/>
      <c r="V181" s="205"/>
      <c r="W181" s="204"/>
      <c r="X181" s="204"/>
      <c r="Y181" s="204"/>
      <c r="AG181" s="213"/>
      <c r="AH181" s="211"/>
      <c r="AI181" s="127"/>
      <c r="AJ181" s="127"/>
      <c r="AK181" s="211"/>
      <c r="AL181" s="120"/>
      <c r="AM181" s="120"/>
      <c r="AN181" s="128"/>
      <c r="AO181" s="128"/>
      <c r="AP181" s="99"/>
      <c r="AQ181" s="99"/>
      <c r="AR181" s="144"/>
      <c r="AS181" s="144"/>
      <c r="AT181" s="129"/>
      <c r="AU181" s="149"/>
      <c r="AV181" s="208"/>
      <c r="AW181" s="99"/>
      <c r="AX181" s="89"/>
      <c r="AY181" s="133"/>
      <c r="AZ181" s="134"/>
      <c r="BA181" s="133"/>
      <c r="BB181" s="134"/>
      <c r="BC181" s="133"/>
      <c r="BD181" s="134"/>
      <c r="BE181" s="132"/>
      <c r="BF181" s="132"/>
      <c r="BG181" s="132"/>
      <c r="CO181" s="211"/>
      <c r="CP181" s="211"/>
      <c r="CQ181" s="209"/>
      <c r="CR181" s="209"/>
      <c r="CS181" s="209"/>
      <c r="CT181" s="209"/>
      <c r="CU181" s="211"/>
      <c r="CV181" s="151"/>
    </row>
    <row r="182" spans="1:100" s="206" customFormat="1" ht="12.75" customHeight="1">
      <c r="A182" s="205"/>
      <c r="B182" s="205"/>
      <c r="C182" s="205"/>
      <c r="D182" s="32"/>
      <c r="E182" s="32"/>
      <c r="F182" s="220"/>
      <c r="G182" s="223"/>
      <c r="H182" s="230"/>
      <c r="I182" s="230"/>
      <c r="J182" s="230"/>
      <c r="K182" s="221"/>
      <c r="L182" s="230"/>
      <c r="M182" s="230"/>
      <c r="N182" s="230"/>
      <c r="O182" s="219"/>
      <c r="P182" s="219"/>
      <c r="Q182" s="222"/>
      <c r="R182" s="231"/>
      <c r="S182" s="232"/>
      <c r="T182" s="205"/>
      <c r="U182" s="205"/>
      <c r="V182" s="205"/>
      <c r="W182" s="204"/>
      <c r="X182" s="204"/>
      <c r="Y182" s="204"/>
      <c r="AG182" s="213"/>
      <c r="AH182" s="211"/>
      <c r="AI182" s="127"/>
      <c r="AJ182" s="127"/>
      <c r="AK182" s="211"/>
      <c r="AL182" s="120"/>
      <c r="AM182" s="120"/>
      <c r="AN182" s="128"/>
      <c r="AO182" s="128"/>
      <c r="AP182" s="99"/>
      <c r="AQ182" s="99"/>
      <c r="AR182" s="144"/>
      <c r="AS182" s="144"/>
      <c r="AT182" s="129"/>
      <c r="AU182" s="149"/>
      <c r="AV182" s="208"/>
      <c r="AW182" s="99"/>
      <c r="AX182" s="89"/>
      <c r="AY182" s="133"/>
      <c r="AZ182" s="134"/>
      <c r="BA182" s="133"/>
      <c r="BB182" s="134"/>
      <c r="BC182" s="133"/>
      <c r="BD182" s="134"/>
      <c r="BE182" s="132"/>
      <c r="BF182" s="132"/>
      <c r="BG182" s="132"/>
      <c r="CO182" s="211"/>
      <c r="CP182" s="211"/>
      <c r="CQ182" s="209"/>
      <c r="CR182" s="209"/>
      <c r="CS182" s="209"/>
      <c r="CT182" s="209"/>
      <c r="CU182" s="211"/>
      <c r="CV182" s="151"/>
    </row>
    <row r="183" spans="1:100" s="206" customFormat="1" ht="12.75" customHeight="1">
      <c r="A183" s="205"/>
      <c r="B183" s="205"/>
      <c r="C183" s="205"/>
      <c r="D183" s="32"/>
      <c r="E183" s="32"/>
      <c r="F183" s="220"/>
      <c r="G183" s="223"/>
      <c r="H183" s="230"/>
      <c r="I183" s="230"/>
      <c r="J183" s="230"/>
      <c r="K183" s="221"/>
      <c r="L183" s="230"/>
      <c r="M183" s="230"/>
      <c r="N183" s="230"/>
      <c r="O183" s="219"/>
      <c r="P183" s="219"/>
      <c r="Q183" s="222"/>
      <c r="R183" s="231"/>
      <c r="S183" s="232"/>
      <c r="T183" s="205"/>
      <c r="U183" s="205"/>
      <c r="V183" s="205"/>
      <c r="W183" s="204"/>
      <c r="X183" s="204"/>
      <c r="Y183" s="204"/>
      <c r="AG183" s="213"/>
      <c r="AH183" s="211"/>
      <c r="AI183" s="127"/>
      <c r="AJ183" s="127"/>
      <c r="AK183" s="211"/>
      <c r="AL183" s="120"/>
      <c r="AM183" s="120"/>
      <c r="AN183" s="128"/>
      <c r="AO183" s="128"/>
      <c r="AP183" s="99"/>
      <c r="AQ183" s="99"/>
      <c r="AR183" s="144"/>
      <c r="AS183" s="144"/>
      <c r="AT183" s="129"/>
      <c r="AU183" s="149"/>
      <c r="AV183" s="208"/>
      <c r="AW183" s="99"/>
      <c r="AX183" s="89"/>
      <c r="AY183" s="133"/>
      <c r="AZ183" s="134"/>
      <c r="BA183" s="133"/>
      <c r="BB183" s="134"/>
      <c r="BC183" s="133"/>
      <c r="BD183" s="134"/>
      <c r="BE183" s="132"/>
      <c r="BF183" s="132"/>
      <c r="BG183" s="132"/>
      <c r="CO183" s="211"/>
      <c r="CP183" s="211"/>
      <c r="CQ183" s="209"/>
      <c r="CR183" s="209"/>
      <c r="CS183" s="209"/>
      <c r="CT183" s="209"/>
      <c r="CU183" s="211"/>
      <c r="CV183" s="151"/>
    </row>
    <row r="184" spans="1:100" s="206" customFormat="1" ht="12.75" customHeight="1">
      <c r="A184" s="205"/>
      <c r="B184" s="205"/>
      <c r="C184" s="205"/>
      <c r="D184" s="32"/>
      <c r="E184" s="32"/>
      <c r="F184" s="220"/>
      <c r="G184" s="223"/>
      <c r="H184" s="230"/>
      <c r="I184" s="230"/>
      <c r="J184" s="230"/>
      <c r="K184" s="221"/>
      <c r="L184" s="230"/>
      <c r="M184" s="230"/>
      <c r="N184" s="230"/>
      <c r="O184" s="219"/>
      <c r="P184" s="219"/>
      <c r="Q184" s="222"/>
      <c r="R184" s="231"/>
      <c r="S184" s="232"/>
      <c r="T184" s="205"/>
      <c r="U184" s="205"/>
      <c r="V184" s="205"/>
      <c r="W184" s="204"/>
      <c r="X184" s="204"/>
      <c r="Y184" s="204"/>
      <c r="AG184" s="213"/>
      <c r="AH184" s="211"/>
      <c r="AI184" s="127"/>
      <c r="AJ184" s="127"/>
      <c r="AK184" s="211"/>
      <c r="AL184" s="120"/>
      <c r="AM184" s="120"/>
      <c r="AN184" s="128"/>
      <c r="AO184" s="128"/>
      <c r="AP184" s="99"/>
      <c r="AQ184" s="99"/>
      <c r="AR184" s="144"/>
      <c r="AS184" s="144"/>
      <c r="AT184" s="129"/>
      <c r="AU184" s="149"/>
      <c r="AV184" s="208"/>
      <c r="AW184" s="99"/>
      <c r="AX184" s="89"/>
      <c r="AY184" s="133"/>
      <c r="AZ184" s="134"/>
      <c r="BA184" s="133"/>
      <c r="BB184" s="134"/>
      <c r="BC184" s="133"/>
      <c r="BD184" s="134"/>
      <c r="BE184" s="132"/>
      <c r="BF184" s="132"/>
      <c r="BG184" s="132"/>
      <c r="CO184" s="211"/>
      <c r="CP184" s="211"/>
      <c r="CQ184" s="209"/>
      <c r="CR184" s="209"/>
      <c r="CS184" s="209"/>
      <c r="CT184" s="209"/>
      <c r="CU184" s="211"/>
      <c r="CV184" s="151"/>
    </row>
    <row r="185" spans="1:100" s="206" customFormat="1" ht="12.75" customHeight="1">
      <c r="A185" s="205"/>
      <c r="B185" s="205"/>
      <c r="C185" s="205"/>
      <c r="D185" s="32"/>
      <c r="E185" s="32"/>
      <c r="F185" s="220"/>
      <c r="G185" s="223"/>
      <c r="H185" s="230"/>
      <c r="I185" s="230"/>
      <c r="J185" s="230"/>
      <c r="K185" s="221"/>
      <c r="L185" s="230"/>
      <c r="M185" s="230"/>
      <c r="N185" s="230"/>
      <c r="O185" s="219"/>
      <c r="P185" s="219"/>
      <c r="Q185" s="222"/>
      <c r="R185" s="231"/>
      <c r="S185" s="232"/>
      <c r="T185" s="205"/>
      <c r="U185" s="205"/>
      <c r="V185" s="205"/>
      <c r="W185" s="204"/>
      <c r="X185" s="204"/>
      <c r="Y185" s="204"/>
      <c r="AG185" s="213"/>
      <c r="AH185" s="211"/>
      <c r="AI185" s="127"/>
      <c r="AJ185" s="127"/>
      <c r="AK185" s="211"/>
      <c r="AL185" s="120"/>
      <c r="AM185" s="120"/>
      <c r="AN185" s="128"/>
      <c r="AO185" s="128"/>
      <c r="AP185" s="99"/>
      <c r="AQ185" s="99"/>
      <c r="AR185" s="144"/>
      <c r="AS185" s="144"/>
      <c r="AT185" s="129"/>
      <c r="AU185" s="149"/>
      <c r="AV185" s="208"/>
      <c r="AW185" s="99"/>
      <c r="AX185" s="89"/>
      <c r="AY185" s="133"/>
      <c r="AZ185" s="134"/>
      <c r="BA185" s="133"/>
      <c r="BB185" s="134"/>
      <c r="BC185" s="133"/>
      <c r="BD185" s="134"/>
      <c r="BE185" s="132"/>
      <c r="BF185" s="132"/>
      <c r="BG185" s="132"/>
      <c r="CO185" s="211"/>
      <c r="CP185" s="211"/>
      <c r="CQ185" s="209"/>
      <c r="CR185" s="209"/>
      <c r="CS185" s="209"/>
      <c r="CT185" s="209"/>
      <c r="CU185" s="211"/>
      <c r="CV185" s="151"/>
    </row>
    <row r="186" spans="1:100" s="206" customFormat="1" ht="12.75" customHeight="1">
      <c r="A186" s="205"/>
      <c r="B186" s="205"/>
      <c r="C186" s="205"/>
      <c r="D186" s="32"/>
      <c r="E186" s="32"/>
      <c r="F186" s="220"/>
      <c r="G186" s="223"/>
      <c r="H186" s="230"/>
      <c r="I186" s="230"/>
      <c r="J186" s="230"/>
      <c r="K186" s="221"/>
      <c r="L186" s="230"/>
      <c r="M186" s="230"/>
      <c r="N186" s="230"/>
      <c r="O186" s="219"/>
      <c r="P186" s="219"/>
      <c r="Q186" s="222"/>
      <c r="R186" s="231"/>
      <c r="S186" s="232"/>
      <c r="T186" s="205"/>
      <c r="U186" s="205"/>
      <c r="V186" s="205"/>
      <c r="W186" s="204"/>
      <c r="X186" s="204"/>
      <c r="Y186" s="204"/>
      <c r="AG186" s="213"/>
      <c r="AH186" s="211"/>
      <c r="AI186" s="127"/>
      <c r="AJ186" s="127"/>
      <c r="AK186" s="211"/>
      <c r="AL186" s="120"/>
      <c r="AM186" s="120"/>
      <c r="AN186" s="128"/>
      <c r="AO186" s="128"/>
      <c r="AP186" s="99"/>
      <c r="AQ186" s="99"/>
      <c r="AR186" s="144"/>
      <c r="AS186" s="144"/>
      <c r="AT186" s="129"/>
      <c r="AU186" s="149"/>
      <c r="AV186" s="208"/>
      <c r="AW186" s="99"/>
      <c r="AX186" s="89"/>
      <c r="AY186" s="133"/>
      <c r="AZ186" s="134"/>
      <c r="BA186" s="133"/>
      <c r="BB186" s="134"/>
      <c r="BC186" s="133"/>
      <c r="BD186" s="134"/>
      <c r="BE186" s="132"/>
      <c r="BF186" s="132"/>
      <c r="BG186" s="132"/>
      <c r="CO186" s="211"/>
      <c r="CP186" s="211"/>
      <c r="CQ186" s="209"/>
      <c r="CR186" s="209"/>
      <c r="CS186" s="209"/>
      <c r="CT186" s="209"/>
      <c r="CU186" s="211"/>
      <c r="CV186" s="151"/>
    </row>
    <row r="187" spans="1:100" s="206" customFormat="1" ht="12.75" customHeight="1">
      <c r="A187" s="205"/>
      <c r="B187" s="205"/>
      <c r="C187" s="205"/>
      <c r="D187" s="32"/>
      <c r="E187" s="32"/>
      <c r="F187" s="220"/>
      <c r="G187" s="223"/>
      <c r="H187" s="230"/>
      <c r="I187" s="230"/>
      <c r="J187" s="230"/>
      <c r="K187" s="221"/>
      <c r="L187" s="230"/>
      <c r="M187" s="230"/>
      <c r="N187" s="230"/>
      <c r="O187" s="219"/>
      <c r="P187" s="219"/>
      <c r="Q187" s="222"/>
      <c r="R187" s="231"/>
      <c r="S187" s="232"/>
      <c r="T187" s="205"/>
      <c r="U187" s="205"/>
      <c r="V187" s="205"/>
      <c r="W187" s="204"/>
      <c r="X187" s="204"/>
      <c r="Y187" s="204"/>
      <c r="AG187" s="213"/>
      <c r="AH187" s="211"/>
      <c r="AI187" s="127"/>
      <c r="AJ187" s="127"/>
      <c r="AK187" s="211"/>
      <c r="AL187" s="120"/>
      <c r="AM187" s="120"/>
      <c r="AN187" s="128"/>
      <c r="AO187" s="128"/>
      <c r="AP187" s="99"/>
      <c r="AQ187" s="99"/>
      <c r="AR187" s="144"/>
      <c r="AS187" s="144"/>
      <c r="AT187" s="129"/>
      <c r="AU187" s="149"/>
      <c r="AV187" s="208"/>
      <c r="AW187" s="99"/>
      <c r="AX187" s="89"/>
      <c r="AY187" s="133"/>
      <c r="AZ187" s="134"/>
      <c r="BA187" s="133"/>
      <c r="BB187" s="134"/>
      <c r="BC187" s="133"/>
      <c r="BD187" s="134"/>
      <c r="BE187" s="132"/>
      <c r="BF187" s="132"/>
      <c r="BG187" s="132"/>
      <c r="CO187" s="211"/>
      <c r="CP187" s="211"/>
      <c r="CQ187" s="209"/>
      <c r="CR187" s="209"/>
      <c r="CS187" s="209"/>
      <c r="CT187" s="209"/>
      <c r="CU187" s="211"/>
      <c r="CV187" s="151"/>
    </row>
    <row r="188" spans="1:100" s="206" customFormat="1" ht="12.75" customHeight="1">
      <c r="A188" s="205"/>
      <c r="B188" s="205"/>
      <c r="C188" s="205"/>
      <c r="D188" s="32"/>
      <c r="E188" s="32"/>
      <c r="F188" s="220"/>
      <c r="G188" s="223"/>
      <c r="H188" s="230"/>
      <c r="I188" s="230"/>
      <c r="J188" s="230"/>
      <c r="K188" s="221"/>
      <c r="L188" s="230"/>
      <c r="M188" s="230"/>
      <c r="N188" s="230"/>
      <c r="O188" s="219"/>
      <c r="P188" s="219"/>
      <c r="Q188" s="222"/>
      <c r="R188" s="231"/>
      <c r="S188" s="232"/>
      <c r="T188" s="205"/>
      <c r="U188" s="205"/>
      <c r="V188" s="205"/>
      <c r="W188" s="204"/>
      <c r="X188" s="204"/>
      <c r="Y188" s="204"/>
      <c r="AG188" s="213"/>
      <c r="AH188" s="211"/>
      <c r="AI188" s="127"/>
      <c r="AJ188" s="127"/>
      <c r="AK188" s="211"/>
      <c r="AL188" s="120"/>
      <c r="AM188" s="120"/>
      <c r="AN188" s="128"/>
      <c r="AO188" s="128"/>
      <c r="AP188" s="99"/>
      <c r="AQ188" s="99"/>
      <c r="AR188" s="144"/>
      <c r="AS188" s="144"/>
      <c r="AT188" s="129"/>
      <c r="AU188" s="149"/>
      <c r="AV188" s="208"/>
      <c r="AW188" s="99"/>
      <c r="AX188" s="89"/>
      <c r="AY188" s="133"/>
      <c r="AZ188" s="134"/>
      <c r="BA188" s="133"/>
      <c r="BB188" s="134"/>
      <c r="BC188" s="133"/>
      <c r="BD188" s="134"/>
      <c r="BE188" s="132"/>
      <c r="BF188" s="132"/>
      <c r="BG188" s="132"/>
      <c r="CO188" s="211"/>
      <c r="CP188" s="211"/>
      <c r="CQ188" s="209"/>
      <c r="CR188" s="209"/>
      <c r="CS188" s="209"/>
      <c r="CT188" s="209"/>
      <c r="CU188" s="211"/>
      <c r="CV188" s="151"/>
    </row>
    <row r="189" spans="1:100" s="206" customFormat="1" ht="12.75" customHeight="1">
      <c r="A189" s="205"/>
      <c r="B189" s="205"/>
      <c r="C189" s="205"/>
      <c r="D189" s="32"/>
      <c r="E189" s="32"/>
      <c r="F189" s="220"/>
      <c r="G189" s="223"/>
      <c r="H189" s="230"/>
      <c r="I189" s="230"/>
      <c r="J189" s="230"/>
      <c r="K189" s="221"/>
      <c r="L189" s="230"/>
      <c r="M189" s="230"/>
      <c r="N189" s="230"/>
      <c r="O189" s="219"/>
      <c r="P189" s="219"/>
      <c r="Q189" s="222"/>
      <c r="R189" s="231"/>
      <c r="S189" s="232"/>
      <c r="T189" s="205"/>
      <c r="U189" s="205"/>
      <c r="V189" s="205"/>
      <c r="W189" s="204"/>
      <c r="X189" s="204"/>
      <c r="Y189" s="204"/>
      <c r="AG189" s="213"/>
      <c r="AH189" s="211"/>
      <c r="AI189" s="127"/>
      <c r="AJ189" s="127"/>
      <c r="AK189" s="211"/>
      <c r="AL189" s="120"/>
      <c r="AM189" s="120"/>
      <c r="AN189" s="128"/>
      <c r="AO189" s="128"/>
      <c r="AP189" s="99"/>
      <c r="AQ189" s="99"/>
      <c r="AR189" s="144"/>
      <c r="AS189" s="144"/>
      <c r="AT189" s="129"/>
      <c r="AU189" s="149"/>
      <c r="AV189" s="208"/>
      <c r="AW189" s="99"/>
      <c r="AX189" s="89"/>
      <c r="AY189" s="133"/>
      <c r="AZ189" s="134"/>
      <c r="BA189" s="133"/>
      <c r="BB189" s="134"/>
      <c r="BC189" s="133"/>
      <c r="BD189" s="134"/>
      <c r="BE189" s="132"/>
      <c r="BF189" s="132"/>
      <c r="BG189" s="132"/>
      <c r="CO189" s="211"/>
      <c r="CP189" s="211"/>
      <c r="CQ189" s="209"/>
      <c r="CR189" s="209"/>
      <c r="CS189" s="209"/>
      <c r="CT189" s="209"/>
      <c r="CU189" s="211"/>
      <c r="CV189" s="151"/>
    </row>
    <row r="190" spans="1:100" s="206" customFormat="1" ht="12.75" customHeight="1">
      <c r="A190" s="205"/>
      <c r="B190" s="205"/>
      <c r="C190" s="205"/>
      <c r="D190" s="32"/>
      <c r="E190" s="32"/>
      <c r="F190" s="220"/>
      <c r="G190" s="223"/>
      <c r="H190" s="230"/>
      <c r="I190" s="230"/>
      <c r="J190" s="230"/>
      <c r="K190" s="221"/>
      <c r="L190" s="230"/>
      <c r="M190" s="230"/>
      <c r="N190" s="230"/>
      <c r="O190" s="219"/>
      <c r="P190" s="219"/>
      <c r="Q190" s="222"/>
      <c r="R190" s="231"/>
      <c r="S190" s="232"/>
      <c r="T190" s="205"/>
      <c r="U190" s="205"/>
      <c r="V190" s="205"/>
      <c r="W190" s="204"/>
      <c r="X190" s="204"/>
      <c r="Y190" s="204"/>
      <c r="AG190" s="213"/>
      <c r="AH190" s="211"/>
      <c r="AI190" s="127"/>
      <c r="AJ190" s="127"/>
      <c r="AK190" s="211"/>
      <c r="AL190" s="120"/>
      <c r="AM190" s="120"/>
      <c r="AN190" s="128"/>
      <c r="AO190" s="128"/>
      <c r="AP190" s="99"/>
      <c r="AQ190" s="99"/>
      <c r="AR190" s="144"/>
      <c r="AS190" s="144"/>
      <c r="AT190" s="129"/>
      <c r="AU190" s="149"/>
      <c r="AV190" s="208"/>
      <c r="AW190" s="99"/>
      <c r="AX190" s="89"/>
      <c r="AY190" s="133"/>
      <c r="AZ190" s="134"/>
      <c r="BA190" s="133"/>
      <c r="BB190" s="134"/>
      <c r="BC190" s="133"/>
      <c r="BD190" s="134"/>
      <c r="BE190" s="132"/>
      <c r="BF190" s="132"/>
      <c r="BG190" s="132"/>
      <c r="CO190" s="211"/>
      <c r="CP190" s="211"/>
      <c r="CQ190" s="209"/>
      <c r="CR190" s="209"/>
      <c r="CS190" s="209"/>
      <c r="CT190" s="209"/>
      <c r="CU190" s="211"/>
      <c r="CV190" s="151"/>
    </row>
    <row r="191" spans="1:100" s="206" customFormat="1" ht="12.75" customHeight="1">
      <c r="A191" s="205"/>
      <c r="B191" s="205"/>
      <c r="C191" s="205"/>
      <c r="D191" s="32"/>
      <c r="E191" s="32"/>
      <c r="F191" s="220"/>
      <c r="G191" s="223"/>
      <c r="H191" s="230"/>
      <c r="I191" s="230"/>
      <c r="J191" s="230"/>
      <c r="K191" s="221"/>
      <c r="L191" s="230"/>
      <c r="M191" s="230"/>
      <c r="N191" s="230"/>
      <c r="O191" s="219"/>
      <c r="P191" s="219"/>
      <c r="Q191" s="222"/>
      <c r="R191" s="231"/>
      <c r="S191" s="232"/>
      <c r="T191" s="205"/>
      <c r="U191" s="205"/>
      <c r="V191" s="205"/>
      <c r="W191" s="204"/>
      <c r="X191" s="204"/>
      <c r="Y191" s="204"/>
      <c r="AG191" s="213"/>
      <c r="AH191" s="211"/>
      <c r="AI191" s="127"/>
      <c r="AJ191" s="127"/>
      <c r="AK191" s="211"/>
      <c r="AL191" s="120"/>
      <c r="AM191" s="120"/>
      <c r="AN191" s="128"/>
      <c r="AO191" s="128"/>
      <c r="AP191" s="99"/>
      <c r="AQ191" s="99"/>
      <c r="AR191" s="144"/>
      <c r="AS191" s="144"/>
      <c r="AT191" s="129"/>
      <c r="AU191" s="149"/>
      <c r="AV191" s="208"/>
      <c r="AW191" s="99"/>
      <c r="AX191" s="89"/>
      <c r="AY191" s="133"/>
      <c r="AZ191" s="134"/>
      <c r="BA191" s="133"/>
      <c r="BB191" s="134"/>
      <c r="BC191" s="133"/>
      <c r="BD191" s="134"/>
      <c r="BE191" s="132"/>
      <c r="BF191" s="132"/>
      <c r="BG191" s="132"/>
      <c r="CO191" s="211"/>
      <c r="CP191" s="211"/>
      <c r="CQ191" s="209"/>
      <c r="CR191" s="209"/>
      <c r="CS191" s="209"/>
      <c r="CT191" s="209"/>
      <c r="CU191" s="211"/>
      <c r="CV191" s="151"/>
    </row>
    <row r="192" spans="1:100" s="206" customFormat="1" ht="12.75" customHeight="1">
      <c r="A192" s="205"/>
      <c r="B192" s="205"/>
      <c r="C192" s="205"/>
      <c r="D192" s="32"/>
      <c r="E192" s="32"/>
      <c r="F192" s="220"/>
      <c r="G192" s="223"/>
      <c r="H192" s="230"/>
      <c r="I192" s="230"/>
      <c r="J192" s="230"/>
      <c r="K192" s="221"/>
      <c r="L192" s="230"/>
      <c r="M192" s="230"/>
      <c r="N192" s="230"/>
      <c r="O192" s="219"/>
      <c r="P192" s="219"/>
      <c r="Q192" s="222"/>
      <c r="R192" s="231"/>
      <c r="S192" s="232"/>
      <c r="T192" s="205"/>
      <c r="U192" s="205"/>
      <c r="V192" s="205"/>
      <c r="W192" s="204"/>
      <c r="X192" s="204"/>
      <c r="Y192" s="204"/>
      <c r="AG192" s="213"/>
      <c r="AH192" s="211"/>
      <c r="AI192" s="127"/>
      <c r="AJ192" s="127"/>
      <c r="AK192" s="211"/>
      <c r="AL192" s="120"/>
      <c r="AM192" s="120"/>
      <c r="AN192" s="128"/>
      <c r="AO192" s="128"/>
      <c r="AP192" s="99"/>
      <c r="AQ192" s="99"/>
      <c r="AR192" s="144"/>
      <c r="AS192" s="144"/>
      <c r="AT192" s="129"/>
      <c r="AU192" s="149"/>
      <c r="AV192" s="208"/>
      <c r="AW192" s="99"/>
      <c r="AX192" s="89"/>
      <c r="AY192" s="133"/>
      <c r="AZ192" s="134"/>
      <c r="BA192" s="133"/>
      <c r="BB192" s="134"/>
      <c r="BC192" s="133"/>
      <c r="BD192" s="134"/>
      <c r="BE192" s="132"/>
      <c r="BF192" s="132"/>
      <c r="BG192" s="132"/>
      <c r="CO192" s="211"/>
      <c r="CP192" s="211"/>
      <c r="CQ192" s="209"/>
      <c r="CR192" s="209"/>
      <c r="CS192" s="209"/>
      <c r="CT192" s="209"/>
      <c r="CU192" s="211"/>
      <c r="CV192" s="151"/>
    </row>
    <row r="193" spans="1:100" s="206" customFormat="1" ht="12.75" customHeight="1">
      <c r="A193" s="205"/>
      <c r="B193" s="205"/>
      <c r="C193" s="205"/>
      <c r="D193" s="32"/>
      <c r="E193" s="32"/>
      <c r="F193" s="220"/>
      <c r="G193" s="223"/>
      <c r="H193" s="230"/>
      <c r="I193" s="230"/>
      <c r="J193" s="230"/>
      <c r="K193" s="221"/>
      <c r="L193" s="230"/>
      <c r="M193" s="230"/>
      <c r="N193" s="230"/>
      <c r="O193" s="219"/>
      <c r="P193" s="219"/>
      <c r="Q193" s="222"/>
      <c r="R193" s="231"/>
      <c r="S193" s="232"/>
      <c r="T193" s="205"/>
      <c r="U193" s="205"/>
      <c r="V193" s="205"/>
      <c r="W193" s="204"/>
      <c r="X193" s="204"/>
      <c r="Y193" s="204"/>
      <c r="AG193" s="213"/>
      <c r="AH193" s="211"/>
      <c r="AI193" s="127"/>
      <c r="AJ193" s="127"/>
      <c r="AK193" s="211"/>
      <c r="AL193" s="120"/>
      <c r="AM193" s="120"/>
      <c r="AN193" s="128"/>
      <c r="AO193" s="128"/>
      <c r="AP193" s="99"/>
      <c r="AQ193" s="99"/>
      <c r="AR193" s="144"/>
      <c r="AS193" s="144"/>
      <c r="AT193" s="129"/>
      <c r="AU193" s="149"/>
      <c r="AV193" s="208"/>
      <c r="AW193" s="99"/>
      <c r="AX193" s="89"/>
      <c r="AY193" s="133"/>
      <c r="AZ193" s="134"/>
      <c r="BA193" s="133"/>
      <c r="BB193" s="134"/>
      <c r="BC193" s="133"/>
      <c r="BD193" s="134"/>
      <c r="BE193" s="132"/>
      <c r="BF193" s="132"/>
      <c r="BG193" s="132"/>
      <c r="CO193" s="211"/>
      <c r="CP193" s="211"/>
      <c r="CQ193" s="209"/>
      <c r="CR193" s="209"/>
      <c r="CS193" s="209"/>
      <c r="CT193" s="209"/>
      <c r="CU193" s="211"/>
      <c r="CV193" s="151"/>
    </row>
    <row r="194" spans="1:100" s="206" customFormat="1" ht="12.75" customHeight="1">
      <c r="A194" s="205"/>
      <c r="B194" s="205"/>
      <c r="C194" s="205"/>
      <c r="D194" s="32"/>
      <c r="E194" s="32"/>
      <c r="F194" s="220"/>
      <c r="G194" s="223"/>
      <c r="H194" s="230"/>
      <c r="I194" s="230"/>
      <c r="J194" s="230"/>
      <c r="K194" s="221"/>
      <c r="L194" s="230"/>
      <c r="M194" s="230"/>
      <c r="N194" s="230"/>
      <c r="O194" s="219"/>
      <c r="P194" s="219"/>
      <c r="Q194" s="222"/>
      <c r="R194" s="231"/>
      <c r="S194" s="232"/>
      <c r="T194" s="205"/>
      <c r="U194" s="205"/>
      <c r="V194" s="205"/>
      <c r="W194" s="204"/>
      <c r="X194" s="204"/>
      <c r="Y194" s="204"/>
      <c r="AG194" s="213"/>
      <c r="AH194" s="211"/>
      <c r="AI194" s="127"/>
      <c r="AJ194" s="127"/>
      <c r="AK194" s="211"/>
      <c r="AL194" s="120"/>
      <c r="AM194" s="120"/>
      <c r="AN194" s="128"/>
      <c r="AO194" s="128"/>
      <c r="AP194" s="99"/>
      <c r="AQ194" s="99"/>
      <c r="AR194" s="144"/>
      <c r="AS194" s="144"/>
      <c r="AT194" s="129"/>
      <c r="AU194" s="149"/>
      <c r="AV194" s="208"/>
      <c r="AW194" s="99"/>
      <c r="AX194" s="89"/>
      <c r="AY194" s="133"/>
      <c r="AZ194" s="134"/>
      <c r="BA194" s="133"/>
      <c r="BB194" s="134"/>
      <c r="BC194" s="133"/>
      <c r="BD194" s="134"/>
      <c r="BE194" s="132"/>
      <c r="BF194" s="132"/>
      <c r="BG194" s="132"/>
      <c r="CO194" s="211"/>
      <c r="CP194" s="211"/>
      <c r="CQ194" s="209"/>
      <c r="CR194" s="209"/>
      <c r="CS194" s="209"/>
      <c r="CT194" s="209"/>
      <c r="CU194" s="211"/>
      <c r="CV194" s="151"/>
    </row>
    <row r="195" spans="1:100" s="206" customFormat="1" ht="12.75" customHeight="1">
      <c r="A195" s="205"/>
      <c r="B195" s="205"/>
      <c r="C195" s="205"/>
      <c r="D195" s="32"/>
      <c r="E195" s="32"/>
      <c r="F195" s="220"/>
      <c r="G195" s="223"/>
      <c r="H195" s="230"/>
      <c r="I195" s="230"/>
      <c r="J195" s="230"/>
      <c r="K195" s="221"/>
      <c r="L195" s="230"/>
      <c r="M195" s="230"/>
      <c r="N195" s="230"/>
      <c r="O195" s="219"/>
      <c r="P195" s="219"/>
      <c r="Q195" s="222"/>
      <c r="R195" s="231"/>
      <c r="S195" s="232"/>
      <c r="T195" s="205"/>
      <c r="U195" s="205"/>
      <c r="V195" s="205"/>
      <c r="W195" s="204"/>
      <c r="X195" s="204"/>
      <c r="Y195" s="204"/>
      <c r="AG195" s="213"/>
      <c r="AH195" s="211"/>
      <c r="AI195" s="127"/>
      <c r="AJ195" s="127"/>
      <c r="AK195" s="211"/>
      <c r="AL195" s="120"/>
      <c r="AM195" s="120"/>
      <c r="AN195" s="128"/>
      <c r="AO195" s="128"/>
      <c r="AP195" s="99"/>
      <c r="AQ195" s="99"/>
      <c r="AR195" s="144"/>
      <c r="AS195" s="144"/>
      <c r="AT195" s="129"/>
      <c r="AU195" s="149"/>
      <c r="AV195" s="208"/>
      <c r="AW195" s="99"/>
      <c r="AX195" s="89"/>
      <c r="AY195" s="133"/>
      <c r="AZ195" s="134"/>
      <c r="BA195" s="133"/>
      <c r="BB195" s="134"/>
      <c r="BC195" s="133"/>
      <c r="BD195" s="134"/>
      <c r="BE195" s="132"/>
      <c r="BF195" s="132"/>
      <c r="BG195" s="132"/>
      <c r="CO195" s="211"/>
      <c r="CP195" s="211"/>
      <c r="CQ195" s="209"/>
      <c r="CR195" s="209"/>
      <c r="CS195" s="209"/>
      <c r="CT195" s="209"/>
      <c r="CU195" s="211"/>
      <c r="CV195" s="151"/>
    </row>
    <row r="196" spans="1:100" s="206" customFormat="1" ht="12.75" customHeight="1">
      <c r="A196" s="205"/>
      <c r="B196" s="205"/>
      <c r="C196" s="205"/>
      <c r="D196" s="32"/>
      <c r="E196" s="32"/>
      <c r="F196" s="220"/>
      <c r="G196" s="223"/>
      <c r="H196" s="230"/>
      <c r="I196" s="230"/>
      <c r="J196" s="230"/>
      <c r="K196" s="221"/>
      <c r="L196" s="230"/>
      <c r="M196" s="230"/>
      <c r="N196" s="230"/>
      <c r="O196" s="219"/>
      <c r="P196" s="219"/>
      <c r="Q196" s="222"/>
      <c r="R196" s="231"/>
      <c r="S196" s="232"/>
      <c r="T196" s="205"/>
      <c r="U196" s="205"/>
      <c r="V196" s="205"/>
      <c r="W196" s="204"/>
      <c r="X196" s="204"/>
      <c r="Y196" s="204"/>
      <c r="AG196" s="213"/>
      <c r="AH196" s="211"/>
      <c r="AI196" s="127"/>
      <c r="AJ196" s="127"/>
      <c r="AK196" s="211"/>
      <c r="AL196" s="120"/>
      <c r="AM196" s="120"/>
      <c r="AN196" s="128"/>
      <c r="AO196" s="128"/>
      <c r="AP196" s="99"/>
      <c r="AQ196" s="99"/>
      <c r="AR196" s="144"/>
      <c r="AS196" s="144"/>
      <c r="AT196" s="129"/>
      <c r="AU196" s="149"/>
      <c r="AV196" s="208"/>
      <c r="AW196" s="99"/>
      <c r="AX196" s="89"/>
      <c r="AY196" s="133"/>
      <c r="AZ196" s="134"/>
      <c r="BA196" s="133"/>
      <c r="BB196" s="134"/>
      <c r="BC196" s="133"/>
      <c r="BD196" s="134"/>
      <c r="BE196" s="132"/>
      <c r="BF196" s="132"/>
      <c r="BG196" s="132"/>
      <c r="CO196" s="211"/>
      <c r="CP196" s="211"/>
      <c r="CQ196" s="209"/>
      <c r="CR196" s="209"/>
      <c r="CS196" s="209"/>
      <c r="CT196" s="209"/>
      <c r="CU196" s="211"/>
      <c r="CV196" s="151"/>
    </row>
    <row r="197" spans="1:100" s="206" customFormat="1" ht="12.75" customHeight="1">
      <c r="A197" s="205"/>
      <c r="B197" s="205"/>
      <c r="C197" s="205"/>
      <c r="D197" s="32"/>
      <c r="E197" s="32"/>
      <c r="F197" s="220"/>
      <c r="G197" s="223"/>
      <c r="H197" s="230"/>
      <c r="I197" s="230"/>
      <c r="J197" s="230"/>
      <c r="K197" s="221"/>
      <c r="L197" s="230"/>
      <c r="M197" s="230"/>
      <c r="N197" s="230"/>
      <c r="O197" s="219"/>
      <c r="P197" s="219"/>
      <c r="Q197" s="222"/>
      <c r="R197" s="231"/>
      <c r="S197" s="232"/>
      <c r="T197" s="205"/>
      <c r="U197" s="205"/>
      <c r="V197" s="205"/>
      <c r="W197" s="204"/>
      <c r="X197" s="204"/>
      <c r="Y197" s="204"/>
      <c r="AG197" s="213"/>
      <c r="AH197" s="211"/>
      <c r="AI197" s="127"/>
      <c r="AJ197" s="127"/>
      <c r="AK197" s="211"/>
      <c r="AL197" s="120"/>
      <c r="AM197" s="120"/>
      <c r="AN197" s="128"/>
      <c r="AO197" s="128"/>
      <c r="AP197" s="99"/>
      <c r="AQ197" s="99"/>
      <c r="AR197" s="144"/>
      <c r="AS197" s="144"/>
      <c r="AT197" s="129"/>
      <c r="AU197" s="149"/>
      <c r="AV197" s="208"/>
      <c r="AW197" s="99"/>
      <c r="AX197" s="89"/>
      <c r="AY197" s="133"/>
      <c r="AZ197" s="134"/>
      <c r="BA197" s="133"/>
      <c r="BB197" s="134"/>
      <c r="BC197" s="133"/>
      <c r="BD197" s="134"/>
      <c r="BE197" s="132"/>
      <c r="BF197" s="132"/>
      <c r="BG197" s="132"/>
      <c r="CO197" s="211"/>
      <c r="CP197" s="211"/>
      <c r="CQ197" s="209"/>
      <c r="CR197" s="209"/>
      <c r="CS197" s="209"/>
      <c r="CT197" s="209"/>
      <c r="CU197" s="211"/>
      <c r="CV197" s="151"/>
    </row>
    <row r="198" spans="1:100" s="206" customFormat="1" ht="12.75" customHeight="1">
      <c r="A198" s="205"/>
      <c r="B198" s="205"/>
      <c r="C198" s="205"/>
      <c r="D198" s="32"/>
      <c r="E198" s="32"/>
      <c r="F198" s="220"/>
      <c r="G198" s="223"/>
      <c r="H198" s="230"/>
      <c r="I198" s="230"/>
      <c r="J198" s="230"/>
      <c r="K198" s="221"/>
      <c r="L198" s="230"/>
      <c r="M198" s="230"/>
      <c r="N198" s="230"/>
      <c r="O198" s="219"/>
      <c r="P198" s="219"/>
      <c r="Q198" s="222"/>
      <c r="R198" s="231"/>
      <c r="S198" s="232"/>
      <c r="T198" s="205"/>
      <c r="U198" s="205"/>
      <c r="V198" s="205"/>
      <c r="W198" s="204"/>
      <c r="X198" s="204"/>
      <c r="Y198" s="204"/>
      <c r="AG198" s="213"/>
      <c r="AH198" s="211"/>
      <c r="AI198" s="127"/>
      <c r="AJ198" s="127"/>
      <c r="AK198" s="211"/>
      <c r="AL198" s="120"/>
      <c r="AM198" s="120"/>
      <c r="AN198" s="128"/>
      <c r="AO198" s="128"/>
      <c r="AP198" s="99"/>
      <c r="AQ198" s="99"/>
      <c r="AR198" s="144"/>
      <c r="AS198" s="144"/>
      <c r="AT198" s="129"/>
      <c r="AU198" s="149"/>
      <c r="AV198" s="208"/>
      <c r="AW198" s="99"/>
      <c r="AX198" s="89"/>
      <c r="AY198" s="133"/>
      <c r="AZ198" s="134"/>
      <c r="BA198" s="133"/>
      <c r="BB198" s="134"/>
      <c r="BC198" s="133"/>
      <c r="BD198" s="134"/>
      <c r="BE198" s="132"/>
      <c r="BF198" s="132"/>
      <c r="BG198" s="132"/>
      <c r="CO198" s="211"/>
      <c r="CP198" s="211"/>
      <c r="CQ198" s="209"/>
      <c r="CR198" s="209"/>
      <c r="CS198" s="209"/>
      <c r="CT198" s="209"/>
      <c r="CU198" s="211"/>
      <c r="CV198" s="151"/>
    </row>
    <row r="199" spans="1:100" s="206" customFormat="1" ht="12.75" customHeight="1">
      <c r="A199" s="205"/>
      <c r="B199" s="205"/>
      <c r="C199" s="205"/>
      <c r="D199" s="32"/>
      <c r="E199" s="32"/>
      <c r="F199" s="220"/>
      <c r="G199" s="223"/>
      <c r="H199" s="230"/>
      <c r="I199" s="230"/>
      <c r="J199" s="230"/>
      <c r="K199" s="221"/>
      <c r="L199" s="230"/>
      <c r="M199" s="230"/>
      <c r="N199" s="230"/>
      <c r="O199" s="219"/>
      <c r="P199" s="219"/>
      <c r="Q199" s="222"/>
      <c r="R199" s="231"/>
      <c r="S199" s="232"/>
      <c r="T199" s="205"/>
      <c r="U199" s="205"/>
      <c r="V199" s="205"/>
      <c r="W199" s="204"/>
      <c r="X199" s="204"/>
      <c r="Y199" s="204"/>
      <c r="AG199" s="213"/>
      <c r="AH199" s="211"/>
      <c r="AI199" s="127"/>
      <c r="AJ199" s="127"/>
      <c r="AK199" s="211"/>
      <c r="AL199" s="120"/>
      <c r="AM199" s="120"/>
      <c r="AN199" s="128"/>
      <c r="AO199" s="128"/>
      <c r="AP199" s="99"/>
      <c r="AQ199" s="99"/>
      <c r="AR199" s="144"/>
      <c r="AS199" s="144"/>
      <c r="AT199" s="129"/>
      <c r="AU199" s="149"/>
      <c r="AV199" s="208"/>
      <c r="AW199" s="99"/>
      <c r="AX199" s="89"/>
      <c r="AY199" s="133"/>
      <c r="AZ199" s="134"/>
      <c r="BA199" s="133"/>
      <c r="BB199" s="134"/>
      <c r="BC199" s="133"/>
      <c r="BD199" s="134"/>
      <c r="BE199" s="132"/>
      <c r="BF199" s="132"/>
      <c r="BG199" s="132"/>
      <c r="CO199" s="211"/>
      <c r="CP199" s="211"/>
      <c r="CQ199" s="209"/>
      <c r="CR199" s="209"/>
      <c r="CS199" s="209"/>
      <c r="CT199" s="209"/>
      <c r="CU199" s="211"/>
      <c r="CV199" s="151"/>
    </row>
    <row r="200" spans="1:100" s="206" customFormat="1" ht="12.75" customHeight="1">
      <c r="A200" s="205"/>
      <c r="B200" s="205"/>
      <c r="C200" s="205"/>
      <c r="D200" s="32"/>
      <c r="E200" s="32"/>
      <c r="F200" s="220"/>
      <c r="G200" s="223"/>
      <c r="H200" s="230"/>
      <c r="I200" s="230"/>
      <c r="J200" s="230"/>
      <c r="K200" s="221"/>
      <c r="L200" s="230"/>
      <c r="M200" s="230"/>
      <c r="N200" s="230"/>
      <c r="O200" s="219"/>
      <c r="P200" s="219"/>
      <c r="Q200" s="222"/>
      <c r="R200" s="231"/>
      <c r="S200" s="232"/>
      <c r="T200" s="205"/>
      <c r="U200" s="205"/>
      <c r="V200" s="205"/>
      <c r="W200" s="204"/>
      <c r="X200" s="204"/>
      <c r="Y200" s="204"/>
      <c r="AG200" s="213"/>
      <c r="AH200" s="211"/>
      <c r="AI200" s="127"/>
      <c r="AJ200" s="127"/>
      <c r="AK200" s="211"/>
      <c r="AL200" s="120"/>
      <c r="AM200" s="120"/>
      <c r="AN200" s="128"/>
      <c r="AO200" s="128"/>
      <c r="AP200" s="99"/>
      <c r="AQ200" s="99"/>
      <c r="AR200" s="144"/>
      <c r="AS200" s="144"/>
      <c r="AT200" s="129"/>
      <c r="AU200" s="149"/>
      <c r="AV200" s="208"/>
      <c r="AW200" s="99"/>
      <c r="AX200" s="89"/>
      <c r="AY200" s="133"/>
      <c r="AZ200" s="134"/>
      <c r="BA200" s="133"/>
      <c r="BB200" s="134"/>
      <c r="BC200" s="133"/>
      <c r="BD200" s="134"/>
      <c r="BE200" s="132"/>
      <c r="BF200" s="132"/>
      <c r="BG200" s="132"/>
      <c r="CO200" s="211"/>
      <c r="CP200" s="211"/>
      <c r="CQ200" s="209"/>
      <c r="CR200" s="209"/>
      <c r="CS200" s="209"/>
      <c r="CT200" s="209"/>
      <c r="CU200" s="211"/>
      <c r="CV200" s="151"/>
    </row>
    <row r="201" spans="1:100" s="206" customFormat="1" ht="12.75" customHeight="1">
      <c r="A201" s="205"/>
      <c r="B201" s="205"/>
      <c r="C201" s="205"/>
      <c r="D201" s="32"/>
      <c r="E201" s="32"/>
      <c r="F201" s="220"/>
      <c r="G201" s="223"/>
      <c r="H201" s="230"/>
      <c r="I201" s="230"/>
      <c r="J201" s="230"/>
      <c r="K201" s="221"/>
      <c r="L201" s="230"/>
      <c r="M201" s="230"/>
      <c r="N201" s="230"/>
      <c r="O201" s="219"/>
      <c r="P201" s="219"/>
      <c r="Q201" s="222"/>
      <c r="R201" s="231"/>
      <c r="S201" s="232"/>
      <c r="T201" s="205"/>
      <c r="U201" s="205"/>
      <c r="V201" s="205"/>
      <c r="W201" s="204"/>
      <c r="X201" s="204"/>
      <c r="Y201" s="204"/>
      <c r="AG201" s="213"/>
      <c r="AH201" s="211"/>
      <c r="AI201" s="127"/>
      <c r="AJ201" s="127"/>
      <c r="AK201" s="211"/>
      <c r="AL201" s="120"/>
      <c r="AM201" s="120"/>
      <c r="AN201" s="128"/>
      <c r="AO201" s="128"/>
      <c r="AP201" s="99"/>
      <c r="AQ201" s="99"/>
      <c r="AR201" s="144"/>
      <c r="AS201" s="144"/>
      <c r="AT201" s="129"/>
      <c r="AU201" s="149"/>
      <c r="AV201" s="208"/>
      <c r="AW201" s="99"/>
      <c r="AX201" s="89"/>
      <c r="AY201" s="133"/>
      <c r="AZ201" s="134"/>
      <c r="BA201" s="133"/>
      <c r="BB201" s="134"/>
      <c r="BC201" s="133"/>
      <c r="BD201" s="134"/>
      <c r="BE201" s="132"/>
      <c r="BF201" s="132"/>
      <c r="BG201" s="132"/>
      <c r="CO201" s="211"/>
      <c r="CP201" s="211"/>
      <c r="CQ201" s="209"/>
      <c r="CR201" s="209"/>
      <c r="CS201" s="209"/>
      <c r="CT201" s="209"/>
      <c r="CU201" s="211"/>
      <c r="CV201" s="151"/>
    </row>
    <row r="202" spans="1:100" s="206" customFormat="1" ht="12.75" customHeight="1">
      <c r="A202" s="205"/>
      <c r="B202" s="205"/>
      <c r="C202" s="205"/>
      <c r="D202" s="32"/>
      <c r="E202" s="32"/>
      <c r="F202" s="220"/>
      <c r="G202" s="223"/>
      <c r="H202" s="230"/>
      <c r="I202" s="230"/>
      <c r="J202" s="230"/>
      <c r="K202" s="221"/>
      <c r="L202" s="230"/>
      <c r="M202" s="230"/>
      <c r="N202" s="230"/>
      <c r="O202" s="219"/>
      <c r="P202" s="219"/>
      <c r="Q202" s="222"/>
      <c r="R202" s="231"/>
      <c r="S202" s="232"/>
      <c r="T202" s="205"/>
      <c r="U202" s="205"/>
      <c r="V202" s="205"/>
      <c r="W202" s="204"/>
      <c r="X202" s="204"/>
      <c r="Y202" s="204"/>
      <c r="AG202" s="213"/>
      <c r="AH202" s="211"/>
      <c r="AI202" s="127"/>
      <c r="AJ202" s="127"/>
      <c r="AK202" s="211"/>
      <c r="AL202" s="120"/>
      <c r="AM202" s="120"/>
      <c r="AN202" s="128"/>
      <c r="AO202" s="128"/>
      <c r="AP202" s="99"/>
      <c r="AQ202" s="99"/>
      <c r="AR202" s="144"/>
      <c r="AS202" s="144"/>
      <c r="AT202" s="129"/>
      <c r="AU202" s="149"/>
      <c r="AV202" s="208"/>
      <c r="AW202" s="99"/>
      <c r="AX202" s="89"/>
      <c r="AY202" s="133"/>
      <c r="AZ202" s="134"/>
      <c r="BA202" s="133"/>
      <c r="BB202" s="134"/>
      <c r="BC202" s="133"/>
      <c r="BD202" s="134"/>
      <c r="BE202" s="132"/>
      <c r="BF202" s="132"/>
      <c r="BG202" s="132"/>
      <c r="CO202" s="211"/>
      <c r="CP202" s="211"/>
      <c r="CQ202" s="209"/>
      <c r="CR202" s="209"/>
      <c r="CS202" s="209"/>
      <c r="CT202" s="209"/>
      <c r="CU202" s="211"/>
      <c r="CV202" s="151"/>
    </row>
    <row r="203" spans="1:100" s="206" customFormat="1" ht="12.75" customHeight="1">
      <c r="A203" s="205"/>
      <c r="B203" s="205"/>
      <c r="C203" s="205"/>
      <c r="D203" s="32"/>
      <c r="E203" s="32"/>
      <c r="F203" s="220"/>
      <c r="G203" s="223"/>
      <c r="H203" s="230"/>
      <c r="I203" s="230"/>
      <c r="J203" s="230"/>
      <c r="K203" s="221"/>
      <c r="L203" s="230"/>
      <c r="M203" s="230"/>
      <c r="N203" s="230"/>
      <c r="O203" s="219"/>
      <c r="P203" s="219"/>
      <c r="Q203" s="222"/>
      <c r="R203" s="231"/>
      <c r="S203" s="232"/>
      <c r="T203" s="205"/>
      <c r="U203" s="205"/>
      <c r="V203" s="205"/>
      <c r="W203" s="204"/>
      <c r="X203" s="204"/>
      <c r="Y203" s="204"/>
      <c r="AG203" s="213"/>
      <c r="AH203" s="211"/>
      <c r="AI203" s="127"/>
      <c r="AJ203" s="127"/>
      <c r="AK203" s="211"/>
      <c r="AL203" s="120"/>
      <c r="AM203" s="120"/>
      <c r="AN203" s="128"/>
      <c r="AO203" s="128"/>
      <c r="AP203" s="99"/>
      <c r="AQ203" s="99"/>
      <c r="AR203" s="144"/>
      <c r="AS203" s="144"/>
      <c r="AT203" s="129"/>
      <c r="AU203" s="149"/>
      <c r="AV203" s="208"/>
      <c r="AW203" s="99"/>
      <c r="AX203" s="89"/>
      <c r="AY203" s="133"/>
      <c r="AZ203" s="134"/>
      <c r="BA203" s="133"/>
      <c r="BB203" s="134"/>
      <c r="BC203" s="133"/>
      <c r="BD203" s="134"/>
      <c r="BE203" s="132"/>
      <c r="BF203" s="132"/>
      <c r="BG203" s="132"/>
      <c r="CO203" s="211"/>
      <c r="CP203" s="211"/>
      <c r="CQ203" s="209"/>
      <c r="CR203" s="209"/>
      <c r="CS203" s="209"/>
      <c r="CT203" s="209"/>
      <c r="CU203" s="211"/>
      <c r="CV203" s="151"/>
    </row>
    <row r="204" spans="1:100" s="206" customFormat="1" ht="12.75" customHeight="1">
      <c r="A204" s="205"/>
      <c r="B204" s="205"/>
      <c r="C204" s="205"/>
      <c r="D204" s="32"/>
      <c r="E204" s="32"/>
      <c r="F204" s="220"/>
      <c r="G204" s="223"/>
      <c r="H204" s="230"/>
      <c r="I204" s="230"/>
      <c r="J204" s="230"/>
      <c r="K204" s="221"/>
      <c r="L204" s="230"/>
      <c r="M204" s="230"/>
      <c r="N204" s="230"/>
      <c r="O204" s="219"/>
      <c r="P204" s="219"/>
      <c r="Q204" s="222"/>
      <c r="R204" s="231"/>
      <c r="S204" s="232"/>
      <c r="T204" s="205"/>
      <c r="U204" s="205"/>
      <c r="V204" s="205"/>
      <c r="W204" s="204"/>
      <c r="X204" s="204"/>
      <c r="Y204" s="204"/>
      <c r="AG204" s="213"/>
      <c r="AH204" s="211"/>
      <c r="AI204" s="127"/>
      <c r="AJ204" s="127"/>
      <c r="AK204" s="211"/>
      <c r="AL204" s="120"/>
      <c r="AM204" s="120"/>
      <c r="AN204" s="128"/>
      <c r="AO204" s="128"/>
      <c r="AP204" s="99"/>
      <c r="AQ204" s="99"/>
      <c r="AR204" s="144"/>
      <c r="AS204" s="144"/>
      <c r="AT204" s="129"/>
      <c r="AU204" s="149"/>
      <c r="AV204" s="208"/>
      <c r="AW204" s="99"/>
      <c r="AX204" s="89"/>
      <c r="AY204" s="133"/>
      <c r="AZ204" s="134"/>
      <c r="BA204" s="133"/>
      <c r="BB204" s="134"/>
      <c r="BC204" s="133"/>
      <c r="BD204" s="134"/>
      <c r="BE204" s="132"/>
      <c r="BF204" s="132"/>
      <c r="BG204" s="132"/>
      <c r="CO204" s="211"/>
      <c r="CP204" s="211"/>
      <c r="CQ204" s="209"/>
      <c r="CR204" s="209"/>
      <c r="CS204" s="209"/>
      <c r="CT204" s="209"/>
      <c r="CU204" s="211"/>
      <c r="CV204" s="151"/>
    </row>
    <row r="205" spans="1:100" s="206" customFormat="1" ht="12.75" customHeight="1">
      <c r="A205" s="205"/>
      <c r="B205" s="205"/>
      <c r="C205" s="205"/>
      <c r="D205" s="32"/>
      <c r="E205" s="32"/>
      <c r="F205" s="220"/>
      <c r="G205" s="223"/>
      <c r="H205" s="230"/>
      <c r="I205" s="230"/>
      <c r="J205" s="230"/>
      <c r="K205" s="221"/>
      <c r="L205" s="230"/>
      <c r="M205" s="230"/>
      <c r="N205" s="230"/>
      <c r="O205" s="219"/>
      <c r="P205" s="219"/>
      <c r="Q205" s="222"/>
      <c r="R205" s="231"/>
      <c r="S205" s="232"/>
      <c r="T205" s="205"/>
      <c r="U205" s="205"/>
      <c r="V205" s="205"/>
      <c r="W205" s="204"/>
      <c r="X205" s="204"/>
      <c r="Y205" s="204"/>
      <c r="AG205" s="213"/>
      <c r="AH205" s="211"/>
      <c r="AI205" s="127"/>
      <c r="AJ205" s="127"/>
      <c r="AK205" s="211"/>
      <c r="AL205" s="120"/>
      <c r="AM205" s="120"/>
      <c r="AN205" s="128"/>
      <c r="AO205" s="128"/>
      <c r="AP205" s="99"/>
      <c r="AQ205" s="99"/>
      <c r="AR205" s="144"/>
      <c r="AS205" s="144"/>
      <c r="AT205" s="129"/>
      <c r="AU205" s="149"/>
      <c r="AV205" s="208"/>
      <c r="AW205" s="99"/>
      <c r="AX205" s="89"/>
      <c r="AY205" s="133"/>
      <c r="AZ205" s="134"/>
      <c r="BA205" s="133"/>
      <c r="BB205" s="134"/>
      <c r="BC205" s="133"/>
      <c r="BD205" s="134"/>
      <c r="BE205" s="132"/>
      <c r="BF205" s="132"/>
      <c r="BG205" s="132"/>
      <c r="CO205" s="211"/>
      <c r="CP205" s="211"/>
      <c r="CQ205" s="209"/>
      <c r="CR205" s="209"/>
      <c r="CS205" s="209"/>
      <c r="CT205" s="209"/>
      <c r="CU205" s="211"/>
      <c r="CV205" s="151"/>
    </row>
    <row r="206" spans="1:100" s="206" customFormat="1" ht="12.75" customHeight="1">
      <c r="A206" s="205"/>
      <c r="B206" s="205"/>
      <c r="C206" s="205"/>
      <c r="D206" s="32"/>
      <c r="E206" s="32"/>
      <c r="F206" s="220"/>
      <c r="G206" s="223"/>
      <c r="H206" s="230"/>
      <c r="I206" s="230"/>
      <c r="J206" s="230"/>
      <c r="K206" s="221"/>
      <c r="L206" s="230"/>
      <c r="M206" s="230"/>
      <c r="N206" s="230"/>
      <c r="O206" s="219"/>
      <c r="P206" s="219"/>
      <c r="Q206" s="222"/>
      <c r="R206" s="231"/>
      <c r="S206" s="232"/>
      <c r="T206" s="205"/>
      <c r="U206" s="205"/>
      <c r="V206" s="205"/>
      <c r="W206" s="204"/>
      <c r="X206" s="204"/>
      <c r="Y206" s="204"/>
      <c r="AG206" s="213"/>
      <c r="AH206" s="211"/>
      <c r="AI206" s="127"/>
      <c r="AJ206" s="127"/>
      <c r="AK206" s="211"/>
      <c r="AL206" s="120"/>
      <c r="AM206" s="120"/>
      <c r="AN206" s="128"/>
      <c r="AO206" s="128"/>
      <c r="AP206" s="99"/>
      <c r="AQ206" s="99"/>
      <c r="AR206" s="144"/>
      <c r="AS206" s="144"/>
      <c r="AT206" s="129"/>
      <c r="AU206" s="149"/>
      <c r="AV206" s="208"/>
      <c r="AW206" s="99"/>
      <c r="AX206" s="89"/>
      <c r="AY206" s="133"/>
      <c r="AZ206" s="134"/>
      <c r="BA206" s="133"/>
      <c r="BB206" s="134"/>
      <c r="BC206" s="133"/>
      <c r="BD206" s="134"/>
      <c r="BE206" s="132"/>
      <c r="BF206" s="132"/>
      <c r="BG206" s="132"/>
      <c r="CO206" s="211"/>
      <c r="CP206" s="211"/>
      <c r="CQ206" s="209"/>
      <c r="CR206" s="209"/>
      <c r="CS206" s="209"/>
      <c r="CT206" s="209"/>
      <c r="CU206" s="211"/>
      <c r="CV206" s="151"/>
    </row>
    <row r="207" spans="1:100" s="206" customFormat="1" ht="12.75" customHeight="1">
      <c r="A207" s="205"/>
      <c r="B207" s="205"/>
      <c r="C207" s="205"/>
      <c r="D207" s="32"/>
      <c r="E207" s="32"/>
      <c r="F207" s="220"/>
      <c r="G207" s="223"/>
      <c r="H207" s="230"/>
      <c r="I207" s="230"/>
      <c r="J207" s="230"/>
      <c r="K207" s="221"/>
      <c r="L207" s="230"/>
      <c r="M207" s="230"/>
      <c r="N207" s="230"/>
      <c r="O207" s="219"/>
      <c r="P207" s="219"/>
      <c r="Q207" s="222"/>
      <c r="R207" s="231"/>
      <c r="S207" s="232"/>
      <c r="T207" s="205"/>
      <c r="U207" s="205"/>
      <c r="V207" s="205"/>
      <c r="W207" s="204"/>
      <c r="X207" s="204"/>
      <c r="Y207" s="204"/>
      <c r="AG207" s="213"/>
      <c r="AH207" s="211"/>
      <c r="AI207" s="127"/>
      <c r="AJ207" s="127"/>
      <c r="AK207" s="211"/>
      <c r="AL207" s="120"/>
      <c r="AM207" s="120"/>
      <c r="AN207" s="128"/>
      <c r="AO207" s="128"/>
      <c r="AP207" s="99"/>
      <c r="AQ207" s="99"/>
      <c r="AR207" s="144"/>
      <c r="AS207" s="144"/>
      <c r="AT207" s="129"/>
      <c r="AU207" s="149"/>
      <c r="AV207" s="208"/>
      <c r="AW207" s="99"/>
      <c r="AX207" s="89"/>
      <c r="AY207" s="133"/>
      <c r="AZ207" s="134"/>
      <c r="BA207" s="133"/>
      <c r="BB207" s="134"/>
      <c r="BC207" s="133"/>
      <c r="BD207" s="134"/>
      <c r="BE207" s="132"/>
      <c r="BF207" s="132"/>
      <c r="BG207" s="132"/>
      <c r="CO207" s="211"/>
      <c r="CP207" s="211"/>
      <c r="CQ207" s="209"/>
      <c r="CR207" s="209"/>
      <c r="CS207" s="209"/>
      <c r="CT207" s="209"/>
      <c r="CU207" s="211"/>
      <c r="CV207" s="151"/>
    </row>
    <row r="208" spans="1:100" s="206" customFormat="1" ht="12.75" customHeight="1">
      <c r="A208" s="205"/>
      <c r="B208" s="205"/>
      <c r="C208" s="205"/>
      <c r="D208" s="32"/>
      <c r="E208" s="32"/>
      <c r="F208" s="220"/>
      <c r="G208" s="223"/>
      <c r="H208" s="230"/>
      <c r="I208" s="230"/>
      <c r="J208" s="230"/>
      <c r="K208" s="221"/>
      <c r="L208" s="230"/>
      <c r="M208" s="230"/>
      <c r="N208" s="230"/>
      <c r="O208" s="219"/>
      <c r="P208" s="219"/>
      <c r="Q208" s="222"/>
      <c r="R208" s="231"/>
      <c r="S208" s="232"/>
      <c r="T208" s="205"/>
      <c r="U208" s="205"/>
      <c r="V208" s="205"/>
      <c r="W208" s="204"/>
      <c r="X208" s="204"/>
      <c r="Y208" s="204"/>
      <c r="AG208" s="213"/>
      <c r="AH208" s="211"/>
      <c r="AI208" s="127"/>
      <c r="AJ208" s="127"/>
      <c r="AK208" s="211"/>
      <c r="AL208" s="120"/>
      <c r="AM208" s="120"/>
      <c r="AN208" s="128"/>
      <c r="AO208" s="128"/>
      <c r="AP208" s="99"/>
      <c r="AQ208" s="99"/>
      <c r="AR208" s="144"/>
      <c r="AS208" s="144"/>
      <c r="AT208" s="129"/>
      <c r="AU208" s="149"/>
      <c r="AV208" s="208"/>
      <c r="AW208" s="99"/>
      <c r="AX208" s="89"/>
      <c r="AY208" s="133"/>
      <c r="AZ208" s="134"/>
      <c r="BA208" s="133"/>
      <c r="BB208" s="134"/>
      <c r="BC208" s="133"/>
      <c r="BD208" s="134"/>
      <c r="BE208" s="132"/>
      <c r="BF208" s="132"/>
      <c r="BG208" s="132"/>
      <c r="CO208" s="211"/>
      <c r="CP208" s="211"/>
      <c r="CQ208" s="209"/>
      <c r="CR208" s="209"/>
      <c r="CS208" s="209"/>
      <c r="CT208" s="209"/>
      <c r="CU208" s="211"/>
      <c r="CV208" s="151"/>
    </row>
    <row r="209" spans="1:100" s="206" customFormat="1" ht="12.75" customHeight="1">
      <c r="A209" s="205"/>
      <c r="B209" s="205"/>
      <c r="C209" s="205"/>
      <c r="D209" s="32"/>
      <c r="E209" s="32"/>
      <c r="F209" s="220"/>
      <c r="G209" s="223"/>
      <c r="H209" s="230"/>
      <c r="I209" s="230"/>
      <c r="J209" s="230"/>
      <c r="K209" s="221"/>
      <c r="L209" s="230"/>
      <c r="M209" s="230"/>
      <c r="N209" s="230"/>
      <c r="O209" s="219"/>
      <c r="P209" s="219"/>
      <c r="Q209" s="222"/>
      <c r="R209" s="231"/>
      <c r="S209" s="232"/>
      <c r="T209" s="205"/>
      <c r="U209" s="205"/>
      <c r="V209" s="205"/>
      <c r="W209" s="204"/>
      <c r="X209" s="204"/>
      <c r="Y209" s="204"/>
      <c r="AG209" s="213"/>
      <c r="AH209" s="211"/>
      <c r="AI209" s="127"/>
      <c r="AJ209" s="127"/>
      <c r="AK209" s="211"/>
      <c r="AL209" s="120"/>
      <c r="AM209" s="120"/>
      <c r="AN209" s="128"/>
      <c r="AO209" s="128"/>
      <c r="AP209" s="99"/>
      <c r="AQ209" s="99"/>
      <c r="AR209" s="144"/>
      <c r="AS209" s="144"/>
      <c r="AT209" s="129"/>
      <c r="AU209" s="149"/>
      <c r="AV209" s="208"/>
      <c r="AW209" s="99"/>
      <c r="AX209" s="89"/>
      <c r="AY209" s="133"/>
      <c r="AZ209" s="134"/>
      <c r="BA209" s="133"/>
      <c r="BB209" s="134"/>
      <c r="BC209" s="133"/>
      <c r="BD209" s="134"/>
      <c r="BE209" s="132"/>
      <c r="BF209" s="132"/>
      <c r="BG209" s="132"/>
      <c r="CO209" s="211"/>
      <c r="CP209" s="211"/>
      <c r="CQ209" s="209"/>
      <c r="CR209" s="209"/>
      <c r="CS209" s="209"/>
      <c r="CT209" s="209"/>
      <c r="CU209" s="211"/>
      <c r="CV209" s="151"/>
    </row>
    <row r="210" spans="1:100" s="206" customFormat="1" ht="12.75" customHeight="1">
      <c r="A210" s="205"/>
      <c r="B210" s="205"/>
      <c r="C210" s="205"/>
      <c r="D210" s="32"/>
      <c r="E210" s="32"/>
      <c r="F210" s="220"/>
      <c r="G210" s="223"/>
      <c r="H210" s="230"/>
      <c r="I210" s="230"/>
      <c r="J210" s="230"/>
      <c r="K210" s="221"/>
      <c r="L210" s="230"/>
      <c r="M210" s="230"/>
      <c r="N210" s="230"/>
      <c r="O210" s="219"/>
      <c r="P210" s="219"/>
      <c r="Q210" s="222"/>
      <c r="R210" s="231"/>
      <c r="S210" s="232"/>
      <c r="T210" s="205"/>
      <c r="U210" s="205"/>
      <c r="V210" s="205"/>
      <c r="W210" s="204"/>
      <c r="X210" s="204"/>
      <c r="Y210" s="204"/>
      <c r="AG210" s="213"/>
      <c r="AH210" s="211"/>
      <c r="AI210" s="127"/>
      <c r="AJ210" s="127"/>
      <c r="AK210" s="211"/>
      <c r="AL210" s="120"/>
      <c r="AM210" s="120"/>
      <c r="AN210" s="128"/>
      <c r="AO210" s="128"/>
      <c r="AP210" s="99"/>
      <c r="AQ210" s="99"/>
      <c r="AR210" s="144"/>
      <c r="AS210" s="144"/>
      <c r="AT210" s="129"/>
      <c r="AU210" s="149"/>
      <c r="AV210" s="208"/>
      <c r="AW210" s="99"/>
      <c r="AX210" s="89"/>
      <c r="AY210" s="133"/>
      <c r="AZ210" s="134"/>
      <c r="BA210" s="133"/>
      <c r="BB210" s="134"/>
      <c r="BC210" s="133"/>
      <c r="BD210" s="134"/>
      <c r="BE210" s="132"/>
      <c r="BF210" s="132"/>
      <c r="BG210" s="132"/>
      <c r="CO210" s="211"/>
      <c r="CP210" s="211"/>
      <c r="CQ210" s="209"/>
      <c r="CR210" s="209"/>
      <c r="CS210" s="209"/>
      <c r="CT210" s="209"/>
      <c r="CU210" s="211"/>
      <c r="CV210" s="151"/>
    </row>
    <row r="211" spans="1:100" s="206" customFormat="1" ht="12.75" customHeight="1">
      <c r="A211" s="205"/>
      <c r="B211" s="205"/>
      <c r="C211" s="205"/>
      <c r="D211" s="32"/>
      <c r="E211" s="32"/>
      <c r="F211" s="220"/>
      <c r="G211" s="223"/>
      <c r="H211" s="230"/>
      <c r="I211" s="230"/>
      <c r="J211" s="230"/>
      <c r="K211" s="221"/>
      <c r="L211" s="230"/>
      <c r="M211" s="230"/>
      <c r="N211" s="230"/>
      <c r="O211" s="219"/>
      <c r="P211" s="219"/>
      <c r="Q211" s="222"/>
      <c r="R211" s="231"/>
      <c r="S211" s="232"/>
      <c r="T211" s="205"/>
      <c r="U211" s="205"/>
      <c r="V211" s="205"/>
      <c r="W211" s="204"/>
      <c r="X211" s="204"/>
      <c r="Y211" s="204"/>
      <c r="AG211" s="213"/>
      <c r="AH211" s="211"/>
      <c r="AI211" s="127"/>
      <c r="AJ211" s="127"/>
      <c r="AK211" s="211"/>
      <c r="AL211" s="120"/>
      <c r="AM211" s="120"/>
      <c r="AN211" s="128"/>
      <c r="AO211" s="128"/>
      <c r="AP211" s="99"/>
      <c r="AQ211" s="99"/>
      <c r="AR211" s="144"/>
      <c r="AS211" s="144"/>
      <c r="AT211" s="129"/>
      <c r="AU211" s="149"/>
      <c r="AV211" s="208"/>
      <c r="AW211" s="99"/>
      <c r="AX211" s="89"/>
      <c r="AY211" s="133"/>
      <c r="AZ211" s="134"/>
      <c r="BA211" s="133"/>
      <c r="BB211" s="134"/>
      <c r="BC211" s="133"/>
      <c r="BD211" s="134"/>
      <c r="BE211" s="132"/>
      <c r="BF211" s="132"/>
      <c r="BG211" s="132"/>
      <c r="CO211" s="211"/>
      <c r="CP211" s="211"/>
      <c r="CQ211" s="209"/>
      <c r="CR211" s="209"/>
      <c r="CS211" s="209"/>
      <c r="CT211" s="209"/>
      <c r="CU211" s="211"/>
      <c r="CV211" s="151"/>
    </row>
    <row r="212" spans="1:100" s="206" customFormat="1" ht="12.75" customHeight="1">
      <c r="A212" s="205"/>
      <c r="B212" s="205"/>
      <c r="C212" s="205"/>
      <c r="D212" s="32"/>
      <c r="E212" s="32"/>
      <c r="F212" s="220"/>
      <c r="G212" s="223"/>
      <c r="H212" s="230"/>
      <c r="I212" s="230"/>
      <c r="J212" s="230"/>
      <c r="K212" s="221"/>
      <c r="L212" s="230"/>
      <c r="M212" s="230"/>
      <c r="N212" s="230"/>
      <c r="O212" s="219"/>
      <c r="P212" s="219"/>
      <c r="Q212" s="222"/>
      <c r="R212" s="231"/>
      <c r="S212" s="232"/>
      <c r="T212" s="205"/>
      <c r="U212" s="205"/>
      <c r="V212" s="205"/>
      <c r="W212" s="204"/>
      <c r="X212" s="204"/>
      <c r="Y212" s="204"/>
      <c r="AG212" s="213"/>
      <c r="AH212" s="211"/>
      <c r="AI212" s="127"/>
      <c r="AJ212" s="127"/>
      <c r="AK212" s="211"/>
      <c r="AL212" s="120"/>
      <c r="AM212" s="120"/>
      <c r="AN212" s="128"/>
      <c r="AO212" s="128"/>
      <c r="AP212" s="99"/>
      <c r="AQ212" s="99"/>
      <c r="AR212" s="144"/>
      <c r="AS212" s="144"/>
      <c r="AT212" s="129"/>
      <c r="AU212" s="149"/>
      <c r="AV212" s="208"/>
      <c r="AW212" s="99"/>
      <c r="AX212" s="89"/>
      <c r="AY212" s="133"/>
      <c r="AZ212" s="134"/>
      <c r="BA212" s="133"/>
      <c r="BB212" s="134"/>
      <c r="BC212" s="133"/>
      <c r="BD212" s="134"/>
      <c r="BE212" s="132"/>
      <c r="BF212" s="132"/>
      <c r="BG212" s="132"/>
      <c r="CO212" s="211"/>
      <c r="CP212" s="211"/>
      <c r="CQ212" s="209"/>
      <c r="CR212" s="209"/>
      <c r="CS212" s="209"/>
      <c r="CT212" s="209"/>
      <c r="CU212" s="211"/>
      <c r="CV212" s="151"/>
    </row>
    <row r="213" spans="1:100" s="206" customFormat="1" ht="12.75" customHeight="1">
      <c r="A213" s="205"/>
      <c r="B213" s="205"/>
      <c r="C213" s="205"/>
      <c r="D213" s="32"/>
      <c r="E213" s="32"/>
      <c r="F213" s="220"/>
      <c r="G213" s="223"/>
      <c r="H213" s="230"/>
      <c r="I213" s="230"/>
      <c r="J213" s="230"/>
      <c r="K213" s="221"/>
      <c r="L213" s="230"/>
      <c r="M213" s="230"/>
      <c r="N213" s="230"/>
      <c r="O213" s="219"/>
      <c r="P213" s="219"/>
      <c r="Q213" s="222"/>
      <c r="R213" s="231"/>
      <c r="S213" s="232"/>
      <c r="T213" s="205"/>
      <c r="U213" s="205"/>
      <c r="V213" s="205"/>
      <c r="W213" s="204"/>
      <c r="X213" s="204"/>
      <c r="Y213" s="204"/>
      <c r="AG213" s="213"/>
      <c r="AH213" s="211"/>
      <c r="AI213" s="127"/>
      <c r="AJ213" s="127"/>
      <c r="AK213" s="211"/>
      <c r="AL213" s="120"/>
      <c r="AM213" s="120"/>
      <c r="AN213" s="128"/>
      <c r="AO213" s="128"/>
      <c r="AP213" s="99"/>
      <c r="AQ213" s="99"/>
      <c r="AR213" s="144"/>
      <c r="AS213" s="144"/>
      <c r="AT213" s="129"/>
      <c r="AU213" s="149"/>
      <c r="AV213" s="208"/>
      <c r="AW213" s="99"/>
      <c r="AX213" s="89"/>
      <c r="AY213" s="133"/>
      <c r="AZ213" s="134"/>
      <c r="BA213" s="133"/>
      <c r="BB213" s="134"/>
      <c r="BC213" s="133"/>
      <c r="BD213" s="134"/>
      <c r="BE213" s="132"/>
      <c r="BF213" s="132"/>
      <c r="BG213" s="132"/>
      <c r="CO213" s="211"/>
      <c r="CP213" s="211"/>
      <c r="CQ213" s="209"/>
      <c r="CR213" s="209"/>
      <c r="CS213" s="209"/>
      <c r="CT213" s="209"/>
      <c r="CU213" s="211"/>
      <c r="CV213" s="151"/>
    </row>
    <row r="214" spans="1:100" s="206" customFormat="1" ht="12.75" customHeight="1">
      <c r="A214" s="205"/>
      <c r="B214" s="205"/>
      <c r="C214" s="205"/>
      <c r="D214" s="32"/>
      <c r="E214" s="32"/>
      <c r="F214" s="220"/>
      <c r="G214" s="223"/>
      <c r="H214" s="230"/>
      <c r="I214" s="230"/>
      <c r="J214" s="230"/>
      <c r="K214" s="221"/>
      <c r="L214" s="230"/>
      <c r="M214" s="230"/>
      <c r="N214" s="230"/>
      <c r="O214" s="219"/>
      <c r="P214" s="219"/>
      <c r="Q214" s="222"/>
      <c r="R214" s="231"/>
      <c r="S214" s="232"/>
      <c r="T214" s="205"/>
      <c r="U214" s="205"/>
      <c r="V214" s="205"/>
      <c r="W214" s="204"/>
      <c r="X214" s="204"/>
      <c r="Y214" s="204"/>
      <c r="AG214" s="213"/>
      <c r="AH214" s="211"/>
      <c r="AI214" s="127"/>
      <c r="AJ214" s="127"/>
      <c r="AK214" s="211"/>
      <c r="AL214" s="120"/>
      <c r="AM214" s="120"/>
      <c r="AN214" s="128"/>
      <c r="AO214" s="128"/>
      <c r="AP214" s="99"/>
      <c r="AQ214" s="99"/>
      <c r="AR214" s="144"/>
      <c r="AS214" s="144"/>
      <c r="AT214" s="129"/>
      <c r="AU214" s="149"/>
      <c r="AV214" s="208"/>
      <c r="AW214" s="99"/>
      <c r="AX214" s="89"/>
      <c r="AY214" s="133"/>
      <c r="AZ214" s="134"/>
      <c r="BA214" s="133"/>
      <c r="BB214" s="134"/>
      <c r="BC214" s="133"/>
      <c r="BD214" s="134"/>
      <c r="BE214" s="132"/>
      <c r="BF214" s="132"/>
      <c r="BG214" s="132"/>
      <c r="CO214" s="211"/>
      <c r="CP214" s="211"/>
      <c r="CQ214" s="209"/>
      <c r="CR214" s="209"/>
      <c r="CS214" s="209"/>
      <c r="CT214" s="209"/>
      <c r="CU214" s="211"/>
      <c r="CV214" s="151"/>
    </row>
    <row r="215" spans="1:100" s="206" customFormat="1" ht="12.75" customHeight="1">
      <c r="A215" s="205"/>
      <c r="B215" s="205"/>
      <c r="C215" s="205"/>
      <c r="D215" s="32"/>
      <c r="E215" s="32"/>
      <c r="F215" s="220"/>
      <c r="G215" s="223"/>
      <c r="H215" s="230"/>
      <c r="I215" s="230"/>
      <c r="J215" s="230"/>
      <c r="K215" s="221"/>
      <c r="L215" s="230"/>
      <c r="M215" s="230"/>
      <c r="N215" s="230"/>
      <c r="O215" s="219"/>
      <c r="P215" s="219"/>
      <c r="Q215" s="222"/>
      <c r="R215" s="231"/>
      <c r="S215" s="232"/>
      <c r="T215" s="205"/>
      <c r="U215" s="205"/>
      <c r="V215" s="205"/>
      <c r="W215" s="204"/>
      <c r="X215" s="204"/>
      <c r="Y215" s="204"/>
      <c r="AG215" s="213"/>
      <c r="AH215" s="211"/>
      <c r="AI215" s="127"/>
      <c r="AJ215" s="127"/>
      <c r="AK215" s="211"/>
      <c r="AL215" s="120"/>
      <c r="AM215" s="120"/>
      <c r="AN215" s="128"/>
      <c r="AO215" s="128"/>
      <c r="AP215" s="99"/>
      <c r="AQ215" s="99"/>
      <c r="AR215" s="144"/>
      <c r="AS215" s="144"/>
      <c r="AT215" s="129"/>
      <c r="AU215" s="149"/>
      <c r="AV215" s="208"/>
      <c r="AW215" s="99"/>
      <c r="AX215" s="89"/>
      <c r="AY215" s="133"/>
      <c r="AZ215" s="134"/>
      <c r="BA215" s="133"/>
      <c r="BB215" s="134"/>
      <c r="BC215" s="133"/>
      <c r="BD215" s="134"/>
      <c r="BE215" s="132"/>
      <c r="BF215" s="132"/>
      <c r="BG215" s="132"/>
      <c r="CO215" s="211"/>
      <c r="CP215" s="211"/>
      <c r="CQ215" s="209"/>
      <c r="CR215" s="209"/>
      <c r="CS215" s="209"/>
      <c r="CT215" s="209"/>
      <c r="CU215" s="211"/>
      <c r="CV215" s="151"/>
    </row>
    <row r="216" spans="1:100" s="206" customFormat="1" ht="12.75" customHeight="1">
      <c r="A216" s="205"/>
      <c r="B216" s="205"/>
      <c r="C216" s="205"/>
      <c r="D216" s="32"/>
      <c r="E216" s="32"/>
      <c r="F216" s="220"/>
      <c r="G216" s="223"/>
      <c r="H216" s="230"/>
      <c r="I216" s="230"/>
      <c r="J216" s="230"/>
      <c r="K216" s="221"/>
      <c r="L216" s="230"/>
      <c r="M216" s="230"/>
      <c r="N216" s="230"/>
      <c r="O216" s="219"/>
      <c r="P216" s="219"/>
      <c r="Q216" s="222"/>
      <c r="R216" s="231"/>
      <c r="S216" s="232"/>
      <c r="T216" s="205"/>
      <c r="U216" s="205"/>
      <c r="V216" s="205"/>
      <c r="W216" s="204"/>
      <c r="X216" s="204"/>
      <c r="Y216" s="204"/>
      <c r="AG216" s="213"/>
      <c r="AH216" s="211"/>
      <c r="AI216" s="127"/>
      <c r="AJ216" s="127"/>
      <c r="AK216" s="211"/>
      <c r="AL216" s="120"/>
      <c r="AM216" s="120"/>
      <c r="AN216" s="128"/>
      <c r="AO216" s="128"/>
      <c r="AP216" s="99"/>
      <c r="AQ216" s="99"/>
      <c r="AR216" s="144"/>
      <c r="AS216" s="144"/>
      <c r="AT216" s="129"/>
      <c r="AU216" s="149"/>
      <c r="AV216" s="208"/>
      <c r="AW216" s="99"/>
      <c r="AX216" s="89"/>
      <c r="AY216" s="133"/>
      <c r="AZ216" s="134"/>
      <c r="BA216" s="133"/>
      <c r="BB216" s="134"/>
      <c r="BC216" s="133"/>
      <c r="BD216" s="134"/>
      <c r="BE216" s="132"/>
      <c r="BF216" s="132"/>
      <c r="BG216" s="132"/>
      <c r="CO216" s="211"/>
      <c r="CP216" s="211"/>
      <c r="CQ216" s="209"/>
      <c r="CR216" s="209"/>
      <c r="CS216" s="209"/>
      <c r="CT216" s="209"/>
      <c r="CU216" s="211"/>
      <c r="CV216" s="151"/>
    </row>
    <row r="217" spans="1:100" s="206" customFormat="1" ht="12.75" customHeight="1">
      <c r="A217" s="205"/>
      <c r="B217" s="205"/>
      <c r="C217" s="205"/>
      <c r="D217" s="32"/>
      <c r="E217" s="32"/>
      <c r="F217" s="220"/>
      <c r="G217" s="223"/>
      <c r="H217" s="230"/>
      <c r="I217" s="230"/>
      <c r="J217" s="230"/>
      <c r="K217" s="221"/>
      <c r="L217" s="230"/>
      <c r="M217" s="230"/>
      <c r="N217" s="230"/>
      <c r="O217" s="219"/>
      <c r="P217" s="219"/>
      <c r="Q217" s="222"/>
      <c r="R217" s="231"/>
      <c r="S217" s="232"/>
      <c r="T217" s="205"/>
      <c r="U217" s="205"/>
      <c r="V217" s="205"/>
      <c r="W217" s="204"/>
      <c r="X217" s="204"/>
      <c r="Y217" s="204"/>
      <c r="AG217" s="213"/>
      <c r="AH217" s="211"/>
      <c r="AI217" s="127"/>
      <c r="AJ217" s="127"/>
      <c r="AK217" s="211"/>
      <c r="AL217" s="120"/>
      <c r="AM217" s="120"/>
      <c r="AN217" s="128"/>
      <c r="AO217" s="128"/>
      <c r="AP217" s="99"/>
      <c r="AQ217" s="99"/>
      <c r="AR217" s="144"/>
      <c r="AS217" s="144"/>
      <c r="AT217" s="129"/>
      <c r="AU217" s="149"/>
      <c r="AV217" s="208"/>
      <c r="AW217" s="99"/>
      <c r="AX217" s="89"/>
      <c r="AY217" s="133"/>
      <c r="AZ217" s="134"/>
      <c r="BA217" s="133"/>
      <c r="BB217" s="134"/>
      <c r="BC217" s="133"/>
      <c r="BD217" s="134"/>
      <c r="BE217" s="132"/>
      <c r="BF217" s="132"/>
      <c r="BG217" s="132"/>
      <c r="CO217" s="211"/>
      <c r="CP217" s="211"/>
      <c r="CQ217" s="209"/>
      <c r="CR217" s="209"/>
      <c r="CS217" s="209"/>
      <c r="CT217" s="209"/>
      <c r="CU217" s="211"/>
      <c r="CV217" s="151"/>
    </row>
    <row r="218" spans="1:100" s="206" customFormat="1" ht="12.75" customHeight="1">
      <c r="A218" s="205"/>
      <c r="B218" s="205"/>
      <c r="C218" s="205"/>
      <c r="D218" s="32"/>
      <c r="E218" s="32"/>
      <c r="F218" s="220"/>
      <c r="G218" s="223"/>
      <c r="H218" s="230"/>
      <c r="I218" s="230"/>
      <c r="J218" s="230"/>
      <c r="K218" s="221"/>
      <c r="L218" s="230"/>
      <c r="M218" s="230"/>
      <c r="N218" s="230"/>
      <c r="O218" s="219"/>
      <c r="P218" s="219"/>
      <c r="Q218" s="222"/>
      <c r="R218" s="231"/>
      <c r="S218" s="232"/>
      <c r="T218" s="205"/>
      <c r="U218" s="205"/>
      <c r="V218" s="205"/>
      <c r="W218" s="204"/>
      <c r="X218" s="204"/>
      <c r="Y218" s="204"/>
      <c r="AG218" s="213"/>
      <c r="AH218" s="211"/>
      <c r="AI218" s="127"/>
      <c r="AJ218" s="127"/>
      <c r="AK218" s="211"/>
      <c r="AL218" s="120"/>
      <c r="AM218" s="120"/>
      <c r="AN218" s="128"/>
      <c r="AO218" s="128"/>
      <c r="AP218" s="99"/>
      <c r="AQ218" s="99"/>
      <c r="AR218" s="144"/>
      <c r="AS218" s="144"/>
      <c r="AT218" s="129"/>
      <c r="AU218" s="149"/>
      <c r="AV218" s="208"/>
      <c r="AW218" s="99"/>
      <c r="AX218" s="89"/>
      <c r="AY218" s="133"/>
      <c r="AZ218" s="134"/>
      <c r="BA218" s="133"/>
      <c r="BB218" s="134"/>
      <c r="BC218" s="133"/>
      <c r="BD218" s="134"/>
      <c r="BE218" s="132"/>
      <c r="BF218" s="132"/>
      <c r="BG218" s="132"/>
      <c r="CO218" s="211"/>
      <c r="CP218" s="211"/>
      <c r="CQ218" s="209"/>
      <c r="CR218" s="209"/>
      <c r="CS218" s="209"/>
      <c r="CT218" s="209"/>
      <c r="CU218" s="211"/>
      <c r="CV218" s="151"/>
    </row>
    <row r="219" spans="1:100" s="206" customFormat="1" ht="12.75" customHeight="1">
      <c r="A219" s="205"/>
      <c r="B219" s="205"/>
      <c r="C219" s="205"/>
      <c r="D219" s="32"/>
      <c r="E219" s="32"/>
      <c r="F219" s="220"/>
      <c r="G219" s="223"/>
      <c r="H219" s="230"/>
      <c r="I219" s="230"/>
      <c r="J219" s="230"/>
      <c r="K219" s="221"/>
      <c r="L219" s="230"/>
      <c r="M219" s="230"/>
      <c r="N219" s="230"/>
      <c r="O219" s="219"/>
      <c r="P219" s="219"/>
      <c r="Q219" s="222"/>
      <c r="R219" s="231"/>
      <c r="S219" s="232"/>
      <c r="T219" s="205"/>
      <c r="U219" s="205"/>
      <c r="V219" s="205"/>
      <c r="W219" s="204"/>
      <c r="X219" s="204"/>
      <c r="Y219" s="204"/>
      <c r="AG219" s="213"/>
      <c r="AH219" s="211"/>
      <c r="AI219" s="127"/>
      <c r="AJ219" s="127"/>
      <c r="AK219" s="211"/>
      <c r="AL219" s="120"/>
      <c r="AM219" s="120"/>
      <c r="AN219" s="128"/>
      <c r="AO219" s="128"/>
      <c r="AP219" s="99"/>
      <c r="AQ219" s="99"/>
      <c r="AR219" s="144"/>
      <c r="AS219" s="144"/>
      <c r="AT219" s="129"/>
      <c r="AU219" s="149"/>
      <c r="AV219" s="208"/>
      <c r="AW219" s="99"/>
      <c r="AX219" s="89"/>
      <c r="AY219" s="133"/>
      <c r="AZ219" s="134"/>
      <c r="BA219" s="133"/>
      <c r="BB219" s="134"/>
      <c r="BC219" s="133"/>
      <c r="BD219" s="134"/>
      <c r="BE219" s="132"/>
      <c r="BF219" s="132"/>
      <c r="BG219" s="132"/>
      <c r="CO219" s="211"/>
      <c r="CP219" s="211"/>
      <c r="CQ219" s="209"/>
      <c r="CR219" s="209"/>
      <c r="CS219" s="209"/>
      <c r="CT219" s="209"/>
      <c r="CU219" s="211"/>
      <c r="CV219" s="151"/>
    </row>
    <row r="220" spans="1:100" s="206" customFormat="1" ht="12.75" customHeight="1">
      <c r="A220" s="205"/>
      <c r="B220" s="205"/>
      <c r="C220" s="205"/>
      <c r="D220" s="32"/>
      <c r="E220" s="32"/>
      <c r="F220" s="220"/>
      <c r="G220" s="223"/>
      <c r="H220" s="230"/>
      <c r="I220" s="230"/>
      <c r="J220" s="230"/>
      <c r="K220" s="221"/>
      <c r="L220" s="230"/>
      <c r="M220" s="230"/>
      <c r="N220" s="230"/>
      <c r="O220" s="219"/>
      <c r="P220" s="219"/>
      <c r="Q220" s="222"/>
      <c r="R220" s="231"/>
      <c r="S220" s="232"/>
      <c r="T220" s="205"/>
      <c r="U220" s="205"/>
      <c r="V220" s="205"/>
      <c r="W220" s="204"/>
      <c r="X220" s="204"/>
      <c r="Y220" s="204"/>
      <c r="AG220" s="213"/>
      <c r="AH220" s="211"/>
      <c r="AI220" s="127"/>
      <c r="AJ220" s="127"/>
      <c r="AK220" s="211"/>
      <c r="AL220" s="120"/>
      <c r="AM220" s="120"/>
      <c r="AN220" s="128"/>
      <c r="AO220" s="128"/>
      <c r="AP220" s="99"/>
      <c r="AQ220" s="99"/>
      <c r="AR220" s="144"/>
      <c r="AS220" s="144"/>
      <c r="AT220" s="129"/>
      <c r="AU220" s="149"/>
      <c r="AV220" s="208"/>
      <c r="AW220" s="99"/>
      <c r="AX220" s="89"/>
      <c r="AY220" s="133"/>
      <c r="AZ220" s="134"/>
      <c r="BA220" s="133"/>
      <c r="BB220" s="134"/>
      <c r="BC220" s="133"/>
      <c r="BD220" s="134"/>
      <c r="BE220" s="132"/>
      <c r="BF220" s="132"/>
      <c r="BG220" s="132"/>
      <c r="CO220" s="211"/>
      <c r="CP220" s="211"/>
      <c r="CQ220" s="209"/>
      <c r="CR220" s="209"/>
      <c r="CS220" s="209"/>
      <c r="CT220" s="209"/>
      <c r="CU220" s="211"/>
      <c r="CV220" s="151"/>
    </row>
    <row r="221" spans="1:100" s="206" customFormat="1" ht="12.75" customHeight="1">
      <c r="A221" s="205"/>
      <c r="B221" s="205"/>
      <c r="C221" s="205"/>
      <c r="D221" s="32"/>
      <c r="E221" s="32"/>
      <c r="F221" s="220"/>
      <c r="G221" s="223"/>
      <c r="H221" s="230"/>
      <c r="I221" s="230"/>
      <c r="J221" s="230"/>
      <c r="K221" s="221"/>
      <c r="L221" s="230"/>
      <c r="M221" s="230"/>
      <c r="N221" s="230"/>
      <c r="O221" s="219"/>
      <c r="P221" s="219"/>
      <c r="Q221" s="222"/>
      <c r="R221" s="231"/>
      <c r="S221" s="232"/>
      <c r="T221" s="205"/>
      <c r="U221" s="205"/>
      <c r="V221" s="205"/>
      <c r="W221" s="204"/>
      <c r="X221" s="204"/>
      <c r="Y221" s="204"/>
      <c r="AG221" s="213"/>
      <c r="AH221" s="211"/>
      <c r="AI221" s="127"/>
      <c r="AJ221" s="127"/>
      <c r="AK221" s="211"/>
      <c r="AL221" s="120"/>
      <c r="AM221" s="120"/>
      <c r="AN221" s="128"/>
      <c r="AO221" s="128"/>
      <c r="AP221" s="99"/>
      <c r="AQ221" s="99"/>
      <c r="AR221" s="144"/>
      <c r="AS221" s="144"/>
      <c r="AT221" s="129"/>
      <c r="AU221" s="149"/>
      <c r="AV221" s="208"/>
      <c r="AW221" s="99"/>
      <c r="AX221" s="89"/>
      <c r="AY221" s="133"/>
      <c r="AZ221" s="134"/>
      <c r="BA221" s="133"/>
      <c r="BB221" s="134"/>
      <c r="BC221" s="133"/>
      <c r="BD221" s="134"/>
      <c r="BE221" s="132"/>
      <c r="BF221" s="132"/>
      <c r="BG221" s="132"/>
      <c r="CO221" s="211"/>
      <c r="CP221" s="211"/>
      <c r="CQ221" s="209"/>
      <c r="CR221" s="209"/>
      <c r="CS221" s="209"/>
      <c r="CT221" s="209"/>
      <c r="CU221" s="211"/>
      <c r="CV221" s="151"/>
    </row>
    <row r="222" spans="1:100" s="206" customFormat="1" ht="12.75" customHeight="1">
      <c r="A222" s="205"/>
      <c r="B222" s="205"/>
      <c r="C222" s="205"/>
      <c r="D222" s="32"/>
      <c r="E222" s="32"/>
      <c r="F222" s="220"/>
      <c r="G222" s="223"/>
      <c r="H222" s="230"/>
      <c r="I222" s="230"/>
      <c r="J222" s="230"/>
      <c r="K222" s="221"/>
      <c r="L222" s="230"/>
      <c r="M222" s="230"/>
      <c r="N222" s="230"/>
      <c r="O222" s="219"/>
      <c r="P222" s="219"/>
      <c r="Q222" s="222"/>
      <c r="R222" s="231"/>
      <c r="S222" s="232"/>
      <c r="T222" s="205"/>
      <c r="U222" s="205"/>
      <c r="V222" s="205"/>
      <c r="W222" s="204"/>
      <c r="X222" s="204"/>
      <c r="Y222" s="204"/>
      <c r="AG222" s="213"/>
      <c r="AH222" s="211"/>
      <c r="AI222" s="127"/>
      <c r="AJ222" s="127"/>
      <c r="AK222" s="211"/>
      <c r="AL222" s="120"/>
      <c r="AM222" s="120"/>
      <c r="AN222" s="128"/>
      <c r="AO222" s="128"/>
      <c r="AP222" s="99"/>
      <c r="AQ222" s="99"/>
      <c r="AR222" s="144"/>
      <c r="AS222" s="144"/>
      <c r="AT222" s="129"/>
      <c r="AU222" s="149"/>
      <c r="AV222" s="208"/>
      <c r="AW222" s="99"/>
      <c r="AX222" s="89"/>
      <c r="AY222" s="133"/>
      <c r="AZ222" s="134"/>
      <c r="BA222" s="133"/>
      <c r="BB222" s="134"/>
      <c r="BC222" s="133"/>
      <c r="BD222" s="134"/>
      <c r="BE222" s="132"/>
      <c r="BF222" s="132"/>
      <c r="BG222" s="132"/>
      <c r="CO222" s="211"/>
      <c r="CP222" s="211"/>
      <c r="CQ222" s="209"/>
      <c r="CR222" s="209"/>
      <c r="CS222" s="209"/>
      <c r="CT222" s="209"/>
      <c r="CU222" s="211"/>
      <c r="CV222" s="151"/>
    </row>
    <row r="223" spans="1:100" s="206" customFormat="1" ht="12.75" customHeight="1">
      <c r="A223" s="205"/>
      <c r="B223" s="205"/>
      <c r="C223" s="205"/>
      <c r="D223" s="32"/>
      <c r="E223" s="32"/>
      <c r="F223" s="220"/>
      <c r="G223" s="223"/>
      <c r="H223" s="230"/>
      <c r="I223" s="230"/>
      <c r="J223" s="230"/>
      <c r="K223" s="221"/>
      <c r="L223" s="230"/>
      <c r="M223" s="230"/>
      <c r="N223" s="230"/>
      <c r="O223" s="219"/>
      <c r="P223" s="219"/>
      <c r="Q223" s="222"/>
      <c r="R223" s="231"/>
      <c r="S223" s="232"/>
      <c r="T223" s="205"/>
      <c r="U223" s="205"/>
      <c r="V223" s="205"/>
      <c r="W223" s="204"/>
      <c r="X223" s="204"/>
      <c r="Y223" s="204"/>
      <c r="AG223" s="213"/>
      <c r="AH223" s="211"/>
      <c r="AI223" s="127"/>
      <c r="AJ223" s="127"/>
      <c r="AK223" s="211"/>
      <c r="AL223" s="120"/>
      <c r="AM223" s="120"/>
      <c r="AN223" s="128"/>
      <c r="AO223" s="128"/>
      <c r="AP223" s="99"/>
      <c r="AQ223" s="99"/>
      <c r="AR223" s="144"/>
      <c r="AS223" s="144"/>
      <c r="AT223" s="129"/>
      <c r="AU223" s="149"/>
      <c r="AV223" s="208"/>
      <c r="AW223" s="99"/>
      <c r="AX223" s="89"/>
      <c r="AY223" s="133"/>
      <c r="AZ223" s="134"/>
      <c r="BA223" s="133"/>
      <c r="BB223" s="134"/>
      <c r="BC223" s="133"/>
      <c r="BD223" s="134"/>
      <c r="BE223" s="132"/>
      <c r="BF223" s="132"/>
      <c r="BG223" s="132"/>
      <c r="CO223" s="211"/>
      <c r="CP223" s="211"/>
      <c r="CQ223" s="209"/>
      <c r="CR223" s="209"/>
      <c r="CS223" s="209"/>
      <c r="CT223" s="209"/>
      <c r="CU223" s="211"/>
      <c r="CV223" s="151"/>
    </row>
    <row r="224" spans="1:100" s="206" customFormat="1" ht="12.75" customHeight="1">
      <c r="A224" s="205"/>
      <c r="B224" s="205"/>
      <c r="C224" s="205"/>
      <c r="D224" s="32"/>
      <c r="E224" s="32"/>
      <c r="F224" s="220"/>
      <c r="G224" s="223"/>
      <c r="H224" s="230"/>
      <c r="I224" s="230"/>
      <c r="J224" s="230"/>
      <c r="K224" s="221"/>
      <c r="L224" s="230"/>
      <c r="M224" s="230"/>
      <c r="N224" s="230"/>
      <c r="O224" s="219"/>
      <c r="P224" s="219"/>
      <c r="Q224" s="222"/>
      <c r="R224" s="231"/>
      <c r="S224" s="232"/>
      <c r="T224" s="205"/>
      <c r="U224" s="205"/>
      <c r="V224" s="205"/>
      <c r="W224" s="204"/>
      <c r="X224" s="204"/>
      <c r="Y224" s="204"/>
      <c r="AG224" s="213"/>
      <c r="AH224" s="211"/>
      <c r="AI224" s="127"/>
      <c r="AJ224" s="127"/>
      <c r="AK224" s="211"/>
      <c r="AL224" s="120"/>
      <c r="AM224" s="120"/>
      <c r="AN224" s="128"/>
      <c r="AO224" s="128"/>
      <c r="AP224" s="99"/>
      <c r="AQ224" s="99"/>
      <c r="AR224" s="144"/>
      <c r="AS224" s="144"/>
      <c r="AT224" s="129"/>
      <c r="AU224" s="149"/>
      <c r="AV224" s="208"/>
      <c r="AW224" s="99"/>
      <c r="AX224" s="89"/>
      <c r="AY224" s="133"/>
      <c r="AZ224" s="134"/>
      <c r="BA224" s="133"/>
      <c r="BB224" s="134"/>
      <c r="BC224" s="133"/>
      <c r="BD224" s="134"/>
      <c r="BE224" s="132"/>
      <c r="BF224" s="132"/>
      <c r="BG224" s="132"/>
      <c r="CO224" s="211"/>
      <c r="CP224" s="211"/>
      <c r="CQ224" s="209"/>
      <c r="CR224" s="209"/>
      <c r="CS224" s="209"/>
      <c r="CT224" s="209"/>
      <c r="CU224" s="211"/>
      <c r="CV224" s="151"/>
    </row>
    <row r="225" spans="1:100" s="206" customFormat="1" ht="12.75" customHeight="1">
      <c r="A225" s="205"/>
      <c r="B225" s="205"/>
      <c r="C225" s="205"/>
      <c r="D225" s="32"/>
      <c r="E225" s="32"/>
      <c r="F225" s="220"/>
      <c r="G225" s="223"/>
      <c r="H225" s="230"/>
      <c r="I225" s="230"/>
      <c r="J225" s="230"/>
      <c r="K225" s="221"/>
      <c r="L225" s="230"/>
      <c r="M225" s="230"/>
      <c r="N225" s="230"/>
      <c r="O225" s="219"/>
      <c r="P225" s="219"/>
      <c r="Q225" s="222"/>
      <c r="R225" s="231"/>
      <c r="S225" s="232"/>
      <c r="T225" s="205"/>
      <c r="U225" s="205"/>
      <c r="V225" s="205"/>
      <c r="W225" s="204"/>
      <c r="X225" s="204"/>
      <c r="Y225" s="204"/>
      <c r="AG225" s="213"/>
      <c r="AH225" s="211"/>
      <c r="AI225" s="127"/>
      <c r="AJ225" s="127"/>
      <c r="AK225" s="211"/>
      <c r="AL225" s="120"/>
      <c r="AM225" s="120"/>
      <c r="AN225" s="128"/>
      <c r="AO225" s="128"/>
      <c r="AP225" s="99"/>
      <c r="AQ225" s="99"/>
      <c r="AR225" s="144"/>
      <c r="AS225" s="144"/>
      <c r="AT225" s="129"/>
      <c r="AU225" s="149"/>
      <c r="AV225" s="208"/>
      <c r="AW225" s="99"/>
      <c r="AX225" s="89"/>
      <c r="AY225" s="133"/>
      <c r="AZ225" s="134"/>
      <c r="BA225" s="133"/>
      <c r="BB225" s="134"/>
      <c r="BC225" s="133"/>
      <c r="BD225" s="134"/>
      <c r="BE225" s="132"/>
      <c r="BF225" s="132"/>
      <c r="BG225" s="132"/>
      <c r="CO225" s="211"/>
      <c r="CP225" s="211"/>
      <c r="CQ225" s="209"/>
      <c r="CR225" s="209"/>
      <c r="CS225" s="209"/>
      <c r="CT225" s="209"/>
      <c r="CU225" s="211"/>
      <c r="CV225" s="151"/>
    </row>
    <row r="226" spans="1:100" s="206" customFormat="1" ht="12.75" customHeight="1">
      <c r="A226" s="205"/>
      <c r="B226" s="205"/>
      <c r="C226" s="205"/>
      <c r="D226" s="32"/>
      <c r="E226" s="32"/>
      <c r="F226" s="220"/>
      <c r="G226" s="223"/>
      <c r="H226" s="230"/>
      <c r="I226" s="230"/>
      <c r="J226" s="230"/>
      <c r="K226" s="221"/>
      <c r="L226" s="230"/>
      <c r="M226" s="230"/>
      <c r="N226" s="230"/>
      <c r="O226" s="219"/>
      <c r="P226" s="219"/>
      <c r="Q226" s="222"/>
      <c r="R226" s="231"/>
      <c r="S226" s="232"/>
      <c r="T226" s="205"/>
      <c r="U226" s="205"/>
      <c r="V226" s="205"/>
      <c r="W226" s="204"/>
      <c r="X226" s="204"/>
      <c r="Y226" s="204"/>
      <c r="AG226" s="213"/>
      <c r="AH226" s="211"/>
      <c r="AI226" s="127"/>
      <c r="AJ226" s="127"/>
      <c r="AK226" s="211"/>
      <c r="AL226" s="120"/>
      <c r="AM226" s="120"/>
      <c r="AN226" s="128"/>
      <c r="AO226" s="128"/>
      <c r="AP226" s="99"/>
      <c r="AQ226" s="99"/>
      <c r="AR226" s="144"/>
      <c r="AS226" s="144"/>
      <c r="AT226" s="129"/>
      <c r="AU226" s="149"/>
      <c r="AV226" s="208"/>
      <c r="AW226" s="99"/>
      <c r="AX226" s="89"/>
      <c r="AY226" s="133"/>
      <c r="AZ226" s="134"/>
      <c r="BA226" s="133"/>
      <c r="BB226" s="134"/>
      <c r="BC226" s="133"/>
      <c r="BD226" s="134"/>
      <c r="BE226" s="132"/>
      <c r="BF226" s="132"/>
      <c r="BG226" s="132"/>
      <c r="CO226" s="211"/>
      <c r="CP226" s="211"/>
      <c r="CQ226" s="209"/>
      <c r="CR226" s="209"/>
      <c r="CS226" s="209"/>
      <c r="CT226" s="209"/>
      <c r="CU226" s="211"/>
      <c r="CV226" s="151"/>
    </row>
    <row r="227" spans="1:100" s="206" customFormat="1" ht="12.75" customHeight="1">
      <c r="A227" s="205"/>
      <c r="B227" s="205"/>
      <c r="C227" s="205"/>
      <c r="D227" s="32"/>
      <c r="E227" s="32"/>
      <c r="F227" s="220"/>
      <c r="G227" s="223"/>
      <c r="H227" s="230"/>
      <c r="I227" s="230"/>
      <c r="J227" s="230"/>
      <c r="K227" s="221"/>
      <c r="L227" s="230"/>
      <c r="M227" s="230"/>
      <c r="N227" s="230"/>
      <c r="O227" s="219"/>
      <c r="P227" s="219"/>
      <c r="Q227" s="222"/>
      <c r="R227" s="231"/>
      <c r="S227" s="232"/>
      <c r="T227" s="205"/>
      <c r="U227" s="205"/>
      <c r="V227" s="205"/>
      <c r="W227" s="204"/>
      <c r="X227" s="204"/>
      <c r="Y227" s="204"/>
      <c r="AG227" s="213"/>
      <c r="AH227" s="211"/>
      <c r="AI227" s="127"/>
      <c r="AJ227" s="127"/>
      <c r="AK227" s="211"/>
      <c r="AL227" s="120"/>
      <c r="AM227" s="120"/>
      <c r="AN227" s="128"/>
      <c r="AO227" s="128"/>
      <c r="AP227" s="99"/>
      <c r="AQ227" s="99"/>
      <c r="AR227" s="144"/>
      <c r="AS227" s="144"/>
      <c r="AT227" s="129"/>
      <c r="AU227" s="149"/>
      <c r="AV227" s="208"/>
      <c r="AW227" s="99"/>
      <c r="AX227" s="89"/>
      <c r="AY227" s="133"/>
      <c r="AZ227" s="134"/>
      <c r="BA227" s="133"/>
      <c r="BB227" s="134"/>
      <c r="BC227" s="133"/>
      <c r="BD227" s="134"/>
      <c r="BE227" s="132"/>
      <c r="BF227" s="132"/>
      <c r="BG227" s="132"/>
      <c r="CO227" s="211"/>
      <c r="CP227" s="211"/>
      <c r="CQ227" s="209"/>
      <c r="CR227" s="209"/>
      <c r="CS227" s="209"/>
      <c r="CT227" s="209"/>
      <c r="CU227" s="211"/>
      <c r="CV227" s="151"/>
    </row>
    <row r="228" spans="1:100" s="206" customFormat="1" ht="12.75" customHeight="1">
      <c r="A228" s="205"/>
      <c r="B228" s="205"/>
      <c r="C228" s="205"/>
      <c r="D228" s="32"/>
      <c r="E228" s="32"/>
      <c r="F228" s="220"/>
      <c r="G228" s="223"/>
      <c r="H228" s="230"/>
      <c r="I228" s="230"/>
      <c r="J228" s="230"/>
      <c r="K228" s="221"/>
      <c r="L228" s="230"/>
      <c r="M228" s="230"/>
      <c r="N228" s="230"/>
      <c r="O228" s="219"/>
      <c r="P228" s="219"/>
      <c r="Q228" s="222"/>
      <c r="R228" s="231"/>
      <c r="S228" s="232"/>
      <c r="T228" s="205"/>
      <c r="U228" s="205"/>
      <c r="V228" s="205"/>
      <c r="W228" s="204"/>
      <c r="X228" s="204"/>
      <c r="Y228" s="204"/>
      <c r="AG228" s="213"/>
      <c r="AH228" s="211"/>
      <c r="AI228" s="127"/>
      <c r="AJ228" s="127"/>
      <c r="AK228" s="211"/>
      <c r="AL228" s="120"/>
      <c r="AM228" s="120"/>
      <c r="AN228" s="128"/>
      <c r="AO228" s="128"/>
      <c r="AP228" s="99"/>
      <c r="AQ228" s="99"/>
      <c r="AR228" s="144"/>
      <c r="AS228" s="144"/>
      <c r="AT228" s="129"/>
      <c r="AU228" s="149"/>
      <c r="AV228" s="208"/>
      <c r="AW228" s="99"/>
      <c r="AX228" s="89"/>
      <c r="AY228" s="133"/>
      <c r="AZ228" s="134"/>
      <c r="BA228" s="133"/>
      <c r="BB228" s="134"/>
      <c r="BC228" s="133"/>
      <c r="BD228" s="134"/>
      <c r="BE228" s="132"/>
      <c r="BF228" s="132"/>
      <c r="BG228" s="132"/>
      <c r="CO228" s="211"/>
      <c r="CP228" s="211"/>
      <c r="CQ228" s="209"/>
      <c r="CR228" s="209"/>
      <c r="CS228" s="209"/>
      <c r="CT228" s="209"/>
      <c r="CU228" s="211"/>
      <c r="CV228" s="151"/>
    </row>
    <row r="229" spans="1:100" s="206" customFormat="1" ht="12.75" customHeight="1">
      <c r="A229" s="205"/>
      <c r="B229" s="205"/>
      <c r="C229" s="205"/>
      <c r="D229" s="32"/>
      <c r="E229" s="32"/>
      <c r="F229" s="220"/>
      <c r="G229" s="223"/>
      <c r="H229" s="230"/>
      <c r="I229" s="230"/>
      <c r="J229" s="230"/>
      <c r="K229" s="221"/>
      <c r="L229" s="230"/>
      <c r="M229" s="230"/>
      <c r="N229" s="230"/>
      <c r="O229" s="219"/>
      <c r="P229" s="219"/>
      <c r="Q229" s="222"/>
      <c r="R229" s="231"/>
      <c r="S229" s="232"/>
      <c r="T229" s="205"/>
      <c r="U229" s="205"/>
      <c r="V229" s="205"/>
      <c r="W229" s="204"/>
      <c r="X229" s="204"/>
      <c r="Y229" s="204"/>
      <c r="AG229" s="213"/>
      <c r="AH229" s="211"/>
      <c r="AI229" s="127"/>
      <c r="AJ229" s="127"/>
      <c r="AK229" s="211"/>
      <c r="AL229" s="120"/>
      <c r="AM229" s="120"/>
      <c r="AN229" s="128"/>
      <c r="AO229" s="128"/>
      <c r="AP229" s="99"/>
      <c r="AQ229" s="99"/>
      <c r="AR229" s="144"/>
      <c r="AS229" s="144"/>
      <c r="AT229" s="129"/>
      <c r="AU229" s="149"/>
      <c r="AV229" s="208"/>
      <c r="AW229" s="99"/>
      <c r="AX229" s="89"/>
      <c r="AY229" s="133"/>
      <c r="AZ229" s="134"/>
      <c r="BA229" s="133"/>
      <c r="BB229" s="134"/>
      <c r="BC229" s="133"/>
      <c r="BD229" s="134"/>
      <c r="BE229" s="132"/>
      <c r="BF229" s="132"/>
      <c r="BG229" s="132"/>
      <c r="CO229" s="211"/>
      <c r="CP229" s="211"/>
      <c r="CQ229" s="209"/>
      <c r="CR229" s="209"/>
      <c r="CS229" s="209"/>
      <c r="CT229" s="209"/>
      <c r="CU229" s="211"/>
      <c r="CV229" s="151"/>
    </row>
    <row r="230" spans="1:100" s="206" customFormat="1" ht="12.75" customHeight="1">
      <c r="A230" s="205"/>
      <c r="B230" s="205"/>
      <c r="C230" s="205"/>
      <c r="D230" s="32"/>
      <c r="E230" s="32"/>
      <c r="F230" s="220"/>
      <c r="G230" s="223"/>
      <c r="H230" s="230"/>
      <c r="I230" s="230"/>
      <c r="J230" s="230"/>
      <c r="K230" s="221"/>
      <c r="L230" s="230"/>
      <c r="M230" s="230"/>
      <c r="N230" s="230"/>
      <c r="O230" s="219"/>
      <c r="P230" s="219"/>
      <c r="Q230" s="222"/>
      <c r="R230" s="231"/>
      <c r="S230" s="232"/>
      <c r="T230" s="205"/>
      <c r="U230" s="205"/>
      <c r="V230" s="205"/>
      <c r="W230" s="204"/>
      <c r="X230" s="204"/>
      <c r="Y230" s="204"/>
      <c r="AG230" s="213"/>
      <c r="AH230" s="211"/>
      <c r="AI230" s="127"/>
      <c r="AJ230" s="127"/>
      <c r="AK230" s="211"/>
      <c r="AL230" s="120"/>
      <c r="AM230" s="120"/>
      <c r="AN230" s="128"/>
      <c r="AO230" s="128"/>
      <c r="AP230" s="99"/>
      <c r="AQ230" s="99"/>
      <c r="AR230" s="144"/>
      <c r="AS230" s="144"/>
      <c r="AT230" s="129"/>
      <c r="AU230" s="149"/>
      <c r="AV230" s="208"/>
      <c r="AW230" s="99"/>
      <c r="AX230" s="89"/>
      <c r="AY230" s="133"/>
      <c r="AZ230" s="134"/>
      <c r="BA230" s="133"/>
      <c r="BB230" s="134"/>
      <c r="BC230" s="133"/>
      <c r="BD230" s="134"/>
      <c r="BE230" s="132"/>
      <c r="BF230" s="132"/>
      <c r="BG230" s="132"/>
      <c r="CO230" s="211"/>
      <c r="CP230" s="211"/>
      <c r="CQ230" s="209"/>
      <c r="CR230" s="209"/>
      <c r="CS230" s="209"/>
      <c r="CT230" s="209"/>
      <c r="CU230" s="211"/>
      <c r="CV230" s="151"/>
    </row>
    <row r="231" spans="1:100" s="206" customFormat="1" ht="12.75" customHeight="1">
      <c r="A231" s="205"/>
      <c r="B231" s="205"/>
      <c r="C231" s="205"/>
      <c r="D231" s="32"/>
      <c r="E231" s="32"/>
      <c r="F231" s="220"/>
      <c r="G231" s="223"/>
      <c r="H231" s="230"/>
      <c r="I231" s="230"/>
      <c r="J231" s="230"/>
      <c r="K231" s="221"/>
      <c r="L231" s="230"/>
      <c r="M231" s="230"/>
      <c r="N231" s="230"/>
      <c r="O231" s="219"/>
      <c r="P231" s="219"/>
      <c r="Q231" s="222"/>
      <c r="R231" s="231"/>
      <c r="S231" s="232"/>
      <c r="T231" s="205"/>
      <c r="U231" s="205"/>
      <c r="V231" s="205"/>
      <c r="W231" s="204"/>
      <c r="X231" s="204"/>
      <c r="Y231" s="204"/>
      <c r="AG231" s="213"/>
      <c r="AH231" s="211"/>
      <c r="AI231" s="127"/>
      <c r="AJ231" s="127"/>
      <c r="AK231" s="211"/>
      <c r="AL231" s="120"/>
      <c r="AM231" s="120"/>
      <c r="AN231" s="128"/>
      <c r="AO231" s="128"/>
      <c r="AP231" s="99"/>
      <c r="AQ231" s="99"/>
      <c r="AR231" s="144"/>
      <c r="AS231" s="144"/>
      <c r="AT231" s="129"/>
      <c r="AU231" s="149"/>
      <c r="AV231" s="208"/>
      <c r="AW231" s="99"/>
      <c r="AX231" s="89"/>
      <c r="AY231" s="133"/>
      <c r="AZ231" s="134"/>
      <c r="BA231" s="133"/>
      <c r="BB231" s="134"/>
      <c r="BC231" s="133"/>
      <c r="BD231" s="134"/>
      <c r="BE231" s="132"/>
      <c r="BF231" s="132"/>
      <c r="BG231" s="132"/>
      <c r="CO231" s="211"/>
      <c r="CP231" s="211"/>
      <c r="CQ231" s="209"/>
      <c r="CR231" s="209"/>
      <c r="CS231" s="209"/>
      <c r="CT231" s="209"/>
      <c r="CU231" s="211"/>
      <c r="CV231" s="151"/>
    </row>
    <row r="232" spans="1:100" s="206" customFormat="1" ht="12.75" customHeight="1">
      <c r="A232" s="205"/>
      <c r="B232" s="205"/>
      <c r="C232" s="205"/>
      <c r="D232" s="32"/>
      <c r="E232" s="32"/>
      <c r="F232" s="220"/>
      <c r="G232" s="223"/>
      <c r="H232" s="230"/>
      <c r="I232" s="230"/>
      <c r="J232" s="230"/>
      <c r="K232" s="221"/>
      <c r="L232" s="230"/>
      <c r="M232" s="230"/>
      <c r="N232" s="230"/>
      <c r="O232" s="219"/>
      <c r="P232" s="219"/>
      <c r="Q232" s="222"/>
      <c r="R232" s="231"/>
      <c r="S232" s="232"/>
      <c r="T232" s="205"/>
      <c r="U232" s="205"/>
      <c r="V232" s="205"/>
      <c r="W232" s="204"/>
      <c r="X232" s="204"/>
      <c r="Y232" s="204"/>
      <c r="AG232" s="213"/>
      <c r="AH232" s="211"/>
      <c r="AI232" s="127"/>
      <c r="AJ232" s="127"/>
      <c r="AK232" s="211"/>
      <c r="AL232" s="120"/>
      <c r="AM232" s="120"/>
      <c r="AN232" s="128"/>
      <c r="AO232" s="128"/>
      <c r="AP232" s="99"/>
      <c r="AQ232" s="99"/>
      <c r="AR232" s="144"/>
      <c r="AS232" s="144"/>
      <c r="AT232" s="129"/>
      <c r="AU232" s="149"/>
      <c r="AV232" s="208"/>
      <c r="AW232" s="99"/>
      <c r="AX232" s="89"/>
      <c r="AY232" s="133"/>
      <c r="AZ232" s="134"/>
      <c r="BA232" s="133"/>
      <c r="BB232" s="134"/>
      <c r="BC232" s="133"/>
      <c r="BD232" s="134"/>
      <c r="BE232" s="132"/>
      <c r="BF232" s="132"/>
      <c r="BG232" s="132"/>
      <c r="CO232" s="211"/>
      <c r="CP232" s="211"/>
      <c r="CQ232" s="209"/>
      <c r="CR232" s="209"/>
      <c r="CS232" s="209"/>
      <c r="CT232" s="209"/>
      <c r="CU232" s="211"/>
      <c r="CV232" s="151"/>
    </row>
    <row r="233" spans="1:100" s="206" customFormat="1" ht="12.75" customHeight="1">
      <c r="A233" s="205"/>
      <c r="B233" s="205"/>
      <c r="C233" s="205"/>
      <c r="D233" s="32"/>
      <c r="E233" s="32"/>
      <c r="F233" s="220"/>
      <c r="G233" s="223"/>
      <c r="H233" s="230"/>
      <c r="I233" s="230"/>
      <c r="J233" s="230"/>
      <c r="K233" s="221"/>
      <c r="L233" s="230"/>
      <c r="M233" s="230"/>
      <c r="N233" s="230"/>
      <c r="O233" s="219"/>
      <c r="P233" s="219"/>
      <c r="Q233" s="222"/>
      <c r="R233" s="231"/>
      <c r="S233" s="232"/>
      <c r="T233" s="205"/>
      <c r="U233" s="205"/>
      <c r="V233" s="205"/>
      <c r="W233" s="204"/>
      <c r="X233" s="204"/>
      <c r="Y233" s="204"/>
      <c r="AG233" s="213"/>
      <c r="AH233" s="211"/>
      <c r="AI233" s="127"/>
      <c r="AJ233" s="127"/>
      <c r="AK233" s="211"/>
      <c r="AL233" s="120"/>
      <c r="AM233" s="120"/>
      <c r="AN233" s="128"/>
      <c r="AO233" s="128"/>
      <c r="AP233" s="99"/>
      <c r="AQ233" s="99"/>
      <c r="AR233" s="144"/>
      <c r="AS233" s="144"/>
      <c r="AT233" s="129"/>
      <c r="AU233" s="149"/>
      <c r="AV233" s="208"/>
      <c r="AW233" s="99"/>
      <c r="AX233" s="89"/>
      <c r="AY233" s="133"/>
      <c r="AZ233" s="134"/>
      <c r="BA233" s="133"/>
      <c r="BB233" s="134"/>
      <c r="BC233" s="133"/>
      <c r="BD233" s="134"/>
      <c r="BE233" s="132"/>
      <c r="BF233" s="132"/>
      <c r="BG233" s="132"/>
      <c r="CO233" s="211"/>
      <c r="CP233" s="211"/>
      <c r="CQ233" s="209"/>
      <c r="CR233" s="209"/>
      <c r="CS233" s="209"/>
      <c r="CT233" s="209"/>
      <c r="CU233" s="211"/>
      <c r="CV233" s="151"/>
    </row>
    <row r="234" spans="1:100" s="206" customFormat="1" ht="12.75" customHeight="1">
      <c r="A234" s="205"/>
      <c r="B234" s="205"/>
      <c r="C234" s="205"/>
      <c r="D234" s="32"/>
      <c r="E234" s="32"/>
      <c r="F234" s="220"/>
      <c r="G234" s="223"/>
      <c r="H234" s="230"/>
      <c r="I234" s="230"/>
      <c r="J234" s="230"/>
      <c r="K234" s="221"/>
      <c r="L234" s="230"/>
      <c r="M234" s="230"/>
      <c r="N234" s="230"/>
      <c r="O234" s="219"/>
      <c r="P234" s="219"/>
      <c r="Q234" s="222"/>
      <c r="R234" s="231"/>
      <c r="S234" s="232"/>
      <c r="T234" s="205"/>
      <c r="U234" s="205"/>
      <c r="V234" s="205"/>
      <c r="W234" s="204"/>
      <c r="X234" s="204"/>
      <c r="Y234" s="204"/>
      <c r="AG234" s="213"/>
      <c r="AH234" s="211"/>
      <c r="AI234" s="127"/>
      <c r="AJ234" s="127"/>
      <c r="AK234" s="211"/>
      <c r="AL234" s="120"/>
      <c r="AM234" s="120"/>
      <c r="AN234" s="128"/>
      <c r="AO234" s="128"/>
      <c r="AP234" s="99"/>
      <c r="AQ234" s="99"/>
      <c r="AR234" s="144"/>
      <c r="AS234" s="144"/>
      <c r="AT234" s="129"/>
      <c r="AU234" s="149"/>
      <c r="AV234" s="208"/>
      <c r="AW234" s="99"/>
      <c r="AX234" s="89"/>
      <c r="AY234" s="133"/>
      <c r="AZ234" s="134"/>
      <c r="BA234" s="133"/>
      <c r="BB234" s="134"/>
      <c r="BC234" s="133"/>
      <c r="BD234" s="134"/>
      <c r="BE234" s="132"/>
      <c r="BF234" s="132"/>
      <c r="BG234" s="132"/>
      <c r="CO234" s="211"/>
      <c r="CP234" s="211"/>
      <c r="CQ234" s="209"/>
      <c r="CR234" s="209"/>
      <c r="CS234" s="209"/>
      <c r="CT234" s="209"/>
      <c r="CU234" s="211"/>
      <c r="CV234" s="151"/>
    </row>
    <row r="235" spans="1:100" s="206" customFormat="1" ht="12.75" customHeight="1">
      <c r="A235" s="205"/>
      <c r="B235" s="205"/>
      <c r="C235" s="205"/>
      <c r="D235" s="32"/>
      <c r="E235" s="32"/>
      <c r="F235" s="220"/>
      <c r="G235" s="223"/>
      <c r="H235" s="230"/>
      <c r="I235" s="230"/>
      <c r="J235" s="230"/>
      <c r="K235" s="221"/>
      <c r="L235" s="230"/>
      <c r="M235" s="230"/>
      <c r="N235" s="230"/>
      <c r="O235" s="219"/>
      <c r="P235" s="219"/>
      <c r="Q235" s="222"/>
      <c r="R235" s="231"/>
      <c r="S235" s="232"/>
      <c r="T235" s="205"/>
      <c r="U235" s="205"/>
      <c r="V235" s="205"/>
      <c r="W235" s="204"/>
      <c r="X235" s="204"/>
      <c r="Y235" s="204"/>
      <c r="AG235" s="213"/>
      <c r="AH235" s="211"/>
      <c r="AI235" s="127"/>
      <c r="AJ235" s="127"/>
      <c r="AK235" s="211"/>
      <c r="AL235" s="120"/>
      <c r="AM235" s="120"/>
      <c r="AN235" s="128"/>
      <c r="AO235" s="128"/>
      <c r="AP235" s="99"/>
      <c r="AQ235" s="99"/>
      <c r="AR235" s="144"/>
      <c r="AS235" s="144"/>
      <c r="AT235" s="129"/>
      <c r="AU235" s="149"/>
      <c r="AV235" s="208"/>
      <c r="AW235" s="99"/>
      <c r="AX235" s="89"/>
      <c r="AY235" s="133"/>
      <c r="AZ235" s="134"/>
      <c r="BA235" s="133"/>
      <c r="BB235" s="134"/>
      <c r="BC235" s="133"/>
      <c r="BD235" s="134"/>
      <c r="BE235" s="132"/>
      <c r="BF235" s="132"/>
      <c r="BG235" s="132"/>
      <c r="CO235" s="211"/>
      <c r="CP235" s="211"/>
      <c r="CQ235" s="209"/>
      <c r="CR235" s="209"/>
      <c r="CS235" s="209"/>
      <c r="CT235" s="209"/>
      <c r="CU235" s="211"/>
      <c r="CV235" s="151"/>
    </row>
    <row r="236" spans="1:100" s="206" customFormat="1" ht="12.75" customHeight="1">
      <c r="A236" s="205"/>
      <c r="B236" s="205"/>
      <c r="C236" s="205"/>
      <c r="D236" s="32"/>
      <c r="E236" s="32"/>
      <c r="F236" s="220"/>
      <c r="G236" s="223"/>
      <c r="H236" s="230"/>
      <c r="I236" s="230"/>
      <c r="J236" s="230"/>
      <c r="K236" s="221"/>
      <c r="L236" s="230"/>
      <c r="M236" s="230"/>
      <c r="N236" s="230"/>
      <c r="O236" s="219"/>
      <c r="P236" s="219"/>
      <c r="Q236" s="222"/>
      <c r="R236" s="231"/>
      <c r="S236" s="232"/>
      <c r="T236" s="205"/>
      <c r="U236" s="205"/>
      <c r="V236" s="205"/>
      <c r="W236" s="204"/>
      <c r="X236" s="204"/>
      <c r="Y236" s="204"/>
      <c r="AG236" s="213"/>
      <c r="AH236" s="211"/>
      <c r="AI236" s="127"/>
      <c r="AJ236" s="127"/>
      <c r="AK236" s="211"/>
      <c r="AL236" s="120"/>
      <c r="AM236" s="120"/>
      <c r="AN236" s="128"/>
      <c r="AO236" s="128"/>
      <c r="AP236" s="99"/>
      <c r="AQ236" s="99"/>
      <c r="AR236" s="144"/>
      <c r="AS236" s="144"/>
      <c r="AT236" s="129"/>
      <c r="AU236" s="149"/>
      <c r="AV236" s="208"/>
      <c r="AW236" s="99"/>
      <c r="AX236" s="89"/>
      <c r="AY236" s="133"/>
      <c r="AZ236" s="134"/>
      <c r="BA236" s="133"/>
      <c r="BB236" s="134"/>
      <c r="BC236" s="133"/>
      <c r="BD236" s="134"/>
      <c r="BE236" s="132"/>
      <c r="BF236" s="132"/>
      <c r="BG236" s="132"/>
      <c r="CO236" s="211"/>
      <c r="CP236" s="211"/>
      <c r="CQ236" s="209"/>
      <c r="CR236" s="209"/>
      <c r="CS236" s="209"/>
      <c r="CT236" s="209"/>
      <c r="CU236" s="211"/>
      <c r="CV236" s="151"/>
    </row>
    <row r="237" spans="1:100" s="206" customFormat="1" ht="12.75" customHeight="1">
      <c r="A237" s="205"/>
      <c r="B237" s="205"/>
      <c r="C237" s="205"/>
      <c r="D237" s="32"/>
      <c r="E237" s="32"/>
      <c r="F237" s="220"/>
      <c r="G237" s="223"/>
      <c r="H237" s="230"/>
      <c r="I237" s="230"/>
      <c r="J237" s="230"/>
      <c r="K237" s="221"/>
      <c r="L237" s="230"/>
      <c r="M237" s="230"/>
      <c r="N237" s="230"/>
      <c r="O237" s="219"/>
      <c r="P237" s="219"/>
      <c r="Q237" s="222"/>
      <c r="R237" s="231"/>
      <c r="S237" s="232"/>
      <c r="T237" s="205"/>
      <c r="U237" s="205"/>
      <c r="V237" s="205"/>
      <c r="W237" s="204"/>
      <c r="X237" s="204"/>
      <c r="Y237" s="204"/>
      <c r="AG237" s="213"/>
      <c r="AH237" s="211"/>
      <c r="AI237" s="127"/>
      <c r="AJ237" s="127"/>
      <c r="AK237" s="211"/>
      <c r="AL237" s="120"/>
      <c r="AM237" s="120"/>
      <c r="AN237" s="128"/>
      <c r="AO237" s="128"/>
      <c r="AP237" s="99"/>
      <c r="AQ237" s="99"/>
      <c r="AR237" s="144"/>
      <c r="AS237" s="144"/>
      <c r="AT237" s="129"/>
      <c r="AU237" s="149"/>
      <c r="AV237" s="208"/>
      <c r="AW237" s="99"/>
      <c r="AX237" s="89"/>
      <c r="AY237" s="133"/>
      <c r="AZ237" s="134"/>
      <c r="BA237" s="133"/>
      <c r="BB237" s="134"/>
      <c r="BC237" s="133"/>
      <c r="BD237" s="134"/>
      <c r="BE237" s="132"/>
      <c r="BF237" s="132"/>
      <c r="BG237" s="132"/>
      <c r="CO237" s="211"/>
      <c r="CP237" s="211"/>
      <c r="CQ237" s="209"/>
      <c r="CR237" s="209"/>
      <c r="CS237" s="209"/>
      <c r="CT237" s="209"/>
      <c r="CU237" s="211"/>
      <c r="CV237" s="151"/>
    </row>
    <row r="238" spans="1:100" s="206" customFormat="1" ht="12.75" customHeight="1">
      <c r="A238" s="205"/>
      <c r="B238" s="205"/>
      <c r="C238" s="205"/>
      <c r="D238" s="32"/>
      <c r="E238" s="32"/>
      <c r="F238" s="220"/>
      <c r="G238" s="223"/>
      <c r="H238" s="230"/>
      <c r="I238" s="230"/>
      <c r="J238" s="230"/>
      <c r="K238" s="221"/>
      <c r="L238" s="230"/>
      <c r="M238" s="230"/>
      <c r="N238" s="230"/>
      <c r="O238" s="219"/>
      <c r="P238" s="219"/>
      <c r="Q238" s="222"/>
      <c r="R238" s="231"/>
      <c r="S238" s="232"/>
      <c r="T238" s="205"/>
      <c r="U238" s="205"/>
      <c r="V238" s="205"/>
      <c r="W238" s="204"/>
      <c r="X238" s="204"/>
      <c r="Y238" s="204"/>
      <c r="AG238" s="213"/>
      <c r="AH238" s="211"/>
      <c r="AI238" s="127"/>
      <c r="AJ238" s="127"/>
      <c r="AK238" s="211"/>
      <c r="AL238" s="120"/>
      <c r="AM238" s="120"/>
      <c r="AN238" s="128"/>
      <c r="AO238" s="128"/>
      <c r="AP238" s="99"/>
      <c r="AQ238" s="99"/>
      <c r="AR238" s="144"/>
      <c r="AS238" s="144"/>
      <c r="AT238" s="129"/>
      <c r="AU238" s="149"/>
      <c r="AV238" s="208"/>
      <c r="AW238" s="99"/>
      <c r="AX238" s="89"/>
      <c r="AY238" s="133"/>
      <c r="AZ238" s="134"/>
      <c r="BA238" s="133"/>
      <c r="BB238" s="134"/>
      <c r="BC238" s="133"/>
      <c r="BD238" s="134"/>
      <c r="BE238" s="132"/>
      <c r="BF238" s="132"/>
      <c r="BG238" s="132"/>
      <c r="CO238" s="211"/>
      <c r="CP238" s="211"/>
      <c r="CQ238" s="209"/>
      <c r="CR238" s="209"/>
      <c r="CS238" s="209"/>
      <c r="CT238" s="209"/>
      <c r="CU238" s="211"/>
      <c r="CV238" s="151"/>
    </row>
    <row r="239" spans="1:100" s="206" customFormat="1" ht="12.75" customHeight="1">
      <c r="A239" s="205"/>
      <c r="B239" s="205"/>
      <c r="C239" s="205"/>
      <c r="D239" s="32"/>
      <c r="E239" s="32"/>
      <c r="F239" s="220"/>
      <c r="G239" s="223"/>
      <c r="H239" s="230"/>
      <c r="I239" s="230"/>
      <c r="J239" s="230"/>
      <c r="K239" s="221"/>
      <c r="L239" s="230"/>
      <c r="M239" s="230"/>
      <c r="N239" s="230"/>
      <c r="O239" s="219"/>
      <c r="P239" s="219"/>
      <c r="Q239" s="222"/>
      <c r="R239" s="231"/>
      <c r="S239" s="232"/>
      <c r="T239" s="205"/>
      <c r="U239" s="205"/>
      <c r="V239" s="205"/>
      <c r="W239" s="204"/>
      <c r="X239" s="204"/>
      <c r="Y239" s="204"/>
      <c r="AG239" s="213"/>
      <c r="AH239" s="211"/>
      <c r="AI239" s="127"/>
      <c r="AJ239" s="127"/>
      <c r="AK239" s="211"/>
      <c r="AL239" s="120"/>
      <c r="AM239" s="120"/>
      <c r="AN239" s="128"/>
      <c r="AO239" s="128"/>
      <c r="AP239" s="99"/>
      <c r="AQ239" s="99"/>
      <c r="AR239" s="144"/>
      <c r="AS239" s="144"/>
      <c r="AT239" s="129"/>
      <c r="AU239" s="149"/>
      <c r="AV239" s="208"/>
      <c r="AW239" s="99"/>
      <c r="AX239" s="89"/>
      <c r="AY239" s="133"/>
      <c r="AZ239" s="134"/>
      <c r="BA239" s="133"/>
      <c r="BB239" s="134"/>
      <c r="BC239" s="133"/>
      <c r="BD239" s="134"/>
      <c r="BE239" s="132"/>
      <c r="BF239" s="132"/>
      <c r="BG239" s="132"/>
      <c r="CO239" s="211"/>
      <c r="CP239" s="211"/>
      <c r="CQ239" s="209"/>
      <c r="CR239" s="209"/>
      <c r="CS239" s="209"/>
      <c r="CT239" s="209"/>
      <c r="CU239" s="211"/>
      <c r="CV239" s="151"/>
    </row>
    <row r="240" spans="1:100" s="206" customFormat="1" ht="12.75" customHeight="1">
      <c r="A240" s="205"/>
      <c r="B240" s="205"/>
      <c r="C240" s="205"/>
      <c r="D240" s="32"/>
      <c r="E240" s="32"/>
      <c r="F240" s="220"/>
      <c r="G240" s="223"/>
      <c r="H240" s="230"/>
      <c r="I240" s="230"/>
      <c r="J240" s="230"/>
      <c r="K240" s="221"/>
      <c r="L240" s="230"/>
      <c r="M240" s="230"/>
      <c r="N240" s="230"/>
      <c r="O240" s="219"/>
      <c r="P240" s="219"/>
      <c r="Q240" s="222"/>
      <c r="R240" s="231"/>
      <c r="S240" s="232"/>
      <c r="T240" s="205"/>
      <c r="U240" s="205"/>
      <c r="V240" s="205"/>
      <c r="W240" s="204"/>
      <c r="X240" s="204"/>
      <c r="Y240" s="204"/>
      <c r="AG240" s="213"/>
      <c r="AH240" s="211"/>
      <c r="AI240" s="127"/>
      <c r="AJ240" s="127"/>
      <c r="AK240" s="211"/>
      <c r="AL240" s="120"/>
      <c r="AM240" s="120"/>
      <c r="AN240" s="128"/>
      <c r="AO240" s="128"/>
      <c r="AP240" s="99"/>
      <c r="AQ240" s="99"/>
      <c r="AR240" s="144"/>
      <c r="AS240" s="144"/>
      <c r="AT240" s="129"/>
      <c r="AU240" s="149"/>
      <c r="AV240" s="208"/>
      <c r="AW240" s="99"/>
      <c r="AX240" s="89"/>
      <c r="AY240" s="133"/>
      <c r="AZ240" s="134"/>
      <c r="BA240" s="133"/>
      <c r="BB240" s="134"/>
      <c r="BC240" s="133"/>
      <c r="BD240" s="134"/>
      <c r="BE240" s="132"/>
      <c r="BF240" s="132"/>
      <c r="BG240" s="132"/>
      <c r="CO240" s="211"/>
      <c r="CP240" s="211"/>
      <c r="CQ240" s="209"/>
      <c r="CR240" s="209"/>
      <c r="CS240" s="209"/>
      <c r="CT240" s="209"/>
      <c r="CU240" s="211"/>
      <c r="CV240" s="151"/>
    </row>
    <row r="241" spans="1:100" s="206" customFormat="1" ht="12.75" customHeight="1">
      <c r="A241" s="205"/>
      <c r="B241" s="205"/>
      <c r="C241" s="205"/>
      <c r="D241" s="32"/>
      <c r="E241" s="32"/>
      <c r="F241" s="220"/>
      <c r="G241" s="223"/>
      <c r="H241" s="230"/>
      <c r="I241" s="230"/>
      <c r="J241" s="230"/>
      <c r="K241" s="221"/>
      <c r="L241" s="230"/>
      <c r="M241" s="230"/>
      <c r="N241" s="230"/>
      <c r="O241" s="219"/>
      <c r="P241" s="219"/>
      <c r="Q241" s="222"/>
      <c r="R241" s="231"/>
      <c r="S241" s="232"/>
      <c r="T241" s="205"/>
      <c r="U241" s="205"/>
      <c r="V241" s="205"/>
      <c r="W241" s="204"/>
      <c r="X241" s="204"/>
      <c r="Y241" s="204"/>
      <c r="AG241" s="213"/>
      <c r="AH241" s="211"/>
      <c r="AI241" s="127"/>
      <c r="AJ241" s="127"/>
      <c r="AK241" s="211"/>
      <c r="AL241" s="120"/>
      <c r="AM241" s="120"/>
      <c r="AN241" s="128"/>
      <c r="AO241" s="128"/>
      <c r="AP241" s="99"/>
      <c r="AQ241" s="99"/>
      <c r="AR241" s="144"/>
      <c r="AS241" s="144"/>
      <c r="AT241" s="129"/>
      <c r="AU241" s="149"/>
      <c r="AV241" s="208"/>
      <c r="AW241" s="99"/>
      <c r="AX241" s="89"/>
      <c r="AY241" s="133"/>
      <c r="AZ241" s="134"/>
      <c r="BA241" s="133"/>
      <c r="BB241" s="134"/>
      <c r="BC241" s="133"/>
      <c r="BD241" s="134"/>
      <c r="BE241" s="132"/>
      <c r="BF241" s="132"/>
      <c r="BG241" s="132"/>
      <c r="CO241" s="211"/>
      <c r="CP241" s="211"/>
      <c r="CQ241" s="209"/>
      <c r="CR241" s="209"/>
      <c r="CS241" s="209"/>
      <c r="CT241" s="209"/>
      <c r="CU241" s="211"/>
      <c r="CV241" s="151"/>
    </row>
    <row r="242" spans="1:100" s="206" customFormat="1" ht="12.75" customHeight="1">
      <c r="A242" s="205"/>
      <c r="B242" s="205"/>
      <c r="C242" s="205"/>
      <c r="D242" s="32"/>
      <c r="E242" s="32"/>
      <c r="F242" s="220"/>
      <c r="G242" s="223"/>
      <c r="H242" s="230"/>
      <c r="I242" s="230"/>
      <c r="J242" s="230"/>
      <c r="K242" s="221"/>
      <c r="L242" s="230"/>
      <c r="M242" s="230"/>
      <c r="N242" s="230"/>
      <c r="O242" s="219"/>
      <c r="P242" s="219"/>
      <c r="Q242" s="222"/>
      <c r="R242" s="231"/>
      <c r="S242" s="232"/>
      <c r="T242" s="205"/>
      <c r="U242" s="205"/>
      <c r="V242" s="205"/>
      <c r="W242" s="204"/>
      <c r="X242" s="204"/>
      <c r="Y242" s="204"/>
      <c r="AG242" s="213"/>
      <c r="AH242" s="211"/>
      <c r="AI242" s="127"/>
      <c r="AJ242" s="127"/>
      <c r="AK242" s="211"/>
      <c r="AL242" s="120"/>
      <c r="AM242" s="120"/>
      <c r="AN242" s="128"/>
      <c r="AO242" s="128"/>
      <c r="AP242" s="99"/>
      <c r="AQ242" s="99"/>
      <c r="AR242" s="144"/>
      <c r="AS242" s="144"/>
      <c r="AT242" s="129"/>
      <c r="AU242" s="149"/>
      <c r="AV242" s="208"/>
      <c r="AW242" s="99"/>
      <c r="AX242" s="89"/>
      <c r="AY242" s="133"/>
      <c r="AZ242" s="134"/>
      <c r="BA242" s="133"/>
      <c r="BB242" s="134"/>
      <c r="BC242" s="133"/>
      <c r="BD242" s="134"/>
      <c r="BE242" s="132"/>
      <c r="BF242" s="132"/>
      <c r="BG242" s="132"/>
      <c r="CO242" s="211"/>
      <c r="CP242" s="211"/>
      <c r="CQ242" s="209"/>
      <c r="CR242" s="209"/>
      <c r="CS242" s="209"/>
      <c r="CT242" s="209"/>
      <c r="CU242" s="211"/>
      <c r="CV242" s="151"/>
    </row>
    <row r="243" spans="1:100" s="206" customFormat="1" ht="12.75" customHeight="1">
      <c r="A243" s="205"/>
      <c r="B243" s="205"/>
      <c r="C243" s="205"/>
      <c r="D243" s="32"/>
      <c r="E243" s="32"/>
      <c r="F243" s="220"/>
      <c r="G243" s="223"/>
      <c r="H243" s="230"/>
      <c r="I243" s="230"/>
      <c r="J243" s="230"/>
      <c r="K243" s="221"/>
      <c r="L243" s="230"/>
      <c r="M243" s="230"/>
      <c r="N243" s="230"/>
      <c r="O243" s="219"/>
      <c r="P243" s="219"/>
      <c r="Q243" s="222"/>
      <c r="R243" s="231"/>
      <c r="S243" s="232"/>
      <c r="T243" s="205"/>
      <c r="U243" s="205"/>
      <c r="V243" s="205"/>
      <c r="W243" s="204"/>
      <c r="X243" s="204"/>
      <c r="Y243" s="204"/>
      <c r="AG243" s="213"/>
      <c r="AH243" s="211"/>
      <c r="AI243" s="127"/>
      <c r="AJ243" s="127"/>
      <c r="AK243" s="211"/>
      <c r="AL243" s="120"/>
      <c r="AM243" s="120"/>
      <c r="AN243" s="128"/>
      <c r="AO243" s="128"/>
      <c r="AP243" s="99"/>
      <c r="AQ243" s="99"/>
      <c r="AR243" s="144"/>
      <c r="AS243" s="144"/>
      <c r="AT243" s="129"/>
      <c r="AU243" s="149"/>
      <c r="AV243" s="208"/>
      <c r="AW243" s="99"/>
      <c r="AX243" s="89"/>
      <c r="AY243" s="133"/>
      <c r="AZ243" s="134"/>
      <c r="BA243" s="133"/>
      <c r="BB243" s="134"/>
      <c r="BC243" s="133"/>
      <c r="BD243" s="134"/>
      <c r="BE243" s="132"/>
      <c r="BF243" s="132"/>
      <c r="BG243" s="132"/>
      <c r="CO243" s="211"/>
      <c r="CP243" s="211"/>
      <c r="CQ243" s="209"/>
      <c r="CR243" s="209"/>
      <c r="CS243" s="209"/>
      <c r="CT243" s="209"/>
      <c r="CU243" s="211"/>
      <c r="CV243" s="151"/>
    </row>
    <row r="244" spans="1:100" s="206" customFormat="1" ht="12.75" customHeight="1">
      <c r="A244" s="205"/>
      <c r="B244" s="205"/>
      <c r="C244" s="205"/>
      <c r="D244" s="32"/>
      <c r="E244" s="32"/>
      <c r="F244" s="220"/>
      <c r="G244" s="223"/>
      <c r="H244" s="230"/>
      <c r="I244" s="230"/>
      <c r="J244" s="230"/>
      <c r="K244" s="221"/>
      <c r="L244" s="230"/>
      <c r="M244" s="230"/>
      <c r="N244" s="230"/>
      <c r="O244" s="219"/>
      <c r="P244" s="219"/>
      <c r="Q244" s="222"/>
      <c r="R244" s="231"/>
      <c r="S244" s="232"/>
      <c r="T244" s="205"/>
      <c r="U244" s="205"/>
      <c r="V244" s="205"/>
      <c r="W244" s="204"/>
      <c r="X244" s="204"/>
      <c r="Y244" s="204"/>
      <c r="AG244" s="213"/>
      <c r="AH244" s="211"/>
      <c r="AI244" s="127"/>
      <c r="AJ244" s="127"/>
      <c r="AK244" s="211"/>
      <c r="AL244" s="120"/>
      <c r="AM244" s="120"/>
      <c r="AN244" s="128"/>
      <c r="AO244" s="128"/>
      <c r="AP244" s="99"/>
      <c r="AQ244" s="99"/>
      <c r="AR244" s="144"/>
      <c r="AS244" s="144"/>
      <c r="AT244" s="129"/>
      <c r="AU244" s="149"/>
      <c r="AV244" s="208"/>
      <c r="AW244" s="99"/>
      <c r="AX244" s="89"/>
      <c r="AY244" s="133"/>
      <c r="AZ244" s="134"/>
      <c r="BA244" s="133"/>
      <c r="BB244" s="134"/>
      <c r="BC244" s="133"/>
      <c r="BD244" s="134"/>
      <c r="BE244" s="132"/>
      <c r="BF244" s="132"/>
      <c r="BG244" s="132"/>
      <c r="CO244" s="211"/>
      <c r="CP244" s="211"/>
      <c r="CQ244" s="209"/>
      <c r="CR244" s="209"/>
      <c r="CS244" s="209"/>
      <c r="CT244" s="209"/>
      <c r="CU244" s="211"/>
      <c r="CV244" s="151"/>
    </row>
    <row r="245" spans="1:100" s="206" customFormat="1" ht="12.75" customHeight="1">
      <c r="A245" s="205"/>
      <c r="B245" s="205"/>
      <c r="C245" s="205"/>
      <c r="D245" s="32"/>
      <c r="E245" s="32"/>
      <c r="F245" s="220"/>
      <c r="G245" s="223"/>
      <c r="H245" s="230"/>
      <c r="I245" s="230"/>
      <c r="J245" s="230"/>
      <c r="K245" s="221"/>
      <c r="L245" s="230"/>
      <c r="M245" s="230"/>
      <c r="N245" s="230"/>
      <c r="O245" s="219"/>
      <c r="P245" s="219"/>
      <c r="Q245" s="222"/>
      <c r="R245" s="231"/>
      <c r="S245" s="232"/>
      <c r="T245" s="205"/>
      <c r="U245" s="205"/>
      <c r="V245" s="205"/>
      <c r="W245" s="204"/>
      <c r="X245" s="204"/>
      <c r="Y245" s="204"/>
      <c r="AG245" s="213"/>
      <c r="AH245" s="211"/>
      <c r="AI245" s="127"/>
      <c r="AJ245" s="127"/>
      <c r="AK245" s="211"/>
      <c r="AL245" s="120"/>
      <c r="AM245" s="120"/>
      <c r="AN245" s="128"/>
      <c r="AO245" s="128"/>
      <c r="AP245" s="99"/>
      <c r="AQ245" s="99"/>
      <c r="AR245" s="144"/>
      <c r="AS245" s="144"/>
      <c r="AT245" s="129"/>
      <c r="AU245" s="149"/>
      <c r="AV245" s="208"/>
      <c r="AW245" s="99"/>
      <c r="AX245" s="89"/>
      <c r="AY245" s="133"/>
      <c r="AZ245" s="134"/>
      <c r="BA245" s="133"/>
      <c r="BB245" s="134"/>
      <c r="BC245" s="133"/>
      <c r="BD245" s="134"/>
      <c r="BE245" s="132"/>
      <c r="BF245" s="132"/>
      <c r="BG245" s="132"/>
      <c r="CO245" s="211"/>
      <c r="CP245" s="211"/>
      <c r="CQ245" s="209"/>
      <c r="CR245" s="209"/>
      <c r="CS245" s="209"/>
      <c r="CT245" s="209"/>
      <c r="CU245" s="211"/>
      <c r="CV245" s="151"/>
    </row>
    <row r="246" spans="1:100" s="206" customFormat="1" ht="12.75" customHeight="1">
      <c r="A246" s="205"/>
      <c r="B246" s="205"/>
      <c r="C246" s="205"/>
      <c r="D246" s="32"/>
      <c r="E246" s="32"/>
      <c r="F246" s="220"/>
      <c r="G246" s="223"/>
      <c r="H246" s="230"/>
      <c r="I246" s="230"/>
      <c r="J246" s="230"/>
      <c r="K246" s="221"/>
      <c r="L246" s="230"/>
      <c r="M246" s="230"/>
      <c r="N246" s="230"/>
      <c r="O246" s="219"/>
      <c r="P246" s="219"/>
      <c r="Q246" s="222"/>
      <c r="R246" s="231"/>
      <c r="S246" s="232"/>
      <c r="T246" s="205"/>
      <c r="U246" s="205"/>
      <c r="V246" s="205"/>
      <c r="W246" s="204"/>
      <c r="X246" s="204"/>
      <c r="Y246" s="204"/>
      <c r="AG246" s="213"/>
      <c r="AH246" s="211"/>
      <c r="AI246" s="127"/>
      <c r="AJ246" s="127"/>
      <c r="AK246" s="211"/>
      <c r="AL246" s="120"/>
      <c r="AM246" s="120"/>
      <c r="AN246" s="128"/>
      <c r="AO246" s="128"/>
      <c r="AP246" s="99"/>
      <c r="AQ246" s="99"/>
      <c r="AR246" s="144"/>
      <c r="AS246" s="144"/>
      <c r="AT246" s="129"/>
      <c r="AU246" s="149"/>
      <c r="AV246" s="208"/>
      <c r="AW246" s="99"/>
      <c r="AX246" s="89"/>
      <c r="AY246" s="133"/>
      <c r="AZ246" s="134"/>
      <c r="BA246" s="133"/>
      <c r="BB246" s="134"/>
      <c r="BC246" s="133"/>
      <c r="BD246" s="134"/>
      <c r="BE246" s="132"/>
      <c r="BF246" s="132"/>
      <c r="BG246" s="132"/>
      <c r="CO246" s="211"/>
      <c r="CP246" s="211"/>
      <c r="CQ246" s="209"/>
      <c r="CR246" s="209"/>
      <c r="CS246" s="209"/>
      <c r="CT246" s="209"/>
      <c r="CU246" s="211"/>
      <c r="CV246" s="151"/>
    </row>
    <row r="247" spans="1:100" s="206" customFormat="1" ht="12.75" customHeight="1">
      <c r="A247" s="205"/>
      <c r="B247" s="205"/>
      <c r="C247" s="205"/>
      <c r="D247" s="32"/>
      <c r="E247" s="32"/>
      <c r="F247" s="220"/>
      <c r="G247" s="223"/>
      <c r="H247" s="230"/>
      <c r="I247" s="230"/>
      <c r="J247" s="230"/>
      <c r="K247" s="221"/>
      <c r="L247" s="230"/>
      <c r="M247" s="230"/>
      <c r="N247" s="230"/>
      <c r="O247" s="219"/>
      <c r="P247" s="219"/>
      <c r="Q247" s="222"/>
      <c r="R247" s="231"/>
      <c r="S247" s="232"/>
      <c r="T247" s="205"/>
      <c r="U247" s="205"/>
      <c r="V247" s="205"/>
      <c r="W247" s="204"/>
      <c r="X247" s="204"/>
      <c r="Y247" s="204"/>
      <c r="AG247" s="213"/>
      <c r="AH247" s="211"/>
      <c r="AI247" s="127"/>
      <c r="AJ247" s="127"/>
      <c r="AK247" s="211"/>
      <c r="AL247" s="120"/>
      <c r="AM247" s="120"/>
      <c r="AN247" s="128"/>
      <c r="AO247" s="128"/>
      <c r="AP247" s="99"/>
      <c r="AQ247" s="99"/>
      <c r="AR247" s="144"/>
      <c r="AS247" s="144"/>
      <c r="AT247" s="129"/>
      <c r="AU247" s="149"/>
      <c r="AV247" s="208"/>
      <c r="AW247" s="99"/>
      <c r="AX247" s="89"/>
      <c r="AY247" s="133"/>
      <c r="AZ247" s="134"/>
      <c r="BA247" s="133"/>
      <c r="BB247" s="134"/>
      <c r="BC247" s="133"/>
      <c r="BD247" s="134"/>
      <c r="BE247" s="132"/>
      <c r="BF247" s="132"/>
      <c r="BG247" s="132"/>
      <c r="CO247" s="211"/>
      <c r="CP247" s="211"/>
      <c r="CQ247" s="209"/>
      <c r="CR247" s="209"/>
      <c r="CS247" s="209"/>
      <c r="CT247" s="209"/>
      <c r="CU247" s="211"/>
      <c r="CV247" s="151"/>
    </row>
    <row r="248" spans="1:100" s="206" customFormat="1" ht="12.75" customHeight="1">
      <c r="A248" s="205"/>
      <c r="B248" s="205"/>
      <c r="C248" s="205"/>
      <c r="D248" s="32"/>
      <c r="E248" s="32"/>
      <c r="F248" s="220"/>
      <c r="G248" s="223"/>
      <c r="H248" s="230"/>
      <c r="I248" s="230"/>
      <c r="J248" s="230"/>
      <c r="K248" s="221"/>
      <c r="L248" s="230"/>
      <c r="M248" s="230"/>
      <c r="N248" s="230"/>
      <c r="O248" s="219"/>
      <c r="P248" s="219"/>
      <c r="Q248" s="222"/>
      <c r="R248" s="231"/>
      <c r="S248" s="232"/>
      <c r="T248" s="205"/>
      <c r="U248" s="205"/>
      <c r="V248" s="205"/>
      <c r="W248" s="204"/>
      <c r="X248" s="204"/>
      <c r="Y248" s="204"/>
      <c r="AG248" s="213"/>
      <c r="AH248" s="211"/>
      <c r="AI248" s="127"/>
      <c r="AJ248" s="127"/>
      <c r="AK248" s="211"/>
      <c r="AL248" s="120"/>
      <c r="AM248" s="120"/>
      <c r="AN248" s="128"/>
      <c r="AO248" s="128"/>
      <c r="AP248" s="99"/>
      <c r="AQ248" s="99"/>
      <c r="AR248" s="144"/>
      <c r="AS248" s="144"/>
      <c r="AT248" s="129"/>
      <c r="AU248" s="149"/>
      <c r="AV248" s="208"/>
      <c r="AW248" s="99"/>
      <c r="AX248" s="89"/>
      <c r="AY248" s="133"/>
      <c r="AZ248" s="134"/>
      <c r="BA248" s="133"/>
      <c r="BB248" s="134"/>
      <c r="BC248" s="133"/>
      <c r="BD248" s="134"/>
      <c r="BE248" s="132"/>
      <c r="BF248" s="132"/>
      <c r="BG248" s="132"/>
      <c r="CO248" s="211"/>
      <c r="CP248" s="211"/>
      <c r="CQ248" s="209"/>
      <c r="CR248" s="209"/>
      <c r="CS248" s="209"/>
      <c r="CT248" s="209"/>
      <c r="CU248" s="211"/>
      <c r="CV248" s="151"/>
    </row>
    <row r="249" spans="1:100" s="206" customFormat="1" ht="12.75" customHeight="1">
      <c r="A249" s="205"/>
      <c r="B249" s="205"/>
      <c r="C249" s="205"/>
      <c r="D249" s="32"/>
      <c r="E249" s="32"/>
      <c r="F249" s="220"/>
      <c r="G249" s="223"/>
      <c r="H249" s="230"/>
      <c r="I249" s="230"/>
      <c r="J249" s="230"/>
      <c r="K249" s="221"/>
      <c r="L249" s="230"/>
      <c r="M249" s="230"/>
      <c r="N249" s="230"/>
      <c r="O249" s="219"/>
      <c r="P249" s="219"/>
      <c r="Q249" s="222"/>
      <c r="R249" s="231"/>
      <c r="S249" s="232"/>
      <c r="T249" s="205"/>
      <c r="U249" s="205"/>
      <c r="V249" s="205"/>
      <c r="W249" s="204"/>
      <c r="X249" s="204"/>
      <c r="Y249" s="204"/>
      <c r="AG249" s="213"/>
      <c r="AH249" s="211"/>
      <c r="AI249" s="127"/>
      <c r="AJ249" s="127"/>
      <c r="AK249" s="211"/>
      <c r="AL249" s="120"/>
      <c r="AM249" s="120"/>
      <c r="AN249" s="128"/>
      <c r="AO249" s="128"/>
      <c r="AP249" s="99"/>
      <c r="AQ249" s="99"/>
      <c r="AR249" s="144"/>
      <c r="AS249" s="144"/>
      <c r="AT249" s="129"/>
      <c r="AU249" s="149"/>
      <c r="AV249" s="208"/>
      <c r="AW249" s="99"/>
      <c r="AX249" s="89"/>
      <c r="AY249" s="133"/>
      <c r="AZ249" s="134"/>
      <c r="BA249" s="133"/>
      <c r="BB249" s="134"/>
      <c r="BC249" s="133"/>
      <c r="BD249" s="134"/>
      <c r="BE249" s="132"/>
      <c r="BF249" s="132"/>
      <c r="BG249" s="132"/>
      <c r="CO249" s="211"/>
      <c r="CP249" s="211"/>
      <c r="CQ249" s="209"/>
      <c r="CR249" s="209"/>
      <c r="CS249" s="209"/>
      <c r="CT249" s="209"/>
      <c r="CU249" s="211"/>
      <c r="CV249" s="151"/>
    </row>
    <row r="250" spans="1:100" s="206" customFormat="1" ht="12.75" customHeight="1">
      <c r="A250" s="205"/>
      <c r="B250" s="205"/>
      <c r="C250" s="205"/>
      <c r="D250" s="32"/>
      <c r="E250" s="32"/>
      <c r="F250" s="220"/>
      <c r="G250" s="223"/>
      <c r="H250" s="230"/>
      <c r="I250" s="230"/>
      <c r="J250" s="230"/>
      <c r="K250" s="221"/>
      <c r="L250" s="230"/>
      <c r="M250" s="230"/>
      <c r="N250" s="230"/>
      <c r="O250" s="219"/>
      <c r="P250" s="219"/>
      <c r="Q250" s="222"/>
      <c r="R250" s="231"/>
      <c r="S250" s="232"/>
      <c r="T250" s="205"/>
      <c r="U250" s="205"/>
      <c r="V250" s="205"/>
      <c r="W250" s="204"/>
      <c r="X250" s="204"/>
      <c r="Y250" s="204"/>
      <c r="AG250" s="213"/>
      <c r="AH250" s="211"/>
      <c r="AI250" s="127"/>
      <c r="AJ250" s="127"/>
      <c r="AK250" s="211"/>
      <c r="AL250" s="120"/>
      <c r="AM250" s="120"/>
      <c r="AN250" s="128"/>
      <c r="AO250" s="128"/>
      <c r="AP250" s="99"/>
      <c r="AQ250" s="99"/>
      <c r="AR250" s="144"/>
      <c r="AS250" s="144"/>
      <c r="AT250" s="129"/>
      <c r="AU250" s="149"/>
      <c r="AV250" s="208"/>
      <c r="AW250" s="99"/>
      <c r="AX250" s="89"/>
      <c r="AY250" s="133"/>
      <c r="AZ250" s="134"/>
      <c r="BA250" s="133"/>
      <c r="BB250" s="134"/>
      <c r="BC250" s="133"/>
      <c r="BD250" s="134"/>
      <c r="BE250" s="132"/>
      <c r="BF250" s="132"/>
      <c r="BG250" s="132"/>
      <c r="CO250" s="211"/>
      <c r="CP250" s="211"/>
      <c r="CQ250" s="209"/>
      <c r="CR250" s="209"/>
      <c r="CS250" s="209"/>
      <c r="CT250" s="209"/>
      <c r="CU250" s="211"/>
      <c r="CV250" s="151"/>
    </row>
    <row r="251" spans="1:100" s="206" customFormat="1" ht="12.75" customHeight="1">
      <c r="A251" s="205"/>
      <c r="B251" s="205"/>
      <c r="C251" s="205"/>
      <c r="D251" s="32"/>
      <c r="E251" s="32"/>
      <c r="F251" s="220"/>
      <c r="G251" s="223"/>
      <c r="H251" s="230"/>
      <c r="I251" s="230"/>
      <c r="J251" s="230"/>
      <c r="K251" s="221"/>
      <c r="L251" s="230"/>
      <c r="M251" s="230"/>
      <c r="N251" s="230"/>
      <c r="O251" s="219"/>
      <c r="P251" s="219"/>
      <c r="Q251" s="222"/>
      <c r="R251" s="231"/>
      <c r="S251" s="232"/>
      <c r="T251" s="205"/>
      <c r="U251" s="205"/>
      <c r="V251" s="205"/>
      <c r="W251" s="204"/>
      <c r="X251" s="204"/>
      <c r="Y251" s="204"/>
      <c r="AG251" s="213"/>
      <c r="AH251" s="211"/>
      <c r="AI251" s="127"/>
      <c r="AJ251" s="127"/>
      <c r="AK251" s="211"/>
      <c r="AL251" s="120"/>
      <c r="AM251" s="120"/>
      <c r="AN251" s="128"/>
      <c r="AO251" s="128"/>
      <c r="AP251" s="99"/>
      <c r="AQ251" s="99"/>
      <c r="AR251" s="144"/>
      <c r="AS251" s="144"/>
      <c r="AT251" s="129"/>
      <c r="AU251" s="149"/>
      <c r="AV251" s="208"/>
      <c r="AW251" s="99"/>
      <c r="AX251" s="89"/>
      <c r="AY251" s="133"/>
      <c r="AZ251" s="134"/>
      <c r="BA251" s="133"/>
      <c r="BB251" s="134"/>
      <c r="BC251" s="133"/>
      <c r="BD251" s="134"/>
      <c r="BE251" s="132"/>
      <c r="BF251" s="132"/>
      <c r="BG251" s="132"/>
      <c r="CO251" s="211"/>
      <c r="CP251" s="211"/>
      <c r="CQ251" s="209"/>
      <c r="CR251" s="209"/>
      <c r="CS251" s="209"/>
      <c r="CT251" s="209"/>
      <c r="CU251" s="211"/>
      <c r="CV251" s="151"/>
    </row>
    <row r="252" spans="1:100" s="206" customFormat="1" ht="12.75" customHeight="1">
      <c r="A252" s="205"/>
      <c r="B252" s="205"/>
      <c r="C252" s="205"/>
      <c r="D252" s="32"/>
      <c r="E252" s="32"/>
      <c r="F252" s="220"/>
      <c r="G252" s="223"/>
      <c r="H252" s="230"/>
      <c r="I252" s="230"/>
      <c r="J252" s="230"/>
      <c r="K252" s="221"/>
      <c r="L252" s="230"/>
      <c r="M252" s="230"/>
      <c r="N252" s="230"/>
      <c r="O252" s="219"/>
      <c r="P252" s="219"/>
      <c r="Q252" s="222"/>
      <c r="R252" s="231"/>
      <c r="S252" s="232"/>
      <c r="T252" s="205"/>
      <c r="U252" s="205"/>
      <c r="V252" s="205"/>
      <c r="W252" s="204"/>
      <c r="X252" s="204"/>
      <c r="Y252" s="204"/>
      <c r="AG252" s="213"/>
      <c r="AH252" s="211"/>
      <c r="AI252" s="127"/>
      <c r="AJ252" s="127"/>
      <c r="AK252" s="211"/>
      <c r="AL252" s="120"/>
      <c r="AM252" s="120"/>
      <c r="AN252" s="128"/>
      <c r="AO252" s="128"/>
      <c r="AP252" s="99"/>
      <c r="AQ252" s="99"/>
      <c r="AR252" s="144"/>
      <c r="AS252" s="144"/>
      <c r="AT252" s="129"/>
      <c r="AU252" s="149"/>
      <c r="AV252" s="208"/>
      <c r="AW252" s="99"/>
      <c r="AX252" s="89"/>
      <c r="AY252" s="133"/>
      <c r="AZ252" s="134"/>
      <c r="BA252" s="133"/>
      <c r="BB252" s="134"/>
      <c r="BC252" s="133"/>
      <c r="BD252" s="134"/>
      <c r="BE252" s="132"/>
      <c r="BF252" s="132"/>
      <c r="BG252" s="132"/>
      <c r="CO252" s="211"/>
      <c r="CP252" s="211"/>
      <c r="CQ252" s="209"/>
      <c r="CR252" s="209"/>
      <c r="CS252" s="209"/>
      <c r="CT252" s="209"/>
      <c r="CU252" s="211"/>
      <c r="CV252" s="151"/>
    </row>
    <row r="253" spans="1:100" s="206" customFormat="1" ht="12.75" customHeight="1">
      <c r="A253" s="205"/>
      <c r="B253" s="205"/>
      <c r="C253" s="205"/>
      <c r="D253" s="32"/>
      <c r="E253" s="32"/>
      <c r="F253" s="220"/>
      <c r="G253" s="223"/>
      <c r="H253" s="230"/>
      <c r="I253" s="230"/>
      <c r="J253" s="230"/>
      <c r="K253" s="221"/>
      <c r="L253" s="230"/>
      <c r="M253" s="230"/>
      <c r="N253" s="230"/>
      <c r="O253" s="219"/>
      <c r="P253" s="219"/>
      <c r="Q253" s="222"/>
      <c r="R253" s="231"/>
      <c r="S253" s="232"/>
      <c r="T253" s="205"/>
      <c r="U253" s="205"/>
      <c r="V253" s="205"/>
      <c r="W253" s="204"/>
      <c r="X253" s="204"/>
      <c r="Y253" s="204"/>
      <c r="AG253" s="213"/>
      <c r="AH253" s="211"/>
      <c r="AI253" s="127"/>
      <c r="AJ253" s="127"/>
      <c r="AK253" s="211"/>
      <c r="AL253" s="120"/>
      <c r="AM253" s="120"/>
      <c r="AN253" s="128"/>
      <c r="AO253" s="128"/>
      <c r="AP253" s="99"/>
      <c r="AQ253" s="99"/>
      <c r="AR253" s="144"/>
      <c r="AS253" s="144"/>
      <c r="AT253" s="129"/>
      <c r="AU253" s="149"/>
      <c r="AV253" s="208"/>
      <c r="AW253" s="99"/>
      <c r="AX253" s="89"/>
      <c r="AY253" s="133"/>
      <c r="AZ253" s="134"/>
      <c r="BA253" s="133"/>
      <c r="BB253" s="134"/>
      <c r="BC253" s="133"/>
      <c r="BD253" s="134"/>
      <c r="BE253" s="132"/>
      <c r="BF253" s="132"/>
      <c r="BG253" s="132"/>
      <c r="CO253" s="211"/>
      <c r="CP253" s="211"/>
      <c r="CQ253" s="209"/>
      <c r="CR253" s="209"/>
      <c r="CS253" s="209"/>
      <c r="CT253" s="209"/>
      <c r="CU253" s="211"/>
      <c r="CV253" s="151"/>
    </row>
    <row r="254" spans="1:100" s="206" customFormat="1" ht="12.75" customHeight="1">
      <c r="A254" s="205"/>
      <c r="B254" s="205"/>
      <c r="C254" s="205"/>
      <c r="D254" s="32"/>
      <c r="E254" s="32"/>
      <c r="F254" s="220"/>
      <c r="G254" s="223"/>
      <c r="H254" s="230"/>
      <c r="I254" s="230"/>
      <c r="J254" s="230"/>
      <c r="K254" s="221"/>
      <c r="L254" s="230"/>
      <c r="M254" s="230"/>
      <c r="N254" s="230"/>
      <c r="O254" s="219"/>
      <c r="P254" s="219"/>
      <c r="Q254" s="222"/>
      <c r="R254" s="231"/>
      <c r="S254" s="232"/>
      <c r="T254" s="205"/>
      <c r="U254" s="205"/>
      <c r="V254" s="205"/>
      <c r="W254" s="204"/>
      <c r="X254" s="204"/>
      <c r="Y254" s="204"/>
      <c r="AG254" s="213"/>
      <c r="AH254" s="211"/>
      <c r="AI254" s="127"/>
      <c r="AJ254" s="127"/>
      <c r="AK254" s="211"/>
      <c r="AL254" s="120"/>
      <c r="AM254" s="120"/>
      <c r="AN254" s="128"/>
      <c r="AO254" s="128"/>
      <c r="AP254" s="99"/>
      <c r="AQ254" s="99"/>
      <c r="AR254" s="144"/>
      <c r="AS254" s="144"/>
      <c r="AT254" s="129"/>
      <c r="AU254" s="149"/>
      <c r="AV254" s="208"/>
      <c r="AW254" s="99"/>
      <c r="AX254" s="89"/>
      <c r="AY254" s="133"/>
      <c r="AZ254" s="134"/>
      <c r="BA254" s="133"/>
      <c r="BB254" s="134"/>
      <c r="BC254" s="133"/>
      <c r="BD254" s="134"/>
      <c r="BE254" s="132"/>
      <c r="BF254" s="132"/>
      <c r="BG254" s="132"/>
      <c r="CO254" s="211"/>
      <c r="CP254" s="211"/>
      <c r="CQ254" s="209"/>
      <c r="CR254" s="209"/>
      <c r="CS254" s="209"/>
      <c r="CT254" s="209"/>
      <c r="CU254" s="211"/>
      <c r="CV254" s="151"/>
    </row>
    <row r="255" spans="1:100" s="206" customFormat="1" ht="12.75" customHeight="1">
      <c r="A255" s="205"/>
      <c r="B255" s="205"/>
      <c r="C255" s="205"/>
      <c r="D255" s="32"/>
      <c r="E255" s="32"/>
      <c r="F255" s="220"/>
      <c r="G255" s="223"/>
      <c r="H255" s="230"/>
      <c r="I255" s="230"/>
      <c r="J255" s="230"/>
      <c r="K255" s="221"/>
      <c r="L255" s="230"/>
      <c r="M255" s="230"/>
      <c r="N255" s="230"/>
      <c r="O255" s="219"/>
      <c r="P255" s="219"/>
      <c r="Q255" s="222"/>
      <c r="R255" s="231"/>
      <c r="S255" s="232"/>
      <c r="T255" s="205"/>
      <c r="U255" s="205"/>
      <c r="V255" s="205"/>
      <c r="W255" s="204"/>
      <c r="X255" s="204"/>
      <c r="Y255" s="204"/>
      <c r="AG255" s="213"/>
      <c r="AH255" s="211"/>
      <c r="AI255" s="127"/>
      <c r="AJ255" s="127"/>
      <c r="AK255" s="211"/>
      <c r="AL255" s="120"/>
      <c r="AM255" s="120"/>
      <c r="AN255" s="128"/>
      <c r="AO255" s="128"/>
      <c r="AP255" s="99"/>
      <c r="AQ255" s="99"/>
      <c r="AR255" s="144"/>
      <c r="AS255" s="144"/>
      <c r="AT255" s="129"/>
      <c r="AU255" s="149"/>
      <c r="AV255" s="208"/>
      <c r="AW255" s="99"/>
      <c r="AX255" s="89"/>
      <c r="AY255" s="133"/>
      <c r="AZ255" s="134"/>
      <c r="BA255" s="133"/>
      <c r="BB255" s="134"/>
      <c r="BC255" s="133"/>
      <c r="BD255" s="134"/>
      <c r="BE255" s="132"/>
      <c r="BF255" s="132"/>
      <c r="BG255" s="132"/>
      <c r="CO255" s="211"/>
      <c r="CP255" s="211"/>
      <c r="CQ255" s="209"/>
      <c r="CR255" s="209"/>
      <c r="CS255" s="209"/>
      <c r="CT255" s="209"/>
      <c r="CU255" s="211"/>
      <c r="CV255" s="151"/>
    </row>
    <row r="256" spans="1:100" s="206" customFormat="1" ht="12.75" customHeight="1">
      <c r="A256" s="205"/>
      <c r="B256" s="205"/>
      <c r="C256" s="205"/>
      <c r="D256" s="32"/>
      <c r="E256" s="32"/>
      <c r="F256" s="220"/>
      <c r="G256" s="223"/>
      <c r="H256" s="230"/>
      <c r="I256" s="230"/>
      <c r="J256" s="230"/>
      <c r="K256" s="221"/>
      <c r="L256" s="230"/>
      <c r="M256" s="230"/>
      <c r="N256" s="230"/>
      <c r="O256" s="219"/>
      <c r="P256" s="219"/>
      <c r="Q256" s="222"/>
      <c r="R256" s="231"/>
      <c r="S256" s="232"/>
      <c r="T256" s="205"/>
      <c r="U256" s="205"/>
      <c r="V256" s="205"/>
      <c r="W256" s="204"/>
      <c r="X256" s="204"/>
      <c r="Y256" s="204"/>
      <c r="AG256" s="213"/>
      <c r="AH256" s="211"/>
      <c r="AI256" s="127"/>
      <c r="AJ256" s="127"/>
      <c r="AK256" s="211"/>
      <c r="AL256" s="120"/>
      <c r="AM256" s="120"/>
      <c r="AN256" s="128"/>
      <c r="AO256" s="128"/>
      <c r="AP256" s="99"/>
      <c r="AQ256" s="99"/>
      <c r="AR256" s="144"/>
      <c r="AS256" s="144"/>
      <c r="AT256" s="129"/>
      <c r="AU256" s="149"/>
      <c r="AV256" s="208"/>
      <c r="AW256" s="99"/>
      <c r="AX256" s="89"/>
      <c r="AY256" s="133"/>
      <c r="AZ256" s="134"/>
      <c r="BA256" s="133"/>
      <c r="BB256" s="134"/>
      <c r="BC256" s="133"/>
      <c r="BD256" s="134"/>
      <c r="BE256" s="132"/>
      <c r="BF256" s="132"/>
      <c r="BG256" s="132"/>
      <c r="CO256" s="211"/>
      <c r="CP256" s="211"/>
      <c r="CQ256" s="209"/>
      <c r="CR256" s="209"/>
      <c r="CS256" s="209"/>
      <c r="CT256" s="209"/>
      <c r="CU256" s="211"/>
      <c r="CV256" s="151"/>
    </row>
    <row r="257" spans="1:100" s="206" customFormat="1" ht="12.75" customHeight="1">
      <c r="A257" s="205"/>
      <c r="B257" s="205"/>
      <c r="C257" s="205"/>
      <c r="D257" s="32"/>
      <c r="E257" s="32"/>
      <c r="F257" s="220"/>
      <c r="G257" s="223"/>
      <c r="H257" s="230"/>
      <c r="I257" s="230"/>
      <c r="J257" s="230"/>
      <c r="K257" s="221"/>
      <c r="L257" s="230"/>
      <c r="M257" s="230"/>
      <c r="N257" s="230"/>
      <c r="O257" s="219"/>
      <c r="P257" s="219"/>
      <c r="Q257" s="222"/>
      <c r="R257" s="231"/>
      <c r="S257" s="232"/>
      <c r="T257" s="205"/>
      <c r="U257" s="205"/>
      <c r="V257" s="205"/>
      <c r="W257" s="204"/>
      <c r="X257" s="204"/>
      <c r="Y257" s="204"/>
      <c r="AG257" s="213"/>
      <c r="AH257" s="211"/>
      <c r="AI257" s="127"/>
      <c r="AJ257" s="127"/>
      <c r="AK257" s="211"/>
      <c r="AL257" s="120"/>
      <c r="AM257" s="120"/>
      <c r="AN257" s="128"/>
      <c r="AO257" s="128"/>
      <c r="AP257" s="99"/>
      <c r="AQ257" s="99"/>
      <c r="AR257" s="144"/>
      <c r="AS257" s="144"/>
      <c r="AT257" s="129"/>
      <c r="AU257" s="149"/>
      <c r="AV257" s="208"/>
      <c r="AW257" s="99"/>
      <c r="AX257" s="89"/>
      <c r="AY257" s="133"/>
      <c r="AZ257" s="134"/>
      <c r="BA257" s="133"/>
      <c r="BB257" s="134"/>
      <c r="BC257" s="133"/>
      <c r="BD257" s="134"/>
      <c r="BE257" s="132"/>
      <c r="BF257" s="132"/>
      <c r="BG257" s="132"/>
      <c r="CO257" s="211"/>
      <c r="CP257" s="211"/>
      <c r="CQ257" s="209"/>
      <c r="CR257" s="209"/>
      <c r="CS257" s="209"/>
      <c r="CT257" s="209"/>
      <c r="CU257" s="211"/>
      <c r="CV257" s="151"/>
    </row>
    <row r="258" spans="1:100" s="206" customFormat="1" ht="12.75" customHeight="1">
      <c r="A258" s="205"/>
      <c r="B258" s="205"/>
      <c r="C258" s="205"/>
      <c r="D258" s="32"/>
      <c r="E258" s="32"/>
      <c r="F258" s="220"/>
      <c r="G258" s="223"/>
      <c r="H258" s="230"/>
      <c r="I258" s="230"/>
      <c r="J258" s="230"/>
      <c r="K258" s="221"/>
      <c r="L258" s="230"/>
      <c r="M258" s="230"/>
      <c r="N258" s="230"/>
      <c r="O258" s="219"/>
      <c r="P258" s="219"/>
      <c r="Q258" s="222"/>
      <c r="R258" s="231"/>
      <c r="S258" s="232"/>
      <c r="T258" s="205"/>
      <c r="U258" s="205"/>
      <c r="V258" s="205"/>
      <c r="W258" s="204"/>
      <c r="X258" s="204"/>
      <c r="Y258" s="204"/>
      <c r="AG258" s="213"/>
      <c r="AH258" s="211"/>
      <c r="AI258" s="127"/>
      <c r="AJ258" s="127"/>
      <c r="AK258" s="211"/>
      <c r="AL258" s="120"/>
      <c r="AM258" s="120"/>
      <c r="AN258" s="128"/>
      <c r="AO258" s="128"/>
      <c r="AP258" s="99"/>
      <c r="AQ258" s="99"/>
      <c r="AR258" s="144"/>
      <c r="AS258" s="144"/>
      <c r="AT258" s="129"/>
      <c r="AU258" s="149"/>
      <c r="AV258" s="208"/>
      <c r="AW258" s="99"/>
      <c r="AX258" s="89"/>
      <c r="AY258" s="133"/>
      <c r="AZ258" s="134"/>
      <c r="BA258" s="133"/>
      <c r="BB258" s="134"/>
      <c r="BC258" s="133"/>
      <c r="BD258" s="134"/>
      <c r="BE258" s="132"/>
      <c r="BF258" s="132"/>
      <c r="BG258" s="132"/>
      <c r="CO258" s="211"/>
      <c r="CP258" s="211"/>
      <c r="CQ258" s="209"/>
      <c r="CR258" s="209"/>
      <c r="CS258" s="209"/>
      <c r="CT258" s="209"/>
      <c r="CU258" s="211"/>
      <c r="CV258" s="151"/>
    </row>
    <row r="259" spans="1:100" s="206" customFormat="1" ht="12.75" customHeight="1">
      <c r="A259" s="205"/>
      <c r="B259" s="205"/>
      <c r="C259" s="205"/>
      <c r="D259" s="32"/>
      <c r="E259" s="32"/>
      <c r="F259" s="220"/>
      <c r="G259" s="223"/>
      <c r="H259" s="230"/>
      <c r="I259" s="230"/>
      <c r="J259" s="230"/>
      <c r="K259" s="221"/>
      <c r="L259" s="230"/>
      <c r="M259" s="230"/>
      <c r="N259" s="230"/>
      <c r="O259" s="219"/>
      <c r="P259" s="219"/>
      <c r="Q259" s="222"/>
      <c r="R259" s="231"/>
      <c r="S259" s="232"/>
      <c r="T259" s="205"/>
      <c r="U259" s="205"/>
      <c r="V259" s="205"/>
      <c r="W259" s="204"/>
      <c r="X259" s="204"/>
      <c r="Y259" s="204"/>
      <c r="AG259" s="213"/>
      <c r="AH259" s="211"/>
      <c r="AI259" s="127"/>
      <c r="AJ259" s="127"/>
      <c r="AK259" s="211"/>
      <c r="AL259" s="120"/>
      <c r="AM259" s="120"/>
      <c r="AN259" s="128"/>
      <c r="AO259" s="128"/>
      <c r="AP259" s="99"/>
      <c r="AQ259" s="99"/>
      <c r="AR259" s="144"/>
      <c r="AS259" s="144"/>
      <c r="AT259" s="129"/>
      <c r="AU259" s="149"/>
      <c r="AV259" s="208"/>
      <c r="AW259" s="99"/>
      <c r="AX259" s="89"/>
      <c r="AY259" s="133"/>
      <c r="AZ259" s="134"/>
      <c r="BA259" s="133"/>
      <c r="BB259" s="134"/>
      <c r="BC259" s="133"/>
      <c r="BD259" s="134"/>
      <c r="BE259" s="132"/>
      <c r="BF259" s="132"/>
      <c r="BG259" s="132"/>
      <c r="CO259" s="211"/>
      <c r="CP259" s="211"/>
      <c r="CQ259" s="209"/>
      <c r="CR259" s="209"/>
      <c r="CS259" s="209"/>
      <c r="CT259" s="209"/>
      <c r="CU259" s="211"/>
      <c r="CV259" s="151"/>
    </row>
    <row r="260" spans="1:100" s="206" customFormat="1" ht="12.75" customHeight="1">
      <c r="A260" s="205"/>
      <c r="B260" s="205"/>
      <c r="C260" s="205"/>
      <c r="D260" s="32"/>
      <c r="E260" s="32"/>
      <c r="F260" s="220"/>
      <c r="G260" s="223"/>
      <c r="H260" s="230"/>
      <c r="I260" s="230"/>
      <c r="J260" s="230"/>
      <c r="K260" s="221"/>
      <c r="L260" s="230"/>
      <c r="M260" s="230"/>
      <c r="N260" s="230"/>
      <c r="O260" s="219"/>
      <c r="P260" s="219"/>
      <c r="Q260" s="222"/>
      <c r="R260" s="231"/>
      <c r="S260" s="232"/>
      <c r="T260" s="205"/>
      <c r="U260" s="205"/>
      <c r="V260" s="205"/>
      <c r="W260" s="204"/>
      <c r="X260" s="204"/>
      <c r="Y260" s="204"/>
      <c r="AG260" s="213"/>
      <c r="AH260" s="211"/>
      <c r="AI260" s="127"/>
      <c r="AJ260" s="127"/>
      <c r="AK260" s="211"/>
      <c r="AL260" s="120"/>
      <c r="AM260" s="120"/>
      <c r="AN260" s="128"/>
      <c r="AO260" s="128"/>
      <c r="AP260" s="99"/>
      <c r="AQ260" s="99"/>
      <c r="AR260" s="144"/>
      <c r="AS260" s="144"/>
      <c r="AT260" s="129"/>
      <c r="AU260" s="149"/>
      <c r="AV260" s="208"/>
      <c r="AW260" s="99"/>
      <c r="AX260" s="89"/>
      <c r="AY260" s="133"/>
      <c r="AZ260" s="134"/>
      <c r="BA260" s="133"/>
      <c r="BB260" s="134"/>
      <c r="BC260" s="133"/>
      <c r="BD260" s="134"/>
      <c r="BE260" s="132"/>
      <c r="BF260" s="132"/>
      <c r="BG260" s="132"/>
      <c r="CO260" s="211"/>
      <c r="CP260" s="211"/>
      <c r="CQ260" s="209"/>
      <c r="CR260" s="209"/>
      <c r="CS260" s="209"/>
      <c r="CT260" s="209"/>
      <c r="CU260" s="211"/>
      <c r="CV260" s="151"/>
    </row>
    <row r="261" spans="1:100" s="206" customFormat="1" ht="12.75" customHeight="1">
      <c r="A261" s="205"/>
      <c r="B261" s="205"/>
      <c r="C261" s="205"/>
      <c r="D261" s="32"/>
      <c r="E261" s="32"/>
      <c r="F261" s="220"/>
      <c r="G261" s="223"/>
      <c r="H261" s="230"/>
      <c r="I261" s="230"/>
      <c r="J261" s="230"/>
      <c r="K261" s="221"/>
      <c r="L261" s="230"/>
      <c r="M261" s="230"/>
      <c r="N261" s="230"/>
      <c r="O261" s="219"/>
      <c r="P261" s="219"/>
      <c r="Q261" s="222"/>
      <c r="R261" s="231"/>
      <c r="S261" s="232"/>
      <c r="T261" s="205"/>
      <c r="U261" s="205"/>
      <c r="V261" s="205"/>
      <c r="W261" s="204"/>
      <c r="X261" s="204"/>
      <c r="Y261" s="204"/>
      <c r="AG261" s="213"/>
      <c r="AH261" s="211"/>
      <c r="AI261" s="127"/>
      <c r="AJ261" s="127"/>
      <c r="AK261" s="211"/>
      <c r="AL261" s="120"/>
      <c r="AM261" s="120"/>
      <c r="AN261" s="128"/>
      <c r="AO261" s="128"/>
      <c r="AP261" s="99"/>
      <c r="AQ261" s="99"/>
      <c r="AR261" s="144"/>
      <c r="AS261" s="144"/>
      <c r="AT261" s="129"/>
      <c r="AU261" s="149"/>
      <c r="AV261" s="208"/>
      <c r="AW261" s="99"/>
      <c r="AX261" s="89"/>
      <c r="AY261" s="133"/>
      <c r="AZ261" s="134"/>
      <c r="BA261" s="133"/>
      <c r="BB261" s="134"/>
      <c r="BC261" s="133"/>
      <c r="BD261" s="134"/>
      <c r="BE261" s="132"/>
      <c r="BF261" s="132"/>
      <c r="BG261" s="132"/>
      <c r="CO261" s="211"/>
      <c r="CP261" s="211"/>
      <c r="CQ261" s="209"/>
      <c r="CR261" s="209"/>
      <c r="CS261" s="209"/>
      <c r="CT261" s="209"/>
      <c r="CU261" s="211"/>
      <c r="CV261" s="151"/>
    </row>
    <row r="262" spans="1:100" s="206" customFormat="1" ht="12.75" customHeight="1">
      <c r="A262" s="205"/>
      <c r="B262" s="205"/>
      <c r="C262" s="205"/>
      <c r="D262" s="32"/>
      <c r="E262" s="32"/>
      <c r="F262" s="220"/>
      <c r="G262" s="223"/>
      <c r="H262" s="230"/>
      <c r="I262" s="230"/>
      <c r="J262" s="230"/>
      <c r="K262" s="221"/>
      <c r="L262" s="230"/>
      <c r="M262" s="230"/>
      <c r="N262" s="230"/>
      <c r="O262" s="219"/>
      <c r="P262" s="219"/>
      <c r="Q262" s="222"/>
      <c r="R262" s="231"/>
      <c r="S262" s="232"/>
      <c r="T262" s="205"/>
      <c r="U262" s="205"/>
      <c r="V262" s="205"/>
      <c r="W262" s="204"/>
      <c r="X262" s="204"/>
      <c r="Y262" s="204"/>
      <c r="AG262" s="213"/>
      <c r="AH262" s="211"/>
      <c r="AI262" s="127"/>
      <c r="AJ262" s="127"/>
      <c r="AK262" s="211"/>
      <c r="AL262" s="120"/>
      <c r="AM262" s="120"/>
      <c r="AN262" s="128"/>
      <c r="AO262" s="128"/>
      <c r="AP262" s="99"/>
      <c r="AQ262" s="99"/>
      <c r="AR262" s="144"/>
      <c r="AS262" s="144"/>
      <c r="AT262" s="129"/>
      <c r="AU262" s="149"/>
      <c r="AV262" s="208"/>
      <c r="AW262" s="99"/>
      <c r="AX262" s="89"/>
      <c r="AY262" s="133"/>
      <c r="AZ262" s="134"/>
      <c r="BA262" s="133"/>
      <c r="BB262" s="134"/>
      <c r="BC262" s="133"/>
      <c r="BD262" s="134"/>
      <c r="BE262" s="132"/>
      <c r="BF262" s="132"/>
      <c r="BG262" s="132"/>
      <c r="CO262" s="211"/>
      <c r="CP262" s="211"/>
      <c r="CQ262" s="209"/>
      <c r="CR262" s="209"/>
      <c r="CS262" s="209"/>
      <c r="CT262" s="209"/>
      <c r="CU262" s="211"/>
      <c r="CV262" s="151"/>
    </row>
    <row r="263" spans="1:100" s="206" customFormat="1" ht="12.75" customHeight="1">
      <c r="A263" s="205"/>
      <c r="B263" s="205"/>
      <c r="C263" s="205"/>
      <c r="D263" s="32"/>
      <c r="E263" s="32"/>
      <c r="F263" s="220"/>
      <c r="G263" s="223"/>
      <c r="H263" s="230"/>
      <c r="I263" s="230"/>
      <c r="J263" s="230"/>
      <c r="K263" s="221"/>
      <c r="L263" s="230"/>
      <c r="M263" s="230"/>
      <c r="N263" s="230"/>
      <c r="O263" s="219"/>
      <c r="P263" s="219"/>
      <c r="Q263" s="222"/>
      <c r="R263" s="231"/>
      <c r="S263" s="232"/>
      <c r="T263" s="205"/>
      <c r="U263" s="205"/>
      <c r="V263" s="205"/>
      <c r="W263" s="204"/>
      <c r="X263" s="204"/>
      <c r="Y263" s="204"/>
      <c r="AG263" s="213"/>
      <c r="AH263" s="211"/>
      <c r="AI263" s="127"/>
      <c r="AJ263" s="127"/>
      <c r="AK263" s="211"/>
      <c r="AL263" s="120"/>
      <c r="AM263" s="120"/>
      <c r="AN263" s="128"/>
      <c r="AO263" s="128"/>
      <c r="AP263" s="99"/>
      <c r="AQ263" s="99"/>
      <c r="AR263" s="144"/>
      <c r="AS263" s="144"/>
      <c r="AT263" s="129"/>
      <c r="AU263" s="149"/>
      <c r="AV263" s="208"/>
      <c r="AW263" s="99"/>
      <c r="AX263" s="89"/>
      <c r="AY263" s="133"/>
      <c r="AZ263" s="134"/>
      <c r="BA263" s="133"/>
      <c r="BB263" s="134"/>
      <c r="BC263" s="133"/>
      <c r="BD263" s="134"/>
      <c r="BE263" s="132"/>
      <c r="BF263" s="132"/>
      <c r="BG263" s="132"/>
      <c r="CO263" s="211"/>
      <c r="CP263" s="211"/>
      <c r="CQ263" s="209"/>
      <c r="CR263" s="209"/>
      <c r="CS263" s="209"/>
      <c r="CT263" s="209"/>
      <c r="CU263" s="211"/>
      <c r="CV263" s="151"/>
    </row>
    <row r="264" spans="1:100" s="206" customFormat="1" ht="12.75" customHeight="1">
      <c r="A264" s="205"/>
      <c r="B264" s="205"/>
      <c r="C264" s="205"/>
      <c r="D264" s="32"/>
      <c r="E264" s="32"/>
      <c r="F264" s="220"/>
      <c r="G264" s="223"/>
      <c r="H264" s="230"/>
      <c r="I264" s="230"/>
      <c r="J264" s="230"/>
      <c r="K264" s="221"/>
      <c r="L264" s="230"/>
      <c r="M264" s="230"/>
      <c r="N264" s="230"/>
      <c r="O264" s="219"/>
      <c r="P264" s="219"/>
      <c r="Q264" s="222"/>
      <c r="R264" s="231"/>
      <c r="S264" s="232"/>
      <c r="T264" s="205"/>
      <c r="U264" s="205"/>
      <c r="V264" s="205"/>
      <c r="W264" s="204"/>
      <c r="X264" s="204"/>
      <c r="Y264" s="204"/>
      <c r="AG264" s="213"/>
      <c r="AH264" s="211"/>
      <c r="AI264" s="127"/>
      <c r="AJ264" s="127"/>
      <c r="AK264" s="211"/>
      <c r="AL264" s="120"/>
      <c r="AM264" s="120"/>
      <c r="AN264" s="128"/>
      <c r="AO264" s="128"/>
      <c r="AP264" s="99"/>
      <c r="AQ264" s="99"/>
      <c r="AR264" s="144"/>
      <c r="AS264" s="144"/>
      <c r="AT264" s="129"/>
      <c r="AU264" s="149"/>
      <c r="AV264" s="208"/>
      <c r="AW264" s="99"/>
      <c r="AX264" s="89"/>
      <c r="AY264" s="133"/>
      <c r="AZ264" s="134"/>
      <c r="BA264" s="133"/>
      <c r="BB264" s="134"/>
      <c r="BC264" s="133"/>
      <c r="BD264" s="134"/>
      <c r="BE264" s="132"/>
      <c r="BF264" s="132"/>
      <c r="BG264" s="132"/>
      <c r="CO264" s="211"/>
      <c r="CP264" s="211"/>
      <c r="CQ264" s="209"/>
      <c r="CR264" s="209"/>
      <c r="CS264" s="209"/>
      <c r="CT264" s="209"/>
      <c r="CU264" s="211"/>
      <c r="CV264" s="151"/>
    </row>
    <row r="265" spans="1:100" s="206" customFormat="1" ht="12.75" customHeight="1">
      <c r="A265" s="205"/>
      <c r="B265" s="205"/>
      <c r="C265" s="205"/>
      <c r="D265" s="32"/>
      <c r="E265" s="32"/>
      <c r="F265" s="220"/>
      <c r="G265" s="223"/>
      <c r="H265" s="230"/>
      <c r="I265" s="230"/>
      <c r="J265" s="230"/>
      <c r="K265" s="221"/>
      <c r="L265" s="230"/>
      <c r="M265" s="230"/>
      <c r="N265" s="230"/>
      <c r="O265" s="219"/>
      <c r="P265" s="219"/>
      <c r="Q265" s="222"/>
      <c r="R265" s="231"/>
      <c r="S265" s="232"/>
      <c r="T265" s="205"/>
      <c r="U265" s="205"/>
      <c r="V265" s="205"/>
      <c r="W265" s="204"/>
      <c r="X265" s="204"/>
      <c r="Y265" s="204"/>
      <c r="AG265" s="213"/>
      <c r="AH265" s="211"/>
      <c r="AI265" s="127"/>
      <c r="AJ265" s="127"/>
      <c r="AK265" s="211"/>
      <c r="AL265" s="120"/>
      <c r="AM265" s="120"/>
      <c r="AN265" s="128"/>
      <c r="AO265" s="128"/>
      <c r="AP265" s="99"/>
      <c r="AQ265" s="99"/>
      <c r="AR265" s="144"/>
      <c r="AS265" s="144"/>
      <c r="AT265" s="129"/>
      <c r="AU265" s="149"/>
      <c r="AV265" s="208"/>
      <c r="AW265" s="99"/>
      <c r="AX265" s="89"/>
      <c r="AY265" s="133"/>
      <c r="AZ265" s="134"/>
      <c r="BA265" s="133"/>
      <c r="BB265" s="134"/>
      <c r="BC265" s="133"/>
      <c r="BD265" s="134"/>
      <c r="BE265" s="132"/>
      <c r="BF265" s="132"/>
      <c r="BG265" s="132"/>
      <c r="CO265" s="211"/>
      <c r="CP265" s="211"/>
      <c r="CQ265" s="209"/>
      <c r="CR265" s="209"/>
      <c r="CS265" s="209"/>
      <c r="CT265" s="209"/>
      <c r="CU265" s="211"/>
      <c r="CV265" s="151"/>
    </row>
    <row r="266" spans="1:100" s="206" customFormat="1" ht="12.75" customHeight="1">
      <c r="A266" s="205"/>
      <c r="B266" s="205"/>
      <c r="C266" s="205"/>
      <c r="D266" s="32"/>
      <c r="E266" s="32"/>
      <c r="F266" s="220"/>
      <c r="G266" s="223"/>
      <c r="H266" s="230"/>
      <c r="I266" s="230"/>
      <c r="J266" s="230"/>
      <c r="K266" s="221"/>
      <c r="L266" s="230"/>
      <c r="M266" s="230"/>
      <c r="N266" s="230"/>
      <c r="O266" s="219"/>
      <c r="P266" s="219"/>
      <c r="Q266" s="222"/>
      <c r="R266" s="231"/>
      <c r="S266" s="232"/>
      <c r="T266" s="205"/>
      <c r="U266" s="205"/>
      <c r="V266" s="205"/>
      <c r="W266" s="204"/>
      <c r="X266" s="204"/>
      <c r="Y266" s="204"/>
      <c r="AG266" s="213"/>
      <c r="AH266" s="211"/>
      <c r="AI266" s="127"/>
      <c r="AJ266" s="127"/>
      <c r="AK266" s="211"/>
      <c r="AL266" s="120"/>
      <c r="AM266" s="120"/>
      <c r="AN266" s="128"/>
      <c r="AO266" s="128"/>
      <c r="AP266" s="99"/>
      <c r="AQ266" s="99"/>
      <c r="AR266" s="144"/>
      <c r="AS266" s="144"/>
      <c r="AT266" s="129"/>
      <c r="AU266" s="149"/>
      <c r="AV266" s="208"/>
      <c r="AW266" s="99"/>
      <c r="AX266" s="89"/>
      <c r="AY266" s="133"/>
      <c r="AZ266" s="134"/>
      <c r="BA266" s="133"/>
      <c r="BB266" s="134"/>
      <c r="BC266" s="133"/>
      <c r="BD266" s="134"/>
      <c r="BE266" s="132"/>
      <c r="BF266" s="132"/>
      <c r="BG266" s="132"/>
      <c r="CO266" s="211"/>
      <c r="CP266" s="211"/>
      <c r="CQ266" s="209"/>
      <c r="CR266" s="209"/>
      <c r="CS266" s="209"/>
      <c r="CT266" s="209"/>
      <c r="CU266" s="211"/>
      <c r="CV266" s="151"/>
    </row>
    <row r="267" spans="1:100" s="206" customFormat="1" ht="12.75" customHeight="1">
      <c r="A267" s="205"/>
      <c r="B267" s="205"/>
      <c r="C267" s="205"/>
      <c r="D267" s="32"/>
      <c r="E267" s="32"/>
      <c r="F267" s="220"/>
      <c r="G267" s="223"/>
      <c r="H267" s="230"/>
      <c r="I267" s="230"/>
      <c r="J267" s="230"/>
      <c r="K267" s="221"/>
      <c r="L267" s="230"/>
      <c r="M267" s="230"/>
      <c r="N267" s="230"/>
      <c r="O267" s="219"/>
      <c r="P267" s="219"/>
      <c r="Q267" s="222"/>
      <c r="R267" s="231"/>
      <c r="S267" s="232"/>
      <c r="T267" s="205"/>
      <c r="U267" s="205"/>
      <c r="V267" s="205"/>
      <c r="W267" s="204"/>
      <c r="X267" s="204"/>
      <c r="Y267" s="204"/>
      <c r="AG267" s="213"/>
      <c r="AH267" s="211"/>
      <c r="AI267" s="127"/>
      <c r="AJ267" s="127"/>
      <c r="AK267" s="211"/>
      <c r="AL267" s="120"/>
      <c r="AM267" s="120"/>
      <c r="AN267" s="128"/>
      <c r="AO267" s="128"/>
      <c r="AP267" s="99"/>
      <c r="AQ267" s="99"/>
      <c r="AR267" s="144"/>
      <c r="AS267" s="144"/>
      <c r="AT267" s="129"/>
      <c r="AU267" s="149"/>
      <c r="AV267" s="208"/>
      <c r="AW267" s="99"/>
      <c r="AX267" s="89"/>
      <c r="AY267" s="133"/>
      <c r="AZ267" s="134"/>
      <c r="BA267" s="133"/>
      <c r="BB267" s="134"/>
      <c r="BC267" s="133"/>
      <c r="BD267" s="134"/>
      <c r="BE267" s="132"/>
      <c r="BF267" s="132"/>
      <c r="BG267" s="132"/>
      <c r="CO267" s="211"/>
      <c r="CP267" s="211"/>
      <c r="CQ267" s="209"/>
      <c r="CR267" s="209"/>
      <c r="CS267" s="209"/>
      <c r="CT267" s="209"/>
      <c r="CU267" s="211"/>
      <c r="CV267" s="151"/>
    </row>
    <row r="268" spans="1:100" s="206" customFormat="1" ht="12.75" customHeight="1">
      <c r="A268" s="205"/>
      <c r="B268" s="205"/>
      <c r="C268" s="205"/>
      <c r="D268" s="32"/>
      <c r="E268" s="32"/>
      <c r="F268" s="220"/>
      <c r="G268" s="223"/>
      <c r="H268" s="230"/>
      <c r="I268" s="230"/>
      <c r="J268" s="230"/>
      <c r="K268" s="221"/>
      <c r="L268" s="230"/>
      <c r="M268" s="230"/>
      <c r="N268" s="230"/>
      <c r="O268" s="219"/>
      <c r="P268" s="219"/>
      <c r="Q268" s="222"/>
      <c r="R268" s="231"/>
      <c r="S268" s="232"/>
      <c r="T268" s="205"/>
      <c r="U268" s="205"/>
      <c r="V268" s="205"/>
      <c r="W268" s="204"/>
      <c r="X268" s="204"/>
      <c r="Y268" s="204"/>
      <c r="AG268" s="213"/>
      <c r="AH268" s="211"/>
      <c r="AI268" s="127"/>
      <c r="AJ268" s="127"/>
      <c r="AK268" s="211"/>
      <c r="AL268" s="120"/>
      <c r="AM268" s="120"/>
      <c r="AN268" s="128"/>
      <c r="AO268" s="128"/>
      <c r="AP268" s="99"/>
      <c r="AQ268" s="99"/>
      <c r="AR268" s="144"/>
      <c r="AS268" s="144"/>
      <c r="AT268" s="129"/>
      <c r="AU268" s="149"/>
      <c r="AV268" s="208"/>
      <c r="AW268" s="99"/>
      <c r="AX268" s="89"/>
      <c r="AY268" s="133"/>
      <c r="AZ268" s="134"/>
      <c r="BA268" s="133"/>
      <c r="BB268" s="134"/>
      <c r="BC268" s="133"/>
      <c r="BD268" s="134"/>
      <c r="BE268" s="132"/>
      <c r="BF268" s="132"/>
      <c r="BG268" s="132"/>
      <c r="CO268" s="211"/>
      <c r="CP268" s="211"/>
      <c r="CQ268" s="209"/>
      <c r="CR268" s="209"/>
      <c r="CS268" s="209"/>
      <c r="CT268" s="209"/>
      <c r="CU268" s="211"/>
      <c r="CV268" s="151"/>
    </row>
    <row r="269" spans="1:100" s="206" customFormat="1" ht="12.75" customHeight="1">
      <c r="A269" s="205"/>
      <c r="B269" s="205"/>
      <c r="C269" s="205"/>
      <c r="D269" s="32"/>
      <c r="E269" s="32"/>
      <c r="F269" s="220"/>
      <c r="G269" s="223"/>
      <c r="H269" s="230"/>
      <c r="I269" s="230"/>
      <c r="J269" s="230"/>
      <c r="K269" s="221"/>
      <c r="L269" s="230"/>
      <c r="M269" s="230"/>
      <c r="N269" s="230"/>
      <c r="O269" s="219"/>
      <c r="P269" s="219"/>
      <c r="Q269" s="222"/>
      <c r="R269" s="231"/>
      <c r="S269" s="232"/>
      <c r="T269" s="205"/>
      <c r="U269" s="205"/>
      <c r="V269" s="205"/>
      <c r="W269" s="204"/>
      <c r="X269" s="204"/>
      <c r="Y269" s="204"/>
      <c r="AG269" s="213"/>
      <c r="AH269" s="211"/>
      <c r="AI269" s="127"/>
      <c r="AJ269" s="127"/>
      <c r="AK269" s="211"/>
      <c r="AL269" s="120"/>
      <c r="AM269" s="120"/>
      <c r="AN269" s="128"/>
      <c r="AO269" s="128"/>
      <c r="AP269" s="99"/>
      <c r="AQ269" s="99"/>
      <c r="AR269" s="144"/>
      <c r="AS269" s="144"/>
      <c r="AT269" s="129"/>
      <c r="AU269" s="149"/>
      <c r="AV269" s="208"/>
      <c r="AW269" s="99"/>
      <c r="AX269" s="89"/>
      <c r="AY269" s="133"/>
      <c r="AZ269" s="134"/>
      <c r="BA269" s="133"/>
      <c r="BB269" s="134"/>
      <c r="BC269" s="133"/>
      <c r="BD269" s="134"/>
      <c r="BE269" s="132"/>
      <c r="BF269" s="132"/>
      <c r="BG269" s="132"/>
      <c r="CO269" s="211"/>
      <c r="CP269" s="211"/>
      <c r="CQ269" s="209"/>
      <c r="CR269" s="209"/>
      <c r="CS269" s="209"/>
      <c r="CT269" s="209"/>
      <c r="CU269" s="211"/>
      <c r="CV269" s="151"/>
    </row>
    <row r="270" spans="1:100" s="206" customFormat="1" ht="12.75" customHeight="1">
      <c r="A270" s="205"/>
      <c r="B270" s="205"/>
      <c r="C270" s="205"/>
      <c r="D270" s="32"/>
      <c r="E270" s="32"/>
      <c r="F270" s="220"/>
      <c r="G270" s="223"/>
      <c r="H270" s="230"/>
      <c r="I270" s="230"/>
      <c r="J270" s="230"/>
      <c r="K270" s="221"/>
      <c r="L270" s="230"/>
      <c r="M270" s="230"/>
      <c r="N270" s="230"/>
      <c r="O270" s="219"/>
      <c r="P270" s="219"/>
      <c r="Q270" s="222"/>
      <c r="R270" s="231"/>
      <c r="S270" s="232"/>
      <c r="T270" s="205"/>
      <c r="U270" s="205"/>
      <c r="V270" s="205"/>
      <c r="W270" s="204"/>
      <c r="X270" s="204"/>
      <c r="Y270" s="204"/>
      <c r="AG270" s="213"/>
      <c r="AH270" s="211"/>
      <c r="AI270" s="127"/>
      <c r="AJ270" s="127"/>
      <c r="AK270" s="211"/>
      <c r="AL270" s="120"/>
      <c r="AM270" s="120"/>
      <c r="AN270" s="128"/>
      <c r="AO270" s="128"/>
      <c r="AP270" s="99"/>
      <c r="AQ270" s="99"/>
      <c r="AR270" s="144"/>
      <c r="AS270" s="144"/>
      <c r="AT270" s="129"/>
      <c r="AU270" s="149"/>
      <c r="AV270" s="208"/>
      <c r="AW270" s="99"/>
      <c r="AX270" s="89"/>
      <c r="AY270" s="133"/>
      <c r="AZ270" s="134"/>
      <c r="BA270" s="133"/>
      <c r="BB270" s="134"/>
      <c r="BC270" s="133"/>
      <c r="BD270" s="134"/>
      <c r="BE270" s="132"/>
      <c r="BF270" s="132"/>
      <c r="BG270" s="132"/>
      <c r="CO270" s="211"/>
      <c r="CP270" s="211"/>
      <c r="CQ270" s="209"/>
      <c r="CR270" s="209"/>
      <c r="CS270" s="209"/>
      <c r="CT270" s="209"/>
      <c r="CU270" s="211"/>
      <c r="CV270" s="151"/>
    </row>
    <row r="271" spans="1:100" s="206" customFormat="1" ht="12.75" customHeight="1">
      <c r="A271" s="205"/>
      <c r="B271" s="205"/>
      <c r="C271" s="205"/>
      <c r="D271" s="32"/>
      <c r="E271" s="32"/>
      <c r="F271" s="78"/>
      <c r="G271" s="203"/>
      <c r="H271" s="74"/>
      <c r="I271" s="74"/>
      <c r="J271" s="78"/>
      <c r="K271" s="74"/>
      <c r="L271" s="76"/>
      <c r="M271" s="74"/>
      <c r="N271" s="74"/>
      <c r="O271" s="78"/>
      <c r="P271" s="204"/>
      <c r="Q271" s="204"/>
      <c r="R271" s="204"/>
      <c r="S271" s="204"/>
      <c r="T271" s="205"/>
      <c r="U271" s="205"/>
      <c r="V271" s="205"/>
      <c r="W271" s="204"/>
      <c r="X271" s="204"/>
      <c r="Y271" s="204"/>
      <c r="AG271" s="213"/>
      <c r="AH271" s="211"/>
      <c r="AI271" s="135"/>
      <c r="AL271" s="138"/>
      <c r="AM271" s="138"/>
      <c r="AN271" s="138"/>
      <c r="AO271" s="136"/>
      <c r="AP271" s="122"/>
      <c r="AQ271" s="122"/>
      <c r="AT271" s="137"/>
      <c r="AV271" s="208"/>
      <c r="AW271" s="99"/>
      <c r="AX271" s="89"/>
      <c r="AY271" s="133"/>
      <c r="AZ271" s="134"/>
      <c r="BA271" s="133"/>
      <c r="BB271" s="134"/>
      <c r="BC271" s="133"/>
      <c r="BD271" s="134"/>
      <c r="BE271" s="132"/>
      <c r="BF271" s="132"/>
      <c r="BG271" s="132"/>
      <c r="CO271" s="211"/>
      <c r="CP271" s="211"/>
      <c r="CQ271" s="209"/>
      <c r="CR271" s="209"/>
      <c r="CS271" s="209"/>
      <c r="CT271" s="209"/>
      <c r="CU271" s="211"/>
      <c r="CV271" s="151"/>
    </row>
    <row r="272" spans="1:100" s="206" customFormat="1" ht="12.75" customHeight="1">
      <c r="A272" s="205"/>
      <c r="B272" s="205"/>
      <c r="C272" s="205"/>
      <c r="D272" s="32"/>
      <c r="E272" s="32"/>
      <c r="F272" s="78"/>
      <c r="G272" s="203"/>
      <c r="H272" s="74"/>
      <c r="I272" s="74"/>
      <c r="J272" s="78"/>
      <c r="K272" s="78"/>
      <c r="L272" s="229"/>
      <c r="M272" s="229"/>
      <c r="N272" s="229"/>
      <c r="O272" s="78"/>
      <c r="P272" s="218"/>
      <c r="Q272" s="218"/>
      <c r="R272" s="204"/>
      <c r="S272" s="204"/>
      <c r="T272" s="205"/>
      <c r="U272" s="205"/>
      <c r="V272" s="205"/>
      <c r="W272" s="204"/>
      <c r="X272" s="204"/>
      <c r="Y272" s="204"/>
      <c r="AG272" s="213"/>
      <c r="AH272" s="211"/>
      <c r="AI272" s="135"/>
      <c r="AL272" s="138"/>
      <c r="AM272" s="138"/>
      <c r="AN272" s="138"/>
      <c r="AO272" s="136"/>
      <c r="AP272" s="122"/>
      <c r="AQ272" s="122"/>
      <c r="AT272" s="137"/>
      <c r="AV272" s="208"/>
      <c r="AW272" s="99"/>
      <c r="AX272" s="89"/>
      <c r="AY272" s="89"/>
      <c r="AZ272" s="89"/>
      <c r="BA272" s="89"/>
      <c r="BB272" s="89"/>
      <c r="BC272" s="89"/>
      <c r="BD272" s="89"/>
    </row>
    <row r="273" spans="1:56" s="206" customFormat="1" ht="12.75" customHeight="1">
      <c r="A273" s="205"/>
      <c r="B273" s="205"/>
      <c r="C273" s="205"/>
      <c r="D273" s="32"/>
      <c r="E273" s="32"/>
      <c r="F273" s="78"/>
      <c r="G273" s="203"/>
      <c r="H273" s="74"/>
      <c r="I273" s="74"/>
      <c r="J273" s="78"/>
      <c r="K273" s="74"/>
      <c r="L273" s="229"/>
      <c r="M273" s="229"/>
      <c r="N273" s="229"/>
      <c r="O273" s="78"/>
      <c r="P273" s="204"/>
      <c r="Q273" s="204"/>
      <c r="R273" s="204"/>
      <c r="S273" s="204"/>
      <c r="T273" s="205"/>
      <c r="U273" s="205"/>
      <c r="V273" s="205"/>
      <c r="W273" s="204"/>
      <c r="X273" s="204"/>
      <c r="Y273" s="204"/>
      <c r="AG273" s="213"/>
      <c r="AI273" s="135"/>
      <c r="AL273" s="138"/>
      <c r="AM273" s="138"/>
      <c r="AN273" s="138"/>
      <c r="AO273" s="136"/>
      <c r="AP273" s="122"/>
      <c r="AQ273" s="122"/>
      <c r="AT273" s="137"/>
      <c r="AV273" s="208"/>
      <c r="AW273" s="99"/>
      <c r="AX273" s="89"/>
      <c r="AY273" s="89"/>
      <c r="AZ273" s="89"/>
      <c r="BA273" s="89"/>
      <c r="BB273" s="89"/>
      <c r="BC273" s="89"/>
      <c r="BD273" s="89"/>
    </row>
    <row r="274" spans="1:56" s="206" customFormat="1" ht="12.75" customHeight="1">
      <c r="A274" s="205"/>
      <c r="B274" s="205"/>
      <c r="C274" s="205"/>
      <c r="D274" s="32"/>
      <c r="E274" s="32"/>
      <c r="F274" s="78"/>
      <c r="G274" s="203"/>
      <c r="H274" s="74"/>
      <c r="I274" s="74"/>
      <c r="J274" s="78"/>
      <c r="K274" s="74"/>
      <c r="L274" s="229"/>
      <c r="M274" s="229"/>
      <c r="N274" s="229"/>
      <c r="O274" s="78"/>
      <c r="P274" s="204"/>
      <c r="Q274" s="204"/>
      <c r="R274" s="204"/>
      <c r="S274" s="204"/>
      <c r="T274" s="205"/>
      <c r="U274" s="205"/>
      <c r="V274" s="205"/>
      <c r="W274" s="204"/>
      <c r="X274" s="204"/>
      <c r="Y274" s="204"/>
      <c r="AG274" s="213"/>
      <c r="AI274" s="135"/>
      <c r="AL274" s="138"/>
      <c r="AM274" s="138"/>
      <c r="AN274" s="138"/>
      <c r="AO274" s="136"/>
      <c r="AP274" s="122"/>
      <c r="AQ274" s="122"/>
      <c r="AT274" s="137"/>
      <c r="AV274" s="208"/>
      <c r="AW274" s="99"/>
      <c r="AX274" s="89"/>
      <c r="AY274" s="89"/>
      <c r="AZ274" s="89"/>
      <c r="BA274" s="89"/>
      <c r="BB274" s="89"/>
      <c r="BC274" s="89"/>
      <c r="BD274" s="89"/>
    </row>
    <row r="275" spans="1:56" s="206" customFormat="1" ht="12.75" customHeight="1">
      <c r="A275" s="205"/>
      <c r="B275" s="205"/>
      <c r="C275" s="205"/>
      <c r="D275" s="32"/>
      <c r="E275" s="32"/>
      <c r="F275" s="78"/>
      <c r="G275" s="203"/>
      <c r="H275" s="74"/>
      <c r="I275" s="74"/>
      <c r="J275" s="78"/>
      <c r="K275" s="74"/>
      <c r="L275" s="229"/>
      <c r="M275" s="229"/>
      <c r="N275" s="229"/>
      <c r="O275" s="78"/>
      <c r="P275" s="204"/>
      <c r="Q275" s="204"/>
      <c r="R275" s="204"/>
      <c r="S275" s="204"/>
      <c r="T275" s="205"/>
      <c r="U275" s="205"/>
      <c r="V275" s="205"/>
      <c r="W275" s="204"/>
      <c r="X275" s="204"/>
      <c r="Y275" s="204"/>
      <c r="AG275" s="213"/>
      <c r="AI275" s="135"/>
      <c r="AL275" s="138"/>
      <c r="AM275" s="138"/>
      <c r="AN275" s="138"/>
      <c r="AO275" s="136"/>
      <c r="AP275" s="122"/>
      <c r="AQ275" s="122"/>
      <c r="AT275" s="137"/>
      <c r="AV275" s="208"/>
      <c r="AW275" s="99"/>
      <c r="AX275" s="89"/>
      <c r="AY275" s="89"/>
      <c r="AZ275" s="89"/>
      <c r="BA275" s="89"/>
      <c r="BB275" s="89"/>
      <c r="BC275" s="89"/>
      <c r="BD275" s="89"/>
    </row>
    <row r="276" spans="1:56" s="206" customFormat="1" ht="12.75" customHeight="1">
      <c r="A276" s="205"/>
      <c r="B276" s="205"/>
      <c r="C276" s="205"/>
      <c r="D276" s="32"/>
      <c r="E276" s="32"/>
      <c r="F276" s="78"/>
      <c r="G276" s="203"/>
      <c r="H276" s="74"/>
      <c r="I276" s="74"/>
      <c r="J276" s="78"/>
      <c r="K276" s="74"/>
      <c r="L276" s="229"/>
      <c r="M276" s="229"/>
      <c r="N276" s="229"/>
      <c r="O276" s="78"/>
      <c r="P276" s="204"/>
      <c r="Q276" s="204"/>
      <c r="R276" s="204"/>
      <c r="S276" s="204"/>
      <c r="T276" s="205"/>
      <c r="U276" s="205"/>
      <c r="V276" s="205"/>
      <c r="W276" s="204"/>
      <c r="X276" s="204"/>
      <c r="Y276" s="204"/>
      <c r="AG276" s="213"/>
      <c r="AI276" s="135"/>
      <c r="AL276" s="138"/>
      <c r="AM276" s="138"/>
      <c r="AN276" s="138"/>
      <c r="AO276" s="136"/>
      <c r="AP276" s="122"/>
      <c r="AQ276" s="122"/>
      <c r="AT276" s="137"/>
      <c r="AV276" s="208"/>
      <c r="AW276" s="99"/>
      <c r="AX276" s="89"/>
      <c r="AY276" s="89"/>
      <c r="AZ276" s="89"/>
      <c r="BA276" s="89"/>
      <c r="BB276" s="89"/>
      <c r="BC276" s="89"/>
      <c r="BD276" s="89"/>
    </row>
    <row r="277" spans="1:56" s="206" customFormat="1" ht="12.75" customHeight="1">
      <c r="A277" s="205"/>
      <c r="B277" s="205"/>
      <c r="C277" s="205"/>
      <c r="D277" s="32"/>
      <c r="E277" s="32"/>
      <c r="F277" s="78"/>
      <c r="G277" s="203"/>
      <c r="H277" s="74"/>
      <c r="I277" s="74"/>
      <c r="J277" s="78"/>
      <c r="K277" s="74"/>
      <c r="L277" s="229"/>
      <c r="M277" s="229"/>
      <c r="N277" s="229"/>
      <c r="O277" s="78"/>
      <c r="P277" s="204"/>
      <c r="Q277" s="204"/>
      <c r="R277" s="204"/>
      <c r="S277" s="204"/>
      <c r="T277" s="205"/>
      <c r="U277" s="205"/>
      <c r="V277" s="205"/>
      <c r="W277" s="204"/>
      <c r="X277" s="204"/>
      <c r="Y277" s="204"/>
      <c r="AG277" s="213"/>
      <c r="AI277" s="135"/>
      <c r="AL277" s="138"/>
      <c r="AM277" s="138"/>
      <c r="AN277" s="138"/>
      <c r="AO277" s="136"/>
      <c r="AP277" s="122"/>
      <c r="AQ277" s="122"/>
      <c r="AT277" s="137"/>
      <c r="AV277" s="208"/>
      <c r="AW277" s="99"/>
      <c r="AX277" s="89"/>
      <c r="AY277" s="89"/>
      <c r="AZ277" s="89"/>
      <c r="BA277" s="89"/>
      <c r="BB277" s="89"/>
      <c r="BC277" s="89"/>
      <c r="BD277" s="89"/>
    </row>
    <row r="278" spans="1:56" s="206" customFormat="1" ht="12.75" customHeight="1">
      <c r="A278" s="205"/>
      <c r="B278" s="205"/>
      <c r="C278" s="205"/>
      <c r="D278" s="32"/>
      <c r="E278" s="32"/>
      <c r="F278" s="78"/>
      <c r="G278" s="203"/>
      <c r="H278" s="74"/>
      <c r="I278" s="74"/>
      <c r="J278" s="78"/>
      <c r="K278" s="74"/>
      <c r="L278" s="229"/>
      <c r="M278" s="229"/>
      <c r="N278" s="229"/>
      <c r="O278" s="78"/>
      <c r="P278" s="204"/>
      <c r="Q278" s="204"/>
      <c r="R278" s="204"/>
      <c r="S278" s="204"/>
      <c r="T278" s="205"/>
      <c r="U278" s="205"/>
      <c r="V278" s="205"/>
      <c r="W278" s="204"/>
      <c r="X278" s="204"/>
      <c r="Y278" s="204"/>
      <c r="AG278" s="213"/>
      <c r="AI278" s="135"/>
      <c r="AL278" s="138"/>
      <c r="AM278" s="138"/>
      <c r="AN278" s="138"/>
      <c r="AO278" s="136"/>
      <c r="AP278" s="122"/>
      <c r="AQ278" s="122"/>
      <c r="AT278" s="137"/>
      <c r="AV278" s="208"/>
      <c r="AW278" s="99"/>
      <c r="AX278" s="89"/>
      <c r="AY278" s="89"/>
      <c r="AZ278" s="89"/>
      <c r="BA278" s="89"/>
      <c r="BB278" s="89"/>
      <c r="BC278" s="89"/>
      <c r="BD278" s="89"/>
    </row>
    <row r="279" spans="1:56" s="206" customFormat="1" ht="12.75" customHeight="1">
      <c r="A279" s="205"/>
      <c r="B279" s="205"/>
      <c r="C279" s="205"/>
      <c r="D279" s="32"/>
      <c r="E279" s="32"/>
      <c r="F279" s="78"/>
      <c r="G279" s="203"/>
      <c r="H279" s="74"/>
      <c r="I279" s="74"/>
      <c r="J279" s="78"/>
      <c r="K279" s="74"/>
      <c r="L279" s="229"/>
      <c r="M279" s="229"/>
      <c r="N279" s="229"/>
      <c r="O279" s="78"/>
      <c r="P279" s="204"/>
      <c r="Q279" s="204"/>
      <c r="R279" s="204"/>
      <c r="S279" s="204"/>
      <c r="T279" s="205"/>
      <c r="U279" s="205"/>
      <c r="V279" s="205"/>
      <c r="W279" s="204"/>
      <c r="X279" s="204"/>
      <c r="Y279" s="204"/>
      <c r="AG279" s="213"/>
      <c r="AI279" s="135"/>
      <c r="AL279" s="138"/>
      <c r="AM279" s="138"/>
      <c r="AN279" s="138"/>
      <c r="AO279" s="136"/>
      <c r="AP279" s="122"/>
      <c r="AQ279" s="122"/>
      <c r="AT279" s="137"/>
      <c r="AV279" s="208"/>
      <c r="AW279" s="99"/>
      <c r="AX279" s="89"/>
      <c r="AY279" s="89"/>
      <c r="AZ279" s="89"/>
      <c r="BA279" s="89"/>
      <c r="BB279" s="89"/>
      <c r="BC279" s="89"/>
      <c r="BD279" s="89"/>
    </row>
    <row r="280" spans="1:56" s="206" customFormat="1" ht="12.75" customHeight="1">
      <c r="A280" s="205"/>
      <c r="B280" s="205"/>
      <c r="C280" s="205"/>
      <c r="D280" s="32"/>
      <c r="E280" s="32"/>
      <c r="F280" s="78"/>
      <c r="G280" s="203"/>
      <c r="H280" s="74"/>
      <c r="I280" s="74"/>
      <c r="J280" s="78"/>
      <c r="K280" s="74"/>
      <c r="L280" s="229"/>
      <c r="M280" s="229"/>
      <c r="N280" s="229"/>
      <c r="O280" s="78"/>
      <c r="P280" s="204"/>
      <c r="Q280" s="204"/>
      <c r="R280" s="204"/>
      <c r="S280" s="204"/>
      <c r="T280" s="205"/>
      <c r="U280" s="205"/>
      <c r="V280" s="205"/>
      <c r="W280" s="204"/>
      <c r="X280" s="204"/>
      <c r="Y280" s="204"/>
      <c r="AG280" s="213"/>
      <c r="AI280" s="135"/>
      <c r="AL280" s="138"/>
      <c r="AM280" s="138"/>
      <c r="AN280" s="138"/>
      <c r="AO280" s="136"/>
      <c r="AP280" s="122"/>
      <c r="AQ280" s="122"/>
      <c r="AT280" s="137"/>
      <c r="AV280" s="208"/>
      <c r="AW280" s="99"/>
      <c r="AX280" s="89"/>
      <c r="AY280" s="89"/>
      <c r="AZ280" s="89"/>
      <c r="BA280" s="89"/>
      <c r="BB280" s="89"/>
      <c r="BC280" s="89"/>
      <c r="BD280" s="89"/>
    </row>
    <row r="281" spans="1:56" s="206" customFormat="1" ht="12.75" customHeight="1">
      <c r="A281" s="205"/>
      <c r="B281" s="205"/>
      <c r="C281" s="205"/>
      <c r="D281" s="32"/>
      <c r="E281" s="32"/>
      <c r="F281" s="78"/>
      <c r="G281" s="203"/>
      <c r="H281" s="74"/>
      <c r="I281" s="74"/>
      <c r="J281" s="78"/>
      <c r="K281" s="74"/>
      <c r="L281" s="229"/>
      <c r="M281" s="229"/>
      <c r="N281" s="229"/>
      <c r="O281" s="78"/>
      <c r="P281" s="204"/>
      <c r="Q281" s="204"/>
      <c r="R281" s="204"/>
      <c r="S281" s="204"/>
      <c r="T281" s="205"/>
      <c r="U281" s="205"/>
      <c r="V281" s="205"/>
      <c r="W281" s="204"/>
      <c r="X281" s="204"/>
      <c r="Y281" s="204"/>
      <c r="AG281" s="213"/>
      <c r="AI281" s="135"/>
      <c r="AL281" s="138"/>
      <c r="AM281" s="138"/>
      <c r="AN281" s="138"/>
      <c r="AO281" s="136"/>
      <c r="AP281" s="122"/>
      <c r="AQ281" s="122"/>
      <c r="AT281" s="137"/>
      <c r="AV281" s="208"/>
      <c r="AW281" s="99"/>
      <c r="AX281" s="89"/>
      <c r="AY281" s="89"/>
      <c r="AZ281" s="89"/>
      <c r="BA281" s="89"/>
      <c r="BB281" s="89"/>
      <c r="BC281" s="89"/>
      <c r="BD281" s="89"/>
    </row>
    <row r="282" spans="1:56" s="206" customFormat="1" ht="12.75" customHeight="1">
      <c r="A282" s="205"/>
      <c r="B282" s="205"/>
      <c r="C282" s="205"/>
      <c r="D282" s="32"/>
      <c r="E282" s="32"/>
      <c r="F282" s="78"/>
      <c r="G282" s="203"/>
      <c r="H282" s="74"/>
      <c r="I282" s="74"/>
      <c r="J282" s="78"/>
      <c r="K282" s="74"/>
      <c r="L282" s="229"/>
      <c r="M282" s="229"/>
      <c r="N282" s="229"/>
      <c r="O282" s="78"/>
      <c r="P282" s="204"/>
      <c r="Q282" s="204"/>
      <c r="R282" s="204"/>
      <c r="S282" s="204"/>
      <c r="T282" s="205"/>
      <c r="U282" s="205"/>
      <c r="V282" s="205"/>
      <c r="W282" s="204"/>
      <c r="X282" s="204"/>
      <c r="Y282" s="204"/>
      <c r="AG282" s="213"/>
      <c r="AI282" s="135"/>
      <c r="AL282" s="138"/>
      <c r="AM282" s="138"/>
      <c r="AN282" s="138"/>
      <c r="AO282" s="136"/>
      <c r="AP282" s="122"/>
      <c r="AQ282" s="122"/>
      <c r="AT282" s="137"/>
      <c r="AV282" s="208"/>
      <c r="AW282" s="99"/>
      <c r="AX282" s="89"/>
      <c r="AY282" s="89"/>
      <c r="AZ282" s="89"/>
      <c r="BA282" s="89"/>
      <c r="BB282" s="89"/>
      <c r="BC282" s="89"/>
      <c r="BD282" s="89"/>
    </row>
    <row r="283" spans="1:56" s="206" customFormat="1" ht="12.75" customHeight="1">
      <c r="A283" s="205"/>
      <c r="B283" s="205"/>
      <c r="C283" s="205"/>
      <c r="D283" s="32"/>
      <c r="E283" s="32"/>
      <c r="F283" s="78"/>
      <c r="G283" s="203"/>
      <c r="H283" s="74"/>
      <c r="I283" s="74"/>
      <c r="J283" s="78"/>
      <c r="K283" s="74"/>
      <c r="L283" s="229"/>
      <c r="M283" s="229"/>
      <c r="N283" s="229"/>
      <c r="O283" s="78"/>
      <c r="P283" s="204"/>
      <c r="Q283" s="204"/>
      <c r="R283" s="204"/>
      <c r="S283" s="204"/>
      <c r="T283" s="205"/>
      <c r="U283" s="205"/>
      <c r="V283" s="205"/>
      <c r="W283" s="204"/>
      <c r="X283" s="204"/>
      <c r="Y283" s="204"/>
      <c r="AG283" s="213"/>
      <c r="AI283" s="135"/>
      <c r="AL283" s="138"/>
      <c r="AM283" s="138"/>
      <c r="AN283" s="138"/>
      <c r="AO283" s="136"/>
      <c r="AP283" s="122"/>
      <c r="AQ283" s="122"/>
      <c r="AT283" s="137"/>
      <c r="AV283" s="208"/>
      <c r="AW283" s="99"/>
      <c r="AX283" s="89"/>
      <c r="AY283" s="89"/>
      <c r="AZ283" s="89"/>
      <c r="BA283" s="89"/>
      <c r="BB283" s="89"/>
      <c r="BC283" s="89"/>
      <c r="BD283" s="89"/>
    </row>
    <row r="284" spans="1:56" s="206" customFormat="1" ht="12.75" customHeight="1">
      <c r="A284" s="205"/>
      <c r="B284" s="205"/>
      <c r="C284" s="205"/>
      <c r="D284" s="32"/>
      <c r="E284" s="32"/>
      <c r="F284" s="78"/>
      <c r="G284" s="203"/>
      <c r="H284" s="74"/>
      <c r="I284" s="74"/>
      <c r="J284" s="78"/>
      <c r="K284" s="74"/>
      <c r="L284" s="229"/>
      <c r="M284" s="229"/>
      <c r="N284" s="229"/>
      <c r="O284" s="78"/>
      <c r="P284" s="204"/>
      <c r="Q284" s="204"/>
      <c r="R284" s="204"/>
      <c r="S284" s="204"/>
      <c r="T284" s="205"/>
      <c r="U284" s="205"/>
      <c r="V284" s="205"/>
      <c r="W284" s="204"/>
      <c r="X284" s="204"/>
      <c r="Y284" s="204"/>
      <c r="AG284" s="213"/>
      <c r="AI284" s="135"/>
      <c r="AL284" s="138"/>
      <c r="AM284" s="138"/>
      <c r="AN284" s="138"/>
      <c r="AO284" s="136"/>
      <c r="AP284" s="122"/>
      <c r="AQ284" s="122"/>
      <c r="AT284" s="137"/>
      <c r="AV284" s="208"/>
      <c r="AW284" s="99"/>
      <c r="AX284" s="89"/>
      <c r="AY284" s="89"/>
      <c r="AZ284" s="89"/>
      <c r="BA284" s="89"/>
      <c r="BB284" s="89"/>
      <c r="BC284" s="89"/>
      <c r="BD284" s="89"/>
    </row>
    <row r="285" spans="1:56" s="206" customFormat="1" ht="12.75" customHeight="1">
      <c r="A285" s="205"/>
      <c r="B285" s="205"/>
      <c r="C285" s="205"/>
      <c r="D285" s="32"/>
      <c r="E285" s="32"/>
      <c r="F285" s="78"/>
      <c r="G285" s="203"/>
      <c r="H285" s="74"/>
      <c r="I285" s="74"/>
      <c r="J285" s="78"/>
      <c r="K285" s="74"/>
      <c r="L285" s="229"/>
      <c r="M285" s="229"/>
      <c r="N285" s="229"/>
      <c r="O285" s="78"/>
      <c r="P285" s="204"/>
      <c r="Q285" s="204"/>
      <c r="R285" s="204"/>
      <c r="S285" s="204"/>
      <c r="T285" s="205"/>
      <c r="U285" s="205"/>
      <c r="V285" s="205"/>
      <c r="W285" s="204"/>
      <c r="X285" s="204"/>
      <c r="Y285" s="204"/>
      <c r="AG285" s="213"/>
      <c r="AI285" s="135"/>
      <c r="AL285" s="138"/>
      <c r="AM285" s="138"/>
      <c r="AN285" s="138"/>
      <c r="AO285" s="136"/>
      <c r="AP285" s="122"/>
      <c r="AQ285" s="122"/>
      <c r="AT285" s="137"/>
      <c r="AV285" s="208"/>
      <c r="AW285" s="99"/>
      <c r="AX285" s="89"/>
      <c r="AY285" s="89"/>
      <c r="AZ285" s="89"/>
      <c r="BA285" s="89"/>
      <c r="BB285" s="89"/>
      <c r="BC285" s="89"/>
      <c r="BD285" s="89"/>
    </row>
    <row r="286" spans="1:56" s="206" customFormat="1" ht="12.75" customHeight="1">
      <c r="A286" s="205"/>
      <c r="B286" s="205"/>
      <c r="C286" s="205"/>
      <c r="D286" s="32"/>
      <c r="E286" s="32"/>
      <c r="F286" s="78"/>
      <c r="G286" s="203"/>
      <c r="H286" s="74"/>
      <c r="I286" s="74"/>
      <c r="J286" s="78"/>
      <c r="K286" s="74"/>
      <c r="L286" s="229"/>
      <c r="M286" s="229"/>
      <c r="N286" s="229"/>
      <c r="O286" s="78"/>
      <c r="P286" s="204"/>
      <c r="Q286" s="204"/>
      <c r="R286" s="204"/>
      <c r="S286" s="204"/>
      <c r="T286" s="205"/>
      <c r="U286" s="205"/>
      <c r="V286" s="205"/>
      <c r="W286" s="204"/>
      <c r="X286" s="204"/>
      <c r="Y286" s="204"/>
      <c r="AG286" s="213"/>
      <c r="AI286" s="135"/>
      <c r="AL286" s="138"/>
      <c r="AM286" s="138"/>
      <c r="AN286" s="138"/>
      <c r="AO286" s="136"/>
      <c r="AP286" s="122"/>
      <c r="AQ286" s="122"/>
      <c r="AT286" s="137"/>
      <c r="AV286" s="208"/>
      <c r="AW286" s="99"/>
      <c r="AX286" s="89"/>
      <c r="AY286" s="89"/>
      <c r="AZ286" s="89"/>
      <c r="BA286" s="89"/>
      <c r="BB286" s="89"/>
      <c r="BC286" s="89"/>
      <c r="BD286" s="89"/>
    </row>
    <row r="287" spans="1:56" s="206" customFormat="1" ht="12.75" customHeight="1">
      <c r="A287" s="205"/>
      <c r="B287" s="205"/>
      <c r="C287" s="205"/>
      <c r="D287" s="32"/>
      <c r="E287" s="32"/>
      <c r="F287" s="78"/>
      <c r="G287" s="203"/>
      <c r="H287" s="74"/>
      <c r="I287" s="74"/>
      <c r="J287" s="78"/>
      <c r="K287" s="74"/>
      <c r="L287" s="229"/>
      <c r="M287" s="229"/>
      <c r="N287" s="229"/>
      <c r="O287" s="78"/>
      <c r="P287" s="204"/>
      <c r="Q287" s="204"/>
      <c r="R287" s="204"/>
      <c r="S287" s="204"/>
      <c r="T287" s="205"/>
      <c r="U287" s="205"/>
      <c r="V287" s="205"/>
      <c r="W287" s="204"/>
      <c r="X287" s="204"/>
      <c r="Y287" s="204"/>
      <c r="AG287" s="213"/>
      <c r="AI287" s="135"/>
      <c r="AL287" s="138"/>
      <c r="AM287" s="138"/>
      <c r="AN287" s="138"/>
      <c r="AO287" s="136"/>
      <c r="AP287" s="122"/>
      <c r="AQ287" s="122"/>
      <c r="AT287" s="137"/>
      <c r="AV287" s="208"/>
      <c r="AW287" s="99"/>
      <c r="AX287" s="89"/>
      <c r="AY287" s="89"/>
      <c r="AZ287" s="89"/>
      <c r="BA287" s="89"/>
      <c r="BB287" s="89"/>
      <c r="BC287" s="89"/>
      <c r="BD287" s="89"/>
    </row>
    <row r="288" spans="1:56" s="206" customFormat="1" ht="12.75" customHeight="1">
      <c r="A288" s="205"/>
      <c r="B288" s="205"/>
      <c r="C288" s="205"/>
      <c r="D288" s="32"/>
      <c r="E288" s="32"/>
      <c r="F288" s="78"/>
      <c r="G288" s="203"/>
      <c r="H288" s="74"/>
      <c r="I288" s="74"/>
      <c r="J288" s="78"/>
      <c r="K288" s="74"/>
      <c r="L288" s="229"/>
      <c r="M288" s="229"/>
      <c r="N288" s="229"/>
      <c r="O288" s="78"/>
      <c r="P288" s="204"/>
      <c r="Q288" s="204"/>
      <c r="R288" s="204"/>
      <c r="S288" s="204"/>
      <c r="T288" s="205"/>
      <c r="U288" s="205"/>
      <c r="V288" s="205"/>
      <c r="W288" s="204"/>
      <c r="X288" s="204"/>
      <c r="Y288" s="204"/>
      <c r="AG288" s="213"/>
      <c r="AI288" s="135"/>
      <c r="AL288" s="138"/>
      <c r="AM288" s="138"/>
      <c r="AN288" s="138"/>
      <c r="AO288" s="136"/>
      <c r="AP288" s="122"/>
      <c r="AQ288" s="122"/>
      <c r="AT288" s="137"/>
      <c r="AV288" s="208"/>
      <c r="AW288" s="99"/>
      <c r="AX288" s="89"/>
      <c r="AY288" s="89"/>
      <c r="AZ288" s="89"/>
      <c r="BA288" s="89"/>
      <c r="BB288" s="89"/>
      <c r="BC288" s="89"/>
      <c r="BD288" s="89"/>
    </row>
    <row r="289" spans="1:56" s="206" customFormat="1" ht="12.75" customHeight="1">
      <c r="A289" s="205"/>
      <c r="B289" s="205"/>
      <c r="C289" s="205"/>
      <c r="D289" s="32"/>
      <c r="E289" s="32"/>
      <c r="F289" s="78"/>
      <c r="G289" s="203"/>
      <c r="H289" s="74"/>
      <c r="I289" s="74"/>
      <c r="J289" s="78"/>
      <c r="K289" s="74"/>
      <c r="L289" s="229"/>
      <c r="M289" s="229"/>
      <c r="N289" s="229"/>
      <c r="O289" s="78"/>
      <c r="P289" s="204"/>
      <c r="Q289" s="204"/>
      <c r="R289" s="204"/>
      <c r="S289" s="204"/>
      <c r="T289" s="205"/>
      <c r="U289" s="205"/>
      <c r="V289" s="205"/>
      <c r="W289" s="204"/>
      <c r="X289" s="204"/>
      <c r="Y289" s="204"/>
      <c r="AG289" s="213"/>
      <c r="AI289" s="135"/>
      <c r="AL289" s="138"/>
      <c r="AM289" s="138"/>
      <c r="AN289" s="138"/>
      <c r="AO289" s="136"/>
      <c r="AP289" s="122"/>
      <c r="AQ289" s="122"/>
      <c r="AT289" s="137"/>
      <c r="AV289" s="208"/>
      <c r="AW289" s="99"/>
      <c r="AX289" s="89"/>
      <c r="AY289" s="89"/>
      <c r="AZ289" s="89"/>
      <c r="BA289" s="89"/>
      <c r="BB289" s="89"/>
      <c r="BC289" s="89"/>
      <c r="BD289" s="89"/>
    </row>
    <row r="290" spans="1:56" s="206" customFormat="1" ht="12.75" customHeight="1">
      <c r="A290" s="205"/>
      <c r="B290" s="205"/>
      <c r="C290" s="205"/>
      <c r="D290" s="32"/>
      <c r="E290" s="32"/>
      <c r="F290" s="78"/>
      <c r="G290" s="203"/>
      <c r="H290" s="74"/>
      <c r="I290" s="74"/>
      <c r="J290" s="78"/>
      <c r="K290" s="74"/>
      <c r="L290" s="229"/>
      <c r="M290" s="229"/>
      <c r="N290" s="229"/>
      <c r="O290" s="78"/>
      <c r="P290" s="204"/>
      <c r="Q290" s="204"/>
      <c r="R290" s="204"/>
      <c r="S290" s="204"/>
      <c r="T290" s="205"/>
      <c r="U290" s="205"/>
      <c r="V290" s="205"/>
      <c r="W290" s="204"/>
      <c r="X290" s="204"/>
      <c r="Y290" s="204"/>
      <c r="AG290" s="213"/>
      <c r="AI290" s="135"/>
      <c r="AL290" s="138"/>
      <c r="AM290" s="138"/>
      <c r="AN290" s="138"/>
      <c r="AO290" s="136"/>
      <c r="AP290" s="122"/>
      <c r="AQ290" s="122"/>
      <c r="AT290" s="137"/>
      <c r="AV290" s="208"/>
      <c r="AW290" s="99"/>
      <c r="AX290" s="89"/>
      <c r="AY290" s="89"/>
      <c r="AZ290" s="89"/>
      <c r="BA290" s="89"/>
      <c r="BB290" s="89"/>
      <c r="BC290" s="89"/>
      <c r="BD290" s="89"/>
    </row>
    <row r="291" spans="1:56" s="206" customFormat="1" ht="12.75" customHeight="1">
      <c r="A291" s="205"/>
      <c r="B291" s="205"/>
      <c r="C291" s="205"/>
      <c r="D291" s="32"/>
      <c r="E291" s="32"/>
      <c r="F291" s="78"/>
      <c r="G291" s="203"/>
      <c r="H291" s="74"/>
      <c r="I291" s="74"/>
      <c r="J291" s="78"/>
      <c r="K291" s="74"/>
      <c r="L291" s="229"/>
      <c r="M291" s="229"/>
      <c r="N291" s="229"/>
      <c r="O291" s="78"/>
      <c r="P291" s="204"/>
      <c r="Q291" s="204"/>
      <c r="R291" s="204"/>
      <c r="S291" s="204"/>
      <c r="T291" s="205"/>
      <c r="U291" s="205"/>
      <c r="V291" s="205"/>
      <c r="W291" s="204"/>
      <c r="X291" s="204"/>
      <c r="Y291" s="204"/>
      <c r="AG291" s="213"/>
      <c r="AI291" s="135"/>
      <c r="AL291" s="138"/>
      <c r="AM291" s="138"/>
      <c r="AN291" s="138"/>
      <c r="AO291" s="136"/>
      <c r="AP291" s="122"/>
      <c r="AQ291" s="122"/>
      <c r="AT291" s="137"/>
      <c r="AV291" s="208"/>
      <c r="AW291" s="99"/>
      <c r="AX291" s="89"/>
      <c r="AY291" s="89"/>
      <c r="AZ291" s="89"/>
      <c r="BA291" s="89"/>
      <c r="BB291" s="89"/>
      <c r="BC291" s="89"/>
      <c r="BD291" s="89"/>
    </row>
    <row r="292" spans="1:56" s="206" customFormat="1" ht="12.75" customHeight="1">
      <c r="A292" s="205"/>
      <c r="B292" s="205"/>
      <c r="C292" s="205"/>
      <c r="D292" s="32"/>
      <c r="E292" s="32"/>
      <c r="F292" s="78"/>
      <c r="G292" s="203"/>
      <c r="H292" s="74"/>
      <c r="I292" s="74"/>
      <c r="J292" s="78"/>
      <c r="K292" s="74"/>
      <c r="L292" s="229"/>
      <c r="M292" s="229"/>
      <c r="N292" s="229"/>
      <c r="O292" s="78"/>
      <c r="P292" s="204"/>
      <c r="Q292" s="204"/>
      <c r="R292" s="204"/>
      <c r="S292" s="204"/>
      <c r="T292" s="205"/>
      <c r="U292" s="205"/>
      <c r="V292" s="205"/>
      <c r="W292" s="204"/>
      <c r="X292" s="204"/>
      <c r="Y292" s="204"/>
      <c r="AG292" s="213"/>
      <c r="AI292" s="135"/>
      <c r="AL292" s="138"/>
      <c r="AM292" s="138"/>
      <c r="AN292" s="138"/>
      <c r="AO292" s="136"/>
      <c r="AP292" s="122"/>
      <c r="AQ292" s="122"/>
      <c r="AT292" s="137"/>
      <c r="AV292" s="208"/>
      <c r="AW292" s="99"/>
      <c r="AX292" s="89"/>
      <c r="AY292" s="89"/>
      <c r="AZ292" s="89"/>
      <c r="BA292" s="89"/>
      <c r="BB292" s="89"/>
      <c r="BC292" s="89"/>
      <c r="BD292" s="89"/>
    </row>
    <row r="293" spans="1:56" s="206" customFormat="1" ht="12.75" customHeight="1">
      <c r="A293" s="205"/>
      <c r="B293" s="205"/>
      <c r="C293" s="205"/>
      <c r="D293" s="32"/>
      <c r="E293" s="32"/>
      <c r="F293" s="78"/>
      <c r="G293" s="203"/>
      <c r="H293" s="74"/>
      <c r="I293" s="74"/>
      <c r="J293" s="78"/>
      <c r="K293" s="74"/>
      <c r="L293" s="229"/>
      <c r="M293" s="229"/>
      <c r="N293" s="229"/>
      <c r="O293" s="78"/>
      <c r="P293" s="204"/>
      <c r="Q293" s="204"/>
      <c r="R293" s="204"/>
      <c r="S293" s="204"/>
      <c r="T293" s="205"/>
      <c r="U293" s="205"/>
      <c r="V293" s="205"/>
      <c r="W293" s="204"/>
      <c r="X293" s="204"/>
      <c r="Y293" s="204"/>
      <c r="AG293" s="213"/>
      <c r="AI293" s="135"/>
      <c r="AL293" s="138"/>
      <c r="AM293" s="138"/>
      <c r="AN293" s="138"/>
      <c r="AO293" s="136"/>
      <c r="AP293" s="122"/>
      <c r="AQ293" s="122"/>
      <c r="AT293" s="137"/>
      <c r="AV293" s="208"/>
      <c r="AW293" s="99"/>
      <c r="AX293" s="89"/>
      <c r="AY293" s="89"/>
      <c r="AZ293" s="89"/>
      <c r="BA293" s="89"/>
      <c r="BB293" s="89"/>
      <c r="BC293" s="89"/>
      <c r="BD293" s="89"/>
    </row>
    <row r="294" spans="1:56" s="206" customFormat="1" ht="12.75" customHeight="1">
      <c r="A294" s="205"/>
      <c r="B294" s="205"/>
      <c r="C294" s="205"/>
      <c r="D294" s="32"/>
      <c r="E294" s="32"/>
      <c r="F294" s="78"/>
      <c r="G294" s="203"/>
      <c r="H294" s="74"/>
      <c r="I294" s="74"/>
      <c r="J294" s="78"/>
      <c r="K294" s="74"/>
      <c r="L294" s="229"/>
      <c r="M294" s="229"/>
      <c r="N294" s="229"/>
      <c r="O294" s="78"/>
      <c r="P294" s="204"/>
      <c r="Q294" s="204"/>
      <c r="R294" s="204"/>
      <c r="S294" s="204"/>
      <c r="T294" s="205"/>
      <c r="U294" s="205"/>
      <c r="V294" s="205"/>
      <c r="W294" s="204"/>
      <c r="X294" s="204"/>
      <c r="Y294" s="204"/>
      <c r="AG294" s="213"/>
      <c r="AI294" s="135"/>
      <c r="AL294" s="138"/>
      <c r="AM294" s="138"/>
      <c r="AN294" s="138"/>
      <c r="AO294" s="136"/>
      <c r="AP294" s="122"/>
      <c r="AQ294" s="122"/>
      <c r="AT294" s="137"/>
      <c r="AV294" s="208"/>
      <c r="AW294" s="99"/>
      <c r="AX294" s="89"/>
      <c r="AY294" s="89"/>
      <c r="AZ294" s="89"/>
      <c r="BA294" s="89"/>
      <c r="BB294" s="89"/>
      <c r="BC294" s="89"/>
      <c r="BD294" s="89"/>
    </row>
    <row r="295" spans="1:56" s="206" customFormat="1" ht="12.75" customHeight="1">
      <c r="A295" s="205"/>
      <c r="B295" s="205"/>
      <c r="C295" s="205"/>
      <c r="D295" s="32"/>
      <c r="E295" s="32"/>
      <c r="F295" s="78"/>
      <c r="G295" s="78"/>
      <c r="H295" s="74"/>
      <c r="I295" s="74"/>
      <c r="J295" s="78"/>
      <c r="K295" s="74"/>
      <c r="L295" s="229"/>
      <c r="M295" s="229"/>
      <c r="N295" s="229"/>
      <c r="O295" s="78"/>
      <c r="P295" s="204"/>
      <c r="Q295" s="204"/>
      <c r="R295" s="204"/>
      <c r="S295" s="204"/>
      <c r="T295" s="205"/>
      <c r="U295" s="205"/>
      <c r="V295" s="205"/>
      <c r="W295" s="204"/>
      <c r="X295" s="204"/>
      <c r="Y295" s="204"/>
      <c r="AG295" s="213"/>
      <c r="AI295" s="135"/>
      <c r="AL295" s="138"/>
      <c r="AM295" s="138"/>
      <c r="AN295" s="138"/>
      <c r="AO295" s="136"/>
      <c r="AP295" s="122"/>
      <c r="AQ295" s="122"/>
      <c r="AT295" s="137"/>
      <c r="AV295" s="208"/>
      <c r="AW295" s="99"/>
      <c r="AX295" s="89"/>
      <c r="AY295" s="89"/>
      <c r="AZ295" s="89"/>
      <c r="BA295" s="89"/>
      <c r="BB295" s="89"/>
      <c r="BC295" s="89"/>
      <c r="BD295" s="89"/>
    </row>
    <row r="296" spans="1:56" s="206" customFormat="1" ht="12.75" customHeight="1">
      <c r="A296" s="205"/>
      <c r="B296" s="205"/>
      <c r="C296" s="205"/>
      <c r="D296" s="32"/>
      <c r="E296" s="32"/>
      <c r="F296" s="78"/>
      <c r="G296" s="78"/>
      <c r="H296" s="74"/>
      <c r="I296" s="74"/>
      <c r="J296" s="78"/>
      <c r="K296" s="74"/>
      <c r="L296" s="229"/>
      <c r="M296" s="229"/>
      <c r="N296" s="229"/>
      <c r="O296" s="78"/>
      <c r="P296" s="204"/>
      <c r="Q296" s="204"/>
      <c r="R296" s="204"/>
      <c r="S296" s="204"/>
      <c r="T296" s="205"/>
      <c r="U296" s="205"/>
      <c r="V296" s="205"/>
      <c r="W296" s="204"/>
      <c r="X296" s="204"/>
      <c r="Y296" s="204"/>
      <c r="AG296" s="213"/>
      <c r="AI296" s="135"/>
      <c r="AL296" s="138"/>
      <c r="AM296" s="138"/>
      <c r="AN296" s="138"/>
      <c r="AO296" s="136"/>
      <c r="AP296" s="122"/>
      <c r="AQ296" s="122"/>
      <c r="AT296" s="137"/>
      <c r="AV296" s="208"/>
      <c r="AW296" s="99"/>
      <c r="AX296" s="89"/>
      <c r="AY296" s="89"/>
      <c r="AZ296" s="89"/>
      <c r="BA296" s="89"/>
      <c r="BB296" s="89"/>
      <c r="BC296" s="89"/>
      <c r="BD296" s="89"/>
    </row>
    <row r="297" spans="1:56" s="206" customFormat="1" ht="12.75" customHeight="1">
      <c r="A297" s="205"/>
      <c r="B297" s="205"/>
      <c r="C297" s="205"/>
      <c r="D297" s="32"/>
      <c r="E297" s="32"/>
      <c r="F297" s="78"/>
      <c r="G297" s="78"/>
      <c r="H297" s="74"/>
      <c r="I297" s="74"/>
      <c r="J297" s="78"/>
      <c r="K297" s="74"/>
      <c r="L297" s="229"/>
      <c r="M297" s="229"/>
      <c r="N297" s="229"/>
      <c r="O297" s="78"/>
      <c r="P297" s="204"/>
      <c r="Q297" s="204"/>
      <c r="R297" s="204"/>
      <c r="S297" s="204"/>
      <c r="T297" s="205"/>
      <c r="U297" s="205"/>
      <c r="V297" s="205"/>
      <c r="W297" s="204"/>
      <c r="X297" s="204"/>
      <c r="Y297" s="204"/>
      <c r="AG297" s="213"/>
      <c r="AI297" s="135"/>
      <c r="AL297" s="138"/>
      <c r="AM297" s="138"/>
      <c r="AN297" s="138"/>
      <c r="AO297" s="136"/>
      <c r="AP297" s="122"/>
      <c r="AQ297" s="122"/>
      <c r="AT297" s="137"/>
      <c r="AV297" s="208"/>
      <c r="AW297" s="99"/>
      <c r="AX297" s="89"/>
      <c r="AY297" s="89"/>
      <c r="AZ297" s="89"/>
      <c r="BA297" s="89"/>
      <c r="BB297" s="89"/>
      <c r="BC297" s="89"/>
      <c r="BD297" s="89"/>
    </row>
    <row r="298" spans="1:56" s="206" customFormat="1" ht="12.75" customHeight="1">
      <c r="A298" s="205"/>
      <c r="B298" s="205"/>
      <c r="C298" s="205"/>
      <c r="D298" s="32"/>
      <c r="E298" s="32"/>
      <c r="F298" s="78"/>
      <c r="G298" s="78"/>
      <c r="H298" s="74"/>
      <c r="I298" s="74"/>
      <c r="J298" s="78"/>
      <c r="K298" s="74"/>
      <c r="L298" s="229"/>
      <c r="M298" s="229"/>
      <c r="N298" s="229"/>
      <c r="O298" s="78"/>
      <c r="P298" s="204"/>
      <c r="Q298" s="204"/>
      <c r="R298" s="204"/>
      <c r="S298" s="204"/>
      <c r="T298" s="205"/>
      <c r="U298" s="205"/>
      <c r="V298" s="205"/>
      <c r="W298" s="204"/>
      <c r="X298" s="204"/>
      <c r="Y298" s="204"/>
      <c r="AG298" s="213"/>
      <c r="AI298" s="135"/>
      <c r="AL298" s="138"/>
      <c r="AM298" s="138"/>
      <c r="AN298" s="138"/>
      <c r="AO298" s="136"/>
      <c r="AP298" s="122"/>
      <c r="AQ298" s="122"/>
      <c r="AT298" s="137"/>
      <c r="AV298" s="208"/>
      <c r="AW298" s="99"/>
      <c r="AX298" s="89"/>
      <c r="AY298" s="89"/>
      <c r="AZ298" s="89"/>
      <c r="BA298" s="89"/>
      <c r="BB298" s="89"/>
      <c r="BC298" s="89"/>
      <c r="BD298" s="89"/>
    </row>
    <row r="299" spans="1:56" s="206" customFormat="1" ht="12.75" customHeight="1">
      <c r="A299" s="205"/>
      <c r="B299" s="205"/>
      <c r="C299" s="205"/>
      <c r="D299" s="32"/>
      <c r="E299" s="32"/>
      <c r="F299" s="78"/>
      <c r="G299" s="78"/>
      <c r="H299" s="74"/>
      <c r="I299" s="74"/>
      <c r="J299" s="78"/>
      <c r="K299" s="74"/>
      <c r="L299" s="229"/>
      <c r="M299" s="229"/>
      <c r="N299" s="229"/>
      <c r="O299" s="78"/>
      <c r="P299" s="204"/>
      <c r="Q299" s="204"/>
      <c r="R299" s="204"/>
      <c r="S299" s="204"/>
      <c r="T299" s="205"/>
      <c r="U299" s="205"/>
      <c r="V299" s="205"/>
      <c r="W299" s="204"/>
      <c r="X299" s="204"/>
      <c r="Y299" s="204"/>
      <c r="AG299" s="213"/>
      <c r="AI299" s="135"/>
      <c r="AL299" s="138"/>
      <c r="AM299" s="138"/>
      <c r="AN299" s="138"/>
      <c r="AO299" s="136"/>
      <c r="AP299" s="122"/>
      <c r="AQ299" s="122"/>
      <c r="AT299" s="137"/>
      <c r="AV299" s="208"/>
      <c r="AW299" s="99"/>
      <c r="AX299" s="89"/>
      <c r="AY299" s="89"/>
      <c r="AZ299" s="89"/>
      <c r="BA299" s="89"/>
      <c r="BB299" s="89"/>
      <c r="BC299" s="89"/>
      <c r="BD299" s="89"/>
    </row>
    <row r="300" spans="1:56" s="206" customFormat="1" ht="12.75" customHeight="1">
      <c r="A300" s="205"/>
      <c r="B300" s="205"/>
      <c r="C300" s="205"/>
      <c r="D300" s="32"/>
      <c r="E300" s="32"/>
      <c r="F300" s="78"/>
      <c r="G300" s="78"/>
      <c r="H300" s="74"/>
      <c r="I300" s="74"/>
      <c r="J300" s="78"/>
      <c r="K300" s="74"/>
      <c r="L300" s="229"/>
      <c r="M300" s="229"/>
      <c r="N300" s="229"/>
      <c r="O300" s="78"/>
      <c r="P300" s="204"/>
      <c r="Q300" s="204"/>
      <c r="R300" s="204"/>
      <c r="S300" s="204"/>
      <c r="T300" s="205"/>
      <c r="U300" s="205"/>
      <c r="V300" s="205"/>
      <c r="W300" s="204"/>
      <c r="X300" s="204"/>
      <c r="Y300" s="204"/>
      <c r="AG300" s="213"/>
      <c r="AI300" s="135"/>
      <c r="AL300" s="138"/>
      <c r="AM300" s="138"/>
      <c r="AN300" s="138"/>
      <c r="AO300" s="136"/>
      <c r="AP300" s="122"/>
      <c r="AQ300" s="122"/>
      <c r="AT300" s="137"/>
      <c r="AV300" s="208"/>
      <c r="AW300" s="99"/>
      <c r="AX300" s="89"/>
      <c r="AY300" s="89"/>
      <c r="AZ300" s="89"/>
      <c r="BA300" s="89"/>
      <c r="BB300" s="89"/>
      <c r="BC300" s="89"/>
      <c r="BD300" s="89"/>
    </row>
    <row r="301" spans="1:56">
      <c r="D301" s="32"/>
      <c r="E301" s="32"/>
      <c r="F301" s="78"/>
      <c r="G301" s="78"/>
      <c r="H301" s="74"/>
      <c r="I301" s="74"/>
      <c r="J301" s="78"/>
      <c r="K301" s="74"/>
      <c r="L301" s="229"/>
      <c r="M301" s="229"/>
      <c r="N301" s="229"/>
      <c r="O301" s="78"/>
      <c r="P301" s="75"/>
      <c r="Q301" s="75"/>
      <c r="R301" s="75"/>
      <c r="S301" s="75"/>
      <c r="W301" s="80"/>
      <c r="X301" s="80"/>
      <c r="Y301" s="80"/>
      <c r="AG301" s="150"/>
      <c r="AI301" s="135"/>
      <c r="AL301" s="138"/>
      <c r="AM301" s="138"/>
      <c r="AN301" s="138"/>
      <c r="AO301" s="136"/>
      <c r="AP301" s="122"/>
      <c r="AQ301" s="122"/>
      <c r="AR301" s="87"/>
      <c r="AT301" s="137"/>
      <c r="AW301" s="99"/>
    </row>
    <row r="302" spans="1:56">
      <c r="D302" s="32"/>
      <c r="E302" s="32"/>
      <c r="F302" s="78"/>
      <c r="G302" s="78"/>
      <c r="H302" s="74"/>
      <c r="I302" s="74"/>
      <c r="J302" s="78"/>
      <c r="K302" s="74"/>
      <c r="L302" s="229"/>
      <c r="M302" s="229"/>
      <c r="N302" s="229"/>
      <c r="O302" s="78"/>
      <c r="P302" s="75"/>
      <c r="Q302" s="75"/>
      <c r="R302" s="75"/>
      <c r="S302" s="75"/>
      <c r="W302" s="80"/>
      <c r="X302" s="80"/>
      <c r="Y302" s="80"/>
      <c r="AG302" s="150"/>
      <c r="AI302" s="135"/>
      <c r="AL302" s="138"/>
      <c r="AM302" s="138"/>
      <c r="AN302" s="138"/>
      <c r="AO302" s="136"/>
      <c r="AP302" s="122"/>
      <c r="AQ302" s="122"/>
      <c r="AR302" s="87"/>
      <c r="AT302" s="137"/>
      <c r="AW302" s="99"/>
    </row>
    <row r="303" spans="1:56">
      <c r="D303" s="32"/>
      <c r="E303" s="32"/>
      <c r="F303" s="78"/>
      <c r="G303" s="78"/>
      <c r="H303" s="74"/>
      <c r="I303" s="74"/>
      <c r="J303" s="78"/>
      <c r="K303" s="74"/>
      <c r="L303" s="229"/>
      <c r="M303" s="229"/>
      <c r="N303" s="229"/>
      <c r="O303" s="78"/>
      <c r="P303" s="75"/>
      <c r="Q303" s="75"/>
      <c r="R303" s="75"/>
      <c r="S303" s="75"/>
      <c r="W303" s="80"/>
      <c r="X303" s="80"/>
      <c r="Y303" s="80"/>
      <c r="AG303" s="150"/>
      <c r="AI303" s="135"/>
      <c r="AL303" s="138"/>
      <c r="AM303" s="138"/>
      <c r="AN303" s="138"/>
      <c r="AO303" s="136"/>
      <c r="AP303" s="122"/>
      <c r="AQ303" s="122"/>
      <c r="AR303" s="87"/>
      <c r="AT303" s="137"/>
      <c r="AW303" s="99"/>
    </row>
    <row r="304" spans="1:56">
      <c r="D304" s="32"/>
      <c r="E304" s="32"/>
      <c r="F304" s="78"/>
      <c r="G304" s="78"/>
      <c r="H304" s="74"/>
      <c r="I304" s="74"/>
      <c r="J304" s="78"/>
      <c r="K304" s="74"/>
      <c r="L304" s="229"/>
      <c r="M304" s="229"/>
      <c r="N304" s="229"/>
      <c r="O304" s="78"/>
      <c r="P304" s="75"/>
      <c r="Q304" s="75"/>
      <c r="R304" s="75"/>
      <c r="S304" s="75"/>
      <c r="W304" s="80"/>
      <c r="X304" s="80"/>
      <c r="Y304" s="80"/>
      <c r="AG304" s="150"/>
      <c r="AI304" s="135"/>
      <c r="AL304" s="138"/>
      <c r="AM304" s="138"/>
      <c r="AN304" s="138"/>
      <c r="AO304" s="136"/>
      <c r="AP304" s="122"/>
      <c r="AQ304" s="122"/>
      <c r="AR304" s="87"/>
      <c r="AT304" s="137"/>
      <c r="AW304" s="99"/>
    </row>
    <row r="305" spans="4:49">
      <c r="D305" s="32"/>
      <c r="E305" s="32"/>
      <c r="F305" s="78"/>
      <c r="G305" s="78"/>
      <c r="H305" s="74"/>
      <c r="I305" s="74"/>
      <c r="J305" s="78"/>
      <c r="K305" s="74"/>
      <c r="L305" s="229"/>
      <c r="M305" s="229"/>
      <c r="N305" s="229"/>
      <c r="O305" s="78"/>
      <c r="P305" s="75"/>
      <c r="Q305" s="75"/>
      <c r="R305" s="75"/>
      <c r="S305" s="75"/>
      <c r="W305" s="80"/>
      <c r="X305" s="80"/>
      <c r="Y305" s="80"/>
      <c r="AG305" s="150"/>
      <c r="AI305" s="135"/>
      <c r="AL305" s="138"/>
      <c r="AM305" s="138"/>
      <c r="AN305" s="138"/>
      <c r="AO305" s="136"/>
      <c r="AP305" s="122"/>
      <c r="AQ305" s="122"/>
      <c r="AR305" s="87"/>
      <c r="AT305" s="137"/>
      <c r="AW305" s="99"/>
    </row>
    <row r="306" spans="4:49">
      <c r="D306" s="32"/>
      <c r="E306" s="32"/>
      <c r="F306" s="78"/>
      <c r="G306" s="78"/>
      <c r="H306" s="74"/>
      <c r="I306" s="74"/>
      <c r="J306" s="78"/>
      <c r="K306" s="74"/>
      <c r="L306" s="229"/>
      <c r="M306" s="229"/>
      <c r="N306" s="229"/>
      <c r="O306" s="78"/>
      <c r="P306" s="75"/>
      <c r="Q306" s="75"/>
      <c r="R306" s="75"/>
      <c r="S306" s="75"/>
      <c r="W306" s="80"/>
      <c r="X306" s="80"/>
      <c r="Y306" s="80"/>
      <c r="AG306" s="150"/>
      <c r="AI306" s="135"/>
      <c r="AL306" s="138"/>
      <c r="AM306" s="138"/>
      <c r="AN306" s="138"/>
      <c r="AO306" s="136"/>
      <c r="AP306" s="122"/>
      <c r="AQ306" s="122"/>
      <c r="AR306" s="87"/>
      <c r="AT306" s="137"/>
      <c r="AW306" s="99"/>
    </row>
    <row r="307" spans="4:49">
      <c r="D307" s="32"/>
      <c r="E307" s="32"/>
      <c r="F307" s="78"/>
      <c r="G307" s="78"/>
      <c r="H307" s="74"/>
      <c r="I307" s="74"/>
      <c r="J307" s="78"/>
      <c r="K307" s="74"/>
      <c r="L307" s="229"/>
      <c r="M307" s="229"/>
      <c r="N307" s="229"/>
      <c r="O307" s="78"/>
      <c r="P307" s="75"/>
      <c r="Q307" s="75"/>
      <c r="R307" s="75"/>
      <c r="S307" s="75"/>
      <c r="W307" s="80"/>
      <c r="X307" s="80"/>
      <c r="Y307" s="80"/>
      <c r="AG307" s="150"/>
      <c r="AI307" s="135"/>
      <c r="AL307" s="138"/>
      <c r="AM307" s="138"/>
      <c r="AN307" s="138"/>
      <c r="AO307" s="136"/>
      <c r="AP307" s="122"/>
      <c r="AQ307" s="122"/>
      <c r="AR307" s="87"/>
      <c r="AT307" s="137"/>
      <c r="AW307" s="99"/>
    </row>
    <row r="308" spans="4:49">
      <c r="D308" s="32"/>
      <c r="E308" s="32"/>
      <c r="F308" s="78"/>
      <c r="G308" s="78"/>
      <c r="H308" s="74"/>
      <c r="I308" s="74"/>
      <c r="J308" s="78"/>
      <c r="K308" s="74"/>
      <c r="L308" s="229"/>
      <c r="M308" s="229"/>
      <c r="N308" s="229"/>
      <c r="O308" s="78"/>
      <c r="P308" s="75"/>
      <c r="Q308" s="75"/>
      <c r="R308" s="75"/>
      <c r="S308" s="75"/>
      <c r="W308" s="80"/>
      <c r="X308" s="80"/>
      <c r="Y308" s="80"/>
      <c r="AG308" s="150"/>
      <c r="AI308" s="135"/>
      <c r="AL308" s="138"/>
      <c r="AM308" s="138"/>
      <c r="AN308" s="138"/>
      <c r="AO308" s="136"/>
      <c r="AP308" s="122"/>
      <c r="AQ308" s="122"/>
      <c r="AR308" s="87"/>
      <c r="AT308" s="137"/>
      <c r="AW308" s="99"/>
    </row>
    <row r="309" spans="4:49">
      <c r="D309" s="32"/>
      <c r="E309" s="32"/>
      <c r="F309" s="78"/>
      <c r="G309" s="78"/>
      <c r="H309" s="74"/>
      <c r="I309" s="74"/>
      <c r="J309" s="78"/>
      <c r="K309" s="74"/>
      <c r="L309" s="229"/>
      <c r="M309" s="229"/>
      <c r="N309" s="229"/>
      <c r="O309" s="78"/>
      <c r="P309" s="75"/>
      <c r="Q309" s="75"/>
      <c r="R309" s="75"/>
      <c r="S309" s="75"/>
      <c r="W309" s="80"/>
      <c r="X309" s="80"/>
      <c r="Y309" s="80"/>
      <c r="AG309" s="150"/>
      <c r="AI309" s="135"/>
      <c r="AL309" s="138"/>
      <c r="AM309" s="138"/>
      <c r="AN309" s="138"/>
      <c r="AO309" s="136"/>
      <c r="AP309" s="122"/>
      <c r="AQ309" s="122"/>
      <c r="AR309" s="87"/>
      <c r="AT309" s="137"/>
      <c r="AW309" s="99"/>
    </row>
    <row r="310" spans="4:49">
      <c r="D310" s="32"/>
      <c r="E310" s="32"/>
      <c r="F310" s="78"/>
      <c r="G310" s="78"/>
      <c r="H310" s="74"/>
      <c r="I310" s="74"/>
      <c r="J310" s="78"/>
      <c r="K310" s="74"/>
      <c r="L310" s="229"/>
      <c r="M310" s="229"/>
      <c r="N310" s="229"/>
      <c r="O310" s="78"/>
      <c r="P310" s="75"/>
      <c r="Q310" s="75"/>
      <c r="R310" s="75"/>
      <c r="S310" s="75"/>
      <c r="W310" s="80"/>
      <c r="X310" s="80"/>
      <c r="Y310" s="80"/>
      <c r="AG310" s="150"/>
      <c r="AI310" s="135"/>
      <c r="AL310" s="138"/>
      <c r="AM310" s="138"/>
      <c r="AN310" s="138"/>
      <c r="AO310" s="136"/>
      <c r="AP310" s="122"/>
      <c r="AQ310" s="122"/>
      <c r="AR310" s="87"/>
      <c r="AT310" s="137"/>
      <c r="AW310" s="99"/>
    </row>
    <row r="311" spans="4:49">
      <c r="D311" s="32"/>
      <c r="E311" s="32"/>
      <c r="F311" s="78"/>
      <c r="G311" s="78"/>
      <c r="H311" s="74"/>
      <c r="I311" s="74"/>
      <c r="J311" s="78"/>
      <c r="K311" s="74"/>
      <c r="L311" s="229"/>
      <c r="M311" s="229"/>
      <c r="N311" s="229"/>
      <c r="O311" s="78"/>
      <c r="P311" s="75"/>
      <c r="Q311" s="75"/>
      <c r="R311" s="75"/>
      <c r="S311" s="75"/>
      <c r="W311" s="80"/>
      <c r="X311" s="80"/>
      <c r="Y311" s="80"/>
      <c r="AG311" s="150"/>
      <c r="AI311" s="135"/>
      <c r="AL311" s="138"/>
      <c r="AM311" s="138"/>
      <c r="AN311" s="138"/>
      <c r="AO311" s="136"/>
      <c r="AP311" s="122"/>
      <c r="AQ311" s="122"/>
      <c r="AR311" s="87"/>
      <c r="AT311" s="137"/>
      <c r="AW311" s="99"/>
    </row>
    <row r="312" spans="4:49">
      <c r="D312" s="32"/>
      <c r="E312" s="32"/>
      <c r="F312" s="78"/>
      <c r="G312" s="78"/>
      <c r="H312" s="74"/>
      <c r="I312" s="74"/>
      <c r="J312" s="78"/>
      <c r="K312" s="74"/>
      <c r="L312" s="229"/>
      <c r="M312" s="229"/>
      <c r="N312" s="229"/>
      <c r="O312" s="78"/>
      <c r="P312" s="75"/>
      <c r="Q312" s="75"/>
      <c r="R312" s="75"/>
      <c r="S312" s="75"/>
      <c r="W312" s="80"/>
      <c r="X312" s="80"/>
      <c r="Y312" s="80"/>
      <c r="AG312" s="150"/>
      <c r="AI312" s="135"/>
      <c r="AL312" s="138"/>
      <c r="AM312" s="138"/>
      <c r="AN312" s="138"/>
      <c r="AO312" s="136"/>
      <c r="AP312" s="122"/>
      <c r="AQ312" s="122"/>
      <c r="AR312" s="87"/>
      <c r="AT312" s="137"/>
      <c r="AW312" s="99"/>
    </row>
    <row r="313" spans="4:49">
      <c r="D313" s="32"/>
      <c r="E313" s="32"/>
      <c r="F313" s="78"/>
      <c r="G313" s="78"/>
      <c r="H313" s="74"/>
      <c r="I313" s="74"/>
      <c r="J313" s="78"/>
      <c r="K313" s="74"/>
      <c r="L313" s="229"/>
      <c r="M313" s="229"/>
      <c r="N313" s="229"/>
      <c r="O313" s="78"/>
      <c r="P313" s="75"/>
      <c r="Q313" s="75"/>
      <c r="R313" s="75"/>
      <c r="S313" s="75"/>
      <c r="W313" s="80"/>
      <c r="X313" s="80"/>
      <c r="Y313" s="80"/>
      <c r="AG313" s="150"/>
      <c r="AI313" s="135"/>
      <c r="AL313" s="138"/>
      <c r="AM313" s="138"/>
      <c r="AN313" s="138"/>
      <c r="AO313" s="136"/>
      <c r="AP313" s="122"/>
      <c r="AQ313" s="122"/>
      <c r="AR313" s="87"/>
      <c r="AT313" s="137"/>
      <c r="AW313" s="99"/>
    </row>
    <row r="314" spans="4:49">
      <c r="D314" s="32"/>
      <c r="E314" s="32"/>
      <c r="F314" s="78"/>
      <c r="G314" s="78"/>
      <c r="H314" s="74"/>
      <c r="I314" s="74"/>
      <c r="J314" s="78"/>
      <c r="K314" s="74"/>
      <c r="L314" s="229"/>
      <c r="M314" s="229"/>
      <c r="N314" s="229"/>
      <c r="O314" s="78"/>
      <c r="P314" s="75"/>
      <c r="Q314" s="75"/>
      <c r="R314" s="75"/>
      <c r="S314" s="75"/>
      <c r="W314" s="80"/>
      <c r="X314" s="80"/>
      <c r="Y314" s="80"/>
      <c r="AG314" s="150"/>
      <c r="AI314" s="135"/>
      <c r="AL314" s="138"/>
      <c r="AM314" s="138"/>
      <c r="AN314" s="138"/>
      <c r="AO314" s="136"/>
      <c r="AP314" s="122"/>
      <c r="AQ314" s="122"/>
      <c r="AR314" s="87"/>
      <c r="AT314" s="137"/>
      <c r="AW314" s="99"/>
    </row>
    <row r="315" spans="4:49">
      <c r="D315" s="32"/>
      <c r="E315" s="32"/>
      <c r="F315" s="78"/>
      <c r="G315" s="78"/>
      <c r="H315" s="74"/>
      <c r="I315" s="74"/>
      <c r="J315" s="78"/>
      <c r="K315" s="74"/>
      <c r="L315" s="229"/>
      <c r="M315" s="229"/>
      <c r="N315" s="229"/>
      <c r="O315" s="78"/>
      <c r="P315" s="75"/>
      <c r="Q315" s="75"/>
      <c r="R315" s="75"/>
      <c r="S315" s="75"/>
      <c r="W315" s="80"/>
      <c r="X315" s="80"/>
      <c r="Y315" s="80"/>
      <c r="AG315" s="150"/>
      <c r="AI315" s="135"/>
      <c r="AL315" s="138"/>
      <c r="AM315" s="138"/>
      <c r="AN315" s="138"/>
      <c r="AO315" s="136"/>
      <c r="AP315" s="122"/>
      <c r="AQ315" s="122"/>
      <c r="AR315" s="87"/>
      <c r="AT315" s="137"/>
      <c r="AW315" s="99"/>
    </row>
    <row r="316" spans="4:49">
      <c r="D316" s="32"/>
      <c r="E316" s="32"/>
      <c r="F316" s="78"/>
      <c r="G316" s="78"/>
      <c r="H316" s="74"/>
      <c r="I316" s="74"/>
      <c r="J316" s="78"/>
      <c r="K316" s="74"/>
      <c r="L316" s="229"/>
      <c r="M316" s="229"/>
      <c r="N316" s="229"/>
      <c r="O316" s="78"/>
      <c r="P316" s="75"/>
      <c r="Q316" s="75"/>
      <c r="R316" s="75"/>
      <c r="S316" s="75"/>
      <c r="W316" s="80"/>
      <c r="X316" s="80"/>
      <c r="Y316" s="80"/>
      <c r="AG316" s="150"/>
      <c r="AI316" s="135"/>
      <c r="AL316" s="138"/>
      <c r="AM316" s="138"/>
      <c r="AN316" s="138"/>
      <c r="AO316" s="136"/>
      <c r="AP316" s="122"/>
      <c r="AQ316" s="122"/>
      <c r="AR316" s="87"/>
      <c r="AT316" s="137"/>
      <c r="AW316" s="99"/>
    </row>
    <row r="317" spans="4:49">
      <c r="D317" s="32"/>
      <c r="E317" s="32"/>
      <c r="F317" s="78"/>
      <c r="G317" s="78"/>
      <c r="H317" s="74"/>
      <c r="I317" s="74"/>
      <c r="J317" s="78"/>
      <c r="K317" s="74"/>
      <c r="L317" s="229"/>
      <c r="M317" s="229"/>
      <c r="N317" s="229"/>
      <c r="O317" s="78"/>
      <c r="P317" s="75"/>
      <c r="Q317" s="75"/>
      <c r="R317" s="75"/>
      <c r="S317" s="75"/>
      <c r="W317" s="80"/>
      <c r="X317" s="80"/>
      <c r="Y317" s="80"/>
      <c r="AG317" s="150"/>
      <c r="AI317" s="135"/>
      <c r="AL317" s="138"/>
      <c r="AM317" s="138"/>
      <c r="AN317" s="138"/>
      <c r="AO317" s="136"/>
      <c r="AP317" s="122"/>
      <c r="AQ317" s="122"/>
      <c r="AR317" s="87"/>
      <c r="AT317" s="137"/>
      <c r="AW317" s="99"/>
    </row>
    <row r="318" spans="4:49">
      <c r="D318" s="32"/>
      <c r="E318" s="32"/>
      <c r="F318" s="78"/>
      <c r="G318" s="78"/>
      <c r="H318" s="74"/>
      <c r="I318" s="74"/>
      <c r="J318" s="78"/>
      <c r="K318" s="74"/>
      <c r="L318" s="229"/>
      <c r="M318" s="229"/>
      <c r="N318" s="229"/>
      <c r="O318" s="78"/>
      <c r="P318" s="75"/>
      <c r="Q318" s="75"/>
      <c r="R318" s="75"/>
      <c r="S318" s="75"/>
      <c r="W318" s="80"/>
      <c r="X318" s="80"/>
      <c r="Y318" s="80"/>
      <c r="AG318" s="150"/>
      <c r="AI318" s="135"/>
      <c r="AL318" s="138"/>
      <c r="AM318" s="138"/>
      <c r="AN318" s="138"/>
      <c r="AO318" s="136"/>
      <c r="AP318" s="122"/>
      <c r="AQ318" s="122"/>
      <c r="AR318" s="87"/>
      <c r="AT318" s="137"/>
      <c r="AW318" s="99"/>
    </row>
    <row r="319" spans="4:49">
      <c r="D319" s="32"/>
      <c r="E319" s="32"/>
      <c r="F319" s="78"/>
      <c r="G319" s="78"/>
      <c r="H319" s="74"/>
      <c r="I319" s="74"/>
      <c r="J319" s="78"/>
      <c r="K319" s="74"/>
      <c r="L319" s="229"/>
      <c r="M319" s="229"/>
      <c r="N319" s="229"/>
      <c r="O319" s="78"/>
      <c r="P319" s="75"/>
      <c r="Q319" s="75"/>
      <c r="R319" s="75"/>
      <c r="S319" s="75"/>
      <c r="W319" s="80"/>
      <c r="X319" s="80"/>
      <c r="Y319" s="80"/>
      <c r="AG319" s="150"/>
      <c r="AI319" s="135"/>
      <c r="AL319" s="138"/>
      <c r="AM319" s="138"/>
      <c r="AN319" s="138"/>
      <c r="AO319" s="136"/>
      <c r="AP319" s="122"/>
      <c r="AQ319" s="122"/>
      <c r="AR319" s="87"/>
      <c r="AT319" s="137"/>
      <c r="AW319" s="99"/>
    </row>
    <row r="320" spans="4:49">
      <c r="D320" s="32"/>
      <c r="E320" s="32"/>
      <c r="F320" s="78"/>
      <c r="G320" s="78"/>
      <c r="H320" s="74"/>
      <c r="I320" s="74"/>
      <c r="J320" s="78"/>
      <c r="K320" s="74"/>
      <c r="L320" s="229"/>
      <c r="M320" s="229"/>
      <c r="N320" s="229"/>
      <c r="O320" s="78"/>
      <c r="P320" s="75"/>
      <c r="Q320" s="75"/>
      <c r="R320" s="75"/>
      <c r="S320" s="75"/>
      <c r="W320" s="80"/>
      <c r="X320" s="80"/>
      <c r="Y320" s="80"/>
      <c r="AG320" s="150"/>
      <c r="AI320" s="135"/>
      <c r="AL320" s="138"/>
      <c r="AM320" s="138"/>
      <c r="AN320" s="138"/>
      <c r="AO320" s="136"/>
      <c r="AP320" s="122"/>
      <c r="AQ320" s="122"/>
      <c r="AR320" s="87"/>
      <c r="AT320" s="137"/>
      <c r="AW320" s="99"/>
    </row>
    <row r="321" spans="4:49">
      <c r="D321" s="32"/>
      <c r="E321" s="32"/>
      <c r="F321" s="78"/>
      <c r="G321" s="78"/>
      <c r="H321" s="74"/>
      <c r="I321" s="74"/>
      <c r="J321" s="78"/>
      <c r="K321" s="74"/>
      <c r="L321" s="229"/>
      <c r="M321" s="229"/>
      <c r="N321" s="229"/>
      <c r="O321" s="78"/>
      <c r="P321" s="75"/>
      <c r="Q321" s="75"/>
      <c r="R321" s="75"/>
      <c r="S321" s="75"/>
      <c r="W321" s="80"/>
      <c r="X321" s="80"/>
      <c r="Y321" s="80"/>
      <c r="AG321" s="150"/>
      <c r="AI321" s="135"/>
      <c r="AL321" s="138"/>
      <c r="AM321" s="138"/>
      <c r="AN321" s="138"/>
      <c r="AO321" s="136"/>
      <c r="AP321" s="122"/>
      <c r="AQ321" s="122"/>
      <c r="AR321" s="87"/>
      <c r="AT321" s="137"/>
      <c r="AW321" s="99"/>
    </row>
    <row r="322" spans="4:49">
      <c r="D322" s="32"/>
      <c r="E322" s="32"/>
      <c r="F322" s="78"/>
      <c r="G322" s="78"/>
      <c r="H322" s="74"/>
      <c r="I322" s="74"/>
      <c r="J322" s="78"/>
      <c r="K322" s="74"/>
      <c r="L322" s="229"/>
      <c r="M322" s="229"/>
      <c r="N322" s="229"/>
      <c r="O322" s="78"/>
      <c r="P322" s="75"/>
      <c r="Q322" s="75"/>
      <c r="R322" s="75"/>
      <c r="S322" s="75"/>
      <c r="W322" s="80"/>
      <c r="X322" s="80"/>
      <c r="Y322" s="80"/>
      <c r="AG322" s="150"/>
      <c r="AI322" s="135"/>
      <c r="AL322" s="138"/>
      <c r="AM322" s="138"/>
      <c r="AN322" s="138"/>
      <c r="AO322" s="136"/>
      <c r="AP322" s="122"/>
      <c r="AQ322" s="122"/>
      <c r="AR322" s="87"/>
      <c r="AT322" s="137"/>
      <c r="AW322" s="99"/>
    </row>
    <row r="323" spans="4:49">
      <c r="D323" s="32"/>
      <c r="E323" s="32"/>
      <c r="F323" s="78"/>
      <c r="G323" s="78"/>
      <c r="H323" s="74"/>
      <c r="I323" s="74"/>
      <c r="J323" s="78"/>
      <c r="K323" s="74"/>
      <c r="L323" s="229"/>
      <c r="M323" s="229"/>
      <c r="N323" s="229"/>
      <c r="O323" s="78"/>
      <c r="P323" s="75"/>
      <c r="Q323" s="75"/>
      <c r="R323" s="75"/>
      <c r="S323" s="75"/>
      <c r="W323" s="80"/>
      <c r="X323" s="80"/>
      <c r="Y323" s="80"/>
      <c r="AG323" s="150"/>
      <c r="AI323" s="135"/>
      <c r="AL323" s="138"/>
      <c r="AM323" s="138"/>
      <c r="AN323" s="138"/>
      <c r="AO323" s="136"/>
      <c r="AP323" s="122"/>
      <c r="AQ323" s="122"/>
      <c r="AR323" s="87"/>
      <c r="AT323" s="137"/>
      <c r="AW323" s="99"/>
    </row>
    <row r="324" spans="4:49">
      <c r="D324" s="32"/>
      <c r="E324" s="32"/>
      <c r="F324" s="78"/>
      <c r="G324" s="78"/>
      <c r="H324" s="74"/>
      <c r="I324" s="74"/>
      <c r="J324" s="78"/>
      <c r="K324" s="74"/>
      <c r="L324" s="229"/>
      <c r="M324" s="229"/>
      <c r="N324" s="229"/>
      <c r="O324" s="78"/>
      <c r="P324" s="75"/>
      <c r="Q324" s="75"/>
      <c r="R324" s="75"/>
      <c r="S324" s="75"/>
      <c r="W324" s="80"/>
      <c r="X324" s="80"/>
      <c r="Y324" s="80"/>
      <c r="AG324" s="150"/>
      <c r="AI324" s="135"/>
      <c r="AL324" s="138"/>
      <c r="AM324" s="138"/>
      <c r="AN324" s="138"/>
      <c r="AO324" s="136"/>
      <c r="AP324" s="122"/>
      <c r="AQ324" s="122"/>
      <c r="AR324" s="87"/>
      <c r="AT324" s="137"/>
      <c r="AW324" s="99"/>
    </row>
    <row r="325" spans="4:49">
      <c r="D325" s="32"/>
      <c r="E325" s="32"/>
      <c r="F325" s="78"/>
      <c r="G325" s="78"/>
      <c r="H325" s="74"/>
      <c r="I325" s="74"/>
      <c r="J325" s="78"/>
      <c r="K325" s="74"/>
      <c r="L325" s="229"/>
      <c r="M325" s="229"/>
      <c r="N325" s="229"/>
      <c r="O325" s="78"/>
      <c r="P325" s="75"/>
      <c r="Q325" s="75"/>
      <c r="R325" s="75"/>
      <c r="S325" s="75"/>
      <c r="W325" s="80"/>
      <c r="X325" s="80"/>
      <c r="Y325" s="80"/>
      <c r="AG325" s="150"/>
      <c r="AI325" s="135"/>
      <c r="AL325" s="138"/>
      <c r="AM325" s="138"/>
      <c r="AN325" s="138"/>
      <c r="AO325" s="136"/>
      <c r="AP325" s="122"/>
      <c r="AQ325" s="122"/>
      <c r="AR325" s="87"/>
      <c r="AT325" s="137"/>
      <c r="AW325" s="99"/>
    </row>
    <row r="326" spans="4:49">
      <c r="D326" s="32"/>
      <c r="E326" s="32"/>
      <c r="F326" s="78"/>
      <c r="G326" s="78"/>
      <c r="H326" s="74"/>
      <c r="I326" s="74"/>
      <c r="J326" s="78"/>
      <c r="K326" s="74"/>
      <c r="L326" s="229"/>
      <c r="M326" s="229"/>
      <c r="N326" s="229"/>
      <c r="O326" s="78"/>
      <c r="P326" s="75"/>
      <c r="Q326" s="75"/>
      <c r="R326" s="75"/>
      <c r="S326" s="75"/>
      <c r="W326" s="80"/>
      <c r="X326" s="80"/>
      <c r="Y326" s="80"/>
      <c r="AG326" s="150"/>
      <c r="AI326" s="135"/>
      <c r="AL326" s="138"/>
      <c r="AM326" s="138"/>
      <c r="AN326" s="138"/>
      <c r="AO326" s="136"/>
      <c r="AP326" s="122"/>
      <c r="AQ326" s="122"/>
      <c r="AR326" s="87"/>
      <c r="AT326" s="137"/>
      <c r="AW326" s="99"/>
    </row>
    <row r="327" spans="4:49">
      <c r="D327" s="32"/>
      <c r="E327" s="32"/>
      <c r="F327" s="78"/>
      <c r="G327" s="78"/>
      <c r="H327" s="74"/>
      <c r="I327" s="74"/>
      <c r="J327" s="78"/>
      <c r="K327" s="74"/>
      <c r="L327" s="229"/>
      <c r="M327" s="229"/>
      <c r="N327" s="229"/>
      <c r="O327" s="78"/>
      <c r="P327" s="75"/>
      <c r="Q327" s="75"/>
      <c r="R327" s="75"/>
      <c r="S327" s="75"/>
      <c r="W327" s="80"/>
      <c r="X327" s="80"/>
      <c r="Y327" s="80"/>
      <c r="AG327" s="150"/>
      <c r="AI327" s="135"/>
      <c r="AL327" s="138"/>
      <c r="AM327" s="138"/>
      <c r="AN327" s="138"/>
      <c r="AO327" s="136"/>
      <c r="AP327" s="122"/>
      <c r="AQ327" s="122"/>
      <c r="AR327" s="87"/>
      <c r="AT327" s="137"/>
      <c r="AW327" s="99"/>
    </row>
    <row r="328" spans="4:49">
      <c r="D328" s="32"/>
      <c r="E328" s="32"/>
      <c r="F328" s="78"/>
      <c r="G328" s="78"/>
      <c r="H328" s="74"/>
      <c r="I328" s="74"/>
      <c r="J328" s="78"/>
      <c r="K328" s="74"/>
      <c r="L328" s="229"/>
      <c r="M328" s="229"/>
      <c r="N328" s="229"/>
      <c r="O328" s="78"/>
      <c r="P328" s="75"/>
      <c r="Q328" s="75"/>
      <c r="R328" s="75"/>
      <c r="S328" s="75"/>
      <c r="W328" s="80"/>
      <c r="X328" s="80"/>
      <c r="Y328" s="80"/>
      <c r="AG328" s="150"/>
      <c r="AI328" s="135"/>
      <c r="AL328" s="138"/>
      <c r="AM328" s="138"/>
      <c r="AN328" s="138"/>
      <c r="AO328" s="136"/>
      <c r="AP328" s="122"/>
      <c r="AQ328" s="122"/>
      <c r="AR328" s="87"/>
      <c r="AT328" s="137"/>
      <c r="AW328" s="99"/>
    </row>
    <row r="329" spans="4:49">
      <c r="D329" s="32"/>
      <c r="E329" s="32"/>
      <c r="F329" s="78"/>
      <c r="G329" s="78"/>
      <c r="H329" s="74"/>
      <c r="I329" s="74"/>
      <c r="J329" s="78"/>
      <c r="K329" s="74"/>
      <c r="L329" s="229"/>
      <c r="M329" s="229"/>
      <c r="N329" s="229"/>
      <c r="O329" s="78"/>
      <c r="P329" s="75"/>
      <c r="Q329" s="75"/>
      <c r="R329" s="75"/>
      <c r="S329" s="75"/>
      <c r="W329" s="80"/>
      <c r="X329" s="80"/>
      <c r="Y329" s="80"/>
      <c r="AG329" s="150"/>
      <c r="AI329" s="135"/>
      <c r="AL329" s="138"/>
      <c r="AM329" s="138"/>
      <c r="AN329" s="138"/>
      <c r="AO329" s="136"/>
      <c r="AP329" s="122"/>
      <c r="AQ329" s="122"/>
      <c r="AR329" s="87"/>
      <c r="AT329" s="137"/>
      <c r="AW329" s="99"/>
    </row>
    <row r="330" spans="4:49">
      <c r="D330" s="32"/>
      <c r="E330" s="32"/>
      <c r="F330" s="78"/>
      <c r="G330" s="78"/>
      <c r="H330" s="74"/>
      <c r="I330" s="74"/>
      <c r="J330" s="78"/>
      <c r="K330" s="74"/>
      <c r="L330" s="229"/>
      <c r="M330" s="229"/>
      <c r="N330" s="229"/>
      <c r="O330" s="78"/>
      <c r="P330" s="75"/>
      <c r="Q330" s="75"/>
      <c r="R330" s="75"/>
      <c r="S330" s="75"/>
      <c r="W330" s="80"/>
      <c r="X330" s="80"/>
      <c r="Y330" s="80"/>
      <c r="AG330" s="150"/>
      <c r="AI330" s="135"/>
      <c r="AL330" s="138"/>
      <c r="AM330" s="138"/>
      <c r="AN330" s="138"/>
      <c r="AO330" s="136"/>
      <c r="AP330" s="122"/>
      <c r="AQ330" s="122"/>
      <c r="AR330" s="87"/>
      <c r="AT330" s="137"/>
      <c r="AW330" s="99"/>
    </row>
    <row r="331" spans="4:49">
      <c r="D331" s="32"/>
      <c r="E331" s="32"/>
      <c r="F331" s="74"/>
      <c r="G331" s="74"/>
      <c r="H331" s="74"/>
      <c r="I331" s="74"/>
      <c r="J331" s="74"/>
      <c r="K331" s="74"/>
      <c r="L331" s="229"/>
      <c r="M331" s="229"/>
      <c r="N331" s="229"/>
      <c r="O331" s="74"/>
      <c r="P331" s="75"/>
      <c r="Q331" s="75"/>
      <c r="R331" s="75"/>
      <c r="S331" s="75"/>
      <c r="W331" s="80"/>
      <c r="X331" s="80"/>
      <c r="Y331" s="80"/>
      <c r="AG331" s="150"/>
      <c r="AI331" s="135"/>
      <c r="AL331" s="138"/>
      <c r="AM331" s="138"/>
      <c r="AN331" s="138"/>
      <c r="AO331" s="136"/>
      <c r="AP331" s="122"/>
      <c r="AQ331" s="122"/>
      <c r="AR331" s="87"/>
      <c r="AT331" s="137"/>
    </row>
    <row r="332" spans="4:49">
      <c r="D332" s="32"/>
      <c r="E332" s="32"/>
      <c r="F332" s="74"/>
      <c r="G332" s="74"/>
      <c r="H332" s="74"/>
      <c r="I332" s="74"/>
      <c r="J332" s="74"/>
      <c r="K332" s="74"/>
      <c r="L332" s="229"/>
      <c r="M332" s="229"/>
      <c r="N332" s="229"/>
      <c r="O332" s="74"/>
      <c r="P332" s="75"/>
      <c r="Q332" s="75"/>
      <c r="R332" s="75"/>
      <c r="S332" s="75"/>
      <c r="W332" s="80"/>
      <c r="X332" s="80"/>
      <c r="Y332" s="80"/>
      <c r="AG332" s="150"/>
      <c r="AT332" s="140"/>
    </row>
    <row r="333" spans="4:49">
      <c r="D333" s="32"/>
      <c r="E333" s="32"/>
      <c r="F333" s="74"/>
      <c r="G333" s="74"/>
      <c r="H333" s="74"/>
      <c r="I333" s="74"/>
      <c r="J333" s="74"/>
      <c r="K333" s="74"/>
      <c r="L333" s="229"/>
      <c r="M333" s="229"/>
      <c r="N333" s="229"/>
      <c r="O333" s="74"/>
      <c r="P333" s="75"/>
      <c r="Q333" s="75"/>
      <c r="R333" s="75"/>
      <c r="S333" s="75"/>
      <c r="W333" s="80"/>
      <c r="X333" s="80"/>
      <c r="Y333" s="80"/>
      <c r="AG333" s="150"/>
      <c r="AT333" s="140"/>
    </row>
    <row r="334" spans="4:49">
      <c r="D334" s="32"/>
      <c r="E334" s="32"/>
      <c r="F334" s="74"/>
      <c r="G334" s="74"/>
      <c r="H334" s="74"/>
      <c r="I334" s="74"/>
      <c r="J334" s="74"/>
      <c r="K334" s="74"/>
      <c r="L334" s="229"/>
      <c r="M334" s="229"/>
      <c r="N334" s="229"/>
      <c r="O334" s="74"/>
      <c r="P334" s="75"/>
      <c r="Q334" s="75"/>
      <c r="R334" s="75"/>
      <c r="S334" s="75"/>
      <c r="W334" s="80"/>
      <c r="X334" s="80"/>
      <c r="Y334" s="80"/>
      <c r="AG334" s="150"/>
      <c r="AT334" s="140"/>
    </row>
    <row r="335" spans="4:49">
      <c r="D335" s="32"/>
      <c r="E335" s="32"/>
      <c r="F335" s="74"/>
      <c r="G335" s="74"/>
      <c r="H335" s="74"/>
      <c r="I335" s="74"/>
      <c r="J335" s="74"/>
      <c r="K335" s="74"/>
      <c r="L335" s="229"/>
      <c r="M335" s="229"/>
      <c r="N335" s="229"/>
      <c r="O335" s="74"/>
      <c r="P335" s="75"/>
      <c r="Q335" s="75"/>
      <c r="R335" s="75"/>
      <c r="S335" s="75"/>
      <c r="W335" s="80"/>
      <c r="X335" s="80"/>
      <c r="Y335" s="80"/>
      <c r="AG335" s="150"/>
      <c r="AT335" s="140"/>
    </row>
    <row r="336" spans="4:49">
      <c r="D336" s="32"/>
      <c r="E336" s="32"/>
      <c r="F336" s="74"/>
      <c r="G336" s="74"/>
      <c r="H336" s="74"/>
      <c r="I336" s="74"/>
      <c r="J336" s="74"/>
      <c r="K336" s="74"/>
      <c r="L336" s="229"/>
      <c r="M336" s="229"/>
      <c r="N336" s="229"/>
      <c r="O336" s="74"/>
      <c r="P336" s="75"/>
      <c r="Q336" s="75"/>
      <c r="R336" s="75"/>
      <c r="S336" s="75"/>
      <c r="W336" s="80"/>
      <c r="X336" s="80"/>
      <c r="Y336" s="80"/>
      <c r="AG336" s="150"/>
      <c r="AT336" s="140"/>
    </row>
    <row r="337" spans="4:46">
      <c r="D337" s="32"/>
      <c r="E337" s="32"/>
      <c r="F337" s="74"/>
      <c r="G337" s="74"/>
      <c r="H337" s="74"/>
      <c r="I337" s="74"/>
      <c r="J337" s="74"/>
      <c r="K337" s="74"/>
      <c r="L337" s="229"/>
      <c r="M337" s="229"/>
      <c r="N337" s="229"/>
      <c r="O337" s="74"/>
      <c r="P337" s="75"/>
      <c r="Q337" s="75"/>
      <c r="R337" s="75"/>
      <c r="S337" s="75"/>
      <c r="W337" s="80"/>
      <c r="X337" s="80"/>
      <c r="Y337" s="80"/>
      <c r="AG337" s="150"/>
      <c r="AT337" s="140"/>
    </row>
    <row r="338" spans="4:46">
      <c r="D338" s="32"/>
      <c r="E338" s="32"/>
      <c r="F338" s="74"/>
      <c r="G338" s="74"/>
      <c r="H338" s="74"/>
      <c r="I338" s="74"/>
      <c r="J338" s="74"/>
      <c r="K338" s="74"/>
      <c r="L338" s="229"/>
      <c r="M338" s="229"/>
      <c r="N338" s="229"/>
      <c r="O338" s="74"/>
      <c r="P338" s="75"/>
      <c r="Q338" s="75"/>
      <c r="R338" s="75"/>
      <c r="S338" s="75"/>
      <c r="W338" s="80"/>
      <c r="X338" s="80"/>
      <c r="Y338" s="80"/>
      <c r="AG338" s="150"/>
      <c r="AT338" s="140"/>
    </row>
    <row r="339" spans="4:46">
      <c r="D339" s="32"/>
      <c r="E339" s="32"/>
      <c r="F339" s="74"/>
      <c r="G339" s="74"/>
      <c r="H339" s="74"/>
      <c r="I339" s="74"/>
      <c r="J339" s="74"/>
      <c r="K339" s="74"/>
      <c r="L339" s="229"/>
      <c r="M339" s="229"/>
      <c r="N339" s="229"/>
      <c r="O339" s="74"/>
      <c r="P339" s="75"/>
      <c r="Q339" s="75"/>
      <c r="R339" s="75"/>
      <c r="S339" s="75"/>
      <c r="W339" s="80"/>
      <c r="X339" s="80"/>
      <c r="Y339" s="80"/>
      <c r="AG339" s="150"/>
      <c r="AT339" s="140"/>
    </row>
    <row r="340" spans="4:46">
      <c r="D340" s="32"/>
      <c r="E340" s="32"/>
      <c r="F340" s="74"/>
      <c r="G340" s="74"/>
      <c r="H340" s="74"/>
      <c r="I340" s="74"/>
      <c r="J340" s="74"/>
      <c r="K340" s="74"/>
      <c r="L340" s="229"/>
      <c r="M340" s="229"/>
      <c r="N340" s="229"/>
      <c r="O340" s="74"/>
      <c r="P340" s="75"/>
      <c r="Q340" s="75"/>
      <c r="R340" s="75"/>
      <c r="S340" s="75"/>
      <c r="W340" s="80"/>
      <c r="X340" s="80"/>
      <c r="Y340" s="80"/>
      <c r="AG340" s="150"/>
      <c r="AT340" s="140"/>
    </row>
    <row r="341" spans="4:46">
      <c r="F341" s="49"/>
      <c r="G341" s="49"/>
      <c r="H341" s="49"/>
      <c r="I341" s="49"/>
      <c r="J341" s="49"/>
      <c r="K341" s="49"/>
      <c r="L341" s="229"/>
      <c r="M341" s="229"/>
      <c r="N341" s="229"/>
      <c r="O341" s="49"/>
      <c r="P341" s="75"/>
      <c r="Q341" s="75"/>
      <c r="R341" s="75"/>
      <c r="S341" s="75"/>
      <c r="W341" s="80"/>
      <c r="X341" s="80"/>
      <c r="Y341" s="80"/>
      <c r="AG341" s="150"/>
      <c r="AT341" s="140"/>
    </row>
    <row r="342" spans="4:46">
      <c r="F342" s="49"/>
      <c r="G342" s="49"/>
      <c r="H342" s="49"/>
      <c r="I342" s="49"/>
      <c r="J342" s="49"/>
      <c r="K342" s="49"/>
      <c r="L342" s="229"/>
      <c r="M342" s="229"/>
      <c r="N342" s="229"/>
      <c r="O342" s="49"/>
      <c r="P342" s="75"/>
      <c r="Q342" s="75"/>
      <c r="R342" s="75"/>
      <c r="S342" s="75"/>
      <c r="W342" s="80"/>
      <c r="X342" s="80"/>
      <c r="Y342" s="80"/>
      <c r="AG342" s="150"/>
      <c r="AT342" s="140"/>
    </row>
    <row r="343" spans="4:46">
      <c r="F343" s="49"/>
      <c r="G343" s="49"/>
      <c r="H343" s="49"/>
      <c r="I343" s="49"/>
      <c r="J343" s="49"/>
      <c r="K343" s="49"/>
      <c r="L343" s="229"/>
      <c r="M343" s="229"/>
      <c r="N343" s="229"/>
      <c r="O343" s="49"/>
      <c r="P343" s="75"/>
      <c r="Q343" s="75"/>
      <c r="R343" s="75"/>
      <c r="S343" s="75"/>
      <c r="W343" s="80"/>
      <c r="X343" s="80"/>
      <c r="Y343" s="80"/>
      <c r="AG343" s="150"/>
      <c r="AT343" s="140"/>
    </row>
    <row r="344" spans="4:46">
      <c r="F344" s="49"/>
      <c r="G344" s="49"/>
      <c r="H344" s="49"/>
      <c r="I344" s="49"/>
      <c r="J344" s="49"/>
      <c r="K344" s="49"/>
      <c r="L344" s="229"/>
      <c r="M344" s="229"/>
      <c r="N344" s="229"/>
      <c r="O344" s="49"/>
      <c r="P344" s="75"/>
      <c r="Q344" s="75"/>
      <c r="R344" s="75"/>
      <c r="S344" s="75"/>
      <c r="W344" s="80"/>
      <c r="X344" s="80"/>
      <c r="Y344" s="80"/>
      <c r="AG344" s="150"/>
      <c r="AT344" s="140"/>
    </row>
    <row r="345" spans="4:46">
      <c r="F345" s="49"/>
      <c r="G345" s="49"/>
      <c r="H345" s="49"/>
      <c r="I345" s="49"/>
      <c r="J345" s="49"/>
      <c r="K345" s="49"/>
      <c r="L345" s="229"/>
      <c r="M345" s="229"/>
      <c r="N345" s="229"/>
      <c r="O345" s="49"/>
      <c r="P345" s="75"/>
      <c r="Q345" s="75"/>
      <c r="R345" s="75"/>
      <c r="S345" s="75"/>
      <c r="W345" s="80"/>
      <c r="X345" s="80"/>
      <c r="Y345" s="80"/>
      <c r="AG345" s="150"/>
      <c r="AT345" s="140"/>
    </row>
    <row r="346" spans="4:46">
      <c r="F346" s="49"/>
      <c r="G346" s="49"/>
      <c r="H346" s="49"/>
      <c r="I346" s="49"/>
      <c r="J346" s="49"/>
      <c r="K346" s="49"/>
      <c r="L346" s="229"/>
      <c r="M346" s="229"/>
      <c r="N346" s="229"/>
      <c r="O346" s="49"/>
      <c r="P346" s="75"/>
      <c r="Q346" s="75"/>
      <c r="R346" s="75"/>
      <c r="S346" s="75"/>
      <c r="W346" s="80"/>
      <c r="X346" s="80"/>
      <c r="Y346" s="80"/>
      <c r="AG346" s="150"/>
      <c r="AT346" s="140"/>
    </row>
    <row r="347" spans="4:46">
      <c r="F347" s="49"/>
      <c r="G347" s="49"/>
      <c r="H347" s="49"/>
      <c r="I347" s="49"/>
      <c r="J347" s="49"/>
      <c r="K347" s="49"/>
      <c r="L347" s="229"/>
      <c r="M347" s="229"/>
      <c r="N347" s="229"/>
      <c r="O347" s="49"/>
      <c r="P347" s="75"/>
      <c r="Q347" s="75"/>
      <c r="R347" s="75"/>
      <c r="S347" s="75"/>
      <c r="W347" s="80"/>
      <c r="X347" s="80"/>
      <c r="Y347" s="80"/>
      <c r="AG347" s="150"/>
      <c r="AT347" s="140"/>
    </row>
    <row r="348" spans="4:46">
      <c r="F348" s="49"/>
      <c r="G348" s="49"/>
      <c r="H348" s="49"/>
      <c r="I348" s="49"/>
      <c r="J348" s="49"/>
      <c r="K348" s="49"/>
      <c r="L348" s="229"/>
      <c r="M348" s="229"/>
      <c r="N348" s="229"/>
      <c r="O348" s="49"/>
      <c r="P348" s="75"/>
      <c r="Q348" s="75"/>
      <c r="R348" s="75"/>
      <c r="S348" s="75"/>
      <c r="W348" s="80"/>
      <c r="X348" s="80"/>
      <c r="Y348" s="80"/>
      <c r="AG348" s="150"/>
      <c r="AT348" s="140"/>
    </row>
    <row r="349" spans="4:46">
      <c r="F349" s="49"/>
      <c r="G349" s="49"/>
      <c r="H349" s="49"/>
      <c r="I349" s="49"/>
      <c r="J349" s="49"/>
      <c r="K349" s="49"/>
      <c r="L349" s="229"/>
      <c r="M349" s="229"/>
      <c r="N349" s="229"/>
      <c r="O349" s="49"/>
      <c r="P349" s="75"/>
      <c r="Q349" s="75"/>
      <c r="R349" s="75"/>
      <c r="S349" s="75"/>
      <c r="W349" s="80"/>
      <c r="X349" s="80"/>
      <c r="Y349" s="80"/>
      <c r="AG349" s="150"/>
      <c r="AT349" s="140"/>
    </row>
    <row r="350" spans="4:46">
      <c r="F350" s="49"/>
      <c r="G350" s="49"/>
      <c r="H350" s="49"/>
      <c r="I350" s="49"/>
      <c r="J350" s="49"/>
      <c r="K350" s="49"/>
      <c r="L350" s="229"/>
      <c r="M350" s="229"/>
      <c r="N350" s="229"/>
      <c r="O350" s="49"/>
      <c r="P350" s="75"/>
      <c r="Q350" s="75"/>
      <c r="R350" s="75"/>
      <c r="S350" s="75"/>
      <c r="W350" s="80"/>
      <c r="X350" s="80"/>
      <c r="Y350" s="80"/>
      <c r="AG350" s="150"/>
      <c r="AT350" s="140"/>
    </row>
    <row r="351" spans="4:46">
      <c r="F351" s="49"/>
      <c r="G351" s="49"/>
      <c r="H351" s="49"/>
      <c r="I351" s="49"/>
      <c r="J351" s="49"/>
      <c r="K351" s="49"/>
      <c r="L351" s="229"/>
      <c r="M351" s="229"/>
      <c r="N351" s="229"/>
      <c r="O351" s="49"/>
      <c r="P351" s="75"/>
      <c r="Q351" s="75"/>
      <c r="R351" s="75"/>
      <c r="S351" s="75"/>
      <c r="W351" s="80"/>
      <c r="X351" s="80"/>
      <c r="Y351" s="80"/>
      <c r="AG351" s="150"/>
      <c r="AT351" s="140"/>
    </row>
    <row r="352" spans="4:46">
      <c r="F352" s="49"/>
      <c r="G352" s="49"/>
      <c r="H352" s="49"/>
      <c r="I352" s="49"/>
      <c r="J352" s="49"/>
      <c r="K352" s="49"/>
      <c r="L352" s="229"/>
      <c r="M352" s="229"/>
      <c r="N352" s="229"/>
      <c r="O352" s="49"/>
      <c r="P352" s="75"/>
      <c r="Q352" s="75"/>
      <c r="R352" s="75"/>
      <c r="S352" s="75"/>
      <c r="W352" s="80"/>
      <c r="X352" s="80"/>
      <c r="Y352" s="80"/>
      <c r="AG352" s="150"/>
      <c r="AT352" s="140"/>
    </row>
    <row r="353" spans="6:46">
      <c r="F353" s="49"/>
      <c r="G353" s="49"/>
      <c r="H353" s="49"/>
      <c r="I353" s="49"/>
      <c r="J353" s="49"/>
      <c r="K353" s="49"/>
      <c r="L353" s="229"/>
      <c r="M353" s="229"/>
      <c r="N353" s="229"/>
      <c r="O353" s="49"/>
      <c r="P353" s="75"/>
      <c r="Q353" s="75"/>
      <c r="R353" s="75"/>
      <c r="S353" s="75"/>
      <c r="W353" s="80"/>
      <c r="X353" s="80"/>
      <c r="Y353" s="80"/>
      <c r="AG353" s="150"/>
      <c r="AT353" s="140"/>
    </row>
    <row r="354" spans="6:46">
      <c r="F354" s="49"/>
      <c r="G354" s="49"/>
      <c r="H354" s="49"/>
      <c r="I354" s="49"/>
      <c r="J354" s="49"/>
      <c r="K354" s="49"/>
      <c r="L354" s="229"/>
      <c r="M354" s="229"/>
      <c r="N354" s="229"/>
      <c r="O354" s="49"/>
      <c r="P354" s="75"/>
      <c r="Q354" s="75"/>
      <c r="R354" s="75"/>
      <c r="S354" s="75"/>
      <c r="W354" s="80"/>
      <c r="X354" s="80"/>
      <c r="Y354" s="80"/>
      <c r="AG354" s="150"/>
      <c r="AT354" s="140"/>
    </row>
    <row r="355" spans="6:46">
      <c r="F355" s="49"/>
      <c r="G355" s="49"/>
      <c r="H355" s="49"/>
      <c r="I355" s="49"/>
      <c r="J355" s="49"/>
      <c r="K355" s="49"/>
      <c r="L355" s="229"/>
      <c r="M355" s="229"/>
      <c r="N355" s="229"/>
      <c r="O355" s="49"/>
      <c r="P355" s="75"/>
      <c r="Q355" s="75"/>
      <c r="R355" s="75"/>
      <c r="S355" s="75"/>
      <c r="W355" s="80"/>
      <c r="X355" s="80"/>
      <c r="Y355" s="80"/>
      <c r="AG355" s="150"/>
      <c r="AT355" s="140"/>
    </row>
    <row r="356" spans="6:46">
      <c r="F356" s="49"/>
      <c r="G356" s="49"/>
      <c r="H356" s="49"/>
      <c r="I356" s="49"/>
      <c r="J356" s="49"/>
      <c r="K356" s="49"/>
      <c r="L356" s="229"/>
      <c r="M356" s="229"/>
      <c r="N356" s="229"/>
      <c r="O356" s="49"/>
      <c r="P356" s="75"/>
      <c r="Q356" s="75"/>
      <c r="R356" s="75"/>
      <c r="S356" s="75"/>
      <c r="W356" s="80"/>
      <c r="X356" s="80"/>
      <c r="Y356" s="80"/>
      <c r="AG356" s="150"/>
      <c r="AT356" s="140"/>
    </row>
    <row r="357" spans="6:46">
      <c r="F357" s="49"/>
      <c r="G357" s="49"/>
      <c r="H357" s="49"/>
      <c r="I357" s="49"/>
      <c r="J357" s="49"/>
      <c r="K357" s="49"/>
      <c r="L357" s="229"/>
      <c r="M357" s="229"/>
      <c r="N357" s="229"/>
      <c r="O357" s="49"/>
      <c r="P357" s="75"/>
      <c r="Q357" s="75"/>
      <c r="R357" s="75"/>
      <c r="S357" s="75"/>
      <c r="W357" s="80"/>
      <c r="X357" s="80"/>
      <c r="Y357" s="80"/>
      <c r="AG357" s="150"/>
      <c r="AT357" s="140"/>
    </row>
    <row r="358" spans="6:46">
      <c r="F358" s="49"/>
      <c r="G358" s="49"/>
      <c r="H358" s="49"/>
      <c r="I358" s="49"/>
      <c r="J358" s="49"/>
      <c r="K358" s="49"/>
      <c r="L358" s="229"/>
      <c r="M358" s="229"/>
      <c r="N358" s="229"/>
      <c r="O358" s="49"/>
      <c r="P358" s="75"/>
      <c r="Q358" s="75"/>
      <c r="R358" s="75"/>
      <c r="S358" s="75"/>
      <c r="W358" s="80"/>
      <c r="X358" s="80"/>
      <c r="Y358" s="80"/>
      <c r="AG358" s="150"/>
      <c r="AT358" s="140"/>
    </row>
    <row r="359" spans="6:46">
      <c r="F359" s="49"/>
      <c r="G359" s="49"/>
      <c r="H359" s="49"/>
      <c r="I359" s="49"/>
      <c r="J359" s="49"/>
      <c r="K359" s="49"/>
      <c r="L359" s="229"/>
      <c r="M359" s="229"/>
      <c r="N359" s="229"/>
      <c r="O359" s="49"/>
      <c r="P359" s="75"/>
      <c r="Q359" s="75"/>
      <c r="R359" s="75"/>
      <c r="S359" s="75"/>
      <c r="W359" s="80"/>
      <c r="X359" s="80"/>
      <c r="Y359" s="80"/>
      <c r="AG359" s="150"/>
      <c r="AT359" s="140"/>
    </row>
    <row r="360" spans="6:46">
      <c r="F360" s="49"/>
      <c r="G360" s="49"/>
      <c r="H360" s="49"/>
      <c r="I360" s="49"/>
      <c r="J360" s="49"/>
      <c r="K360" s="49"/>
      <c r="L360" s="229"/>
      <c r="M360" s="229"/>
      <c r="N360" s="229"/>
      <c r="O360" s="49"/>
      <c r="P360" s="75"/>
      <c r="Q360" s="75"/>
      <c r="R360" s="75"/>
      <c r="S360" s="75"/>
      <c r="W360" s="80"/>
      <c r="X360" s="80"/>
      <c r="Y360" s="80"/>
      <c r="AG360" s="150"/>
      <c r="AT360" s="140"/>
    </row>
    <row r="361" spans="6:46">
      <c r="F361" s="49"/>
      <c r="G361" s="49"/>
      <c r="H361" s="49"/>
      <c r="I361" s="49"/>
      <c r="J361" s="49"/>
      <c r="K361" s="49"/>
      <c r="L361" s="229"/>
      <c r="M361" s="229"/>
      <c r="N361" s="229"/>
      <c r="O361" s="49"/>
      <c r="P361" s="75"/>
      <c r="Q361" s="75"/>
      <c r="R361" s="75"/>
      <c r="S361" s="75"/>
      <c r="W361" s="80"/>
      <c r="X361" s="80"/>
      <c r="Y361" s="80"/>
      <c r="AG361" s="150"/>
      <c r="AT361" s="140"/>
    </row>
    <row r="362" spans="6:46">
      <c r="F362" s="49"/>
      <c r="G362" s="49"/>
      <c r="H362" s="49"/>
      <c r="I362" s="49"/>
      <c r="J362" s="49"/>
      <c r="K362" s="49"/>
      <c r="L362" s="229"/>
      <c r="M362" s="229"/>
      <c r="N362" s="229"/>
      <c r="O362" s="49"/>
      <c r="P362" s="75"/>
      <c r="Q362" s="75"/>
      <c r="R362" s="75"/>
      <c r="S362" s="75"/>
      <c r="W362" s="80"/>
      <c r="X362" s="80"/>
      <c r="Y362" s="80"/>
      <c r="AG362" s="150"/>
      <c r="AT362" s="140"/>
    </row>
    <row r="363" spans="6:46">
      <c r="F363" s="49"/>
      <c r="G363" s="49"/>
      <c r="H363" s="49"/>
      <c r="I363" s="49"/>
      <c r="J363" s="49"/>
      <c r="K363" s="49"/>
      <c r="L363" s="229"/>
      <c r="M363" s="229"/>
      <c r="N363" s="229"/>
      <c r="O363" s="49"/>
      <c r="P363" s="75"/>
      <c r="Q363" s="75"/>
      <c r="R363" s="75"/>
      <c r="S363" s="75"/>
      <c r="W363" s="80"/>
      <c r="X363" s="80"/>
      <c r="Y363" s="80"/>
      <c r="AG363" s="150"/>
      <c r="AT363" s="140"/>
    </row>
    <row r="364" spans="6:46">
      <c r="F364" s="49"/>
      <c r="G364" s="49"/>
      <c r="H364" s="49"/>
      <c r="I364" s="49"/>
      <c r="J364" s="49"/>
      <c r="K364" s="49"/>
      <c r="L364" s="229"/>
      <c r="M364" s="229"/>
      <c r="N364" s="229"/>
      <c r="O364" s="49"/>
      <c r="P364" s="75"/>
      <c r="Q364" s="75"/>
      <c r="R364" s="75"/>
      <c r="S364" s="75"/>
      <c r="W364" s="80"/>
      <c r="X364" s="80"/>
      <c r="Y364" s="80"/>
      <c r="AG364" s="150"/>
      <c r="AT364" s="140"/>
    </row>
    <row r="365" spans="6:46">
      <c r="F365" s="49"/>
      <c r="G365" s="49"/>
      <c r="H365" s="49"/>
      <c r="I365" s="49"/>
      <c r="J365" s="49"/>
      <c r="K365" s="49"/>
      <c r="L365" s="229"/>
      <c r="M365" s="229"/>
      <c r="N365" s="229"/>
      <c r="O365" s="49"/>
      <c r="P365" s="75"/>
      <c r="Q365" s="75"/>
      <c r="R365" s="75"/>
      <c r="S365" s="75"/>
      <c r="W365" s="80"/>
      <c r="X365" s="80"/>
      <c r="Y365" s="80"/>
      <c r="AG365" s="150"/>
      <c r="AT365" s="140"/>
    </row>
    <row r="366" spans="6:46">
      <c r="F366" s="49"/>
      <c r="G366" s="49"/>
      <c r="H366" s="49"/>
      <c r="I366" s="49"/>
      <c r="J366" s="49"/>
      <c r="K366" s="49"/>
      <c r="L366" s="229"/>
      <c r="M366" s="229"/>
      <c r="N366" s="229"/>
      <c r="O366" s="49"/>
      <c r="P366" s="75"/>
      <c r="Q366" s="75"/>
      <c r="R366" s="75"/>
      <c r="S366" s="75"/>
      <c r="W366" s="80"/>
      <c r="X366" s="80"/>
      <c r="Y366" s="80"/>
      <c r="AG366" s="150"/>
      <c r="AT366" s="140"/>
    </row>
    <row r="367" spans="6:46">
      <c r="F367" s="49"/>
      <c r="G367" s="49"/>
      <c r="H367" s="49"/>
      <c r="I367" s="49"/>
      <c r="J367" s="49"/>
      <c r="K367" s="49"/>
      <c r="L367" s="229"/>
      <c r="M367" s="229"/>
      <c r="N367" s="229"/>
      <c r="O367" s="49"/>
      <c r="P367" s="75"/>
      <c r="Q367" s="75"/>
      <c r="R367" s="75"/>
      <c r="S367" s="75"/>
      <c r="W367" s="80"/>
      <c r="X367" s="80"/>
      <c r="Y367" s="80"/>
      <c r="AG367" s="150"/>
      <c r="AT367" s="140"/>
    </row>
    <row r="368" spans="6:46">
      <c r="F368" s="49"/>
      <c r="G368" s="49"/>
      <c r="H368" s="49"/>
      <c r="I368" s="49"/>
      <c r="J368" s="49"/>
      <c r="K368" s="49"/>
      <c r="L368" s="229"/>
      <c r="M368" s="229"/>
      <c r="N368" s="229"/>
      <c r="O368" s="49"/>
      <c r="P368" s="75"/>
      <c r="Q368" s="75"/>
      <c r="R368" s="75"/>
      <c r="S368" s="75"/>
      <c r="W368" s="80"/>
      <c r="X368" s="80"/>
      <c r="Y368" s="80"/>
      <c r="AG368" s="150"/>
      <c r="AT368" s="140"/>
    </row>
    <row r="369" spans="6:46">
      <c r="F369" s="49"/>
      <c r="G369" s="49"/>
      <c r="H369" s="49"/>
      <c r="I369" s="49"/>
      <c r="J369" s="49"/>
      <c r="K369" s="49"/>
      <c r="L369" s="229"/>
      <c r="M369" s="229"/>
      <c r="N369" s="229"/>
      <c r="O369" s="49"/>
      <c r="P369" s="75"/>
      <c r="Q369" s="75"/>
      <c r="R369" s="75"/>
      <c r="S369" s="75"/>
      <c r="W369" s="80"/>
      <c r="X369" s="80"/>
      <c r="Y369" s="80"/>
      <c r="AG369" s="150"/>
      <c r="AT369" s="140"/>
    </row>
    <row r="370" spans="6:46">
      <c r="F370" s="49"/>
      <c r="G370" s="49"/>
      <c r="H370" s="49"/>
      <c r="I370" s="49"/>
      <c r="J370" s="49"/>
      <c r="K370" s="49"/>
      <c r="L370" s="229"/>
      <c r="M370" s="229"/>
      <c r="N370" s="229"/>
      <c r="O370" s="49"/>
      <c r="P370" s="75"/>
      <c r="Q370" s="75"/>
      <c r="R370" s="75"/>
      <c r="S370" s="75"/>
      <c r="W370" s="80"/>
      <c r="X370" s="80"/>
      <c r="Y370" s="80"/>
      <c r="AG370" s="150"/>
      <c r="AT370" s="140"/>
    </row>
    <row r="371" spans="6:46">
      <c r="F371" s="49"/>
      <c r="G371" s="49"/>
      <c r="H371" s="49"/>
      <c r="I371" s="49"/>
      <c r="J371" s="49"/>
      <c r="K371" s="49"/>
      <c r="L371" s="229"/>
      <c r="M371" s="229"/>
      <c r="N371" s="229"/>
      <c r="O371" s="49"/>
      <c r="P371" s="75"/>
      <c r="Q371" s="75"/>
      <c r="R371" s="75"/>
      <c r="S371" s="75"/>
      <c r="W371" s="80"/>
      <c r="X371" s="80"/>
      <c r="Y371" s="80"/>
      <c r="AG371" s="150"/>
      <c r="AT371" s="140"/>
    </row>
    <row r="372" spans="6:46">
      <c r="F372" s="49"/>
      <c r="G372" s="49"/>
      <c r="H372" s="49"/>
      <c r="I372" s="49"/>
      <c r="J372" s="49"/>
      <c r="K372" s="49"/>
      <c r="L372" s="229"/>
      <c r="M372" s="229"/>
      <c r="N372" s="229"/>
      <c r="O372" s="49"/>
      <c r="P372" s="75"/>
      <c r="Q372" s="75"/>
      <c r="R372" s="75"/>
      <c r="S372" s="75"/>
      <c r="W372" s="80"/>
      <c r="X372" s="80"/>
      <c r="Y372" s="80"/>
      <c r="AG372" s="150"/>
      <c r="AT372" s="140"/>
    </row>
    <row r="373" spans="6:46">
      <c r="F373" s="49"/>
      <c r="G373" s="49"/>
      <c r="H373" s="49"/>
      <c r="I373" s="49"/>
      <c r="J373" s="49"/>
      <c r="K373" s="49"/>
      <c r="L373" s="229"/>
      <c r="M373" s="229"/>
      <c r="N373" s="229"/>
      <c r="O373" s="49"/>
      <c r="P373" s="75"/>
      <c r="Q373" s="75"/>
      <c r="R373" s="75"/>
      <c r="S373" s="75"/>
      <c r="W373" s="80"/>
      <c r="X373" s="80"/>
      <c r="Y373" s="80"/>
      <c r="AG373" s="150"/>
      <c r="AT373" s="140"/>
    </row>
    <row r="374" spans="6:46">
      <c r="F374" s="49"/>
      <c r="G374" s="49"/>
      <c r="H374" s="49"/>
      <c r="I374" s="49"/>
      <c r="J374" s="49"/>
      <c r="K374" s="49"/>
      <c r="L374" s="229"/>
      <c r="M374" s="229"/>
      <c r="N374" s="229"/>
      <c r="O374" s="49"/>
      <c r="P374" s="75"/>
      <c r="Q374" s="75"/>
      <c r="R374" s="75"/>
      <c r="S374" s="75"/>
      <c r="W374" s="80"/>
      <c r="X374" s="80"/>
      <c r="Y374" s="80"/>
      <c r="AG374" s="150"/>
      <c r="AT374" s="140"/>
    </row>
    <row r="375" spans="6:46">
      <c r="F375" s="49"/>
      <c r="G375" s="49"/>
      <c r="H375" s="49"/>
      <c r="I375" s="49"/>
      <c r="J375" s="49"/>
      <c r="K375" s="49"/>
      <c r="L375" s="229"/>
      <c r="M375" s="229"/>
      <c r="N375" s="229"/>
      <c r="O375" s="49"/>
      <c r="P375" s="75"/>
      <c r="Q375" s="75"/>
      <c r="R375" s="75"/>
      <c r="S375" s="75"/>
      <c r="W375" s="80"/>
      <c r="X375" s="80"/>
      <c r="Y375" s="80"/>
      <c r="AG375" s="150"/>
      <c r="AT375" s="140"/>
    </row>
    <row r="376" spans="6:46">
      <c r="F376" s="49"/>
      <c r="G376" s="49"/>
      <c r="H376" s="49"/>
      <c r="I376" s="49"/>
      <c r="J376" s="49"/>
      <c r="K376" s="49"/>
      <c r="L376" s="229"/>
      <c r="M376" s="229"/>
      <c r="N376" s="229"/>
      <c r="O376" s="49"/>
      <c r="P376" s="75"/>
      <c r="Q376" s="75"/>
      <c r="R376" s="75"/>
      <c r="S376" s="75"/>
      <c r="W376" s="80"/>
      <c r="X376" s="80"/>
      <c r="Y376" s="80"/>
      <c r="AG376" s="150"/>
      <c r="AT376" s="140"/>
    </row>
    <row r="377" spans="6:46">
      <c r="F377" s="49"/>
      <c r="G377" s="49"/>
      <c r="H377" s="49"/>
      <c r="I377" s="49"/>
      <c r="J377" s="49"/>
      <c r="K377" s="49"/>
      <c r="L377" s="229"/>
      <c r="M377" s="229"/>
      <c r="N377" s="229"/>
      <c r="O377" s="49"/>
      <c r="P377" s="75"/>
      <c r="Q377" s="75"/>
      <c r="R377" s="75"/>
      <c r="S377" s="75"/>
      <c r="W377" s="80"/>
      <c r="X377" s="80"/>
      <c r="Y377" s="80"/>
      <c r="AG377" s="150"/>
      <c r="AT377" s="140"/>
    </row>
    <row r="378" spans="6:46">
      <c r="F378" s="49"/>
      <c r="G378" s="49"/>
      <c r="H378" s="49"/>
      <c r="I378" s="49"/>
      <c r="J378" s="49"/>
      <c r="K378" s="49"/>
      <c r="L378" s="229"/>
      <c r="M378" s="229"/>
      <c r="N378" s="229"/>
      <c r="O378" s="49"/>
      <c r="P378" s="75"/>
      <c r="Q378" s="75"/>
      <c r="R378" s="75"/>
      <c r="S378" s="75"/>
      <c r="W378" s="80"/>
      <c r="X378" s="80"/>
      <c r="Y378" s="80"/>
      <c r="AG378" s="150"/>
      <c r="AT378" s="140"/>
    </row>
    <row r="379" spans="6:46">
      <c r="F379" s="49"/>
      <c r="G379" s="49"/>
      <c r="H379" s="49"/>
      <c r="I379" s="49"/>
      <c r="J379" s="49"/>
      <c r="K379" s="49"/>
      <c r="L379" s="229"/>
      <c r="M379" s="229"/>
      <c r="N379" s="229"/>
      <c r="O379" s="49"/>
      <c r="P379" s="75"/>
      <c r="Q379" s="75"/>
      <c r="R379" s="75"/>
      <c r="S379" s="75"/>
      <c r="W379" s="80"/>
      <c r="X379" s="80"/>
      <c r="Y379" s="80"/>
      <c r="AG379" s="150"/>
      <c r="AT379" s="140"/>
    </row>
    <row r="380" spans="6:46">
      <c r="F380" s="49"/>
      <c r="G380" s="49"/>
      <c r="H380" s="49"/>
      <c r="I380" s="49"/>
      <c r="J380" s="49"/>
      <c r="K380" s="49"/>
      <c r="L380" s="229"/>
      <c r="M380" s="229"/>
      <c r="N380" s="229"/>
      <c r="O380" s="49"/>
      <c r="P380" s="75"/>
      <c r="Q380" s="75"/>
      <c r="R380" s="75"/>
      <c r="S380" s="75"/>
      <c r="W380" s="80"/>
      <c r="X380" s="80"/>
      <c r="Y380" s="80"/>
      <c r="AG380" s="150"/>
      <c r="AT380" s="140"/>
    </row>
    <row r="381" spans="6:46">
      <c r="F381" s="49"/>
      <c r="G381" s="49"/>
      <c r="H381" s="49"/>
      <c r="I381" s="49"/>
      <c r="J381" s="49"/>
      <c r="K381" s="49"/>
      <c r="L381" s="229"/>
      <c r="M381" s="229"/>
      <c r="N381" s="229"/>
      <c r="O381" s="49"/>
      <c r="P381" s="75"/>
      <c r="Q381" s="75"/>
      <c r="R381" s="75"/>
      <c r="S381" s="75"/>
      <c r="W381" s="80"/>
      <c r="X381" s="80"/>
      <c r="Y381" s="80"/>
      <c r="AG381" s="150"/>
      <c r="AT381" s="140"/>
    </row>
    <row r="382" spans="6:46">
      <c r="F382" s="49"/>
      <c r="G382" s="49"/>
      <c r="H382" s="49"/>
      <c r="I382" s="49"/>
      <c r="J382" s="49"/>
      <c r="K382" s="49"/>
      <c r="L382" s="229"/>
      <c r="M382" s="229"/>
      <c r="N382" s="229"/>
      <c r="O382" s="49"/>
      <c r="P382" s="75"/>
      <c r="Q382" s="75"/>
      <c r="R382" s="75"/>
      <c r="S382" s="75"/>
      <c r="W382" s="80"/>
      <c r="X382" s="80"/>
      <c r="Y382" s="80"/>
      <c r="AG382" s="150"/>
      <c r="AT382" s="140"/>
    </row>
    <row r="383" spans="6:46">
      <c r="F383" s="49"/>
      <c r="G383" s="49"/>
      <c r="H383" s="49"/>
      <c r="I383" s="49"/>
      <c r="J383" s="49"/>
      <c r="K383" s="49"/>
      <c r="L383" s="229"/>
      <c r="M383" s="229"/>
      <c r="N383" s="229"/>
      <c r="O383" s="49"/>
      <c r="P383" s="75"/>
      <c r="Q383" s="75"/>
      <c r="R383" s="75"/>
      <c r="S383" s="75"/>
      <c r="W383" s="80"/>
      <c r="X383" s="80"/>
      <c r="Y383" s="80"/>
      <c r="AG383" s="150"/>
      <c r="AT383" s="140"/>
    </row>
    <row r="384" spans="6:46">
      <c r="F384" s="49"/>
      <c r="G384" s="49"/>
      <c r="H384" s="49"/>
      <c r="I384" s="49"/>
      <c r="J384" s="49"/>
      <c r="K384" s="49"/>
      <c r="L384" s="229"/>
      <c r="M384" s="229"/>
      <c r="N384" s="229"/>
      <c r="O384" s="49"/>
      <c r="P384" s="75"/>
      <c r="Q384" s="75"/>
      <c r="R384" s="75"/>
      <c r="S384" s="75"/>
      <c r="W384" s="80"/>
      <c r="X384" s="80"/>
      <c r="Y384" s="80"/>
      <c r="AG384" s="150"/>
      <c r="AT384" s="140"/>
    </row>
    <row r="385" spans="6:46">
      <c r="F385" s="49"/>
      <c r="G385" s="49"/>
      <c r="H385" s="49"/>
      <c r="I385" s="49"/>
      <c r="J385" s="49"/>
      <c r="K385" s="49"/>
      <c r="L385" s="229"/>
      <c r="M385" s="229"/>
      <c r="N385" s="229"/>
      <c r="O385" s="49"/>
      <c r="P385" s="75"/>
      <c r="Q385" s="75"/>
      <c r="R385" s="75"/>
      <c r="S385" s="75"/>
      <c r="W385" s="80"/>
      <c r="X385" s="80"/>
      <c r="Y385" s="80"/>
      <c r="AG385" s="150"/>
      <c r="AT385" s="140"/>
    </row>
    <row r="386" spans="6:46">
      <c r="F386" s="49"/>
      <c r="G386" s="49"/>
      <c r="H386" s="49"/>
      <c r="I386" s="49"/>
      <c r="J386" s="49"/>
      <c r="K386" s="49"/>
      <c r="L386" s="229"/>
      <c r="M386" s="229"/>
      <c r="N386" s="229"/>
      <c r="O386" s="49"/>
      <c r="P386" s="75"/>
      <c r="Q386" s="75"/>
      <c r="R386" s="75"/>
      <c r="S386" s="75"/>
      <c r="W386" s="80"/>
      <c r="X386" s="80"/>
      <c r="Y386" s="80"/>
      <c r="AG386" s="150"/>
      <c r="AT386" s="140"/>
    </row>
    <row r="387" spans="6:46">
      <c r="F387" s="49"/>
      <c r="G387" s="49"/>
      <c r="H387" s="49"/>
      <c r="I387" s="49"/>
      <c r="J387" s="49"/>
      <c r="K387" s="49"/>
      <c r="L387" s="229"/>
      <c r="M387" s="229"/>
      <c r="N387" s="229"/>
      <c r="O387" s="49"/>
      <c r="P387" s="75"/>
      <c r="Q387" s="75"/>
      <c r="R387" s="75"/>
      <c r="S387" s="75"/>
      <c r="W387" s="80"/>
      <c r="X387" s="80"/>
      <c r="Y387" s="80"/>
      <c r="AG387" s="150"/>
      <c r="AT387" s="140"/>
    </row>
    <row r="388" spans="6:46">
      <c r="F388" s="49"/>
      <c r="G388" s="49"/>
      <c r="H388" s="49"/>
      <c r="I388" s="49"/>
      <c r="J388" s="49"/>
      <c r="K388" s="49"/>
      <c r="L388" s="229"/>
      <c r="M388" s="229"/>
      <c r="N388" s="229"/>
      <c r="O388" s="49"/>
      <c r="P388" s="75"/>
      <c r="Q388" s="75"/>
      <c r="R388" s="75"/>
      <c r="S388" s="75"/>
      <c r="W388" s="80"/>
      <c r="X388" s="80"/>
      <c r="Y388" s="80"/>
      <c r="AG388" s="150"/>
      <c r="AT388" s="140"/>
    </row>
    <row r="389" spans="6:46">
      <c r="F389" s="49"/>
      <c r="G389" s="49"/>
      <c r="H389" s="49"/>
      <c r="I389" s="49"/>
      <c r="J389" s="49"/>
      <c r="K389" s="49"/>
      <c r="L389" s="229"/>
      <c r="M389" s="229"/>
      <c r="N389" s="229"/>
      <c r="O389" s="49"/>
      <c r="P389" s="75"/>
      <c r="Q389" s="75"/>
      <c r="R389" s="75"/>
      <c r="S389" s="75"/>
      <c r="W389" s="80"/>
      <c r="X389" s="80"/>
      <c r="Y389" s="80"/>
      <c r="AG389" s="150"/>
      <c r="AT389" s="140"/>
    </row>
    <row r="390" spans="6:46">
      <c r="F390" s="49"/>
      <c r="G390" s="49"/>
      <c r="H390" s="49"/>
      <c r="I390" s="49"/>
      <c r="J390" s="49"/>
      <c r="K390" s="49"/>
      <c r="L390" s="229"/>
      <c r="M390" s="229"/>
      <c r="N390" s="229"/>
      <c r="O390" s="49"/>
      <c r="P390" s="75"/>
      <c r="Q390" s="75"/>
      <c r="R390" s="75"/>
      <c r="S390" s="75"/>
      <c r="W390" s="80"/>
      <c r="X390" s="80"/>
      <c r="Y390" s="80"/>
      <c r="AG390" s="150"/>
      <c r="AT390" s="140"/>
    </row>
    <row r="391" spans="6:46">
      <c r="F391" s="49"/>
      <c r="G391" s="49"/>
      <c r="H391" s="49"/>
      <c r="I391" s="49"/>
      <c r="J391" s="49"/>
      <c r="K391" s="49"/>
      <c r="L391" s="229"/>
      <c r="M391" s="229"/>
      <c r="N391" s="229"/>
      <c r="O391" s="49"/>
      <c r="P391" s="75"/>
      <c r="Q391" s="75"/>
      <c r="R391" s="75"/>
      <c r="S391" s="75"/>
      <c r="W391" s="80"/>
      <c r="X391" s="80"/>
      <c r="Y391" s="80"/>
      <c r="AG391" s="150"/>
      <c r="AT391" s="140"/>
    </row>
    <row r="392" spans="6:46">
      <c r="F392" s="49"/>
      <c r="G392" s="49"/>
      <c r="H392" s="49"/>
      <c r="I392" s="49"/>
      <c r="J392" s="49"/>
      <c r="K392" s="49"/>
      <c r="L392" s="229"/>
      <c r="M392" s="229"/>
      <c r="N392" s="229"/>
      <c r="O392" s="49"/>
      <c r="P392" s="75"/>
      <c r="Q392" s="75"/>
      <c r="R392" s="75"/>
      <c r="S392" s="75"/>
      <c r="W392" s="80"/>
      <c r="X392" s="80"/>
      <c r="Y392" s="80"/>
      <c r="AG392" s="150"/>
      <c r="AT392" s="140"/>
    </row>
    <row r="393" spans="6:46">
      <c r="F393" s="49"/>
      <c r="G393" s="49"/>
      <c r="H393" s="49"/>
      <c r="I393" s="49"/>
      <c r="J393" s="49"/>
      <c r="K393" s="49"/>
      <c r="L393" s="229"/>
      <c r="M393" s="229"/>
      <c r="N393" s="229"/>
      <c r="O393" s="49"/>
      <c r="P393" s="75"/>
      <c r="Q393" s="75"/>
      <c r="R393" s="75"/>
      <c r="S393" s="75"/>
      <c r="W393" s="80"/>
      <c r="X393" s="80"/>
      <c r="Y393" s="80"/>
      <c r="AG393" s="150"/>
      <c r="AT393" s="140"/>
    </row>
    <row r="394" spans="6:46">
      <c r="F394" s="49"/>
      <c r="G394" s="49"/>
      <c r="H394" s="49"/>
      <c r="I394" s="49"/>
      <c r="J394" s="49"/>
      <c r="K394" s="49"/>
      <c r="L394" s="229"/>
      <c r="M394" s="229"/>
      <c r="N394" s="229"/>
      <c r="O394" s="49"/>
      <c r="P394" s="75"/>
      <c r="Q394" s="75"/>
      <c r="R394" s="75"/>
      <c r="S394" s="75"/>
      <c r="W394" s="80"/>
      <c r="X394" s="80"/>
      <c r="Y394" s="80"/>
      <c r="AG394" s="150"/>
      <c r="AT394" s="140"/>
    </row>
    <row r="395" spans="6:46">
      <c r="F395" s="49"/>
      <c r="G395" s="49"/>
      <c r="H395" s="49"/>
      <c r="I395" s="49"/>
      <c r="J395" s="49"/>
      <c r="K395" s="49"/>
      <c r="L395" s="229"/>
      <c r="M395" s="229"/>
      <c r="N395" s="229"/>
      <c r="O395" s="49"/>
      <c r="P395" s="75"/>
      <c r="Q395" s="75"/>
      <c r="R395" s="75"/>
      <c r="S395" s="75"/>
      <c r="W395" s="80"/>
      <c r="X395" s="80"/>
      <c r="Y395" s="80"/>
      <c r="AG395" s="150"/>
      <c r="AT395" s="140"/>
    </row>
    <row r="396" spans="6:46">
      <c r="F396" s="49"/>
      <c r="G396" s="49"/>
      <c r="H396" s="49"/>
      <c r="I396" s="49"/>
      <c r="J396" s="49"/>
      <c r="K396" s="49"/>
      <c r="L396" s="229"/>
      <c r="M396" s="229"/>
      <c r="N396" s="229"/>
      <c r="O396" s="49"/>
      <c r="P396" s="75"/>
      <c r="Q396" s="75"/>
      <c r="R396" s="75"/>
      <c r="S396" s="75"/>
      <c r="W396" s="80"/>
      <c r="X396" s="80"/>
      <c r="Y396" s="80"/>
      <c r="AG396" s="150"/>
      <c r="AT396" s="140"/>
    </row>
    <row r="397" spans="6:46">
      <c r="F397" s="49"/>
      <c r="G397" s="49"/>
      <c r="H397" s="49"/>
      <c r="I397" s="49"/>
      <c r="J397" s="49"/>
      <c r="K397" s="49"/>
      <c r="L397" s="229"/>
      <c r="M397" s="229"/>
      <c r="N397" s="229"/>
      <c r="O397" s="49"/>
      <c r="P397" s="75"/>
      <c r="Q397" s="75"/>
      <c r="R397" s="75"/>
      <c r="S397" s="75"/>
      <c r="W397" s="80"/>
      <c r="X397" s="80"/>
      <c r="Y397" s="80"/>
      <c r="AG397" s="150"/>
      <c r="AT397" s="140"/>
    </row>
    <row r="398" spans="6:46">
      <c r="F398" s="49"/>
      <c r="G398" s="49"/>
      <c r="H398" s="49"/>
      <c r="I398" s="49"/>
      <c r="J398" s="49"/>
      <c r="K398" s="49"/>
      <c r="L398" s="229"/>
      <c r="M398" s="229"/>
      <c r="N398" s="229"/>
      <c r="O398" s="49"/>
      <c r="P398" s="75"/>
      <c r="Q398" s="75"/>
      <c r="R398" s="75"/>
      <c r="S398" s="75"/>
      <c r="W398" s="80"/>
      <c r="X398" s="80"/>
      <c r="Y398" s="80"/>
      <c r="AG398" s="150"/>
      <c r="AT398" s="140"/>
    </row>
    <row r="399" spans="6:46">
      <c r="F399" s="49"/>
      <c r="G399" s="49"/>
      <c r="H399" s="49"/>
      <c r="I399" s="49"/>
      <c r="J399" s="49"/>
      <c r="K399" s="49"/>
      <c r="L399" s="229"/>
      <c r="M399" s="229"/>
      <c r="N399" s="229"/>
      <c r="O399" s="49"/>
      <c r="P399" s="75"/>
      <c r="Q399" s="75"/>
      <c r="R399" s="75"/>
      <c r="S399" s="75"/>
      <c r="W399" s="80"/>
      <c r="X399" s="80"/>
      <c r="Y399" s="80"/>
      <c r="AG399" s="150"/>
      <c r="AT399" s="140"/>
    </row>
    <row r="400" spans="6:46">
      <c r="F400" s="49"/>
      <c r="G400" s="49"/>
      <c r="H400" s="49"/>
      <c r="I400" s="49"/>
      <c r="J400" s="49"/>
      <c r="K400" s="49"/>
      <c r="L400" s="229"/>
      <c r="M400" s="229"/>
      <c r="N400" s="229"/>
      <c r="O400" s="49"/>
      <c r="P400" s="75"/>
      <c r="Q400" s="75"/>
      <c r="R400" s="75"/>
      <c r="S400" s="75"/>
      <c r="W400" s="80"/>
      <c r="X400" s="80"/>
      <c r="Y400" s="80"/>
      <c r="AG400" s="150"/>
      <c r="AT400" s="140"/>
    </row>
    <row r="401" spans="6:46">
      <c r="F401" s="49"/>
      <c r="G401" s="49"/>
      <c r="H401" s="49"/>
      <c r="I401" s="49"/>
      <c r="J401" s="49"/>
      <c r="K401" s="49"/>
      <c r="L401" s="229"/>
      <c r="M401" s="229"/>
      <c r="N401" s="229"/>
      <c r="O401" s="49"/>
      <c r="P401" s="75"/>
      <c r="Q401" s="75"/>
      <c r="R401" s="75"/>
      <c r="S401" s="75"/>
      <c r="W401" s="80"/>
      <c r="X401" s="80"/>
      <c r="Y401" s="80"/>
      <c r="AG401" s="150"/>
      <c r="AT401" s="140"/>
    </row>
    <row r="402" spans="6:46">
      <c r="F402" s="49"/>
      <c r="G402" s="49"/>
      <c r="H402" s="49"/>
      <c r="I402" s="49"/>
      <c r="J402" s="49"/>
      <c r="K402" s="49"/>
      <c r="L402" s="229"/>
      <c r="M402" s="229"/>
      <c r="N402" s="229"/>
      <c r="O402" s="49"/>
      <c r="P402" s="75"/>
      <c r="Q402" s="75"/>
      <c r="R402" s="75"/>
      <c r="S402" s="75"/>
      <c r="W402" s="80"/>
      <c r="X402" s="80"/>
      <c r="Y402" s="80"/>
      <c r="AG402" s="150"/>
      <c r="AT402" s="140"/>
    </row>
    <row r="403" spans="6:46">
      <c r="F403" s="49"/>
      <c r="G403" s="49"/>
      <c r="H403" s="49"/>
      <c r="I403" s="49"/>
      <c r="J403" s="49"/>
      <c r="K403" s="49"/>
      <c r="L403" s="229"/>
      <c r="M403" s="229"/>
      <c r="N403" s="229"/>
      <c r="O403" s="49"/>
      <c r="P403" s="75"/>
      <c r="Q403" s="75"/>
      <c r="R403" s="75"/>
      <c r="S403" s="75"/>
      <c r="W403" s="80"/>
      <c r="X403" s="80"/>
      <c r="Y403" s="80"/>
      <c r="AG403" s="150"/>
      <c r="AT403" s="140"/>
    </row>
    <row r="404" spans="6:46">
      <c r="F404" s="49"/>
      <c r="G404" s="49"/>
      <c r="H404" s="49"/>
      <c r="I404" s="49"/>
      <c r="J404" s="49"/>
      <c r="K404" s="49"/>
      <c r="L404" s="229"/>
      <c r="M404" s="229"/>
      <c r="N404" s="229"/>
      <c r="O404" s="49"/>
      <c r="P404" s="75"/>
      <c r="Q404" s="75"/>
      <c r="R404" s="75"/>
      <c r="S404" s="75"/>
      <c r="W404" s="80"/>
      <c r="X404" s="80"/>
      <c r="Y404" s="80"/>
      <c r="AG404" s="150"/>
      <c r="AT404" s="140"/>
    </row>
    <row r="405" spans="6:46">
      <c r="F405" s="49"/>
      <c r="G405" s="49"/>
      <c r="H405" s="49"/>
      <c r="I405" s="49"/>
      <c r="J405" s="49"/>
      <c r="K405" s="49"/>
      <c r="L405" s="229"/>
      <c r="M405" s="229"/>
      <c r="N405" s="229"/>
      <c r="O405" s="49"/>
      <c r="P405" s="75"/>
      <c r="Q405" s="75"/>
      <c r="R405" s="75"/>
      <c r="S405" s="75"/>
      <c r="W405" s="80"/>
      <c r="X405" s="80"/>
      <c r="Y405" s="80"/>
      <c r="AG405" s="150"/>
      <c r="AT405" s="140"/>
    </row>
    <row r="406" spans="6:46">
      <c r="F406" s="49"/>
      <c r="G406" s="49"/>
      <c r="H406" s="49"/>
      <c r="I406" s="49"/>
      <c r="J406" s="49"/>
      <c r="K406" s="49"/>
      <c r="L406" s="229"/>
      <c r="M406" s="229"/>
      <c r="N406" s="229"/>
      <c r="O406" s="49"/>
      <c r="P406" s="75"/>
      <c r="Q406" s="75"/>
      <c r="R406" s="75"/>
      <c r="S406" s="75"/>
      <c r="W406" s="80"/>
      <c r="X406" s="80"/>
      <c r="Y406" s="80"/>
      <c r="AG406" s="150"/>
      <c r="AT406" s="140"/>
    </row>
    <row r="407" spans="6:46">
      <c r="F407" s="49"/>
      <c r="G407" s="49"/>
      <c r="H407" s="49"/>
      <c r="I407" s="49"/>
      <c r="J407" s="49"/>
      <c r="K407" s="49"/>
      <c r="L407" s="229"/>
      <c r="M407" s="229"/>
      <c r="N407" s="229"/>
      <c r="O407" s="49"/>
      <c r="P407" s="75"/>
      <c r="Q407" s="75"/>
      <c r="R407" s="75"/>
      <c r="S407" s="75"/>
      <c r="W407" s="80"/>
      <c r="X407" s="80"/>
      <c r="Y407" s="80"/>
      <c r="AG407" s="150"/>
      <c r="AT407" s="140"/>
    </row>
    <row r="408" spans="6:46">
      <c r="F408" s="49"/>
      <c r="G408" s="49"/>
      <c r="H408" s="49"/>
      <c r="I408" s="49"/>
      <c r="J408" s="49"/>
      <c r="K408" s="49"/>
      <c r="L408" s="229"/>
      <c r="M408" s="229"/>
      <c r="N408" s="229"/>
      <c r="O408" s="49"/>
      <c r="P408" s="75"/>
      <c r="Q408" s="75"/>
      <c r="R408" s="75"/>
      <c r="S408" s="75"/>
      <c r="W408" s="80"/>
      <c r="X408" s="80"/>
      <c r="Y408" s="80"/>
      <c r="AG408" s="150"/>
      <c r="AT408" s="140"/>
    </row>
    <row r="409" spans="6:46">
      <c r="F409" s="49"/>
      <c r="G409" s="49"/>
      <c r="H409" s="49"/>
      <c r="I409" s="49"/>
      <c r="J409" s="49"/>
      <c r="K409" s="49"/>
      <c r="L409" s="229"/>
      <c r="M409" s="229"/>
      <c r="N409" s="229"/>
      <c r="O409" s="49"/>
      <c r="P409" s="75"/>
      <c r="Q409" s="75"/>
      <c r="R409" s="75"/>
      <c r="S409" s="75"/>
      <c r="W409" s="80"/>
      <c r="X409" s="80"/>
      <c r="Y409" s="80"/>
      <c r="AG409" s="150"/>
      <c r="AT409" s="140"/>
    </row>
    <row r="410" spans="6:46">
      <c r="F410" s="49"/>
      <c r="G410" s="49"/>
      <c r="H410" s="49"/>
      <c r="I410" s="49"/>
      <c r="J410" s="49"/>
      <c r="K410" s="49"/>
      <c r="L410" s="229"/>
      <c r="M410" s="229"/>
      <c r="N410" s="229"/>
      <c r="O410" s="49"/>
      <c r="P410" s="75"/>
      <c r="Q410" s="75"/>
      <c r="R410" s="75"/>
      <c r="S410" s="75"/>
      <c r="W410" s="80"/>
      <c r="X410" s="80"/>
      <c r="Y410" s="80"/>
      <c r="AG410" s="150"/>
      <c r="AT410" s="140"/>
    </row>
    <row r="411" spans="6:46">
      <c r="F411" s="49"/>
      <c r="G411" s="49"/>
      <c r="H411" s="49"/>
      <c r="I411" s="49"/>
      <c r="J411" s="49"/>
      <c r="K411" s="49"/>
      <c r="L411" s="229"/>
      <c r="M411" s="229"/>
      <c r="N411" s="229"/>
      <c r="O411" s="49"/>
      <c r="P411" s="75"/>
      <c r="Q411" s="75"/>
      <c r="R411" s="75"/>
      <c r="S411" s="75"/>
      <c r="W411" s="80"/>
      <c r="X411" s="80"/>
      <c r="Y411" s="80"/>
      <c r="AG411" s="150"/>
      <c r="AT411" s="140"/>
    </row>
    <row r="412" spans="6:46">
      <c r="F412" s="49"/>
      <c r="G412" s="49"/>
      <c r="H412" s="49"/>
      <c r="I412" s="49"/>
      <c r="J412" s="49"/>
      <c r="K412" s="49"/>
      <c r="L412" s="229"/>
      <c r="M412" s="229"/>
      <c r="N412" s="229"/>
      <c r="O412" s="49"/>
      <c r="P412" s="75"/>
      <c r="Q412" s="75"/>
      <c r="R412" s="75"/>
      <c r="S412" s="75"/>
      <c r="W412" s="80"/>
      <c r="X412" s="80"/>
      <c r="Y412" s="80"/>
      <c r="AG412" s="150"/>
      <c r="AT412" s="140"/>
    </row>
    <row r="413" spans="6:46">
      <c r="F413" s="49"/>
      <c r="G413" s="49"/>
      <c r="H413" s="49"/>
      <c r="I413" s="49"/>
      <c r="J413" s="49"/>
      <c r="K413" s="49"/>
      <c r="L413" s="229"/>
      <c r="M413" s="229"/>
      <c r="N413" s="229"/>
      <c r="O413" s="49"/>
      <c r="P413" s="75"/>
      <c r="Q413" s="75"/>
      <c r="R413" s="75"/>
      <c r="S413" s="75"/>
      <c r="W413" s="80"/>
      <c r="X413" s="80"/>
      <c r="Y413" s="80"/>
      <c r="AG413" s="150"/>
      <c r="AT413" s="140"/>
    </row>
    <row r="414" spans="6:46">
      <c r="F414" s="49"/>
      <c r="G414" s="49"/>
      <c r="H414" s="49"/>
      <c r="I414" s="49"/>
      <c r="J414" s="49"/>
      <c r="K414" s="49"/>
      <c r="L414" s="229"/>
      <c r="M414" s="229"/>
      <c r="N414" s="229"/>
      <c r="O414" s="49"/>
      <c r="P414" s="75"/>
      <c r="Q414" s="75"/>
      <c r="R414" s="75"/>
      <c r="S414" s="75"/>
      <c r="W414" s="80"/>
      <c r="X414" s="80"/>
      <c r="Y414" s="80"/>
      <c r="AG414" s="150"/>
      <c r="AT414" s="140"/>
    </row>
    <row r="415" spans="6:46">
      <c r="F415" s="49"/>
      <c r="G415" s="49"/>
      <c r="H415" s="49"/>
      <c r="I415" s="49"/>
      <c r="J415" s="49"/>
      <c r="K415" s="49"/>
      <c r="L415" s="229"/>
      <c r="M415" s="229"/>
      <c r="N415" s="229"/>
      <c r="O415" s="49"/>
      <c r="P415" s="75"/>
      <c r="Q415" s="75"/>
      <c r="R415" s="75"/>
      <c r="S415" s="75"/>
      <c r="W415" s="80"/>
      <c r="X415" s="80"/>
      <c r="Y415" s="80"/>
      <c r="AG415" s="150"/>
      <c r="AT415" s="140"/>
    </row>
    <row r="416" spans="6:46">
      <c r="F416" s="49"/>
      <c r="G416" s="49"/>
      <c r="H416" s="49"/>
      <c r="I416" s="49"/>
      <c r="J416" s="49"/>
      <c r="K416" s="49"/>
      <c r="L416" s="229"/>
      <c r="M416" s="229"/>
      <c r="N416" s="229"/>
      <c r="O416" s="49"/>
      <c r="P416" s="75"/>
      <c r="Q416" s="75"/>
      <c r="R416" s="75"/>
      <c r="S416" s="75"/>
      <c r="W416" s="80"/>
      <c r="X416" s="80"/>
      <c r="Y416" s="80"/>
      <c r="AG416" s="150"/>
      <c r="AT416" s="140"/>
    </row>
    <row r="417" spans="6:46">
      <c r="F417" s="49"/>
      <c r="G417" s="49"/>
      <c r="H417" s="49"/>
      <c r="I417" s="49"/>
      <c r="J417" s="49"/>
      <c r="K417" s="49"/>
      <c r="L417" s="229"/>
      <c r="M417" s="229"/>
      <c r="N417" s="229"/>
      <c r="O417" s="49"/>
      <c r="P417" s="75"/>
      <c r="Q417" s="75"/>
      <c r="R417" s="75"/>
      <c r="S417" s="75"/>
      <c r="W417" s="80"/>
      <c r="X417" s="80"/>
      <c r="Y417" s="80"/>
      <c r="AG417" s="150"/>
      <c r="AT417" s="140"/>
    </row>
    <row r="418" spans="6:46">
      <c r="F418" s="49"/>
      <c r="G418" s="49"/>
      <c r="H418" s="49"/>
      <c r="I418" s="49"/>
      <c r="J418" s="49"/>
      <c r="K418" s="49"/>
      <c r="L418" s="229"/>
      <c r="M418" s="229"/>
      <c r="N418" s="229"/>
      <c r="O418" s="49"/>
      <c r="P418" s="75"/>
      <c r="Q418" s="75"/>
      <c r="R418" s="75"/>
      <c r="S418" s="75"/>
      <c r="W418" s="80"/>
      <c r="X418" s="80"/>
      <c r="Y418" s="80"/>
      <c r="AG418" s="150"/>
      <c r="AT418" s="140"/>
    </row>
    <row r="419" spans="6:46">
      <c r="F419" s="49"/>
      <c r="G419" s="49"/>
      <c r="H419" s="49"/>
      <c r="I419" s="49"/>
      <c r="J419" s="49"/>
      <c r="K419" s="49"/>
      <c r="L419" s="229"/>
      <c r="M419" s="229"/>
      <c r="N419" s="229"/>
      <c r="O419" s="49"/>
      <c r="P419" s="75"/>
      <c r="Q419" s="75"/>
      <c r="R419" s="75"/>
      <c r="S419" s="75"/>
      <c r="W419" s="80"/>
      <c r="X419" s="80"/>
      <c r="Y419" s="80"/>
      <c r="AG419" s="150"/>
      <c r="AT419" s="140"/>
    </row>
    <row r="420" spans="6:46">
      <c r="F420" s="49"/>
      <c r="G420" s="49"/>
      <c r="H420" s="49"/>
      <c r="I420" s="49"/>
      <c r="J420" s="49"/>
      <c r="K420" s="49"/>
      <c r="L420" s="229"/>
      <c r="M420" s="229"/>
      <c r="N420" s="229"/>
      <c r="O420" s="49"/>
      <c r="P420" s="75"/>
      <c r="Q420" s="75"/>
      <c r="R420" s="75"/>
      <c r="S420" s="75"/>
      <c r="W420" s="80"/>
      <c r="X420" s="80"/>
      <c r="Y420" s="80"/>
      <c r="AG420" s="150"/>
      <c r="AT420" s="140"/>
    </row>
    <row r="421" spans="6:46">
      <c r="F421" s="49"/>
      <c r="G421" s="49"/>
      <c r="H421" s="49"/>
      <c r="I421" s="49"/>
      <c r="J421" s="49"/>
      <c r="K421" s="49"/>
      <c r="L421" s="229"/>
      <c r="M421" s="229"/>
      <c r="N421" s="229"/>
      <c r="O421" s="49"/>
      <c r="P421" s="75"/>
      <c r="Q421" s="75"/>
      <c r="R421" s="75"/>
      <c r="S421" s="75"/>
      <c r="W421" s="80"/>
      <c r="X421" s="80"/>
      <c r="Y421" s="80"/>
      <c r="AG421" s="150"/>
      <c r="AT421" s="140"/>
    </row>
    <row r="422" spans="6:46">
      <c r="F422" s="49"/>
      <c r="G422" s="49"/>
      <c r="H422" s="49"/>
      <c r="I422" s="49"/>
      <c r="J422" s="49"/>
      <c r="K422" s="49"/>
      <c r="L422" s="229"/>
      <c r="M422" s="229"/>
      <c r="N422" s="229"/>
      <c r="O422" s="49"/>
      <c r="P422" s="75"/>
      <c r="Q422" s="75"/>
      <c r="R422" s="75"/>
      <c r="S422" s="75"/>
      <c r="W422" s="80"/>
      <c r="X422" s="80"/>
      <c r="Y422" s="80"/>
      <c r="AG422" s="150"/>
      <c r="AT422" s="140"/>
    </row>
    <row r="423" spans="6:46">
      <c r="F423" s="49"/>
      <c r="G423" s="49"/>
      <c r="H423" s="49"/>
      <c r="I423" s="49"/>
      <c r="J423" s="49"/>
      <c r="K423" s="49"/>
      <c r="L423" s="229"/>
      <c r="M423" s="229"/>
      <c r="N423" s="229"/>
      <c r="O423" s="49"/>
      <c r="P423" s="75"/>
      <c r="Q423" s="75"/>
      <c r="R423" s="75"/>
      <c r="S423" s="75"/>
      <c r="W423" s="80"/>
      <c r="X423" s="80"/>
      <c r="Y423" s="80"/>
      <c r="AG423" s="150"/>
      <c r="AT423" s="140"/>
    </row>
    <row r="424" spans="6:46">
      <c r="F424" s="49"/>
      <c r="G424" s="49"/>
      <c r="H424" s="49"/>
      <c r="I424" s="49"/>
      <c r="J424" s="49"/>
      <c r="K424" s="49"/>
      <c r="L424" s="229"/>
      <c r="M424" s="229"/>
      <c r="N424" s="229"/>
      <c r="O424" s="49"/>
      <c r="P424" s="75"/>
      <c r="Q424" s="75"/>
      <c r="R424" s="75"/>
      <c r="S424" s="75"/>
      <c r="W424" s="80"/>
      <c r="X424" s="80"/>
      <c r="Y424" s="80"/>
      <c r="AG424" s="150"/>
      <c r="AT424" s="140"/>
    </row>
    <row r="425" spans="6:46">
      <c r="F425" s="49"/>
      <c r="G425" s="49"/>
      <c r="H425" s="49"/>
      <c r="I425" s="49"/>
      <c r="J425" s="49"/>
      <c r="K425" s="49"/>
      <c r="L425" s="229"/>
      <c r="M425" s="229"/>
      <c r="N425" s="229"/>
      <c r="O425" s="49"/>
      <c r="P425" s="75"/>
      <c r="Q425" s="75"/>
      <c r="R425" s="75"/>
      <c r="S425" s="75"/>
      <c r="W425" s="80"/>
      <c r="X425" s="80"/>
      <c r="Y425" s="80"/>
      <c r="AG425" s="150"/>
      <c r="AT425" s="140"/>
    </row>
    <row r="426" spans="6:46">
      <c r="F426" s="49"/>
      <c r="G426" s="49"/>
      <c r="H426" s="49"/>
      <c r="I426" s="49"/>
      <c r="J426" s="49"/>
      <c r="K426" s="49"/>
      <c r="L426" s="229"/>
      <c r="M426" s="229"/>
      <c r="N426" s="229"/>
      <c r="O426" s="49"/>
      <c r="P426" s="75"/>
      <c r="Q426" s="75"/>
      <c r="R426" s="75"/>
      <c r="S426" s="75"/>
      <c r="W426" s="80"/>
      <c r="X426" s="80"/>
      <c r="Y426" s="80"/>
      <c r="AG426" s="150"/>
      <c r="AT426" s="140"/>
    </row>
    <row r="427" spans="6:46">
      <c r="F427" s="49"/>
      <c r="G427" s="49"/>
      <c r="H427" s="49"/>
      <c r="I427" s="49"/>
      <c r="J427" s="49"/>
      <c r="K427" s="49"/>
      <c r="L427" s="229"/>
      <c r="M427" s="229"/>
      <c r="N427" s="229"/>
      <c r="O427" s="49"/>
      <c r="P427" s="75"/>
      <c r="Q427" s="75"/>
      <c r="R427" s="75"/>
      <c r="S427" s="75"/>
      <c r="W427" s="80"/>
      <c r="X427" s="80"/>
      <c r="Y427" s="80"/>
      <c r="AG427" s="150"/>
      <c r="AT427" s="140"/>
    </row>
    <row r="428" spans="6:46">
      <c r="F428" s="49"/>
      <c r="G428" s="49"/>
      <c r="H428" s="49"/>
      <c r="I428" s="49"/>
      <c r="J428" s="49"/>
      <c r="K428" s="49"/>
      <c r="L428" s="229"/>
      <c r="M428" s="229"/>
      <c r="N428" s="229"/>
      <c r="O428" s="49"/>
      <c r="P428" s="75"/>
      <c r="Q428" s="75"/>
      <c r="R428" s="75"/>
      <c r="S428" s="75"/>
      <c r="W428" s="80"/>
      <c r="X428" s="80"/>
      <c r="Y428" s="80"/>
      <c r="AG428" s="150"/>
      <c r="AT428" s="140"/>
    </row>
    <row r="429" spans="6:46">
      <c r="F429" s="49"/>
      <c r="G429" s="49"/>
      <c r="H429" s="49"/>
      <c r="I429" s="49"/>
      <c r="J429" s="49"/>
      <c r="K429" s="49"/>
      <c r="L429" s="229"/>
      <c r="M429" s="229"/>
      <c r="N429" s="229"/>
      <c r="O429" s="49"/>
      <c r="P429" s="75"/>
      <c r="Q429" s="75"/>
      <c r="R429" s="75"/>
      <c r="S429" s="75"/>
      <c r="W429" s="80"/>
      <c r="X429" s="80"/>
      <c r="Y429" s="80"/>
      <c r="AG429" s="150"/>
      <c r="AT429" s="140"/>
    </row>
    <row r="430" spans="6:46">
      <c r="F430" s="49"/>
      <c r="G430" s="49"/>
      <c r="H430" s="49"/>
      <c r="I430" s="49"/>
      <c r="J430" s="49"/>
      <c r="K430" s="49"/>
      <c r="L430" s="229"/>
      <c r="M430" s="229"/>
      <c r="N430" s="229"/>
      <c r="O430" s="49"/>
      <c r="P430" s="75"/>
      <c r="Q430" s="75"/>
      <c r="R430" s="75"/>
      <c r="S430" s="75"/>
      <c r="W430" s="80"/>
      <c r="X430" s="80"/>
      <c r="Y430" s="80"/>
      <c r="AG430" s="150"/>
      <c r="AT430" s="140"/>
    </row>
    <row r="431" spans="6:46">
      <c r="F431" s="49"/>
      <c r="G431" s="49"/>
      <c r="H431" s="49"/>
      <c r="I431" s="49"/>
      <c r="J431" s="49"/>
      <c r="K431" s="49"/>
      <c r="L431" s="229"/>
      <c r="M431" s="229"/>
      <c r="N431" s="229"/>
      <c r="O431" s="49"/>
      <c r="P431" s="75"/>
      <c r="Q431" s="75"/>
      <c r="R431" s="75"/>
      <c r="S431" s="75"/>
      <c r="W431" s="80"/>
      <c r="X431" s="80"/>
      <c r="Y431" s="80"/>
      <c r="AG431" s="150"/>
      <c r="AT431" s="140"/>
    </row>
    <row r="432" spans="6:46">
      <c r="F432" s="49"/>
      <c r="G432" s="49"/>
      <c r="H432" s="49"/>
      <c r="I432" s="49"/>
      <c r="J432" s="49"/>
      <c r="K432" s="49"/>
      <c r="L432" s="229"/>
      <c r="M432" s="229"/>
      <c r="N432" s="229"/>
      <c r="O432" s="49"/>
      <c r="P432" s="75"/>
      <c r="Q432" s="75"/>
      <c r="R432" s="75"/>
      <c r="S432" s="75"/>
      <c r="W432" s="80"/>
      <c r="X432" s="80"/>
      <c r="Y432" s="80"/>
      <c r="AG432" s="150"/>
      <c r="AT432" s="140"/>
    </row>
    <row r="433" spans="6:46">
      <c r="F433" s="49"/>
      <c r="G433" s="49"/>
      <c r="H433" s="49"/>
      <c r="I433" s="49"/>
      <c r="J433" s="49"/>
      <c r="K433" s="49"/>
      <c r="L433" s="229"/>
      <c r="M433" s="229"/>
      <c r="N433" s="229"/>
      <c r="O433" s="49"/>
      <c r="P433" s="75"/>
      <c r="Q433" s="75"/>
      <c r="R433" s="75"/>
      <c r="S433" s="75"/>
      <c r="W433" s="80"/>
      <c r="X433" s="80"/>
      <c r="Y433" s="80"/>
      <c r="AG433" s="150"/>
      <c r="AT433" s="140"/>
    </row>
    <row r="434" spans="6:46">
      <c r="F434" s="49"/>
      <c r="G434" s="49"/>
      <c r="H434" s="49"/>
      <c r="I434" s="49"/>
      <c r="J434" s="49"/>
      <c r="K434" s="49"/>
      <c r="L434" s="229"/>
      <c r="M434" s="229"/>
      <c r="N434" s="229"/>
      <c r="O434" s="49"/>
      <c r="P434" s="75"/>
      <c r="Q434" s="75"/>
      <c r="R434" s="75"/>
      <c r="S434" s="75"/>
      <c r="W434" s="80"/>
      <c r="X434" s="80"/>
      <c r="Y434" s="80"/>
      <c r="AG434" s="150"/>
      <c r="AT434" s="140"/>
    </row>
    <row r="435" spans="6:46">
      <c r="F435" s="49"/>
      <c r="G435" s="49"/>
      <c r="H435" s="49"/>
      <c r="I435" s="49"/>
      <c r="J435" s="49"/>
      <c r="K435" s="49"/>
      <c r="L435" s="229"/>
      <c r="M435" s="229"/>
      <c r="N435" s="229"/>
      <c r="O435" s="49"/>
      <c r="P435" s="75"/>
      <c r="Q435" s="75"/>
      <c r="R435" s="75"/>
      <c r="S435" s="75"/>
      <c r="W435" s="80"/>
      <c r="X435" s="80"/>
      <c r="Y435" s="80"/>
      <c r="AG435" s="150"/>
      <c r="AT435" s="140"/>
    </row>
    <row r="436" spans="6:46">
      <c r="F436" s="49"/>
      <c r="G436" s="49"/>
      <c r="H436" s="49"/>
      <c r="I436" s="49"/>
      <c r="J436" s="49"/>
      <c r="K436" s="49"/>
      <c r="L436" s="229"/>
      <c r="M436" s="229"/>
      <c r="N436" s="229"/>
      <c r="O436" s="49"/>
      <c r="P436" s="75"/>
      <c r="Q436" s="75"/>
      <c r="R436" s="75"/>
      <c r="S436" s="75"/>
      <c r="W436" s="80"/>
      <c r="X436" s="80"/>
      <c r="Y436" s="80"/>
      <c r="AG436" s="150"/>
      <c r="AT436" s="140"/>
    </row>
    <row r="437" spans="6:46">
      <c r="F437" s="49"/>
      <c r="G437" s="49"/>
      <c r="H437" s="49"/>
      <c r="I437" s="49"/>
      <c r="J437" s="49"/>
      <c r="K437" s="49"/>
      <c r="L437" s="229"/>
      <c r="M437" s="229"/>
      <c r="N437" s="229"/>
      <c r="O437" s="49"/>
      <c r="P437" s="75"/>
      <c r="Q437" s="75"/>
      <c r="R437" s="75"/>
      <c r="S437" s="75"/>
      <c r="W437" s="80"/>
      <c r="X437" s="80"/>
      <c r="Y437" s="80"/>
      <c r="AG437" s="150"/>
      <c r="AT437" s="140"/>
    </row>
    <row r="438" spans="6:46">
      <c r="F438" s="49"/>
      <c r="G438" s="49"/>
      <c r="H438" s="49"/>
      <c r="I438" s="49"/>
      <c r="J438" s="49"/>
      <c r="K438" s="49"/>
      <c r="L438" s="229"/>
      <c r="M438" s="229"/>
      <c r="N438" s="229"/>
      <c r="O438" s="49"/>
      <c r="P438" s="75"/>
      <c r="Q438" s="75"/>
      <c r="R438" s="75"/>
      <c r="S438" s="75"/>
      <c r="W438" s="80"/>
      <c r="X438" s="80"/>
      <c r="Y438" s="80"/>
      <c r="AG438" s="150"/>
      <c r="AT438" s="140"/>
    </row>
    <row r="439" spans="6:46">
      <c r="F439" s="49"/>
      <c r="G439" s="49"/>
      <c r="H439" s="49"/>
      <c r="I439" s="49"/>
      <c r="J439" s="49"/>
      <c r="K439" s="49"/>
      <c r="L439" s="229"/>
      <c r="M439" s="229"/>
      <c r="N439" s="229"/>
      <c r="O439" s="49"/>
      <c r="P439" s="75"/>
      <c r="Q439" s="75"/>
      <c r="R439" s="75"/>
      <c r="S439" s="75"/>
      <c r="W439" s="80"/>
      <c r="X439" s="80"/>
      <c r="Y439" s="80"/>
      <c r="AG439" s="150"/>
      <c r="AT439" s="140"/>
    </row>
    <row r="440" spans="6:46">
      <c r="F440" s="49"/>
      <c r="G440" s="49"/>
      <c r="H440" s="49"/>
      <c r="I440" s="49"/>
      <c r="J440" s="49"/>
      <c r="K440" s="49"/>
      <c r="L440" s="229"/>
      <c r="M440" s="229"/>
      <c r="N440" s="229"/>
      <c r="O440" s="49"/>
      <c r="P440" s="75"/>
      <c r="Q440" s="75"/>
      <c r="R440" s="75"/>
      <c r="S440" s="75"/>
      <c r="W440" s="80"/>
      <c r="X440" s="80"/>
      <c r="Y440" s="80"/>
      <c r="AG440" s="150"/>
      <c r="AT440" s="140"/>
    </row>
    <row r="441" spans="6:46">
      <c r="F441" s="49"/>
      <c r="G441" s="49"/>
      <c r="H441" s="49"/>
      <c r="I441" s="49"/>
      <c r="J441" s="49"/>
      <c r="K441" s="49"/>
      <c r="L441" s="229"/>
      <c r="M441" s="229"/>
      <c r="N441" s="229"/>
      <c r="O441" s="49"/>
      <c r="P441" s="75"/>
      <c r="Q441" s="75"/>
      <c r="R441" s="75"/>
      <c r="S441" s="75"/>
      <c r="W441" s="80"/>
      <c r="X441" s="80"/>
      <c r="Y441" s="80"/>
      <c r="AG441" s="150"/>
      <c r="AT441" s="140"/>
    </row>
    <row r="442" spans="6:46">
      <c r="F442" s="49"/>
      <c r="G442" s="49"/>
      <c r="H442" s="49"/>
      <c r="I442" s="49"/>
      <c r="J442" s="49"/>
      <c r="K442" s="49"/>
      <c r="L442" s="229"/>
      <c r="M442" s="229"/>
      <c r="N442" s="229"/>
      <c r="O442" s="49"/>
      <c r="P442" s="75"/>
      <c r="Q442" s="75"/>
      <c r="R442" s="75"/>
      <c r="S442" s="75"/>
      <c r="W442" s="80"/>
      <c r="X442" s="80"/>
      <c r="Y442" s="80"/>
      <c r="AG442" s="150"/>
      <c r="AT442" s="140"/>
    </row>
    <row r="443" spans="6:46">
      <c r="F443" s="49"/>
      <c r="G443" s="49"/>
      <c r="H443" s="49"/>
      <c r="I443" s="49"/>
      <c r="J443" s="49"/>
      <c r="K443" s="49"/>
      <c r="L443" s="229"/>
      <c r="M443" s="229"/>
      <c r="N443" s="229"/>
      <c r="O443" s="49"/>
      <c r="P443" s="75"/>
      <c r="Q443" s="75"/>
      <c r="R443" s="75"/>
      <c r="S443" s="75"/>
      <c r="W443" s="80"/>
      <c r="X443" s="80"/>
      <c r="Y443" s="80"/>
      <c r="AG443" s="150"/>
      <c r="AT443" s="140"/>
    </row>
    <row r="444" spans="6:46">
      <c r="F444" s="49"/>
      <c r="G444" s="49"/>
      <c r="H444" s="49"/>
      <c r="I444" s="49"/>
      <c r="J444" s="49"/>
      <c r="K444" s="49"/>
      <c r="L444" s="229"/>
      <c r="M444" s="229"/>
      <c r="N444" s="229"/>
      <c r="O444" s="49"/>
      <c r="P444" s="75"/>
      <c r="Q444" s="75"/>
      <c r="R444" s="75"/>
      <c r="S444" s="75"/>
      <c r="W444" s="80"/>
      <c r="X444" s="80"/>
      <c r="Y444" s="80"/>
      <c r="AG444" s="150"/>
      <c r="AT444" s="140"/>
    </row>
    <row r="445" spans="6:46">
      <c r="F445" s="49"/>
      <c r="G445" s="49"/>
      <c r="H445" s="49"/>
      <c r="I445" s="49"/>
      <c r="J445" s="49"/>
      <c r="K445" s="49"/>
      <c r="L445" s="229"/>
      <c r="M445" s="229"/>
      <c r="N445" s="229"/>
      <c r="O445" s="49"/>
      <c r="P445" s="75"/>
      <c r="Q445" s="75"/>
      <c r="R445" s="75"/>
      <c r="S445" s="75"/>
      <c r="W445" s="80"/>
      <c r="X445" s="80"/>
      <c r="Y445" s="80"/>
      <c r="AG445" s="150"/>
      <c r="AT445" s="140"/>
    </row>
    <row r="446" spans="6:46">
      <c r="F446" s="49"/>
      <c r="G446" s="49"/>
      <c r="H446" s="49"/>
      <c r="I446" s="49"/>
      <c r="J446" s="49"/>
      <c r="K446" s="49"/>
      <c r="L446" s="229"/>
      <c r="M446" s="229"/>
      <c r="N446" s="229"/>
      <c r="O446" s="49"/>
      <c r="P446" s="75"/>
      <c r="Q446" s="75"/>
      <c r="R446" s="75"/>
      <c r="S446" s="75"/>
      <c r="W446" s="80"/>
      <c r="X446" s="80"/>
      <c r="Y446" s="80"/>
      <c r="AG446" s="150"/>
      <c r="AT446" s="140"/>
    </row>
    <row r="447" spans="6:46">
      <c r="F447" s="49"/>
      <c r="G447" s="49"/>
      <c r="H447" s="49"/>
      <c r="I447" s="49"/>
      <c r="J447" s="49"/>
      <c r="K447" s="49"/>
      <c r="L447" s="229"/>
      <c r="M447" s="229"/>
      <c r="N447" s="229"/>
      <c r="O447" s="49"/>
      <c r="P447" s="75"/>
      <c r="Q447" s="75"/>
      <c r="R447" s="75"/>
      <c r="S447" s="75"/>
      <c r="W447" s="80"/>
      <c r="X447" s="80"/>
      <c r="Y447" s="80"/>
      <c r="AG447" s="150"/>
      <c r="AT447" s="140"/>
    </row>
    <row r="448" spans="6:46">
      <c r="F448" s="49"/>
      <c r="G448" s="49"/>
      <c r="H448" s="49"/>
      <c r="I448" s="49"/>
      <c r="J448" s="49"/>
      <c r="K448" s="49"/>
      <c r="L448" s="229"/>
      <c r="M448" s="229"/>
      <c r="N448" s="229"/>
      <c r="O448" s="49"/>
      <c r="P448" s="75"/>
      <c r="Q448" s="75"/>
      <c r="R448" s="75"/>
      <c r="S448" s="75"/>
      <c r="W448" s="80"/>
      <c r="X448" s="80"/>
      <c r="Y448" s="80"/>
      <c r="AG448" s="150"/>
      <c r="AT448" s="140"/>
    </row>
    <row r="449" spans="6:46">
      <c r="F449" s="49"/>
      <c r="G449" s="49"/>
      <c r="H449" s="49"/>
      <c r="I449" s="49"/>
      <c r="J449" s="49"/>
      <c r="K449" s="49"/>
      <c r="L449" s="229"/>
      <c r="M449" s="229"/>
      <c r="N449" s="229"/>
      <c r="O449" s="49"/>
      <c r="P449" s="75"/>
      <c r="Q449" s="75"/>
      <c r="R449" s="75"/>
      <c r="S449" s="75"/>
      <c r="W449" s="80"/>
      <c r="X449" s="80"/>
      <c r="Y449" s="80"/>
      <c r="AG449" s="150"/>
      <c r="AT449" s="140"/>
    </row>
    <row r="450" spans="6:46">
      <c r="F450" s="49"/>
      <c r="G450" s="49"/>
      <c r="H450" s="49"/>
      <c r="I450" s="49"/>
      <c r="J450" s="49"/>
      <c r="K450" s="49"/>
      <c r="L450" s="229"/>
      <c r="M450" s="229"/>
      <c r="N450" s="229"/>
      <c r="O450" s="49"/>
      <c r="P450" s="75"/>
      <c r="Q450" s="75"/>
      <c r="R450" s="75"/>
      <c r="S450" s="75"/>
      <c r="W450" s="80"/>
      <c r="X450" s="80"/>
      <c r="Y450" s="80"/>
      <c r="AG450" s="150"/>
      <c r="AT450" s="140"/>
    </row>
    <row r="451" spans="6:46">
      <c r="F451" s="49"/>
      <c r="G451" s="49"/>
      <c r="H451" s="49"/>
      <c r="I451" s="49"/>
      <c r="J451" s="49"/>
      <c r="K451" s="49"/>
      <c r="L451" s="229"/>
      <c r="M451" s="229"/>
      <c r="N451" s="229"/>
      <c r="O451" s="49"/>
      <c r="P451" s="75"/>
      <c r="Q451" s="75"/>
      <c r="R451" s="75"/>
      <c r="S451" s="75"/>
      <c r="W451" s="80"/>
      <c r="X451" s="80"/>
      <c r="Y451" s="80"/>
      <c r="AG451" s="150"/>
      <c r="AT451" s="140"/>
    </row>
    <row r="452" spans="6:46">
      <c r="F452" s="49"/>
      <c r="G452" s="49"/>
      <c r="H452" s="49"/>
      <c r="I452" s="49"/>
      <c r="J452" s="49"/>
      <c r="K452" s="49"/>
      <c r="L452" s="229"/>
      <c r="M452" s="229"/>
      <c r="N452" s="229"/>
      <c r="O452" s="49"/>
      <c r="P452" s="75"/>
      <c r="Q452" s="75"/>
      <c r="R452" s="75"/>
      <c r="S452" s="75"/>
      <c r="W452" s="80"/>
      <c r="X452" s="80"/>
      <c r="Y452" s="80"/>
      <c r="AG452" s="150"/>
      <c r="AT452" s="140"/>
    </row>
    <row r="453" spans="6:46">
      <c r="F453" s="49"/>
      <c r="G453" s="49"/>
      <c r="H453" s="49"/>
      <c r="I453" s="49"/>
      <c r="J453" s="49"/>
      <c r="K453" s="49"/>
      <c r="L453" s="229"/>
      <c r="M453" s="229"/>
      <c r="N453" s="229"/>
      <c r="O453" s="49"/>
      <c r="P453" s="75"/>
      <c r="Q453" s="75"/>
      <c r="R453" s="75"/>
      <c r="S453" s="75"/>
      <c r="W453" s="80"/>
      <c r="X453" s="80"/>
      <c r="Y453" s="80"/>
      <c r="AG453" s="150"/>
      <c r="AT453" s="140"/>
    </row>
    <row r="454" spans="6:46">
      <c r="F454" s="49"/>
      <c r="G454" s="49"/>
      <c r="H454" s="49"/>
      <c r="I454" s="49"/>
      <c r="J454" s="49"/>
      <c r="K454" s="49"/>
      <c r="L454" s="229"/>
      <c r="M454" s="229"/>
      <c r="N454" s="229"/>
      <c r="O454" s="49"/>
      <c r="P454" s="75"/>
      <c r="Q454" s="75"/>
      <c r="R454" s="75"/>
      <c r="S454" s="75"/>
      <c r="W454" s="80"/>
      <c r="X454" s="80"/>
      <c r="Y454" s="80"/>
      <c r="AG454" s="150"/>
      <c r="AT454" s="140"/>
    </row>
    <row r="455" spans="6:46">
      <c r="F455" s="49"/>
      <c r="G455" s="49"/>
      <c r="H455" s="49"/>
      <c r="I455" s="49"/>
      <c r="J455" s="49"/>
      <c r="K455" s="49"/>
      <c r="L455" s="229"/>
      <c r="M455" s="229"/>
      <c r="N455" s="229"/>
      <c r="O455" s="49"/>
      <c r="P455" s="75"/>
      <c r="Q455" s="75"/>
      <c r="R455" s="75"/>
      <c r="S455" s="75"/>
      <c r="W455" s="80"/>
      <c r="X455" s="80"/>
      <c r="Y455" s="80"/>
      <c r="AG455" s="150"/>
      <c r="AT455" s="140"/>
    </row>
    <row r="456" spans="6:46">
      <c r="F456" s="49"/>
      <c r="G456" s="49"/>
      <c r="H456" s="49"/>
      <c r="I456" s="49"/>
      <c r="J456" s="49"/>
      <c r="K456" s="49"/>
      <c r="L456" s="229"/>
      <c r="M456" s="229"/>
      <c r="N456" s="229"/>
      <c r="O456" s="49"/>
      <c r="P456" s="75"/>
      <c r="Q456" s="75"/>
      <c r="R456" s="75"/>
      <c r="S456" s="75"/>
      <c r="W456" s="80"/>
      <c r="X456" s="80"/>
      <c r="Y456" s="80"/>
      <c r="AG456" s="150"/>
      <c r="AT456" s="140"/>
    </row>
    <row r="457" spans="6:46">
      <c r="F457" s="49"/>
      <c r="G457" s="49"/>
      <c r="H457" s="49"/>
      <c r="I457" s="49"/>
      <c r="J457" s="49"/>
      <c r="K457" s="49"/>
      <c r="L457" s="229"/>
      <c r="M457" s="229"/>
      <c r="N457" s="229"/>
      <c r="O457" s="49"/>
      <c r="P457" s="75"/>
      <c r="Q457" s="75"/>
      <c r="R457" s="75"/>
      <c r="S457" s="75"/>
      <c r="W457" s="80"/>
      <c r="X457" s="80"/>
      <c r="Y457" s="80"/>
      <c r="AG457" s="150"/>
      <c r="AT457" s="140"/>
    </row>
    <row r="458" spans="6:46">
      <c r="F458" s="49"/>
      <c r="G458" s="49"/>
      <c r="H458" s="49"/>
      <c r="I458" s="49"/>
      <c r="J458" s="49"/>
      <c r="K458" s="49"/>
      <c r="L458" s="229"/>
      <c r="M458" s="229"/>
      <c r="N458" s="229"/>
      <c r="O458" s="49"/>
      <c r="P458" s="75"/>
      <c r="Q458" s="75"/>
      <c r="R458" s="75"/>
      <c r="S458" s="75"/>
      <c r="W458" s="80"/>
      <c r="X458" s="80"/>
      <c r="Y458" s="80"/>
      <c r="AG458" s="150"/>
      <c r="AT458" s="140"/>
    </row>
    <row r="459" spans="6:46">
      <c r="F459" s="49"/>
      <c r="G459" s="49"/>
      <c r="H459" s="49"/>
      <c r="I459" s="49"/>
      <c r="J459" s="49"/>
      <c r="K459" s="49"/>
      <c r="L459" s="229"/>
      <c r="M459" s="229"/>
      <c r="N459" s="229"/>
      <c r="O459" s="49"/>
      <c r="P459" s="75"/>
      <c r="Q459" s="75"/>
      <c r="R459" s="75"/>
      <c r="S459" s="75"/>
      <c r="W459" s="80"/>
      <c r="X459" s="80"/>
      <c r="Y459" s="80"/>
      <c r="AG459" s="150"/>
      <c r="AT459" s="140"/>
    </row>
    <row r="460" spans="6:46">
      <c r="F460" s="49"/>
      <c r="G460" s="49"/>
      <c r="H460" s="49"/>
      <c r="I460" s="49"/>
      <c r="J460" s="49"/>
      <c r="K460" s="49"/>
      <c r="L460" s="229"/>
      <c r="M460" s="229"/>
      <c r="N460" s="229"/>
      <c r="O460" s="49"/>
      <c r="P460" s="75"/>
      <c r="Q460" s="75"/>
      <c r="R460" s="75"/>
      <c r="S460" s="75"/>
      <c r="W460" s="80"/>
      <c r="X460" s="80"/>
      <c r="Y460" s="80"/>
      <c r="AG460" s="150"/>
      <c r="AT460" s="140"/>
    </row>
    <row r="461" spans="6:46">
      <c r="F461" s="49"/>
      <c r="G461" s="49"/>
      <c r="H461" s="49"/>
      <c r="I461" s="49"/>
      <c r="J461" s="49"/>
      <c r="K461" s="49"/>
      <c r="L461" s="229"/>
      <c r="M461" s="229"/>
      <c r="N461" s="229"/>
      <c r="O461" s="49"/>
      <c r="P461" s="75"/>
      <c r="Q461" s="75"/>
      <c r="R461" s="75"/>
      <c r="S461" s="75"/>
      <c r="W461" s="80"/>
      <c r="X461" s="80"/>
      <c r="Y461" s="80"/>
      <c r="AG461" s="150"/>
      <c r="AT461" s="140"/>
    </row>
    <row r="462" spans="6:46">
      <c r="F462" s="49"/>
      <c r="G462" s="49"/>
      <c r="H462" s="49"/>
      <c r="I462" s="49"/>
      <c r="J462" s="49"/>
      <c r="K462" s="49"/>
      <c r="L462" s="229"/>
      <c r="M462" s="229"/>
      <c r="N462" s="229"/>
      <c r="O462" s="49"/>
      <c r="P462" s="75"/>
      <c r="Q462" s="75"/>
      <c r="R462" s="75"/>
      <c r="S462" s="75"/>
      <c r="W462" s="80"/>
      <c r="X462" s="80"/>
      <c r="Y462" s="80"/>
      <c r="AG462" s="150"/>
      <c r="AT462" s="140"/>
    </row>
    <row r="463" spans="6:46">
      <c r="F463" s="49"/>
      <c r="G463" s="49"/>
      <c r="H463" s="49"/>
      <c r="I463" s="49"/>
      <c r="J463" s="49"/>
      <c r="K463" s="49"/>
      <c r="L463" s="229"/>
      <c r="M463" s="229"/>
      <c r="N463" s="229"/>
      <c r="O463" s="49"/>
      <c r="P463" s="75"/>
      <c r="Q463" s="75"/>
      <c r="R463" s="75"/>
      <c r="S463" s="75"/>
      <c r="W463" s="80"/>
      <c r="X463" s="80"/>
      <c r="Y463" s="80"/>
      <c r="AG463" s="150"/>
      <c r="AT463" s="140"/>
    </row>
    <row r="464" spans="6:46">
      <c r="F464" s="49"/>
      <c r="G464" s="49"/>
      <c r="H464" s="49"/>
      <c r="I464" s="49"/>
      <c r="J464" s="49"/>
      <c r="K464" s="49"/>
      <c r="L464" s="229"/>
      <c r="M464" s="229"/>
      <c r="N464" s="229"/>
      <c r="O464" s="49"/>
      <c r="P464" s="75"/>
      <c r="Q464" s="75"/>
      <c r="R464" s="75"/>
      <c r="S464" s="75"/>
      <c r="W464" s="80"/>
      <c r="X464" s="80"/>
      <c r="Y464" s="80"/>
      <c r="AG464" s="150"/>
      <c r="AT464" s="140"/>
    </row>
    <row r="465" spans="6:46">
      <c r="F465" s="49"/>
      <c r="G465" s="49"/>
      <c r="H465" s="49"/>
      <c r="I465" s="49"/>
      <c r="J465" s="49"/>
      <c r="K465" s="49"/>
      <c r="L465" s="229"/>
      <c r="M465" s="229"/>
      <c r="N465" s="229"/>
      <c r="O465" s="49"/>
      <c r="P465" s="75"/>
      <c r="Q465" s="75"/>
      <c r="R465" s="75"/>
      <c r="S465" s="75"/>
      <c r="W465" s="80"/>
      <c r="X465" s="80"/>
      <c r="Y465" s="80"/>
      <c r="AG465" s="150"/>
      <c r="AT465" s="140"/>
    </row>
    <row r="466" spans="6:46">
      <c r="F466" s="49"/>
      <c r="G466" s="49"/>
      <c r="H466" s="49"/>
      <c r="I466" s="49"/>
      <c r="J466" s="49"/>
      <c r="K466" s="49"/>
      <c r="L466" s="229"/>
      <c r="M466" s="229"/>
      <c r="N466" s="229"/>
      <c r="O466" s="49"/>
      <c r="P466" s="75"/>
      <c r="Q466" s="75"/>
      <c r="R466" s="75"/>
      <c r="S466" s="75"/>
      <c r="W466" s="80"/>
      <c r="X466" s="80"/>
      <c r="Y466" s="80"/>
      <c r="AG466" s="150"/>
      <c r="AT466" s="140"/>
    </row>
    <row r="467" spans="6:46">
      <c r="F467" s="49"/>
      <c r="G467" s="49"/>
      <c r="H467" s="49"/>
      <c r="I467" s="49"/>
      <c r="J467" s="49"/>
      <c r="K467" s="49"/>
      <c r="L467" s="229"/>
      <c r="M467" s="229"/>
      <c r="N467" s="229"/>
      <c r="O467" s="49"/>
      <c r="P467" s="75"/>
      <c r="Q467" s="75"/>
      <c r="R467" s="75"/>
      <c r="S467" s="75"/>
      <c r="W467" s="80"/>
      <c r="X467" s="80"/>
      <c r="Y467" s="80"/>
      <c r="AG467" s="150"/>
      <c r="AT467" s="140"/>
    </row>
    <row r="468" spans="6:46">
      <c r="F468" s="49"/>
      <c r="G468" s="49"/>
      <c r="H468" s="49"/>
      <c r="I468" s="49"/>
      <c r="J468" s="49"/>
      <c r="K468" s="49"/>
      <c r="L468" s="229"/>
      <c r="M468" s="229"/>
      <c r="N468" s="229"/>
      <c r="O468" s="49"/>
      <c r="P468" s="75"/>
      <c r="Q468" s="75"/>
      <c r="R468" s="75"/>
      <c r="S468" s="75"/>
      <c r="W468" s="80"/>
      <c r="X468" s="80"/>
      <c r="Y468" s="80"/>
      <c r="AG468" s="150"/>
      <c r="AT468" s="140"/>
    </row>
    <row r="469" spans="6:46">
      <c r="F469" s="49"/>
      <c r="G469" s="49"/>
      <c r="H469" s="49"/>
      <c r="I469" s="49"/>
      <c r="J469" s="49"/>
      <c r="K469" s="49"/>
      <c r="L469" s="229"/>
      <c r="M469" s="229"/>
      <c r="N469" s="229"/>
      <c r="O469" s="49"/>
      <c r="P469" s="75"/>
      <c r="Q469" s="75"/>
      <c r="R469" s="75"/>
      <c r="S469" s="75"/>
      <c r="W469" s="80"/>
      <c r="X469" s="80"/>
      <c r="Y469" s="80"/>
      <c r="AG469" s="150"/>
      <c r="AT469" s="140"/>
    </row>
    <row r="470" spans="6:46">
      <c r="F470" s="49"/>
      <c r="G470" s="49"/>
      <c r="H470" s="49"/>
      <c r="I470" s="49"/>
      <c r="J470" s="49"/>
      <c r="K470" s="49"/>
      <c r="L470" s="229"/>
      <c r="M470" s="229"/>
      <c r="N470" s="229"/>
      <c r="O470" s="49"/>
      <c r="P470" s="75"/>
      <c r="Q470" s="75"/>
      <c r="R470" s="75"/>
      <c r="S470" s="75"/>
      <c r="W470" s="80"/>
      <c r="X470" s="80"/>
      <c r="Y470" s="80"/>
      <c r="AG470" s="150"/>
      <c r="AT470" s="140"/>
    </row>
    <row r="471" spans="6:46">
      <c r="F471" s="49"/>
      <c r="G471" s="49"/>
      <c r="H471" s="49"/>
      <c r="I471" s="49"/>
      <c r="J471" s="49"/>
      <c r="K471" s="49"/>
      <c r="L471" s="229"/>
      <c r="M471" s="229"/>
      <c r="N471" s="229"/>
      <c r="O471" s="49"/>
      <c r="P471" s="75"/>
      <c r="Q471" s="75"/>
      <c r="R471" s="75"/>
      <c r="S471" s="75"/>
      <c r="W471" s="80"/>
      <c r="X471" s="80"/>
      <c r="Y471" s="80"/>
      <c r="AG471" s="150"/>
      <c r="AT471" s="140"/>
    </row>
    <row r="472" spans="6:46">
      <c r="F472" s="49"/>
      <c r="G472" s="49"/>
      <c r="H472" s="49"/>
      <c r="I472" s="49"/>
      <c r="J472" s="49"/>
      <c r="K472" s="49"/>
      <c r="L472" s="229"/>
      <c r="M472" s="229"/>
      <c r="N472" s="229"/>
      <c r="O472" s="49"/>
      <c r="P472" s="75"/>
      <c r="Q472" s="75"/>
      <c r="R472" s="75"/>
      <c r="S472" s="75"/>
      <c r="W472" s="80"/>
      <c r="X472" s="80"/>
      <c r="Y472" s="80"/>
      <c r="AG472" s="150"/>
      <c r="AT472" s="140"/>
    </row>
    <row r="473" spans="6:46">
      <c r="F473" s="49"/>
      <c r="G473" s="49"/>
      <c r="H473" s="49"/>
      <c r="I473" s="49"/>
      <c r="J473" s="49"/>
      <c r="K473" s="49"/>
      <c r="L473" s="229"/>
      <c r="M473" s="229"/>
      <c r="N473" s="229"/>
      <c r="O473" s="49"/>
      <c r="P473" s="75"/>
      <c r="Q473" s="75"/>
      <c r="R473" s="75"/>
      <c r="S473" s="75"/>
      <c r="W473" s="80"/>
      <c r="X473" s="80"/>
      <c r="Y473" s="80"/>
      <c r="AG473" s="150"/>
      <c r="AT473" s="140"/>
    </row>
    <row r="474" spans="6:46">
      <c r="F474" s="49"/>
      <c r="G474" s="49"/>
      <c r="H474" s="49"/>
      <c r="I474" s="49"/>
      <c r="J474" s="49"/>
      <c r="K474" s="49"/>
      <c r="L474" s="229"/>
      <c r="M474" s="229"/>
      <c r="N474" s="229"/>
      <c r="O474" s="49"/>
      <c r="P474" s="75"/>
      <c r="Q474" s="75"/>
      <c r="R474" s="75"/>
      <c r="S474" s="75"/>
      <c r="W474" s="80"/>
      <c r="X474" s="80"/>
      <c r="Y474" s="80"/>
      <c r="AG474" s="150"/>
      <c r="AT474" s="140"/>
    </row>
    <row r="475" spans="6:46">
      <c r="F475" s="49"/>
      <c r="G475" s="49"/>
      <c r="H475" s="49"/>
      <c r="I475" s="49"/>
      <c r="J475" s="49"/>
      <c r="K475" s="49"/>
      <c r="L475" s="229"/>
      <c r="M475" s="229"/>
      <c r="N475" s="229"/>
      <c r="O475" s="49"/>
      <c r="P475" s="75"/>
      <c r="Q475" s="75"/>
      <c r="R475" s="75"/>
      <c r="S475" s="75"/>
      <c r="W475" s="80"/>
      <c r="X475" s="80"/>
      <c r="Y475" s="80"/>
      <c r="AG475" s="150"/>
      <c r="AT475" s="140"/>
    </row>
    <row r="476" spans="6:46">
      <c r="F476" s="49"/>
      <c r="G476" s="49"/>
      <c r="H476" s="49"/>
      <c r="I476" s="49"/>
      <c r="J476" s="49"/>
      <c r="K476" s="49"/>
      <c r="L476" s="229"/>
      <c r="M476" s="229"/>
      <c r="N476" s="229"/>
      <c r="O476" s="49"/>
      <c r="P476" s="75"/>
      <c r="Q476" s="75"/>
      <c r="R476" s="75"/>
      <c r="S476" s="75"/>
      <c r="W476" s="80"/>
      <c r="X476" s="80"/>
      <c r="Y476" s="80"/>
      <c r="AG476" s="150"/>
      <c r="AT476" s="140"/>
    </row>
    <row r="477" spans="6:46">
      <c r="F477" s="49"/>
      <c r="G477" s="49"/>
      <c r="H477" s="49"/>
      <c r="I477" s="49"/>
      <c r="J477" s="49"/>
      <c r="K477" s="49"/>
      <c r="L477" s="229"/>
      <c r="M477" s="229"/>
      <c r="N477" s="229"/>
      <c r="O477" s="49"/>
      <c r="P477" s="75"/>
      <c r="Q477" s="75"/>
      <c r="R477" s="75"/>
      <c r="S477" s="75"/>
      <c r="W477" s="80"/>
      <c r="X477" s="80"/>
      <c r="Y477" s="80"/>
      <c r="AG477" s="150"/>
      <c r="AT477" s="140"/>
    </row>
    <row r="478" spans="6:46">
      <c r="F478" s="49"/>
      <c r="G478" s="49"/>
      <c r="H478" s="49"/>
      <c r="I478" s="49"/>
      <c r="J478" s="49"/>
      <c r="K478" s="49"/>
      <c r="L478" s="229"/>
      <c r="M478" s="229"/>
      <c r="N478" s="229"/>
      <c r="O478" s="49"/>
      <c r="P478" s="75"/>
      <c r="Q478" s="75"/>
      <c r="R478" s="75"/>
      <c r="S478" s="75"/>
      <c r="W478" s="80"/>
      <c r="X478" s="80"/>
      <c r="Y478" s="80"/>
      <c r="AG478" s="150"/>
      <c r="AT478" s="140"/>
    </row>
    <row r="479" spans="6:46">
      <c r="F479" s="49"/>
      <c r="G479" s="49"/>
      <c r="H479" s="49"/>
      <c r="I479" s="49"/>
      <c r="J479" s="49"/>
      <c r="K479" s="49"/>
      <c r="L479" s="229"/>
      <c r="M479" s="229"/>
      <c r="N479" s="229"/>
      <c r="O479" s="49"/>
      <c r="P479" s="75"/>
      <c r="Q479" s="75"/>
      <c r="R479" s="75"/>
      <c r="S479" s="75"/>
      <c r="W479" s="80"/>
      <c r="X479" s="80"/>
      <c r="Y479" s="80"/>
      <c r="AG479" s="150"/>
      <c r="AT479" s="140"/>
    </row>
    <row r="480" spans="6:46">
      <c r="F480" s="49"/>
      <c r="G480" s="49"/>
      <c r="H480" s="49"/>
      <c r="I480" s="49"/>
      <c r="J480" s="49"/>
      <c r="K480" s="49"/>
      <c r="L480" s="229"/>
      <c r="M480" s="229"/>
      <c r="N480" s="229"/>
      <c r="O480" s="49"/>
      <c r="P480" s="75"/>
      <c r="Q480" s="75"/>
      <c r="R480" s="75"/>
      <c r="S480" s="75"/>
      <c r="W480" s="80"/>
      <c r="X480" s="80"/>
      <c r="Y480" s="80"/>
      <c r="AG480" s="150"/>
      <c r="AT480" s="140"/>
    </row>
    <row r="481" spans="6:46">
      <c r="F481" s="49"/>
      <c r="G481" s="49"/>
      <c r="H481" s="49"/>
      <c r="I481" s="49"/>
      <c r="J481" s="49"/>
      <c r="K481" s="49"/>
      <c r="L481" s="229"/>
      <c r="M481" s="229"/>
      <c r="N481" s="229"/>
      <c r="O481" s="49"/>
      <c r="P481" s="75"/>
      <c r="Q481" s="75"/>
      <c r="R481" s="75"/>
      <c r="S481" s="75"/>
      <c r="W481" s="80"/>
      <c r="X481" s="80"/>
      <c r="Y481" s="80"/>
      <c r="AG481" s="150"/>
      <c r="AT481" s="140"/>
    </row>
    <row r="482" spans="6:46">
      <c r="F482" s="49"/>
      <c r="G482" s="49"/>
      <c r="H482" s="49"/>
      <c r="I482" s="49"/>
      <c r="J482" s="49"/>
      <c r="K482" s="49"/>
      <c r="L482" s="229"/>
      <c r="M482" s="229"/>
      <c r="N482" s="229"/>
      <c r="O482" s="49"/>
      <c r="P482" s="75"/>
      <c r="Q482" s="75"/>
      <c r="R482" s="75"/>
      <c r="S482" s="75"/>
      <c r="W482" s="80"/>
      <c r="X482" s="80"/>
      <c r="Y482" s="80"/>
      <c r="AG482" s="150"/>
      <c r="AT482" s="140"/>
    </row>
    <row r="483" spans="6:46">
      <c r="F483" s="49"/>
      <c r="G483" s="49"/>
      <c r="H483" s="49"/>
      <c r="I483" s="49"/>
      <c r="J483" s="49"/>
      <c r="K483" s="49"/>
      <c r="L483" s="229"/>
      <c r="M483" s="229"/>
      <c r="N483" s="229"/>
      <c r="O483" s="49"/>
      <c r="P483" s="75"/>
      <c r="Q483" s="75"/>
      <c r="R483" s="75"/>
      <c r="S483" s="75"/>
      <c r="W483" s="80"/>
      <c r="X483" s="80"/>
      <c r="Y483" s="80"/>
      <c r="AG483" s="150"/>
      <c r="AT483" s="140"/>
    </row>
    <row r="484" spans="6:46">
      <c r="F484" s="49"/>
      <c r="G484" s="49"/>
      <c r="H484" s="49"/>
      <c r="I484" s="49"/>
      <c r="J484" s="49"/>
      <c r="K484" s="49"/>
      <c r="L484" s="229"/>
      <c r="M484" s="229"/>
      <c r="N484" s="229"/>
      <c r="O484" s="49"/>
      <c r="P484" s="75"/>
      <c r="Q484" s="75"/>
      <c r="R484" s="75"/>
      <c r="S484" s="75"/>
      <c r="W484" s="80"/>
      <c r="X484" s="80"/>
      <c r="Y484" s="80"/>
      <c r="AG484" s="150"/>
      <c r="AT484" s="140"/>
    </row>
    <row r="485" spans="6:46">
      <c r="F485" s="49"/>
      <c r="G485" s="49"/>
      <c r="H485" s="49"/>
      <c r="I485" s="49"/>
      <c r="J485" s="49"/>
      <c r="K485" s="49"/>
      <c r="L485" s="229"/>
      <c r="M485" s="229"/>
      <c r="N485" s="229"/>
      <c r="O485" s="49"/>
      <c r="P485" s="75"/>
      <c r="Q485" s="75"/>
      <c r="R485" s="75"/>
      <c r="S485" s="75"/>
      <c r="W485" s="80"/>
      <c r="X485" s="80"/>
      <c r="Y485" s="80"/>
      <c r="AG485" s="150"/>
      <c r="AT485" s="140"/>
    </row>
    <row r="486" spans="6:46">
      <c r="F486" s="49"/>
      <c r="G486" s="49"/>
      <c r="H486" s="49"/>
      <c r="I486" s="49"/>
      <c r="J486" s="49"/>
      <c r="K486" s="49"/>
      <c r="L486" s="229"/>
      <c r="M486" s="229"/>
      <c r="N486" s="229"/>
      <c r="O486" s="49"/>
      <c r="P486" s="75"/>
      <c r="Q486" s="75"/>
      <c r="R486" s="75"/>
      <c r="S486" s="75"/>
      <c r="W486" s="80"/>
      <c r="X486" s="80"/>
      <c r="Y486" s="80"/>
      <c r="AG486" s="150"/>
      <c r="AT486" s="140"/>
    </row>
    <row r="487" spans="6:46">
      <c r="F487" s="49"/>
      <c r="G487" s="49"/>
      <c r="H487" s="49"/>
      <c r="I487" s="49"/>
      <c r="J487" s="49"/>
      <c r="K487" s="49"/>
      <c r="L487" s="229"/>
      <c r="M487" s="229"/>
      <c r="N487" s="229"/>
      <c r="O487" s="49"/>
      <c r="P487" s="75"/>
      <c r="Q487" s="75"/>
      <c r="R487" s="75"/>
      <c r="S487" s="75"/>
      <c r="W487" s="80"/>
      <c r="X487" s="80"/>
      <c r="Y487" s="80"/>
      <c r="AG487" s="150"/>
      <c r="AT487" s="140"/>
    </row>
    <row r="488" spans="6:46">
      <c r="F488" s="49"/>
      <c r="G488" s="49"/>
      <c r="H488" s="49"/>
      <c r="I488" s="49"/>
      <c r="J488" s="49"/>
      <c r="K488" s="49"/>
      <c r="L488" s="229"/>
      <c r="M488" s="229"/>
      <c r="N488" s="229"/>
      <c r="O488" s="49"/>
      <c r="P488" s="75"/>
      <c r="Q488" s="75"/>
      <c r="R488" s="75"/>
      <c r="S488" s="75"/>
      <c r="W488" s="80"/>
      <c r="X488" s="80"/>
      <c r="Y488" s="80"/>
      <c r="AG488" s="150"/>
      <c r="AT488" s="140"/>
    </row>
    <row r="489" spans="6:46">
      <c r="F489" s="49"/>
      <c r="G489" s="49"/>
      <c r="H489" s="49"/>
      <c r="I489" s="49"/>
      <c r="J489" s="49"/>
      <c r="K489" s="49"/>
      <c r="L489" s="229"/>
      <c r="M489" s="229"/>
      <c r="N489" s="229"/>
      <c r="O489" s="49"/>
      <c r="P489" s="75"/>
      <c r="Q489" s="75"/>
      <c r="R489" s="75"/>
      <c r="S489" s="75"/>
      <c r="W489" s="80"/>
      <c r="X489" s="80"/>
      <c r="Y489" s="80"/>
      <c r="AG489" s="150"/>
      <c r="AT489" s="140"/>
    </row>
    <row r="490" spans="6:46">
      <c r="F490" s="49"/>
      <c r="G490" s="49"/>
      <c r="H490" s="49"/>
      <c r="I490" s="49"/>
      <c r="J490" s="49"/>
      <c r="K490" s="49"/>
      <c r="L490" s="229"/>
      <c r="M490" s="229"/>
      <c r="N490" s="229"/>
      <c r="O490" s="49"/>
      <c r="P490" s="75"/>
      <c r="Q490" s="75"/>
      <c r="R490" s="75"/>
      <c r="S490" s="75"/>
      <c r="W490" s="80"/>
      <c r="X490" s="80"/>
      <c r="Y490" s="80"/>
      <c r="AG490" s="150"/>
      <c r="AT490" s="140"/>
    </row>
    <row r="491" spans="6:46">
      <c r="F491" s="49"/>
      <c r="G491" s="49"/>
      <c r="H491" s="49"/>
      <c r="I491" s="49"/>
      <c r="J491" s="49"/>
      <c r="K491" s="49"/>
      <c r="L491" s="229"/>
      <c r="M491" s="229"/>
      <c r="N491" s="229"/>
      <c r="O491" s="49"/>
      <c r="P491" s="75"/>
      <c r="Q491" s="75"/>
      <c r="R491" s="75"/>
      <c r="S491" s="75"/>
      <c r="W491" s="80"/>
      <c r="X491" s="80"/>
      <c r="Y491" s="80"/>
      <c r="AG491" s="150"/>
      <c r="AT491" s="140"/>
    </row>
    <row r="492" spans="6:46">
      <c r="F492" s="49"/>
      <c r="G492" s="49"/>
      <c r="H492" s="49"/>
      <c r="I492" s="49"/>
      <c r="J492" s="49"/>
      <c r="K492" s="49"/>
      <c r="L492" s="229"/>
      <c r="M492" s="229"/>
      <c r="N492" s="229"/>
      <c r="O492" s="49"/>
      <c r="P492" s="75"/>
      <c r="Q492" s="75"/>
      <c r="R492" s="75"/>
      <c r="S492" s="75"/>
      <c r="W492" s="80"/>
      <c r="X492" s="80"/>
      <c r="Y492" s="80"/>
      <c r="AG492" s="150"/>
      <c r="AT492" s="140"/>
    </row>
    <row r="493" spans="6:46">
      <c r="F493" s="49"/>
      <c r="G493" s="49"/>
      <c r="H493" s="49"/>
      <c r="I493" s="49"/>
      <c r="J493" s="49"/>
      <c r="K493" s="49"/>
      <c r="L493" s="229"/>
      <c r="M493" s="229"/>
      <c r="N493" s="229"/>
      <c r="O493" s="49"/>
      <c r="P493" s="75"/>
      <c r="Q493" s="75"/>
      <c r="R493" s="75"/>
      <c r="S493" s="75"/>
      <c r="W493" s="80"/>
      <c r="X493" s="80"/>
      <c r="Y493" s="80"/>
      <c r="AG493" s="150"/>
      <c r="AT493" s="140"/>
    </row>
    <row r="494" spans="6:46">
      <c r="F494" s="49"/>
      <c r="G494" s="49"/>
      <c r="H494" s="49"/>
      <c r="I494" s="49"/>
      <c r="J494" s="49"/>
      <c r="K494" s="49"/>
      <c r="L494" s="229"/>
      <c r="M494" s="229"/>
      <c r="N494" s="229"/>
      <c r="O494" s="49"/>
      <c r="P494" s="75"/>
      <c r="Q494" s="75"/>
      <c r="R494" s="75"/>
      <c r="S494" s="75"/>
      <c r="W494" s="80"/>
      <c r="X494" s="80"/>
      <c r="Y494" s="80"/>
      <c r="AG494" s="150"/>
      <c r="AT494" s="140"/>
    </row>
    <row r="495" spans="6:46">
      <c r="F495" s="49"/>
      <c r="G495" s="49"/>
      <c r="H495" s="49"/>
      <c r="I495" s="49"/>
      <c r="J495" s="49"/>
      <c r="K495" s="49"/>
      <c r="L495" s="229"/>
      <c r="M495" s="229"/>
      <c r="N495" s="229"/>
      <c r="O495" s="49"/>
      <c r="P495" s="75"/>
      <c r="Q495" s="75"/>
      <c r="R495" s="75"/>
      <c r="S495" s="75"/>
      <c r="W495" s="80"/>
      <c r="X495" s="80"/>
      <c r="Y495" s="80"/>
      <c r="AG495" s="150"/>
      <c r="AT495" s="140"/>
    </row>
    <row r="496" spans="6:46">
      <c r="F496" s="49"/>
      <c r="G496" s="49"/>
      <c r="H496" s="49"/>
      <c r="I496" s="49"/>
      <c r="J496" s="49"/>
      <c r="K496" s="49"/>
      <c r="L496" s="229"/>
      <c r="M496" s="229"/>
      <c r="N496" s="229"/>
      <c r="O496" s="49"/>
      <c r="P496" s="75"/>
      <c r="Q496" s="75"/>
      <c r="R496" s="75"/>
      <c r="S496" s="75"/>
      <c r="W496" s="80"/>
      <c r="X496" s="80"/>
      <c r="Y496" s="80"/>
      <c r="AG496" s="150"/>
      <c r="AT496" s="140"/>
    </row>
    <row r="497" spans="6:46">
      <c r="F497" s="49"/>
      <c r="G497" s="49"/>
      <c r="H497" s="49"/>
      <c r="I497" s="49"/>
      <c r="J497" s="49"/>
      <c r="K497" s="49"/>
      <c r="L497" s="229"/>
      <c r="M497" s="229"/>
      <c r="N497" s="229"/>
      <c r="O497" s="49"/>
      <c r="P497" s="75"/>
      <c r="Q497" s="75"/>
      <c r="R497" s="75"/>
      <c r="S497" s="75"/>
      <c r="W497" s="80"/>
      <c r="X497" s="80"/>
      <c r="Y497" s="80"/>
      <c r="AG497" s="150"/>
      <c r="AT497" s="140"/>
    </row>
    <row r="498" spans="6:46">
      <c r="F498" s="49"/>
      <c r="G498" s="49"/>
      <c r="H498" s="49"/>
      <c r="I498" s="49"/>
      <c r="J498" s="49"/>
      <c r="K498" s="49"/>
      <c r="L498" s="229"/>
      <c r="M498" s="229"/>
      <c r="N498" s="229"/>
      <c r="O498" s="49"/>
      <c r="P498" s="75"/>
      <c r="Q498" s="75"/>
      <c r="R498" s="75"/>
      <c r="S498" s="75"/>
      <c r="W498" s="80"/>
      <c r="X498" s="80"/>
      <c r="Y498" s="80"/>
      <c r="AG498" s="150"/>
      <c r="AT498" s="140"/>
    </row>
    <row r="499" spans="6:46">
      <c r="F499" s="49"/>
      <c r="G499" s="49"/>
      <c r="H499" s="49"/>
      <c r="I499" s="49"/>
      <c r="J499" s="49"/>
      <c r="K499" s="49"/>
      <c r="L499" s="229"/>
      <c r="M499" s="229"/>
      <c r="N499" s="229"/>
      <c r="O499" s="49"/>
      <c r="P499" s="75"/>
      <c r="Q499" s="75"/>
      <c r="R499" s="75"/>
      <c r="S499" s="75"/>
      <c r="W499" s="80"/>
      <c r="X499" s="80"/>
      <c r="Y499" s="80"/>
      <c r="AG499" s="150"/>
      <c r="AT499" s="140"/>
    </row>
    <row r="500" spans="6:46">
      <c r="F500" s="49"/>
      <c r="G500" s="49"/>
      <c r="H500" s="49"/>
      <c r="I500" s="49"/>
      <c r="J500" s="49"/>
      <c r="K500" s="49"/>
      <c r="L500" s="229"/>
      <c r="M500" s="229"/>
      <c r="N500" s="229"/>
      <c r="O500" s="49"/>
      <c r="P500" s="75"/>
      <c r="Q500" s="75"/>
      <c r="R500" s="75"/>
      <c r="S500" s="75"/>
      <c r="W500" s="80"/>
      <c r="X500" s="80"/>
      <c r="Y500" s="80"/>
      <c r="AG500" s="150"/>
      <c r="AT500" s="140"/>
    </row>
    <row r="501" spans="6:46">
      <c r="F501" s="49"/>
      <c r="G501" s="49"/>
      <c r="H501" s="49"/>
      <c r="I501" s="49"/>
      <c r="J501" s="49"/>
      <c r="K501" s="49"/>
      <c r="L501" s="229"/>
      <c r="M501" s="229"/>
      <c r="N501" s="229"/>
      <c r="O501" s="49"/>
      <c r="P501" s="75"/>
      <c r="Q501" s="75"/>
      <c r="R501" s="75"/>
      <c r="S501" s="75"/>
      <c r="W501" s="80"/>
      <c r="X501" s="80"/>
      <c r="Y501" s="80"/>
      <c r="AG501" s="150"/>
      <c r="AT501" s="140"/>
    </row>
    <row r="502" spans="6:46">
      <c r="F502" s="49"/>
      <c r="G502" s="49"/>
      <c r="H502" s="49"/>
      <c r="I502" s="49"/>
      <c r="J502" s="49"/>
      <c r="K502" s="49"/>
      <c r="L502" s="229"/>
      <c r="M502" s="229"/>
      <c r="N502" s="229"/>
      <c r="O502" s="49"/>
      <c r="P502" s="75"/>
      <c r="Q502" s="75"/>
      <c r="R502" s="75"/>
      <c r="S502" s="75"/>
      <c r="W502" s="80"/>
      <c r="X502" s="80"/>
      <c r="Y502" s="80"/>
      <c r="AG502" s="150"/>
      <c r="AT502" s="140"/>
    </row>
    <row r="503" spans="6:46">
      <c r="F503" s="49"/>
      <c r="G503" s="49"/>
      <c r="H503" s="49"/>
      <c r="I503" s="49"/>
      <c r="J503" s="49"/>
      <c r="K503" s="49"/>
      <c r="L503" s="229"/>
      <c r="M503" s="229"/>
      <c r="N503" s="229"/>
      <c r="O503" s="49"/>
      <c r="P503" s="75"/>
      <c r="Q503" s="75"/>
      <c r="R503" s="75"/>
      <c r="S503" s="75"/>
      <c r="W503" s="80"/>
      <c r="X503" s="80"/>
      <c r="Y503" s="80"/>
      <c r="AG503" s="150"/>
      <c r="AT503" s="140"/>
    </row>
    <row r="504" spans="6:46">
      <c r="F504" s="49"/>
      <c r="G504" s="49"/>
      <c r="H504" s="49"/>
      <c r="I504" s="49"/>
      <c r="J504" s="49"/>
      <c r="K504" s="49"/>
      <c r="L504" s="229"/>
      <c r="M504" s="229"/>
      <c r="N504" s="229"/>
      <c r="O504" s="49"/>
      <c r="P504" s="75"/>
      <c r="Q504" s="75"/>
      <c r="R504" s="75"/>
      <c r="S504" s="75"/>
      <c r="W504" s="80"/>
      <c r="X504" s="80"/>
      <c r="Y504" s="80"/>
      <c r="AG504" s="150"/>
      <c r="AT504" s="140"/>
    </row>
    <row r="505" spans="6:46">
      <c r="F505" s="49"/>
      <c r="G505" s="49"/>
      <c r="H505" s="49"/>
      <c r="I505" s="49"/>
      <c r="J505" s="49"/>
      <c r="K505" s="49"/>
      <c r="L505" s="229"/>
      <c r="M505" s="229"/>
      <c r="N505" s="229"/>
      <c r="O505" s="49"/>
      <c r="P505" s="75"/>
      <c r="Q505" s="75"/>
      <c r="R505" s="75"/>
      <c r="S505" s="75"/>
      <c r="W505" s="80"/>
      <c r="X505" s="80"/>
      <c r="Y505" s="80"/>
      <c r="AG505" s="150"/>
      <c r="AT505" s="140"/>
    </row>
    <row r="506" spans="6:46">
      <c r="F506" s="49"/>
      <c r="G506" s="49"/>
      <c r="H506" s="49"/>
      <c r="I506" s="49"/>
      <c r="J506" s="49"/>
      <c r="K506" s="49"/>
      <c r="L506" s="229"/>
      <c r="M506" s="229"/>
      <c r="N506" s="229"/>
      <c r="O506" s="49"/>
      <c r="P506" s="75"/>
      <c r="Q506" s="75"/>
      <c r="R506" s="75"/>
      <c r="S506" s="75"/>
      <c r="W506" s="80"/>
      <c r="X506" s="80"/>
      <c r="Y506" s="80"/>
      <c r="AG506" s="150"/>
      <c r="AT506" s="140"/>
    </row>
    <row r="507" spans="6:46">
      <c r="F507" s="49"/>
      <c r="G507" s="49"/>
      <c r="H507" s="49"/>
      <c r="I507" s="49"/>
      <c r="J507" s="49"/>
      <c r="K507" s="49"/>
      <c r="L507" s="229"/>
      <c r="M507" s="229"/>
      <c r="N507" s="229"/>
      <c r="O507" s="49"/>
      <c r="P507" s="75"/>
      <c r="Q507" s="75"/>
      <c r="R507" s="75"/>
      <c r="S507" s="75"/>
      <c r="W507" s="80"/>
      <c r="X507" s="80"/>
      <c r="Y507" s="80"/>
      <c r="AG507" s="150"/>
      <c r="AT507" s="140"/>
    </row>
    <row r="508" spans="6:46">
      <c r="F508" s="49"/>
      <c r="G508" s="49"/>
      <c r="H508" s="49"/>
      <c r="I508" s="49"/>
      <c r="J508" s="49"/>
      <c r="K508" s="49"/>
      <c r="L508" s="229"/>
      <c r="M508" s="229"/>
      <c r="N508" s="229"/>
      <c r="O508" s="49"/>
      <c r="P508" s="75"/>
      <c r="Q508" s="75"/>
      <c r="R508" s="75"/>
      <c r="S508" s="75"/>
      <c r="W508" s="80"/>
      <c r="X508" s="80"/>
      <c r="Y508" s="80"/>
      <c r="AG508" s="150"/>
      <c r="AT508" s="140"/>
    </row>
    <row r="509" spans="6:46">
      <c r="F509" s="49"/>
      <c r="G509" s="49"/>
      <c r="H509" s="49"/>
      <c r="I509" s="49"/>
      <c r="J509" s="49"/>
      <c r="K509" s="49"/>
      <c r="L509" s="229"/>
      <c r="M509" s="229"/>
      <c r="N509" s="229"/>
      <c r="O509" s="49"/>
      <c r="P509" s="75"/>
      <c r="Q509" s="75"/>
      <c r="R509" s="75"/>
      <c r="S509" s="75"/>
      <c r="W509" s="80"/>
      <c r="X509" s="80"/>
      <c r="Y509" s="80"/>
      <c r="AG509" s="150"/>
      <c r="AT509" s="140"/>
    </row>
    <row r="510" spans="6:46">
      <c r="F510" s="49"/>
      <c r="G510" s="49"/>
      <c r="H510" s="49"/>
      <c r="I510" s="49"/>
      <c r="J510" s="49"/>
      <c r="K510" s="49"/>
      <c r="L510" s="229"/>
      <c r="M510" s="229"/>
      <c r="N510" s="229"/>
      <c r="O510" s="49"/>
      <c r="P510" s="75"/>
      <c r="Q510" s="75"/>
      <c r="R510" s="75"/>
      <c r="S510" s="75"/>
      <c r="W510" s="80"/>
      <c r="X510" s="80"/>
      <c r="Y510" s="80"/>
      <c r="AG510" s="150"/>
      <c r="AT510" s="140"/>
    </row>
    <row r="511" spans="6:46">
      <c r="F511" s="49"/>
      <c r="G511" s="49"/>
      <c r="H511" s="49"/>
      <c r="I511" s="49"/>
      <c r="J511" s="49"/>
      <c r="K511" s="49"/>
      <c r="L511" s="229"/>
      <c r="M511" s="229"/>
      <c r="N511" s="229"/>
      <c r="O511" s="49"/>
      <c r="P511" s="75"/>
      <c r="Q511" s="75"/>
      <c r="R511" s="75"/>
      <c r="S511" s="75"/>
      <c r="W511" s="80"/>
      <c r="X511" s="80"/>
      <c r="Y511" s="80"/>
      <c r="AG511" s="150"/>
      <c r="AT511" s="140"/>
    </row>
    <row r="512" spans="6:46">
      <c r="F512" s="49"/>
      <c r="G512" s="49"/>
      <c r="H512" s="49"/>
      <c r="I512" s="49"/>
      <c r="J512" s="49"/>
      <c r="K512" s="49"/>
      <c r="L512" s="229"/>
      <c r="M512" s="229"/>
      <c r="N512" s="229"/>
      <c r="O512" s="49"/>
      <c r="P512" s="75"/>
      <c r="Q512" s="75"/>
      <c r="R512" s="75"/>
      <c r="S512" s="75"/>
      <c r="W512" s="80"/>
      <c r="X512" s="80"/>
      <c r="Y512" s="80"/>
      <c r="AG512" s="150"/>
      <c r="AT512" s="140"/>
    </row>
    <row r="513" spans="6:46">
      <c r="F513" s="49"/>
      <c r="G513" s="49"/>
      <c r="H513" s="49"/>
      <c r="I513" s="49"/>
      <c r="J513" s="49"/>
      <c r="K513" s="49"/>
      <c r="L513" s="229"/>
      <c r="M513" s="229"/>
      <c r="N513" s="229"/>
      <c r="O513" s="49"/>
      <c r="P513" s="75"/>
      <c r="Q513" s="75"/>
      <c r="R513" s="75"/>
      <c r="S513" s="75"/>
      <c r="W513" s="80"/>
      <c r="X513" s="80"/>
      <c r="Y513" s="80"/>
      <c r="AG513" s="150"/>
      <c r="AT513" s="140"/>
    </row>
    <row r="514" spans="6:46">
      <c r="F514" s="49"/>
      <c r="G514" s="49"/>
      <c r="H514" s="49"/>
      <c r="I514" s="49"/>
      <c r="J514" s="49"/>
      <c r="K514" s="49"/>
      <c r="L514" s="229"/>
      <c r="M514" s="229"/>
      <c r="N514" s="229"/>
      <c r="O514" s="49"/>
      <c r="P514" s="75"/>
      <c r="Q514" s="75"/>
      <c r="R514" s="75"/>
      <c r="S514" s="75"/>
      <c r="W514" s="80"/>
      <c r="X514" s="80"/>
      <c r="Y514" s="80"/>
      <c r="AG514" s="150"/>
      <c r="AT514" s="140"/>
    </row>
    <row r="515" spans="6:46">
      <c r="F515" s="49"/>
      <c r="G515" s="49"/>
      <c r="H515" s="49"/>
      <c r="I515" s="49"/>
      <c r="J515" s="49"/>
      <c r="K515" s="49"/>
      <c r="L515" s="229"/>
      <c r="M515" s="229"/>
      <c r="N515" s="229"/>
      <c r="O515" s="49"/>
      <c r="P515" s="75"/>
      <c r="Q515" s="75"/>
      <c r="R515" s="75"/>
      <c r="S515" s="75"/>
      <c r="W515" s="80"/>
      <c r="X515" s="80"/>
      <c r="Y515" s="80"/>
      <c r="AG515" s="150"/>
      <c r="AT515" s="140"/>
    </row>
    <row r="516" spans="6:46">
      <c r="F516" s="49"/>
      <c r="G516" s="49"/>
      <c r="H516" s="49"/>
      <c r="I516" s="49"/>
      <c r="J516" s="49"/>
      <c r="K516" s="49"/>
      <c r="L516" s="229"/>
      <c r="M516" s="229"/>
      <c r="N516" s="229"/>
      <c r="O516" s="49"/>
      <c r="P516" s="75"/>
      <c r="Q516" s="75"/>
      <c r="R516" s="75"/>
      <c r="S516" s="75"/>
      <c r="W516" s="80"/>
      <c r="X516" s="80"/>
      <c r="Y516" s="80"/>
      <c r="AG516" s="150"/>
      <c r="AT516" s="140"/>
    </row>
    <row r="517" spans="6:46">
      <c r="F517" s="49"/>
      <c r="G517" s="49"/>
      <c r="H517" s="49"/>
      <c r="I517" s="49"/>
      <c r="J517" s="49"/>
      <c r="K517" s="49"/>
      <c r="L517" s="229"/>
      <c r="M517" s="229"/>
      <c r="N517" s="229"/>
      <c r="O517" s="49"/>
      <c r="P517" s="75"/>
      <c r="Q517" s="75"/>
      <c r="R517" s="75"/>
      <c r="S517" s="75"/>
      <c r="W517" s="80"/>
      <c r="X517" s="80"/>
      <c r="Y517" s="80"/>
      <c r="AG517" s="150"/>
      <c r="AT517" s="140"/>
    </row>
    <row r="518" spans="6:46">
      <c r="F518" s="49"/>
      <c r="G518" s="49"/>
      <c r="H518" s="49"/>
      <c r="I518" s="49"/>
      <c r="J518" s="49"/>
      <c r="K518" s="49"/>
      <c r="L518" s="229"/>
      <c r="M518" s="229"/>
      <c r="N518" s="229"/>
      <c r="O518" s="49"/>
      <c r="P518" s="75"/>
      <c r="Q518" s="75"/>
      <c r="R518" s="75"/>
      <c r="S518" s="75"/>
      <c r="W518" s="80"/>
      <c r="X518" s="80"/>
      <c r="Y518" s="80"/>
      <c r="AG518" s="150"/>
      <c r="AT518" s="140"/>
    </row>
    <row r="519" spans="6:46">
      <c r="F519" s="49"/>
      <c r="G519" s="49"/>
      <c r="H519" s="49"/>
      <c r="I519" s="49"/>
      <c r="J519" s="49"/>
      <c r="K519" s="49"/>
      <c r="L519" s="229"/>
      <c r="M519" s="229"/>
      <c r="N519" s="229"/>
      <c r="O519" s="49"/>
      <c r="P519" s="75"/>
      <c r="Q519" s="75"/>
      <c r="R519" s="75"/>
      <c r="S519" s="75"/>
      <c r="W519" s="80"/>
      <c r="X519" s="80"/>
      <c r="Y519" s="80"/>
      <c r="AG519" s="150"/>
      <c r="AT519" s="140"/>
    </row>
    <row r="520" spans="6:46">
      <c r="F520" s="49"/>
      <c r="G520" s="49"/>
      <c r="H520" s="49"/>
      <c r="I520" s="49"/>
      <c r="J520" s="49"/>
      <c r="K520" s="49"/>
      <c r="L520" s="229"/>
      <c r="M520" s="229"/>
      <c r="N520" s="229"/>
      <c r="O520" s="49"/>
      <c r="P520" s="75"/>
      <c r="Q520" s="75"/>
      <c r="R520" s="75"/>
      <c r="S520" s="75"/>
      <c r="W520" s="80"/>
      <c r="X520" s="80"/>
      <c r="Y520" s="80"/>
      <c r="AG520" s="150"/>
      <c r="AT520" s="140"/>
    </row>
    <row r="521" spans="6:46">
      <c r="F521" s="49"/>
      <c r="G521" s="49"/>
      <c r="H521" s="49"/>
      <c r="I521" s="49"/>
      <c r="J521" s="49"/>
      <c r="K521" s="49"/>
      <c r="L521" s="229"/>
      <c r="M521" s="229"/>
      <c r="N521" s="229"/>
      <c r="O521" s="49"/>
      <c r="P521" s="75"/>
      <c r="Q521" s="75"/>
      <c r="R521" s="75"/>
      <c r="S521" s="75"/>
      <c r="W521" s="80"/>
      <c r="X521" s="80"/>
      <c r="Y521" s="80"/>
      <c r="AG521" s="150"/>
      <c r="AT521" s="140"/>
    </row>
    <row r="522" spans="6:46">
      <c r="F522" s="49"/>
      <c r="G522" s="49"/>
      <c r="H522" s="49"/>
      <c r="I522" s="49"/>
      <c r="J522" s="49"/>
      <c r="K522" s="49"/>
      <c r="L522" s="229"/>
      <c r="M522" s="229"/>
      <c r="N522" s="229"/>
      <c r="O522" s="49"/>
      <c r="P522" s="75"/>
      <c r="Q522" s="75"/>
      <c r="R522" s="75"/>
      <c r="S522" s="75"/>
      <c r="W522" s="80"/>
      <c r="X522" s="80"/>
      <c r="Y522" s="80"/>
      <c r="AG522" s="150"/>
      <c r="AT522" s="140"/>
    </row>
    <row r="523" spans="6:46">
      <c r="F523" s="49"/>
      <c r="G523" s="49"/>
      <c r="H523" s="49"/>
      <c r="I523" s="49"/>
      <c r="J523" s="49"/>
      <c r="K523" s="49"/>
      <c r="L523" s="229"/>
      <c r="M523" s="229"/>
      <c r="N523" s="229"/>
      <c r="O523" s="49"/>
      <c r="P523" s="75"/>
      <c r="Q523" s="75"/>
      <c r="R523" s="75"/>
      <c r="S523" s="75"/>
      <c r="W523" s="80"/>
      <c r="X523" s="80"/>
      <c r="Y523" s="80"/>
      <c r="AG523" s="150"/>
      <c r="AT523" s="140"/>
    </row>
    <row r="524" spans="6:46">
      <c r="F524" s="49"/>
      <c r="G524" s="49"/>
      <c r="H524" s="49"/>
      <c r="I524" s="49"/>
      <c r="J524" s="49"/>
      <c r="K524" s="49"/>
      <c r="L524" s="229"/>
      <c r="M524" s="229"/>
      <c r="N524" s="229"/>
      <c r="O524" s="49"/>
      <c r="P524" s="75"/>
      <c r="Q524" s="75"/>
      <c r="R524" s="75"/>
      <c r="S524" s="75"/>
      <c r="W524" s="80"/>
      <c r="X524" s="80"/>
      <c r="Y524" s="80"/>
      <c r="AG524" s="150"/>
      <c r="AT524" s="140"/>
    </row>
    <row r="525" spans="6:46">
      <c r="F525" s="49"/>
      <c r="G525" s="49"/>
      <c r="H525" s="49"/>
      <c r="I525" s="49"/>
      <c r="J525" s="49"/>
      <c r="K525" s="49"/>
      <c r="L525" s="229"/>
      <c r="M525" s="229"/>
      <c r="N525" s="229"/>
      <c r="O525" s="49"/>
      <c r="P525" s="75"/>
      <c r="Q525" s="75"/>
      <c r="R525" s="75"/>
      <c r="S525" s="75"/>
      <c r="W525" s="80"/>
      <c r="X525" s="80"/>
      <c r="Y525" s="80"/>
      <c r="AG525" s="150"/>
      <c r="AT525" s="140"/>
    </row>
    <row r="526" spans="6:46">
      <c r="F526" s="49"/>
      <c r="G526" s="49"/>
      <c r="H526" s="49"/>
      <c r="I526" s="49"/>
      <c r="J526" s="49"/>
      <c r="K526" s="49"/>
      <c r="L526" s="229"/>
      <c r="M526" s="229"/>
      <c r="N526" s="229"/>
      <c r="O526" s="49"/>
      <c r="P526" s="75"/>
      <c r="Q526" s="75"/>
      <c r="R526" s="75"/>
      <c r="S526" s="75"/>
      <c r="W526" s="80"/>
      <c r="X526" s="80"/>
      <c r="Y526" s="80"/>
      <c r="AG526" s="150"/>
      <c r="AT526" s="140"/>
    </row>
    <row r="527" spans="6:46">
      <c r="F527" s="49"/>
      <c r="G527" s="49"/>
      <c r="H527" s="49"/>
      <c r="I527" s="49"/>
      <c r="J527" s="49"/>
      <c r="K527" s="49"/>
      <c r="L527" s="229"/>
      <c r="M527" s="229"/>
      <c r="N527" s="229"/>
      <c r="O527" s="49"/>
      <c r="P527" s="75"/>
      <c r="Q527" s="75"/>
      <c r="R527" s="75"/>
      <c r="S527" s="75"/>
      <c r="W527" s="80"/>
      <c r="X527" s="80"/>
      <c r="Y527" s="80"/>
      <c r="AG527" s="150"/>
      <c r="AT527" s="140"/>
    </row>
    <row r="528" spans="6:46">
      <c r="F528" s="49"/>
      <c r="G528" s="49"/>
      <c r="H528" s="49"/>
      <c r="I528" s="49"/>
      <c r="J528" s="49"/>
      <c r="K528" s="49"/>
      <c r="L528" s="229"/>
      <c r="M528" s="229"/>
      <c r="N528" s="229"/>
      <c r="O528" s="49"/>
      <c r="P528" s="75"/>
      <c r="Q528" s="75"/>
      <c r="R528" s="75"/>
      <c r="S528" s="75"/>
      <c r="W528" s="80"/>
      <c r="X528" s="80"/>
      <c r="Y528" s="80"/>
      <c r="AG528" s="150"/>
      <c r="AT528" s="140"/>
    </row>
    <row r="529" spans="6:46">
      <c r="F529" s="49"/>
      <c r="G529" s="49"/>
      <c r="H529" s="49"/>
      <c r="I529" s="49"/>
      <c r="J529" s="49"/>
      <c r="K529" s="49"/>
      <c r="L529" s="229"/>
      <c r="M529" s="229"/>
      <c r="N529" s="229"/>
      <c r="O529" s="49"/>
      <c r="P529" s="75"/>
      <c r="Q529" s="75"/>
      <c r="R529" s="75"/>
      <c r="S529" s="75"/>
      <c r="W529" s="80"/>
      <c r="X529" s="80"/>
      <c r="Y529" s="80"/>
      <c r="AG529" s="150"/>
      <c r="AT529" s="140"/>
    </row>
    <row r="530" spans="6:46">
      <c r="F530" s="49"/>
      <c r="G530" s="49"/>
      <c r="H530" s="49"/>
      <c r="I530" s="49"/>
      <c r="J530" s="49"/>
      <c r="K530" s="49"/>
      <c r="L530" s="229"/>
      <c r="M530" s="229"/>
      <c r="N530" s="229"/>
      <c r="O530" s="49"/>
      <c r="P530" s="75"/>
      <c r="Q530" s="75"/>
      <c r="R530" s="75"/>
      <c r="S530" s="75"/>
      <c r="W530" s="80"/>
      <c r="X530" s="80"/>
      <c r="Y530" s="80"/>
      <c r="AG530" s="150"/>
      <c r="AT530" s="140"/>
    </row>
    <row r="531" spans="6:46">
      <c r="F531" s="49"/>
      <c r="G531" s="49"/>
      <c r="H531" s="49"/>
      <c r="I531" s="49"/>
      <c r="J531" s="49"/>
      <c r="K531" s="49"/>
      <c r="L531" s="229"/>
      <c r="M531" s="229"/>
      <c r="N531" s="229"/>
      <c r="O531" s="49"/>
      <c r="P531" s="75"/>
      <c r="Q531" s="75"/>
      <c r="R531" s="75"/>
      <c r="S531" s="75"/>
      <c r="W531" s="80"/>
      <c r="X531" s="80"/>
      <c r="Y531" s="80"/>
      <c r="AG531" s="150"/>
      <c r="AT531" s="140"/>
    </row>
    <row r="532" spans="6:46">
      <c r="F532" s="49"/>
      <c r="G532" s="49"/>
      <c r="H532" s="49"/>
      <c r="I532" s="49"/>
      <c r="J532" s="49"/>
      <c r="K532" s="49"/>
      <c r="L532" s="229"/>
      <c r="M532" s="229"/>
      <c r="N532" s="229"/>
      <c r="O532" s="49"/>
      <c r="P532" s="75"/>
      <c r="Q532" s="75"/>
      <c r="R532" s="75"/>
      <c r="S532" s="75"/>
      <c r="W532" s="80"/>
      <c r="X532" s="80"/>
      <c r="Y532" s="80"/>
      <c r="AG532" s="150"/>
      <c r="AT532" s="140"/>
    </row>
    <row r="533" spans="6:46">
      <c r="F533" s="49"/>
      <c r="G533" s="49"/>
      <c r="H533" s="49"/>
      <c r="I533" s="49"/>
      <c r="J533" s="49"/>
      <c r="K533" s="49"/>
      <c r="L533" s="229"/>
      <c r="M533" s="229"/>
      <c r="N533" s="229"/>
      <c r="O533" s="49"/>
      <c r="P533" s="75"/>
      <c r="Q533" s="75"/>
      <c r="R533" s="75"/>
      <c r="S533" s="75"/>
      <c r="W533" s="80"/>
      <c r="X533" s="80"/>
      <c r="Y533" s="80"/>
      <c r="AG533" s="150"/>
      <c r="AT533" s="140"/>
    </row>
    <row r="534" spans="6:46">
      <c r="F534" s="49"/>
      <c r="G534" s="49"/>
      <c r="H534" s="49"/>
      <c r="I534" s="49"/>
      <c r="J534" s="49"/>
      <c r="K534" s="49"/>
      <c r="L534" s="229"/>
      <c r="M534" s="229"/>
      <c r="N534" s="229"/>
      <c r="O534" s="49"/>
      <c r="P534" s="75"/>
      <c r="Q534" s="75"/>
      <c r="R534" s="75"/>
      <c r="S534" s="75"/>
      <c r="W534" s="80"/>
      <c r="X534" s="80"/>
      <c r="Y534" s="80"/>
      <c r="AG534" s="150"/>
      <c r="AT534" s="140"/>
    </row>
    <row r="535" spans="6:46">
      <c r="F535" s="49"/>
      <c r="G535" s="49"/>
      <c r="H535" s="49"/>
      <c r="I535" s="49"/>
      <c r="J535" s="49"/>
      <c r="K535" s="49"/>
      <c r="L535" s="229"/>
      <c r="M535" s="229"/>
      <c r="N535" s="229"/>
      <c r="O535" s="49"/>
      <c r="P535" s="75"/>
      <c r="Q535" s="75"/>
      <c r="R535" s="75"/>
      <c r="S535" s="75"/>
      <c r="W535" s="80"/>
      <c r="X535" s="80"/>
      <c r="Y535" s="80"/>
      <c r="AG535" s="150"/>
      <c r="AT535" s="140"/>
    </row>
    <row r="536" spans="6:46">
      <c r="F536" s="49"/>
      <c r="G536" s="49"/>
      <c r="H536" s="49"/>
      <c r="I536" s="49"/>
      <c r="J536" s="49"/>
      <c r="K536" s="49"/>
      <c r="L536" s="229"/>
      <c r="M536" s="229"/>
      <c r="N536" s="229"/>
      <c r="O536" s="49"/>
      <c r="P536" s="75"/>
      <c r="Q536" s="75"/>
      <c r="R536" s="75"/>
      <c r="S536" s="75"/>
      <c r="W536" s="80"/>
      <c r="X536" s="80"/>
      <c r="Y536" s="80"/>
      <c r="AG536" s="150"/>
      <c r="AT536" s="140"/>
    </row>
    <row r="537" spans="6:46">
      <c r="F537" s="49"/>
      <c r="G537" s="49"/>
      <c r="H537" s="49"/>
      <c r="I537" s="49"/>
      <c r="J537" s="49"/>
      <c r="K537" s="49"/>
      <c r="L537" s="229"/>
      <c r="M537" s="229"/>
      <c r="N537" s="229"/>
      <c r="O537" s="49"/>
      <c r="P537" s="75"/>
      <c r="Q537" s="75"/>
      <c r="R537" s="75"/>
      <c r="S537" s="75"/>
      <c r="W537" s="80"/>
      <c r="X537" s="80"/>
      <c r="Y537" s="80"/>
      <c r="AG537" s="150"/>
      <c r="AT537" s="140"/>
    </row>
    <row r="538" spans="6:46">
      <c r="F538" s="49"/>
      <c r="G538" s="49"/>
      <c r="H538" s="49"/>
      <c r="I538" s="49"/>
      <c r="J538" s="49"/>
      <c r="K538" s="49"/>
      <c r="L538" s="229"/>
      <c r="M538" s="229"/>
      <c r="N538" s="229"/>
      <c r="O538" s="49"/>
      <c r="P538" s="75"/>
      <c r="Q538" s="75"/>
      <c r="R538" s="75"/>
      <c r="S538" s="75"/>
      <c r="W538" s="80"/>
      <c r="X538" s="80"/>
      <c r="Y538" s="80"/>
      <c r="AG538" s="150"/>
      <c r="AT538" s="140"/>
    </row>
    <row r="539" spans="6:46">
      <c r="F539" s="49"/>
      <c r="G539" s="49"/>
      <c r="H539" s="49"/>
      <c r="I539" s="49"/>
      <c r="J539" s="49"/>
      <c r="K539" s="49"/>
      <c r="L539" s="229"/>
      <c r="M539" s="229"/>
      <c r="N539" s="229"/>
      <c r="O539" s="49"/>
      <c r="P539" s="75"/>
      <c r="Q539" s="75"/>
      <c r="R539" s="75"/>
      <c r="S539" s="75"/>
      <c r="W539" s="80"/>
      <c r="X539" s="80"/>
      <c r="Y539" s="80"/>
      <c r="AG539" s="150"/>
      <c r="AT539" s="140"/>
    </row>
    <row r="540" spans="6:46">
      <c r="F540" s="49"/>
      <c r="G540" s="49"/>
      <c r="H540" s="49"/>
      <c r="I540" s="49"/>
      <c r="J540" s="49"/>
      <c r="K540" s="49"/>
      <c r="L540" s="229"/>
      <c r="M540" s="229"/>
      <c r="N540" s="229"/>
      <c r="O540" s="49"/>
      <c r="P540" s="75"/>
      <c r="Q540" s="75"/>
      <c r="R540" s="75"/>
      <c r="S540" s="75"/>
      <c r="W540" s="80"/>
      <c r="X540" s="80"/>
      <c r="Y540" s="80"/>
      <c r="AG540" s="150"/>
      <c r="AT540" s="140"/>
    </row>
    <row r="541" spans="6:46">
      <c r="F541" s="49"/>
      <c r="G541" s="49"/>
      <c r="H541" s="49"/>
      <c r="I541" s="49"/>
      <c r="J541" s="49"/>
      <c r="K541" s="49"/>
      <c r="L541" s="229"/>
      <c r="M541" s="229"/>
      <c r="N541" s="229"/>
      <c r="O541" s="49"/>
      <c r="P541" s="75"/>
      <c r="Q541" s="75"/>
      <c r="R541" s="75"/>
      <c r="S541" s="75"/>
      <c r="W541" s="80"/>
      <c r="X541" s="80"/>
      <c r="Y541" s="80"/>
      <c r="AG541" s="150"/>
      <c r="AT541" s="140"/>
    </row>
    <row r="542" spans="6:46">
      <c r="F542" s="49"/>
      <c r="G542" s="49"/>
      <c r="H542" s="49"/>
      <c r="I542" s="49"/>
      <c r="J542" s="49"/>
      <c r="K542" s="49"/>
      <c r="L542" s="229"/>
      <c r="M542" s="229"/>
      <c r="N542" s="229"/>
      <c r="O542" s="49"/>
      <c r="P542" s="75"/>
      <c r="Q542" s="75"/>
      <c r="R542" s="75"/>
      <c r="S542" s="75"/>
      <c r="W542" s="80"/>
      <c r="X542" s="80"/>
      <c r="Y542" s="80"/>
      <c r="AG542" s="150"/>
      <c r="AT542" s="140"/>
    </row>
    <row r="543" spans="6:46">
      <c r="F543" s="49"/>
      <c r="G543" s="49"/>
      <c r="H543" s="49"/>
      <c r="I543" s="49"/>
      <c r="J543" s="49"/>
      <c r="K543" s="49"/>
      <c r="L543" s="229"/>
      <c r="M543" s="229"/>
      <c r="N543" s="229"/>
      <c r="O543" s="49"/>
      <c r="P543" s="75"/>
      <c r="Q543" s="75"/>
      <c r="R543" s="75"/>
      <c r="S543" s="75"/>
      <c r="W543" s="80"/>
      <c r="X543" s="80"/>
      <c r="Y543" s="80"/>
      <c r="AG543" s="150"/>
      <c r="AT543" s="140"/>
    </row>
    <row r="544" spans="6:46">
      <c r="F544" s="49"/>
      <c r="G544" s="49"/>
      <c r="H544" s="49"/>
      <c r="I544" s="49"/>
      <c r="J544" s="49"/>
      <c r="K544" s="49"/>
      <c r="L544" s="229"/>
      <c r="M544" s="229"/>
      <c r="N544" s="229"/>
      <c r="O544" s="49"/>
      <c r="P544" s="75"/>
      <c r="Q544" s="75"/>
      <c r="R544" s="75"/>
      <c r="S544" s="75"/>
      <c r="W544" s="80"/>
      <c r="X544" s="80"/>
      <c r="Y544" s="80"/>
      <c r="AG544" s="150"/>
      <c r="AT544" s="140"/>
    </row>
    <row r="545" spans="6:46">
      <c r="F545" s="49"/>
      <c r="G545" s="49"/>
      <c r="H545" s="49"/>
      <c r="I545" s="49"/>
      <c r="J545" s="49"/>
      <c r="K545" s="49"/>
      <c r="L545" s="229"/>
      <c r="M545" s="229"/>
      <c r="N545" s="229"/>
      <c r="O545" s="49"/>
      <c r="P545" s="75"/>
      <c r="Q545" s="75"/>
      <c r="R545" s="75"/>
      <c r="S545" s="75"/>
      <c r="W545" s="80"/>
      <c r="X545" s="80"/>
      <c r="Y545" s="80"/>
      <c r="AG545" s="150"/>
      <c r="AT545" s="140"/>
    </row>
    <row r="546" spans="6:46">
      <c r="F546" s="49"/>
      <c r="G546" s="49"/>
      <c r="H546" s="49"/>
      <c r="I546" s="49"/>
      <c r="J546" s="49"/>
      <c r="K546" s="49"/>
      <c r="L546" s="229"/>
      <c r="M546" s="229"/>
      <c r="N546" s="229"/>
      <c r="O546" s="49"/>
      <c r="P546" s="75"/>
      <c r="Q546" s="75"/>
      <c r="R546" s="75"/>
      <c r="S546" s="75"/>
      <c r="W546" s="80"/>
      <c r="X546" s="80"/>
      <c r="Y546" s="80"/>
      <c r="AG546" s="150"/>
      <c r="AT546" s="140"/>
    </row>
    <row r="547" spans="6:46">
      <c r="F547" s="49"/>
      <c r="G547" s="49"/>
      <c r="H547" s="49"/>
      <c r="I547" s="49"/>
      <c r="J547" s="49"/>
      <c r="K547" s="49"/>
      <c r="L547" s="229"/>
      <c r="M547" s="229"/>
      <c r="N547" s="229"/>
      <c r="O547" s="49"/>
      <c r="P547" s="75"/>
      <c r="Q547" s="75"/>
      <c r="R547" s="75"/>
      <c r="S547" s="75"/>
      <c r="W547" s="80"/>
      <c r="X547" s="80"/>
      <c r="Y547" s="80"/>
      <c r="AG547" s="150"/>
      <c r="AT547" s="140"/>
    </row>
    <row r="548" spans="6:46">
      <c r="F548" s="49"/>
      <c r="G548" s="49"/>
      <c r="H548" s="49"/>
      <c r="I548" s="49"/>
      <c r="J548" s="49"/>
      <c r="K548" s="49"/>
      <c r="L548" s="229"/>
      <c r="M548" s="229"/>
      <c r="N548" s="229"/>
      <c r="O548" s="49"/>
      <c r="P548" s="75"/>
      <c r="Q548" s="75"/>
      <c r="R548" s="75"/>
      <c r="S548" s="75"/>
      <c r="W548" s="80"/>
      <c r="X548" s="80"/>
      <c r="Y548" s="80"/>
      <c r="AG548" s="150"/>
      <c r="AT548" s="140"/>
    </row>
    <row r="549" spans="6:46">
      <c r="F549" s="49"/>
      <c r="G549" s="49"/>
      <c r="H549" s="49"/>
      <c r="I549" s="49"/>
      <c r="J549" s="49"/>
      <c r="K549" s="49"/>
      <c r="L549" s="229"/>
      <c r="M549" s="229"/>
      <c r="N549" s="229"/>
      <c r="O549" s="49"/>
      <c r="P549" s="75"/>
      <c r="Q549" s="75"/>
      <c r="R549" s="75"/>
      <c r="S549" s="75"/>
      <c r="W549" s="80"/>
      <c r="X549" s="80"/>
      <c r="Y549" s="80"/>
      <c r="AG549" s="150"/>
      <c r="AT549" s="140"/>
    </row>
    <row r="550" spans="6:46">
      <c r="F550" s="49"/>
      <c r="G550" s="49"/>
      <c r="H550" s="49"/>
      <c r="I550" s="49"/>
      <c r="J550" s="49"/>
      <c r="K550" s="49"/>
      <c r="L550" s="229"/>
      <c r="M550" s="229"/>
      <c r="N550" s="229"/>
      <c r="O550" s="49"/>
      <c r="P550" s="75"/>
      <c r="Q550" s="75"/>
      <c r="R550" s="75"/>
      <c r="S550" s="75"/>
      <c r="W550" s="80"/>
      <c r="X550" s="80"/>
      <c r="Y550" s="80"/>
      <c r="AG550" s="150"/>
      <c r="AT550" s="140"/>
    </row>
    <row r="551" spans="6:46">
      <c r="F551" s="49"/>
      <c r="G551" s="49"/>
      <c r="H551" s="49"/>
      <c r="I551" s="49"/>
      <c r="J551" s="49"/>
      <c r="K551" s="49"/>
      <c r="L551" s="229"/>
      <c r="M551" s="229"/>
      <c r="N551" s="229"/>
      <c r="O551" s="49"/>
      <c r="P551" s="75"/>
      <c r="Q551" s="75"/>
      <c r="R551" s="75"/>
      <c r="S551" s="75"/>
      <c r="W551" s="80"/>
      <c r="X551" s="80"/>
      <c r="Y551" s="80"/>
      <c r="AG551" s="150">
        <f t="shared" ref="AG551:AG608" si="32">AG550+30</f>
        <v>30</v>
      </c>
      <c r="AT551" s="140"/>
    </row>
    <row r="552" spans="6:46">
      <c r="F552" s="49"/>
      <c r="G552" s="49"/>
      <c r="H552" s="49"/>
      <c r="I552" s="49"/>
      <c r="J552" s="49"/>
      <c r="K552" s="49"/>
      <c r="L552" s="229"/>
      <c r="M552" s="229"/>
      <c r="N552" s="229"/>
      <c r="O552" s="49"/>
      <c r="P552" s="75"/>
      <c r="Q552" s="75"/>
      <c r="R552" s="75"/>
      <c r="S552" s="75"/>
      <c r="W552" s="80"/>
      <c r="X552" s="80"/>
      <c r="Y552" s="80"/>
      <c r="AG552" s="150">
        <f t="shared" si="32"/>
        <v>60</v>
      </c>
      <c r="AT552" s="140"/>
    </row>
    <row r="553" spans="6:46">
      <c r="F553" s="49"/>
      <c r="G553" s="49"/>
      <c r="H553" s="49"/>
      <c r="I553" s="49"/>
      <c r="J553" s="49"/>
      <c r="K553" s="49"/>
      <c r="L553" s="229"/>
      <c r="M553" s="229"/>
      <c r="N553" s="229"/>
      <c r="O553" s="49"/>
      <c r="P553" s="75"/>
      <c r="Q553" s="75"/>
      <c r="R553" s="75"/>
      <c r="S553" s="75"/>
      <c r="W553" s="80"/>
      <c r="X553" s="80"/>
      <c r="Y553" s="80"/>
      <c r="AG553" s="150">
        <f t="shared" si="32"/>
        <v>90</v>
      </c>
      <c r="AT553" s="140"/>
    </row>
    <row r="554" spans="6:46">
      <c r="F554" s="49"/>
      <c r="G554" s="49"/>
      <c r="H554" s="49"/>
      <c r="I554" s="49"/>
      <c r="J554" s="49"/>
      <c r="K554" s="49"/>
      <c r="L554" s="229"/>
      <c r="M554" s="229"/>
      <c r="N554" s="229"/>
      <c r="O554" s="49"/>
      <c r="P554" s="75"/>
      <c r="Q554" s="75"/>
      <c r="R554" s="75"/>
      <c r="S554" s="75"/>
      <c r="W554" s="80"/>
      <c r="X554" s="80"/>
      <c r="Y554" s="80"/>
      <c r="AG554" s="150">
        <f t="shared" si="32"/>
        <v>120</v>
      </c>
      <c r="AT554" s="140"/>
    </row>
    <row r="555" spans="6:46">
      <c r="F555" s="49"/>
      <c r="G555" s="49"/>
      <c r="H555" s="49"/>
      <c r="I555" s="49"/>
      <c r="J555" s="49"/>
      <c r="K555" s="49"/>
      <c r="L555" s="229"/>
      <c r="M555" s="229"/>
      <c r="N555" s="229"/>
      <c r="O555" s="49"/>
      <c r="P555" s="75"/>
      <c r="Q555" s="75"/>
      <c r="R555" s="75"/>
      <c r="S555" s="75"/>
      <c r="W555" s="80"/>
      <c r="X555" s="80"/>
      <c r="Y555" s="80"/>
      <c r="AG555" s="150">
        <f t="shared" si="32"/>
        <v>150</v>
      </c>
      <c r="AT555" s="140"/>
    </row>
    <row r="556" spans="6:46">
      <c r="F556" s="49"/>
      <c r="G556" s="49"/>
      <c r="H556" s="49"/>
      <c r="I556" s="49"/>
      <c r="J556" s="49"/>
      <c r="K556" s="49"/>
      <c r="L556" s="229"/>
      <c r="M556" s="229"/>
      <c r="N556" s="229"/>
      <c r="O556" s="49"/>
      <c r="P556" s="75"/>
      <c r="Q556" s="75"/>
      <c r="R556" s="75"/>
      <c r="S556" s="75"/>
      <c r="W556" s="80"/>
      <c r="X556" s="80"/>
      <c r="Y556" s="80"/>
      <c r="AG556" s="150">
        <f t="shared" si="32"/>
        <v>180</v>
      </c>
      <c r="AT556" s="140"/>
    </row>
    <row r="557" spans="6:46">
      <c r="F557" s="49"/>
      <c r="G557" s="49"/>
      <c r="H557" s="49"/>
      <c r="I557" s="49"/>
      <c r="J557" s="49"/>
      <c r="K557" s="49"/>
      <c r="L557" s="229"/>
      <c r="M557" s="229"/>
      <c r="N557" s="229"/>
      <c r="O557" s="49"/>
      <c r="P557" s="75"/>
      <c r="Q557" s="75"/>
      <c r="R557" s="75"/>
      <c r="S557" s="75"/>
      <c r="W557" s="80"/>
      <c r="X557" s="80"/>
      <c r="Y557" s="80"/>
      <c r="AG557" s="150">
        <f t="shared" si="32"/>
        <v>210</v>
      </c>
      <c r="AT557" s="140"/>
    </row>
    <row r="558" spans="6:46">
      <c r="F558" s="49"/>
      <c r="G558" s="49"/>
      <c r="H558" s="49"/>
      <c r="I558" s="49"/>
      <c r="J558" s="49"/>
      <c r="K558" s="49"/>
      <c r="L558" s="229"/>
      <c r="M558" s="229"/>
      <c r="N558" s="229"/>
      <c r="O558" s="49"/>
      <c r="P558" s="75"/>
      <c r="Q558" s="75"/>
      <c r="R558" s="75"/>
      <c r="S558" s="75"/>
      <c r="W558" s="80"/>
      <c r="X558" s="80"/>
      <c r="Y558" s="80"/>
      <c r="AG558" s="150">
        <f t="shared" si="32"/>
        <v>240</v>
      </c>
      <c r="AT558" s="140"/>
    </row>
    <row r="559" spans="6:46">
      <c r="F559" s="49"/>
      <c r="G559" s="49"/>
      <c r="H559" s="49"/>
      <c r="I559" s="49"/>
      <c r="J559" s="49"/>
      <c r="K559" s="49"/>
      <c r="L559" s="229"/>
      <c r="M559" s="229"/>
      <c r="N559" s="229"/>
      <c r="O559" s="49"/>
      <c r="P559" s="75"/>
      <c r="Q559" s="75"/>
      <c r="R559" s="75"/>
      <c r="S559" s="75"/>
      <c r="W559" s="80"/>
      <c r="X559" s="80"/>
      <c r="Y559" s="80"/>
      <c r="AG559" s="150">
        <f t="shared" si="32"/>
        <v>270</v>
      </c>
      <c r="AT559" s="140"/>
    </row>
    <row r="560" spans="6:46">
      <c r="F560" s="49"/>
      <c r="G560" s="49"/>
      <c r="H560" s="49"/>
      <c r="I560" s="49"/>
      <c r="J560" s="49"/>
      <c r="K560" s="49"/>
      <c r="L560" s="229"/>
      <c r="M560" s="229"/>
      <c r="N560" s="229"/>
      <c r="O560" s="49"/>
      <c r="P560" s="75"/>
      <c r="Q560" s="75"/>
      <c r="R560" s="75"/>
      <c r="S560" s="75"/>
      <c r="W560" s="80"/>
      <c r="X560" s="80"/>
      <c r="Y560" s="80"/>
      <c r="AG560" s="150">
        <f t="shared" si="32"/>
        <v>300</v>
      </c>
      <c r="AT560" s="140"/>
    </row>
    <row r="561" spans="6:46">
      <c r="F561" s="49"/>
      <c r="G561" s="49"/>
      <c r="H561" s="49"/>
      <c r="I561" s="49"/>
      <c r="J561" s="49"/>
      <c r="K561" s="49"/>
      <c r="L561" s="229"/>
      <c r="M561" s="229"/>
      <c r="N561" s="229"/>
      <c r="O561" s="49"/>
      <c r="P561" s="75"/>
      <c r="Q561" s="75"/>
      <c r="R561" s="75"/>
      <c r="S561" s="75"/>
      <c r="W561" s="80"/>
      <c r="X561" s="80"/>
      <c r="Y561" s="80"/>
      <c r="AG561" s="150">
        <f t="shared" si="32"/>
        <v>330</v>
      </c>
      <c r="AT561" s="140"/>
    </row>
    <row r="562" spans="6:46">
      <c r="F562" s="49"/>
      <c r="G562" s="49"/>
      <c r="H562" s="49"/>
      <c r="I562" s="49"/>
      <c r="J562" s="49"/>
      <c r="K562" s="49"/>
      <c r="L562" s="229"/>
      <c r="M562" s="229"/>
      <c r="N562" s="229"/>
      <c r="O562" s="49"/>
      <c r="P562" s="75"/>
      <c r="Q562" s="75"/>
      <c r="R562" s="75"/>
      <c r="S562" s="75"/>
      <c r="W562" s="80"/>
      <c r="X562" s="80"/>
      <c r="Y562" s="80"/>
      <c r="AG562" s="150">
        <f t="shared" si="32"/>
        <v>360</v>
      </c>
      <c r="AT562" s="140"/>
    </row>
    <row r="563" spans="6:46">
      <c r="F563" s="49"/>
      <c r="G563" s="49"/>
      <c r="H563" s="49"/>
      <c r="I563" s="49"/>
      <c r="J563" s="49"/>
      <c r="K563" s="49"/>
      <c r="L563" s="229"/>
      <c r="M563" s="229"/>
      <c r="N563" s="229"/>
      <c r="O563" s="49"/>
      <c r="P563" s="75"/>
      <c r="Q563" s="75"/>
      <c r="R563" s="75"/>
      <c r="S563" s="75"/>
      <c r="W563" s="80"/>
      <c r="X563" s="80"/>
      <c r="Y563" s="80"/>
      <c r="AG563" s="150">
        <f t="shared" si="32"/>
        <v>390</v>
      </c>
      <c r="AT563" s="140"/>
    </row>
    <row r="564" spans="6:46">
      <c r="F564" s="49"/>
      <c r="G564" s="49"/>
      <c r="H564" s="49"/>
      <c r="I564" s="49"/>
      <c r="J564" s="49"/>
      <c r="K564" s="49"/>
      <c r="L564" s="229"/>
      <c r="M564" s="229"/>
      <c r="N564" s="229"/>
      <c r="O564" s="49"/>
      <c r="P564" s="75"/>
      <c r="Q564" s="75"/>
      <c r="R564" s="75"/>
      <c r="S564" s="75"/>
      <c r="W564" s="80"/>
      <c r="X564" s="80"/>
      <c r="Y564" s="80"/>
      <c r="AG564" s="150">
        <f t="shared" si="32"/>
        <v>420</v>
      </c>
      <c r="AT564" s="140"/>
    </row>
    <row r="565" spans="6:46">
      <c r="F565" s="49"/>
      <c r="G565" s="49"/>
      <c r="H565" s="49"/>
      <c r="I565" s="49"/>
      <c r="J565" s="49"/>
      <c r="K565" s="49"/>
      <c r="L565" s="229"/>
      <c r="M565" s="229"/>
      <c r="N565" s="229"/>
      <c r="O565" s="49"/>
      <c r="P565" s="75"/>
      <c r="Q565" s="75"/>
      <c r="R565" s="75"/>
      <c r="S565" s="75"/>
      <c r="W565" s="80"/>
      <c r="X565" s="80"/>
      <c r="Y565" s="80"/>
      <c r="AG565" s="150">
        <f t="shared" si="32"/>
        <v>450</v>
      </c>
      <c r="AT565" s="140"/>
    </row>
    <row r="566" spans="6:46">
      <c r="F566" s="75"/>
      <c r="G566" s="75"/>
      <c r="H566" s="75"/>
      <c r="I566" s="75"/>
      <c r="J566" s="75"/>
      <c r="K566" s="75"/>
      <c r="L566" s="229"/>
      <c r="M566" s="229"/>
      <c r="N566" s="229"/>
      <c r="O566" s="75"/>
      <c r="P566" s="75"/>
      <c r="Q566" s="75"/>
      <c r="R566" s="75"/>
      <c r="S566" s="75"/>
      <c r="W566" s="80"/>
      <c r="X566" s="80"/>
      <c r="Y566" s="80"/>
      <c r="AG566" s="150">
        <f t="shared" si="32"/>
        <v>480</v>
      </c>
      <c r="AT566" s="140"/>
    </row>
    <row r="567" spans="6:46">
      <c r="F567" s="75"/>
      <c r="G567" s="75"/>
      <c r="H567" s="75"/>
      <c r="I567" s="75"/>
      <c r="J567" s="75"/>
      <c r="K567" s="75"/>
      <c r="L567" s="229"/>
      <c r="M567" s="229"/>
      <c r="N567" s="229"/>
      <c r="O567" s="75"/>
      <c r="P567" s="75"/>
      <c r="Q567" s="75"/>
      <c r="R567" s="75"/>
      <c r="S567" s="75"/>
      <c r="W567" s="80"/>
      <c r="X567" s="80"/>
      <c r="Y567" s="80"/>
      <c r="AG567" s="150">
        <f t="shared" si="32"/>
        <v>510</v>
      </c>
      <c r="AT567" s="140"/>
    </row>
    <row r="568" spans="6:46">
      <c r="F568" s="75"/>
      <c r="G568" s="75"/>
      <c r="H568" s="75"/>
      <c r="I568" s="75"/>
      <c r="J568" s="75"/>
      <c r="K568" s="75"/>
      <c r="L568" s="229"/>
      <c r="M568" s="229"/>
      <c r="N568" s="229"/>
      <c r="O568" s="75"/>
      <c r="P568" s="75"/>
      <c r="Q568" s="75"/>
      <c r="R568" s="75"/>
      <c r="S568" s="75"/>
      <c r="W568" s="80"/>
      <c r="X568" s="80"/>
      <c r="Y568" s="80"/>
      <c r="AG568" s="150">
        <f t="shared" si="32"/>
        <v>540</v>
      </c>
      <c r="AT568" s="140"/>
    </row>
    <row r="569" spans="6:46">
      <c r="F569" s="75"/>
      <c r="G569" s="75"/>
      <c r="H569" s="75"/>
      <c r="I569" s="75"/>
      <c r="J569" s="75"/>
      <c r="K569" s="75"/>
      <c r="L569" s="229"/>
      <c r="M569" s="229"/>
      <c r="N569" s="229"/>
      <c r="O569" s="75"/>
      <c r="P569" s="75"/>
      <c r="Q569" s="75"/>
      <c r="R569" s="75"/>
      <c r="S569" s="75"/>
      <c r="W569" s="80"/>
      <c r="X569" s="80"/>
      <c r="Y569" s="80"/>
      <c r="AG569" s="150">
        <f t="shared" si="32"/>
        <v>570</v>
      </c>
      <c r="AT569" s="140"/>
    </row>
    <row r="570" spans="6:46">
      <c r="F570" s="75"/>
      <c r="G570" s="75"/>
      <c r="H570" s="75"/>
      <c r="I570" s="75"/>
      <c r="J570" s="75"/>
      <c r="K570" s="75"/>
      <c r="L570" s="229"/>
      <c r="M570" s="229"/>
      <c r="N570" s="229"/>
      <c r="O570" s="75"/>
      <c r="P570" s="75"/>
      <c r="Q570" s="75"/>
      <c r="R570" s="75"/>
      <c r="S570" s="75"/>
      <c r="W570" s="80"/>
      <c r="X570" s="80"/>
      <c r="Y570" s="80"/>
      <c r="AG570" s="150">
        <f t="shared" si="32"/>
        <v>600</v>
      </c>
      <c r="AT570" s="140"/>
    </row>
    <row r="571" spans="6:46">
      <c r="F571" s="75"/>
      <c r="G571" s="75"/>
      <c r="H571" s="75"/>
      <c r="I571" s="75"/>
      <c r="J571" s="75"/>
      <c r="K571" s="75"/>
      <c r="L571" s="229"/>
      <c r="M571" s="229"/>
      <c r="N571" s="229"/>
      <c r="O571" s="75"/>
      <c r="P571" s="75"/>
      <c r="Q571" s="75"/>
      <c r="R571" s="75"/>
      <c r="S571" s="75"/>
      <c r="W571" s="80"/>
      <c r="X571" s="80"/>
      <c r="Y571" s="80"/>
      <c r="AG571" s="150">
        <f t="shared" si="32"/>
        <v>630</v>
      </c>
      <c r="AT571" s="140"/>
    </row>
    <row r="572" spans="6:46">
      <c r="F572" s="75"/>
      <c r="G572" s="75"/>
      <c r="H572" s="75"/>
      <c r="I572" s="75"/>
      <c r="J572" s="75"/>
      <c r="K572" s="75"/>
      <c r="L572" s="229"/>
      <c r="M572" s="229"/>
      <c r="N572" s="229"/>
      <c r="O572" s="75"/>
      <c r="P572" s="75"/>
      <c r="Q572" s="75"/>
      <c r="R572" s="75"/>
      <c r="S572" s="75"/>
      <c r="W572" s="80"/>
      <c r="X572" s="80"/>
      <c r="Y572" s="80"/>
      <c r="AG572" s="150">
        <f t="shared" si="32"/>
        <v>660</v>
      </c>
      <c r="AT572" s="140"/>
    </row>
    <row r="573" spans="6:46">
      <c r="F573" s="75"/>
      <c r="G573" s="75"/>
      <c r="H573" s="75"/>
      <c r="I573" s="75"/>
      <c r="J573" s="75"/>
      <c r="K573" s="75"/>
      <c r="L573" s="229"/>
      <c r="M573" s="229"/>
      <c r="N573" s="229"/>
      <c r="O573" s="75"/>
      <c r="P573" s="75"/>
      <c r="Q573" s="75"/>
      <c r="R573" s="75"/>
      <c r="S573" s="75"/>
      <c r="W573" s="80"/>
      <c r="X573" s="80"/>
      <c r="Y573" s="80"/>
      <c r="AG573" s="150">
        <f t="shared" si="32"/>
        <v>690</v>
      </c>
      <c r="AT573" s="140"/>
    </row>
    <row r="574" spans="6:46">
      <c r="F574" s="75"/>
      <c r="G574" s="75"/>
      <c r="H574" s="75"/>
      <c r="I574" s="75"/>
      <c r="J574" s="75"/>
      <c r="K574" s="75"/>
      <c r="L574" s="229"/>
      <c r="M574" s="229"/>
      <c r="N574" s="229"/>
      <c r="O574" s="75"/>
      <c r="P574" s="75"/>
      <c r="Q574" s="75"/>
      <c r="R574" s="75"/>
      <c r="S574" s="75"/>
      <c r="W574" s="80"/>
      <c r="X574" s="80"/>
      <c r="Y574" s="80"/>
      <c r="AG574" s="150">
        <f t="shared" si="32"/>
        <v>720</v>
      </c>
      <c r="AT574" s="140"/>
    </row>
    <row r="575" spans="6:46">
      <c r="F575" s="75"/>
      <c r="G575" s="75"/>
      <c r="H575" s="75"/>
      <c r="I575" s="75"/>
      <c r="J575" s="75"/>
      <c r="K575" s="75"/>
      <c r="L575" s="229"/>
      <c r="M575" s="229"/>
      <c r="N575" s="229"/>
      <c r="O575" s="75"/>
      <c r="P575" s="75"/>
      <c r="Q575" s="75"/>
      <c r="R575" s="75"/>
      <c r="S575" s="75"/>
      <c r="W575" s="80"/>
      <c r="X575" s="80"/>
      <c r="Y575" s="80"/>
      <c r="AG575" s="150">
        <f t="shared" si="32"/>
        <v>750</v>
      </c>
      <c r="AT575" s="140"/>
    </row>
    <row r="576" spans="6:46">
      <c r="F576" s="75"/>
      <c r="G576" s="75"/>
      <c r="H576" s="75"/>
      <c r="I576" s="75"/>
      <c r="J576" s="75"/>
      <c r="K576" s="75"/>
      <c r="L576" s="229"/>
      <c r="M576" s="229"/>
      <c r="N576" s="229"/>
      <c r="O576" s="75"/>
      <c r="P576" s="75"/>
      <c r="Q576" s="75"/>
      <c r="R576" s="75"/>
      <c r="S576" s="75"/>
      <c r="W576" s="80"/>
      <c r="X576" s="80"/>
      <c r="Y576" s="80"/>
      <c r="AG576" s="150">
        <f t="shared" si="32"/>
        <v>780</v>
      </c>
      <c r="AT576" s="140"/>
    </row>
    <row r="577" spans="6:46">
      <c r="F577" s="75"/>
      <c r="G577" s="75"/>
      <c r="H577" s="75"/>
      <c r="I577" s="75"/>
      <c r="J577" s="75"/>
      <c r="K577" s="75"/>
      <c r="L577" s="229"/>
      <c r="M577" s="229"/>
      <c r="N577" s="229"/>
      <c r="O577" s="75"/>
      <c r="P577" s="75"/>
      <c r="Q577" s="75"/>
      <c r="R577" s="75"/>
      <c r="S577" s="75"/>
      <c r="W577" s="80"/>
      <c r="X577" s="80"/>
      <c r="Y577" s="80"/>
      <c r="AG577" s="150">
        <f t="shared" si="32"/>
        <v>810</v>
      </c>
      <c r="AT577" s="140"/>
    </row>
    <row r="578" spans="6:46">
      <c r="F578" s="75"/>
      <c r="G578" s="75"/>
      <c r="H578" s="75"/>
      <c r="I578" s="75"/>
      <c r="J578" s="75"/>
      <c r="K578" s="75"/>
      <c r="L578" s="229"/>
      <c r="M578" s="229"/>
      <c r="N578" s="229"/>
      <c r="O578" s="75"/>
      <c r="P578" s="75"/>
      <c r="Q578" s="75"/>
      <c r="R578" s="75"/>
      <c r="S578" s="75"/>
      <c r="W578" s="80"/>
      <c r="X578" s="80"/>
      <c r="Y578" s="80"/>
      <c r="AG578" s="150">
        <f t="shared" si="32"/>
        <v>840</v>
      </c>
      <c r="AT578" s="140"/>
    </row>
    <row r="579" spans="6:46">
      <c r="F579" s="75"/>
      <c r="G579" s="75"/>
      <c r="H579" s="75"/>
      <c r="I579" s="75"/>
      <c r="J579" s="75"/>
      <c r="K579" s="75"/>
      <c r="L579" s="229"/>
      <c r="M579" s="229"/>
      <c r="N579" s="229"/>
      <c r="O579" s="75"/>
      <c r="P579" s="75"/>
      <c r="Q579" s="75"/>
      <c r="R579" s="75"/>
      <c r="S579" s="75"/>
      <c r="W579" s="80"/>
      <c r="X579" s="80"/>
      <c r="Y579" s="80"/>
      <c r="AG579" s="150">
        <f t="shared" si="32"/>
        <v>870</v>
      </c>
      <c r="AT579" s="140"/>
    </row>
    <row r="580" spans="6:46">
      <c r="F580" s="75"/>
      <c r="G580" s="75"/>
      <c r="H580" s="75"/>
      <c r="I580" s="75"/>
      <c r="J580" s="75"/>
      <c r="K580" s="75"/>
      <c r="L580" s="229"/>
      <c r="M580" s="229"/>
      <c r="N580" s="229"/>
      <c r="O580" s="75"/>
      <c r="P580" s="75"/>
      <c r="Q580" s="75"/>
      <c r="R580" s="75"/>
      <c r="S580" s="75"/>
      <c r="W580" s="80"/>
      <c r="X580" s="80"/>
      <c r="Y580" s="80"/>
      <c r="AG580" s="150">
        <f t="shared" si="32"/>
        <v>900</v>
      </c>
      <c r="AT580" s="140"/>
    </row>
    <row r="581" spans="6:46">
      <c r="F581" s="75"/>
      <c r="G581" s="75"/>
      <c r="H581" s="75"/>
      <c r="I581" s="75"/>
      <c r="J581" s="75"/>
      <c r="K581" s="75"/>
      <c r="L581" s="229"/>
      <c r="M581" s="229"/>
      <c r="N581" s="229"/>
      <c r="O581" s="75"/>
      <c r="P581" s="75"/>
      <c r="Q581" s="75"/>
      <c r="R581" s="75"/>
      <c r="S581" s="75"/>
      <c r="W581" s="80"/>
      <c r="X581" s="80"/>
      <c r="Y581" s="80"/>
      <c r="AG581" s="150">
        <f t="shared" si="32"/>
        <v>930</v>
      </c>
      <c r="AT581" s="140"/>
    </row>
    <row r="582" spans="6:46">
      <c r="F582" s="75"/>
      <c r="G582" s="75"/>
      <c r="H582" s="75"/>
      <c r="I582" s="75"/>
      <c r="J582" s="75"/>
      <c r="K582" s="75"/>
      <c r="L582" s="229"/>
      <c r="M582" s="229"/>
      <c r="N582" s="229"/>
      <c r="O582" s="75"/>
      <c r="P582" s="75"/>
      <c r="Q582" s="75"/>
      <c r="R582" s="75"/>
      <c r="S582" s="75"/>
      <c r="W582" s="80"/>
      <c r="X582" s="80"/>
      <c r="Y582" s="80"/>
      <c r="AG582" s="150">
        <f t="shared" si="32"/>
        <v>960</v>
      </c>
      <c r="AT582" s="140"/>
    </row>
    <row r="583" spans="6:46">
      <c r="F583" s="75"/>
      <c r="G583" s="75"/>
      <c r="H583" s="75"/>
      <c r="I583" s="75"/>
      <c r="J583" s="75"/>
      <c r="K583" s="75"/>
      <c r="L583" s="229"/>
      <c r="M583" s="229"/>
      <c r="N583" s="229"/>
      <c r="O583" s="75"/>
      <c r="P583" s="75"/>
      <c r="Q583" s="75"/>
      <c r="R583" s="75"/>
      <c r="S583" s="75"/>
      <c r="W583" s="80"/>
      <c r="X583" s="80"/>
      <c r="Y583" s="80"/>
      <c r="AG583" s="150">
        <f t="shared" si="32"/>
        <v>990</v>
      </c>
      <c r="AT583" s="140"/>
    </row>
    <row r="584" spans="6:46">
      <c r="F584" s="75"/>
      <c r="G584" s="75"/>
      <c r="H584" s="75"/>
      <c r="I584" s="75"/>
      <c r="J584" s="75"/>
      <c r="K584" s="75"/>
      <c r="L584" s="229"/>
      <c r="M584" s="229"/>
      <c r="N584" s="229"/>
      <c r="O584" s="75"/>
      <c r="P584" s="75"/>
      <c r="Q584" s="75"/>
      <c r="R584" s="75"/>
      <c r="S584" s="75"/>
      <c r="W584" s="80"/>
      <c r="X584" s="80"/>
      <c r="Y584" s="80"/>
      <c r="AG584" s="150">
        <f t="shared" si="32"/>
        <v>1020</v>
      </c>
      <c r="AT584" s="140"/>
    </row>
    <row r="585" spans="6:46">
      <c r="F585" s="75"/>
      <c r="G585" s="75"/>
      <c r="H585" s="75"/>
      <c r="I585" s="75"/>
      <c r="J585" s="75"/>
      <c r="K585" s="75"/>
      <c r="L585" s="229"/>
      <c r="M585" s="229"/>
      <c r="N585" s="229"/>
      <c r="O585" s="75"/>
      <c r="P585" s="75"/>
      <c r="Q585" s="75"/>
      <c r="R585" s="75"/>
      <c r="S585" s="75"/>
      <c r="W585" s="80"/>
      <c r="X585" s="80"/>
      <c r="Y585" s="80"/>
      <c r="AG585" s="150">
        <f t="shared" si="32"/>
        <v>1050</v>
      </c>
      <c r="AT585" s="140"/>
    </row>
    <row r="586" spans="6:46">
      <c r="F586" s="75"/>
      <c r="G586" s="75"/>
      <c r="H586" s="75"/>
      <c r="I586" s="75"/>
      <c r="J586" s="75"/>
      <c r="K586" s="75"/>
      <c r="L586" s="229"/>
      <c r="M586" s="229"/>
      <c r="N586" s="229"/>
      <c r="O586" s="75"/>
      <c r="P586" s="75"/>
      <c r="Q586" s="75"/>
      <c r="R586" s="75"/>
      <c r="S586" s="75"/>
      <c r="W586" s="80"/>
      <c r="X586" s="80"/>
      <c r="Y586" s="80"/>
      <c r="AG586" s="150">
        <f t="shared" si="32"/>
        <v>1080</v>
      </c>
      <c r="AT586" s="140"/>
    </row>
    <row r="587" spans="6:46">
      <c r="F587" s="75"/>
      <c r="G587" s="75"/>
      <c r="H587" s="75"/>
      <c r="I587" s="75"/>
      <c r="J587" s="75"/>
      <c r="K587" s="75"/>
      <c r="L587" s="229"/>
      <c r="M587" s="229"/>
      <c r="N587" s="229"/>
      <c r="O587" s="75"/>
      <c r="P587" s="75"/>
      <c r="Q587" s="75"/>
      <c r="R587" s="75"/>
      <c r="S587" s="75"/>
      <c r="W587" s="80"/>
      <c r="X587" s="80"/>
      <c r="Y587" s="80"/>
      <c r="AG587" s="150">
        <f t="shared" si="32"/>
        <v>1110</v>
      </c>
      <c r="AT587" s="140"/>
    </row>
    <row r="588" spans="6:46">
      <c r="F588" s="75"/>
      <c r="G588" s="75"/>
      <c r="H588" s="75"/>
      <c r="I588" s="75"/>
      <c r="J588" s="75"/>
      <c r="K588" s="75"/>
      <c r="L588" s="229"/>
      <c r="M588" s="229"/>
      <c r="N588" s="229"/>
      <c r="O588" s="75"/>
      <c r="P588" s="75"/>
      <c r="Q588" s="75"/>
      <c r="R588" s="75"/>
      <c r="S588" s="75"/>
      <c r="W588" s="80"/>
      <c r="X588" s="80"/>
      <c r="Y588" s="80"/>
      <c r="AG588" s="150">
        <f t="shared" si="32"/>
        <v>1140</v>
      </c>
      <c r="AT588" s="140"/>
    </row>
    <row r="589" spans="6:46">
      <c r="F589" s="75"/>
      <c r="G589" s="75"/>
      <c r="H589" s="75"/>
      <c r="I589" s="75"/>
      <c r="J589" s="75"/>
      <c r="K589" s="75"/>
      <c r="L589" s="229"/>
      <c r="M589" s="229"/>
      <c r="N589" s="229"/>
      <c r="O589" s="75"/>
      <c r="P589" s="75"/>
      <c r="Q589" s="75"/>
      <c r="R589" s="75"/>
      <c r="S589" s="75"/>
      <c r="W589" s="80"/>
      <c r="X589" s="80"/>
      <c r="Y589" s="80"/>
      <c r="AG589" s="150">
        <f t="shared" si="32"/>
        <v>1170</v>
      </c>
      <c r="AT589" s="140"/>
    </row>
    <row r="590" spans="6:46">
      <c r="F590" s="75"/>
      <c r="G590" s="75"/>
      <c r="H590" s="75"/>
      <c r="I590" s="75"/>
      <c r="J590" s="75"/>
      <c r="K590" s="75"/>
      <c r="L590" s="229"/>
      <c r="M590" s="229"/>
      <c r="N590" s="229"/>
      <c r="O590" s="75"/>
      <c r="P590" s="75"/>
      <c r="Q590" s="75"/>
      <c r="R590" s="75"/>
      <c r="S590" s="75"/>
      <c r="W590" s="80"/>
      <c r="X590" s="80"/>
      <c r="Y590" s="80"/>
      <c r="AG590" s="150">
        <f t="shared" si="32"/>
        <v>1200</v>
      </c>
      <c r="AT590" s="140"/>
    </row>
    <row r="591" spans="6:46">
      <c r="F591" s="75"/>
      <c r="G591" s="75"/>
      <c r="H591" s="75"/>
      <c r="I591" s="75"/>
      <c r="J591" s="75"/>
      <c r="K591" s="75"/>
      <c r="L591" s="229"/>
      <c r="M591" s="229"/>
      <c r="N591" s="229"/>
      <c r="O591" s="75"/>
      <c r="P591" s="75"/>
      <c r="Q591" s="75"/>
      <c r="R591" s="75"/>
      <c r="S591" s="75"/>
      <c r="W591" s="80"/>
      <c r="X591" s="80"/>
      <c r="Y591" s="80"/>
      <c r="AG591" s="150">
        <f t="shared" si="32"/>
        <v>1230</v>
      </c>
      <c r="AT591" s="140"/>
    </row>
    <row r="592" spans="6:46">
      <c r="F592" s="75"/>
      <c r="G592" s="75"/>
      <c r="H592" s="75"/>
      <c r="I592" s="75"/>
      <c r="J592" s="75"/>
      <c r="K592" s="75"/>
      <c r="L592" s="229"/>
      <c r="M592" s="229"/>
      <c r="N592" s="229"/>
      <c r="O592" s="75"/>
      <c r="P592" s="75"/>
      <c r="Q592" s="75"/>
      <c r="R592" s="75"/>
      <c r="S592" s="75"/>
      <c r="W592" s="80"/>
      <c r="X592" s="80"/>
      <c r="Y592" s="80"/>
      <c r="AG592" s="150">
        <f t="shared" si="32"/>
        <v>1260</v>
      </c>
      <c r="AT592" s="140"/>
    </row>
    <row r="593" spans="6:46">
      <c r="F593" s="75"/>
      <c r="G593" s="75"/>
      <c r="H593" s="75"/>
      <c r="I593" s="75"/>
      <c r="J593" s="75"/>
      <c r="K593" s="75"/>
      <c r="L593" s="229"/>
      <c r="M593" s="229"/>
      <c r="N593" s="229"/>
      <c r="O593" s="75"/>
      <c r="P593" s="75"/>
      <c r="Q593" s="75"/>
      <c r="R593" s="75"/>
      <c r="S593" s="75"/>
      <c r="W593" s="80"/>
      <c r="X593" s="80"/>
      <c r="Y593" s="80"/>
      <c r="AG593" s="150">
        <f t="shared" si="32"/>
        <v>1290</v>
      </c>
      <c r="AT593" s="140"/>
    </row>
    <row r="594" spans="6:46">
      <c r="F594" s="75"/>
      <c r="G594" s="75"/>
      <c r="H594" s="75"/>
      <c r="I594" s="75"/>
      <c r="J594" s="75"/>
      <c r="K594" s="75"/>
      <c r="L594" s="229"/>
      <c r="M594" s="229"/>
      <c r="N594" s="229"/>
      <c r="O594" s="75"/>
      <c r="P594" s="75"/>
      <c r="Q594" s="75"/>
      <c r="R594" s="75"/>
      <c r="S594" s="75"/>
      <c r="W594" s="80"/>
      <c r="X594" s="80"/>
      <c r="Y594" s="80"/>
      <c r="AG594" s="150">
        <f t="shared" si="32"/>
        <v>1320</v>
      </c>
      <c r="AT594" s="140"/>
    </row>
    <row r="595" spans="6:46">
      <c r="F595" s="75"/>
      <c r="G595" s="75"/>
      <c r="H595" s="75"/>
      <c r="I595" s="75"/>
      <c r="J595" s="75"/>
      <c r="K595" s="75"/>
      <c r="L595" s="229"/>
      <c r="M595" s="229"/>
      <c r="N595" s="229"/>
      <c r="O595" s="75"/>
      <c r="P595" s="75"/>
      <c r="Q595" s="75"/>
      <c r="R595" s="75"/>
      <c r="S595" s="75"/>
      <c r="W595" s="80"/>
      <c r="X595" s="80"/>
      <c r="Y595" s="80"/>
      <c r="AG595" s="150">
        <f t="shared" si="32"/>
        <v>1350</v>
      </c>
      <c r="AT595" s="140"/>
    </row>
    <row r="596" spans="6:46">
      <c r="F596" s="75"/>
      <c r="G596" s="75"/>
      <c r="H596" s="75"/>
      <c r="I596" s="75"/>
      <c r="J596" s="75"/>
      <c r="K596" s="75"/>
      <c r="L596" s="229"/>
      <c r="M596" s="229"/>
      <c r="N596" s="229"/>
      <c r="O596" s="75"/>
      <c r="P596" s="75"/>
      <c r="Q596" s="75"/>
      <c r="R596" s="75"/>
      <c r="S596" s="75"/>
      <c r="W596" s="80"/>
      <c r="X596" s="80"/>
      <c r="Y596" s="80"/>
      <c r="AG596" s="150">
        <f t="shared" si="32"/>
        <v>1380</v>
      </c>
      <c r="AT596" s="140"/>
    </row>
    <row r="597" spans="6:46">
      <c r="F597" s="75"/>
      <c r="G597" s="75"/>
      <c r="H597" s="75"/>
      <c r="I597" s="75"/>
      <c r="J597" s="75"/>
      <c r="K597" s="75"/>
      <c r="L597" s="229"/>
      <c r="M597" s="229"/>
      <c r="N597" s="229"/>
      <c r="O597" s="75"/>
      <c r="P597" s="75"/>
      <c r="Q597" s="75"/>
      <c r="R597" s="75"/>
      <c r="S597" s="75"/>
      <c r="W597" s="80"/>
      <c r="X597" s="80"/>
      <c r="Y597" s="80"/>
      <c r="AG597" s="150">
        <f t="shared" si="32"/>
        <v>1410</v>
      </c>
      <c r="AT597" s="140"/>
    </row>
    <row r="598" spans="6:46">
      <c r="F598" s="75"/>
      <c r="G598" s="75"/>
      <c r="H598" s="75"/>
      <c r="I598" s="75"/>
      <c r="J598" s="75"/>
      <c r="K598" s="75"/>
      <c r="L598" s="229"/>
      <c r="M598" s="229"/>
      <c r="N598" s="229"/>
      <c r="O598" s="75"/>
      <c r="P598" s="75"/>
      <c r="Q598" s="75"/>
      <c r="R598" s="75"/>
      <c r="S598" s="75"/>
      <c r="W598" s="80"/>
      <c r="X598" s="80"/>
      <c r="Y598" s="80"/>
      <c r="AG598" s="150">
        <f t="shared" si="32"/>
        <v>1440</v>
      </c>
      <c r="AT598" s="140"/>
    </row>
    <row r="599" spans="6:46">
      <c r="F599" s="75"/>
      <c r="G599" s="75"/>
      <c r="H599" s="75"/>
      <c r="I599" s="75"/>
      <c r="J599" s="75"/>
      <c r="K599" s="75"/>
      <c r="L599" s="229"/>
      <c r="M599" s="229"/>
      <c r="N599" s="229"/>
      <c r="O599" s="75"/>
      <c r="P599" s="75"/>
      <c r="Q599" s="75"/>
      <c r="R599" s="75"/>
      <c r="S599" s="75"/>
      <c r="W599" s="80"/>
      <c r="X599" s="80"/>
      <c r="Y599" s="80"/>
      <c r="AG599" s="150">
        <f t="shared" si="32"/>
        <v>1470</v>
      </c>
      <c r="AT599" s="140"/>
    </row>
    <row r="600" spans="6:46">
      <c r="F600" s="75"/>
      <c r="G600" s="75"/>
      <c r="H600" s="75"/>
      <c r="I600" s="75"/>
      <c r="J600" s="75"/>
      <c r="K600" s="75"/>
      <c r="L600" s="229"/>
      <c r="M600" s="229"/>
      <c r="N600" s="229"/>
      <c r="O600" s="75"/>
      <c r="P600" s="75"/>
      <c r="Q600" s="75"/>
      <c r="R600" s="75"/>
      <c r="S600" s="75"/>
      <c r="W600" s="80"/>
      <c r="X600" s="80"/>
      <c r="Y600" s="80"/>
      <c r="AG600" s="150">
        <f t="shared" si="32"/>
        <v>1500</v>
      </c>
      <c r="AT600" s="140"/>
    </row>
    <row r="601" spans="6:46">
      <c r="F601" s="75"/>
      <c r="G601" s="75"/>
      <c r="H601" s="75"/>
      <c r="I601" s="75"/>
      <c r="J601" s="75"/>
      <c r="K601" s="75"/>
      <c r="L601" s="229"/>
      <c r="M601" s="229"/>
      <c r="N601" s="229"/>
      <c r="O601" s="75"/>
      <c r="P601" s="75"/>
      <c r="Q601" s="75"/>
      <c r="R601" s="75"/>
      <c r="S601" s="75"/>
      <c r="W601" s="80"/>
      <c r="X601" s="80"/>
      <c r="Y601" s="80"/>
      <c r="AG601" s="150">
        <f t="shared" si="32"/>
        <v>1530</v>
      </c>
      <c r="AT601" s="140"/>
    </row>
    <row r="602" spans="6:46">
      <c r="F602" s="75"/>
      <c r="G602" s="75"/>
      <c r="H602" s="75"/>
      <c r="I602" s="75"/>
      <c r="J602" s="75"/>
      <c r="K602" s="75"/>
      <c r="L602" s="229"/>
      <c r="M602" s="229"/>
      <c r="N602" s="229"/>
      <c r="O602" s="75"/>
      <c r="P602" s="75"/>
      <c r="Q602" s="75"/>
      <c r="R602" s="75"/>
      <c r="S602" s="75"/>
      <c r="W602" s="80"/>
      <c r="X602" s="80"/>
      <c r="Y602" s="80"/>
      <c r="AG602" s="150">
        <f t="shared" si="32"/>
        <v>1560</v>
      </c>
      <c r="AT602" s="140"/>
    </row>
    <row r="603" spans="6:46">
      <c r="F603" s="75"/>
      <c r="G603" s="75"/>
      <c r="H603" s="75"/>
      <c r="I603" s="75"/>
      <c r="J603" s="75"/>
      <c r="K603" s="75"/>
      <c r="L603" s="229"/>
      <c r="M603" s="229"/>
      <c r="N603" s="229"/>
      <c r="O603" s="75"/>
      <c r="P603" s="75"/>
      <c r="Q603" s="75"/>
      <c r="R603" s="75"/>
      <c r="S603" s="75"/>
      <c r="W603" s="80"/>
      <c r="X603" s="80"/>
      <c r="Y603" s="80"/>
      <c r="AG603" s="150">
        <f t="shared" si="32"/>
        <v>1590</v>
      </c>
      <c r="AT603" s="140"/>
    </row>
    <row r="604" spans="6:46">
      <c r="F604" s="75"/>
      <c r="G604" s="75"/>
      <c r="H604" s="75"/>
      <c r="I604" s="75"/>
      <c r="J604" s="75"/>
      <c r="K604" s="75"/>
      <c r="L604" s="229"/>
      <c r="M604" s="229"/>
      <c r="N604" s="229"/>
      <c r="O604" s="75"/>
      <c r="P604" s="75"/>
      <c r="Q604" s="75"/>
      <c r="R604" s="75"/>
      <c r="S604" s="75"/>
      <c r="W604" s="80"/>
      <c r="X604" s="80"/>
      <c r="Y604" s="80"/>
      <c r="AG604" s="150">
        <f t="shared" si="32"/>
        <v>1620</v>
      </c>
      <c r="AT604" s="140"/>
    </row>
    <row r="605" spans="6:46">
      <c r="F605" s="75"/>
      <c r="G605" s="75"/>
      <c r="H605" s="75"/>
      <c r="I605" s="75"/>
      <c r="J605" s="75"/>
      <c r="K605" s="75"/>
      <c r="L605" s="229"/>
      <c r="M605" s="229"/>
      <c r="N605" s="229"/>
      <c r="O605" s="75"/>
      <c r="P605" s="75"/>
      <c r="Q605" s="75"/>
      <c r="R605" s="75"/>
      <c r="S605" s="75"/>
      <c r="W605" s="80"/>
      <c r="X605" s="80"/>
      <c r="Y605" s="80"/>
      <c r="AG605" s="150">
        <f t="shared" si="32"/>
        <v>1650</v>
      </c>
      <c r="AT605" s="140"/>
    </row>
    <row r="606" spans="6:46">
      <c r="F606" s="75"/>
      <c r="G606" s="75"/>
      <c r="H606" s="75"/>
      <c r="I606" s="75"/>
      <c r="J606" s="75"/>
      <c r="K606" s="75"/>
      <c r="L606" s="229"/>
      <c r="M606" s="229"/>
      <c r="N606" s="229"/>
      <c r="O606" s="75"/>
      <c r="P606" s="75"/>
      <c r="Q606" s="75"/>
      <c r="R606" s="75"/>
      <c r="S606" s="75"/>
      <c r="W606" s="80"/>
      <c r="X606" s="80"/>
      <c r="Y606" s="80"/>
      <c r="AG606" s="150">
        <f t="shared" si="32"/>
        <v>1680</v>
      </c>
      <c r="AT606" s="140"/>
    </row>
    <row r="607" spans="6:46">
      <c r="F607" s="75"/>
      <c r="G607" s="75"/>
      <c r="H607" s="75"/>
      <c r="I607" s="75"/>
      <c r="J607" s="75"/>
      <c r="K607" s="75"/>
      <c r="L607" s="229"/>
      <c r="M607" s="229"/>
      <c r="N607" s="229"/>
      <c r="O607" s="75"/>
      <c r="P607" s="75"/>
      <c r="Q607" s="75"/>
      <c r="R607" s="75"/>
      <c r="S607" s="75"/>
      <c r="W607" s="80"/>
      <c r="X607" s="80"/>
      <c r="Y607" s="80"/>
      <c r="AG607" s="150">
        <f t="shared" si="32"/>
        <v>1710</v>
      </c>
      <c r="AT607" s="140"/>
    </row>
    <row r="608" spans="6:46">
      <c r="F608" s="75"/>
      <c r="G608" s="75"/>
      <c r="H608" s="75"/>
      <c r="I608" s="75"/>
      <c r="J608" s="75"/>
      <c r="K608" s="75"/>
      <c r="L608" s="229"/>
      <c r="M608" s="229"/>
      <c r="N608" s="229"/>
      <c r="O608" s="75"/>
      <c r="P608" s="75"/>
      <c r="Q608" s="75"/>
      <c r="R608" s="75"/>
      <c r="S608" s="75"/>
      <c r="W608" s="80"/>
      <c r="X608" s="80"/>
      <c r="Y608" s="80"/>
      <c r="AG608" s="150">
        <f t="shared" si="32"/>
        <v>1740</v>
      </c>
      <c r="AT608" s="140"/>
    </row>
    <row r="609" spans="6:46">
      <c r="F609" s="75"/>
      <c r="G609" s="75"/>
      <c r="H609" s="75"/>
      <c r="I609" s="75"/>
      <c r="J609" s="75"/>
      <c r="K609" s="75"/>
      <c r="L609" s="229"/>
      <c r="M609" s="229"/>
      <c r="N609" s="229"/>
      <c r="O609" s="75"/>
      <c r="P609" s="75"/>
      <c r="Q609" s="75"/>
      <c r="R609" s="75"/>
      <c r="S609" s="75"/>
      <c r="W609" s="80"/>
      <c r="X609" s="80"/>
      <c r="Y609" s="80"/>
      <c r="AG609" s="150">
        <f t="shared" ref="AG609:AG672" si="33">AG608+30</f>
        <v>1770</v>
      </c>
      <c r="AT609" s="140"/>
    </row>
    <row r="610" spans="6:46">
      <c r="F610" s="75"/>
      <c r="G610" s="75"/>
      <c r="H610" s="75"/>
      <c r="I610" s="75"/>
      <c r="J610" s="75"/>
      <c r="K610" s="75"/>
      <c r="L610" s="229"/>
      <c r="M610" s="229"/>
      <c r="N610" s="229"/>
      <c r="O610" s="75"/>
      <c r="P610" s="75"/>
      <c r="Q610" s="75"/>
      <c r="R610" s="75"/>
      <c r="S610" s="75"/>
      <c r="W610" s="80"/>
      <c r="X610" s="80"/>
      <c r="Y610" s="80"/>
      <c r="AG610" s="150">
        <f t="shared" si="33"/>
        <v>1800</v>
      </c>
      <c r="AT610" s="140"/>
    </row>
    <row r="611" spans="6:46">
      <c r="F611" s="75"/>
      <c r="G611" s="75"/>
      <c r="H611" s="75"/>
      <c r="I611" s="75"/>
      <c r="J611" s="75"/>
      <c r="K611" s="75"/>
      <c r="L611" s="229"/>
      <c r="M611" s="229"/>
      <c r="N611" s="229"/>
      <c r="O611" s="75"/>
      <c r="P611" s="75"/>
      <c r="Q611" s="75"/>
      <c r="R611" s="75"/>
      <c r="S611" s="75"/>
      <c r="W611" s="80"/>
      <c r="X611" s="80"/>
      <c r="Y611" s="80"/>
      <c r="AG611" s="150">
        <f t="shared" si="33"/>
        <v>1830</v>
      </c>
      <c r="AT611" s="140"/>
    </row>
    <row r="612" spans="6:46">
      <c r="F612" s="75"/>
      <c r="G612" s="75"/>
      <c r="H612" s="75"/>
      <c r="I612" s="75"/>
      <c r="J612" s="75"/>
      <c r="K612" s="75"/>
      <c r="L612" s="229"/>
      <c r="M612" s="229"/>
      <c r="N612" s="229"/>
      <c r="O612" s="75"/>
      <c r="P612" s="75"/>
      <c r="Q612" s="75"/>
      <c r="R612" s="75"/>
      <c r="S612" s="75"/>
      <c r="W612" s="80"/>
      <c r="X612" s="80"/>
      <c r="Y612" s="80"/>
      <c r="AG612" s="150">
        <f t="shared" si="33"/>
        <v>1860</v>
      </c>
      <c r="AT612" s="140"/>
    </row>
    <row r="613" spans="6:46">
      <c r="F613" s="75"/>
      <c r="G613" s="75"/>
      <c r="H613" s="75"/>
      <c r="I613" s="75"/>
      <c r="J613" s="75"/>
      <c r="K613" s="75"/>
      <c r="L613" s="229"/>
      <c r="M613" s="229"/>
      <c r="N613" s="229"/>
      <c r="O613" s="75"/>
      <c r="P613" s="75"/>
      <c r="Q613" s="75"/>
      <c r="R613" s="75"/>
      <c r="S613" s="75"/>
      <c r="W613" s="80"/>
      <c r="X613" s="80"/>
      <c r="Y613" s="80"/>
      <c r="AG613" s="150">
        <f t="shared" si="33"/>
        <v>1890</v>
      </c>
      <c r="AT613" s="140"/>
    </row>
    <row r="614" spans="6:46">
      <c r="F614" s="75"/>
      <c r="G614" s="75"/>
      <c r="H614" s="75"/>
      <c r="I614" s="75"/>
      <c r="J614" s="75"/>
      <c r="K614" s="75"/>
      <c r="L614" s="229"/>
      <c r="M614" s="229"/>
      <c r="N614" s="229"/>
      <c r="O614" s="75"/>
      <c r="P614" s="75"/>
      <c r="Q614" s="75"/>
      <c r="R614" s="75"/>
      <c r="S614" s="75"/>
      <c r="W614" s="80"/>
      <c r="X614" s="80"/>
      <c r="Y614" s="80"/>
      <c r="AG614" s="150">
        <f t="shared" si="33"/>
        <v>1920</v>
      </c>
      <c r="AT614" s="140"/>
    </row>
    <row r="615" spans="6:46">
      <c r="F615" s="75"/>
      <c r="G615" s="75"/>
      <c r="H615" s="75"/>
      <c r="I615" s="75"/>
      <c r="J615" s="75"/>
      <c r="K615" s="75"/>
      <c r="L615" s="229"/>
      <c r="M615" s="229"/>
      <c r="N615" s="229"/>
      <c r="O615" s="75"/>
      <c r="P615" s="75"/>
      <c r="Q615" s="75"/>
      <c r="R615" s="75"/>
      <c r="S615" s="75"/>
      <c r="W615" s="80"/>
      <c r="X615" s="80"/>
      <c r="Y615" s="80"/>
      <c r="AG615" s="150">
        <f t="shared" si="33"/>
        <v>1950</v>
      </c>
      <c r="AT615" s="140"/>
    </row>
    <row r="616" spans="6:46">
      <c r="F616" s="75"/>
      <c r="G616" s="75"/>
      <c r="H616" s="75"/>
      <c r="I616" s="75"/>
      <c r="J616" s="75"/>
      <c r="K616" s="75"/>
      <c r="L616" s="229"/>
      <c r="M616" s="229"/>
      <c r="N616" s="229"/>
      <c r="O616" s="75"/>
      <c r="P616" s="75"/>
      <c r="Q616" s="75"/>
      <c r="R616" s="75"/>
      <c r="S616" s="75"/>
      <c r="W616" s="80"/>
      <c r="X616" s="80"/>
      <c r="Y616" s="80"/>
      <c r="AG616" s="150">
        <f t="shared" si="33"/>
        <v>1980</v>
      </c>
      <c r="AT616" s="140"/>
    </row>
    <row r="617" spans="6:46">
      <c r="F617" s="75"/>
      <c r="G617" s="75"/>
      <c r="H617" s="75"/>
      <c r="I617" s="75"/>
      <c r="J617" s="75"/>
      <c r="K617" s="75"/>
      <c r="L617" s="229"/>
      <c r="M617" s="229"/>
      <c r="N617" s="229"/>
      <c r="O617" s="75"/>
      <c r="P617" s="75"/>
      <c r="Q617" s="75"/>
      <c r="R617" s="75"/>
      <c r="S617" s="75"/>
      <c r="W617" s="80"/>
      <c r="X617" s="80"/>
      <c r="Y617" s="80"/>
      <c r="AG617" s="150">
        <f t="shared" si="33"/>
        <v>2010</v>
      </c>
      <c r="AT617" s="140"/>
    </row>
    <row r="618" spans="6:46">
      <c r="F618" s="75"/>
      <c r="G618" s="75"/>
      <c r="H618" s="75"/>
      <c r="I618" s="75"/>
      <c r="J618" s="75"/>
      <c r="K618" s="75"/>
      <c r="L618" s="229"/>
      <c r="M618" s="229"/>
      <c r="N618" s="229"/>
      <c r="O618" s="75"/>
      <c r="P618" s="75"/>
      <c r="Q618" s="75"/>
      <c r="R618" s="75"/>
      <c r="S618" s="75"/>
      <c r="W618" s="80"/>
      <c r="X618" s="80"/>
      <c r="Y618" s="80"/>
      <c r="AG618" s="150">
        <f t="shared" si="33"/>
        <v>2040</v>
      </c>
      <c r="AT618" s="140"/>
    </row>
    <row r="619" spans="6:46">
      <c r="F619" s="75"/>
      <c r="G619" s="75"/>
      <c r="H619" s="75"/>
      <c r="I619" s="75"/>
      <c r="J619" s="75"/>
      <c r="K619" s="75"/>
      <c r="L619" s="229"/>
      <c r="M619" s="229"/>
      <c r="N619" s="229"/>
      <c r="O619" s="75"/>
      <c r="P619" s="75"/>
      <c r="Q619" s="75"/>
      <c r="R619" s="75"/>
      <c r="S619" s="75"/>
      <c r="W619" s="80"/>
      <c r="X619" s="80"/>
      <c r="Y619" s="80"/>
      <c r="AG619" s="150">
        <f t="shared" si="33"/>
        <v>2070</v>
      </c>
      <c r="AT619" s="140"/>
    </row>
    <row r="620" spans="6:46">
      <c r="F620" s="75"/>
      <c r="G620" s="75"/>
      <c r="H620" s="75"/>
      <c r="I620" s="75"/>
      <c r="J620" s="75"/>
      <c r="K620" s="75"/>
      <c r="L620" s="229"/>
      <c r="M620" s="229"/>
      <c r="N620" s="229"/>
      <c r="O620" s="75"/>
      <c r="P620" s="75"/>
      <c r="Q620" s="75"/>
      <c r="R620" s="75"/>
      <c r="S620" s="75"/>
      <c r="W620" s="80"/>
      <c r="X620" s="80"/>
      <c r="Y620" s="80"/>
      <c r="AG620" s="150">
        <f t="shared" si="33"/>
        <v>2100</v>
      </c>
      <c r="AT620" s="140"/>
    </row>
    <row r="621" spans="6:46">
      <c r="F621" s="75"/>
      <c r="G621" s="75"/>
      <c r="H621" s="75"/>
      <c r="I621" s="75"/>
      <c r="J621" s="75"/>
      <c r="K621" s="75"/>
      <c r="L621" s="229"/>
      <c r="M621" s="229"/>
      <c r="N621" s="229"/>
      <c r="O621" s="75"/>
      <c r="P621" s="75"/>
      <c r="Q621" s="75"/>
      <c r="R621" s="75"/>
      <c r="S621" s="75"/>
      <c r="W621" s="80"/>
      <c r="X621" s="80"/>
      <c r="Y621" s="80"/>
      <c r="AG621" s="150">
        <f t="shared" si="33"/>
        <v>2130</v>
      </c>
      <c r="AT621" s="140"/>
    </row>
    <row r="622" spans="6:46">
      <c r="F622" s="75"/>
      <c r="G622" s="75"/>
      <c r="H622" s="75"/>
      <c r="I622" s="75"/>
      <c r="J622" s="75"/>
      <c r="K622" s="75"/>
      <c r="L622" s="229"/>
      <c r="M622" s="229"/>
      <c r="N622" s="229"/>
      <c r="O622" s="75"/>
      <c r="P622" s="75"/>
      <c r="Q622" s="75"/>
      <c r="R622" s="75"/>
      <c r="S622" s="75"/>
      <c r="W622" s="80"/>
      <c r="X622" s="80"/>
      <c r="Y622" s="80"/>
      <c r="AG622" s="150">
        <f t="shared" si="33"/>
        <v>2160</v>
      </c>
      <c r="AT622" s="140"/>
    </row>
    <row r="623" spans="6:46">
      <c r="F623" s="75"/>
      <c r="G623" s="75"/>
      <c r="H623" s="75"/>
      <c r="I623" s="75"/>
      <c r="J623" s="75"/>
      <c r="K623" s="75"/>
      <c r="L623" s="229"/>
      <c r="M623" s="229"/>
      <c r="N623" s="229"/>
      <c r="O623" s="75"/>
      <c r="P623" s="75"/>
      <c r="Q623" s="75"/>
      <c r="R623" s="75"/>
      <c r="S623" s="75"/>
      <c r="W623" s="80"/>
      <c r="X623" s="80"/>
      <c r="Y623" s="80"/>
      <c r="AG623" s="150">
        <f t="shared" si="33"/>
        <v>2190</v>
      </c>
      <c r="AT623" s="140"/>
    </row>
    <row r="624" spans="6:46">
      <c r="F624" s="75"/>
      <c r="G624" s="75"/>
      <c r="H624" s="75"/>
      <c r="I624" s="75"/>
      <c r="J624" s="75"/>
      <c r="K624" s="75"/>
      <c r="L624" s="229"/>
      <c r="M624" s="229"/>
      <c r="N624" s="229"/>
      <c r="O624" s="75"/>
      <c r="P624" s="75"/>
      <c r="Q624" s="75"/>
      <c r="R624" s="75"/>
      <c r="S624" s="75"/>
      <c r="W624" s="80"/>
      <c r="X624" s="80"/>
      <c r="Y624" s="80"/>
      <c r="AG624" s="150">
        <f t="shared" si="33"/>
        <v>2220</v>
      </c>
      <c r="AT624" s="140"/>
    </row>
    <row r="625" spans="6:46">
      <c r="F625" s="75"/>
      <c r="G625" s="75"/>
      <c r="H625" s="75"/>
      <c r="I625" s="75"/>
      <c r="J625" s="75"/>
      <c r="K625" s="75"/>
      <c r="L625" s="229"/>
      <c r="M625" s="229"/>
      <c r="N625" s="229"/>
      <c r="O625" s="75"/>
      <c r="P625" s="75"/>
      <c r="Q625" s="75"/>
      <c r="R625" s="75"/>
      <c r="S625" s="75"/>
      <c r="W625" s="80"/>
      <c r="X625" s="80"/>
      <c r="Y625" s="80"/>
      <c r="AG625" s="150">
        <f t="shared" si="33"/>
        <v>2250</v>
      </c>
      <c r="AT625" s="140"/>
    </row>
    <row r="626" spans="6:46">
      <c r="F626" s="75"/>
      <c r="G626" s="75"/>
      <c r="H626" s="75"/>
      <c r="I626" s="75"/>
      <c r="J626" s="75"/>
      <c r="K626" s="75"/>
      <c r="L626" s="229"/>
      <c r="M626" s="229"/>
      <c r="N626" s="229"/>
      <c r="O626" s="75"/>
      <c r="P626" s="75"/>
      <c r="Q626" s="75"/>
      <c r="R626" s="75"/>
      <c r="S626" s="75"/>
      <c r="W626" s="80"/>
      <c r="X626" s="80"/>
      <c r="Y626" s="80"/>
      <c r="AG626" s="150">
        <f t="shared" si="33"/>
        <v>2280</v>
      </c>
      <c r="AT626" s="140"/>
    </row>
    <row r="627" spans="6:46">
      <c r="F627" s="75"/>
      <c r="G627" s="75"/>
      <c r="H627" s="75"/>
      <c r="I627" s="75"/>
      <c r="J627" s="75"/>
      <c r="K627" s="75"/>
      <c r="L627" s="229"/>
      <c r="M627" s="229"/>
      <c r="N627" s="229"/>
      <c r="O627" s="75"/>
      <c r="P627" s="75"/>
      <c r="Q627" s="75"/>
      <c r="R627" s="75"/>
      <c r="S627" s="75"/>
      <c r="W627" s="80"/>
      <c r="X627" s="80"/>
      <c r="Y627" s="80"/>
      <c r="AG627" s="150">
        <f t="shared" si="33"/>
        <v>2310</v>
      </c>
      <c r="AT627" s="140"/>
    </row>
    <row r="628" spans="6:46">
      <c r="F628" s="75"/>
      <c r="G628" s="75"/>
      <c r="H628" s="75"/>
      <c r="I628" s="75"/>
      <c r="J628" s="75"/>
      <c r="K628" s="75"/>
      <c r="L628" s="229"/>
      <c r="M628" s="229"/>
      <c r="N628" s="229"/>
      <c r="O628" s="75"/>
      <c r="P628" s="75"/>
      <c r="Q628" s="75"/>
      <c r="R628" s="75"/>
      <c r="S628" s="75"/>
      <c r="W628" s="80"/>
      <c r="X628" s="80"/>
      <c r="Y628" s="80"/>
      <c r="AG628" s="150">
        <f t="shared" si="33"/>
        <v>2340</v>
      </c>
      <c r="AT628" s="140"/>
    </row>
    <row r="629" spans="6:46">
      <c r="F629" s="75"/>
      <c r="G629" s="75"/>
      <c r="H629" s="75"/>
      <c r="I629" s="75"/>
      <c r="J629" s="75"/>
      <c r="K629" s="75"/>
      <c r="L629" s="229"/>
      <c r="M629" s="229"/>
      <c r="N629" s="229"/>
      <c r="O629" s="75"/>
      <c r="P629" s="75"/>
      <c r="Q629" s="75"/>
      <c r="R629" s="75"/>
      <c r="S629" s="75"/>
      <c r="W629" s="80"/>
      <c r="X629" s="80"/>
      <c r="Y629" s="80"/>
      <c r="AG629" s="150">
        <f t="shared" si="33"/>
        <v>2370</v>
      </c>
      <c r="AT629" s="140"/>
    </row>
    <row r="630" spans="6:46">
      <c r="F630" s="75"/>
      <c r="G630" s="75"/>
      <c r="H630" s="75"/>
      <c r="I630" s="75"/>
      <c r="J630" s="75"/>
      <c r="K630" s="75"/>
      <c r="L630" s="229"/>
      <c r="M630" s="229"/>
      <c r="N630" s="229"/>
      <c r="O630" s="75"/>
      <c r="P630" s="75"/>
      <c r="Q630" s="75"/>
      <c r="R630" s="75"/>
      <c r="S630" s="75"/>
      <c r="W630" s="80"/>
      <c r="X630" s="80"/>
      <c r="Y630" s="80"/>
      <c r="AG630" s="150">
        <f t="shared" si="33"/>
        <v>2400</v>
      </c>
      <c r="AT630" s="140"/>
    </row>
    <row r="631" spans="6:46">
      <c r="F631" s="75"/>
      <c r="G631" s="75"/>
      <c r="H631" s="75"/>
      <c r="I631" s="75"/>
      <c r="J631" s="75"/>
      <c r="K631" s="75"/>
      <c r="L631" s="229"/>
      <c r="M631" s="229"/>
      <c r="N631" s="229"/>
      <c r="O631" s="75"/>
      <c r="P631" s="75"/>
      <c r="Q631" s="75"/>
      <c r="R631" s="75"/>
      <c r="S631" s="75"/>
      <c r="W631" s="80"/>
      <c r="X631" s="80"/>
      <c r="Y631" s="80"/>
      <c r="AG631" s="150">
        <f t="shared" si="33"/>
        <v>2430</v>
      </c>
      <c r="AT631" s="140"/>
    </row>
    <row r="632" spans="6:46">
      <c r="F632" s="75"/>
      <c r="G632" s="75"/>
      <c r="H632" s="75"/>
      <c r="I632" s="75"/>
      <c r="J632" s="75"/>
      <c r="K632" s="75"/>
      <c r="L632" s="229"/>
      <c r="M632" s="229"/>
      <c r="N632" s="229"/>
      <c r="O632" s="75"/>
      <c r="P632" s="75"/>
      <c r="Q632" s="75"/>
      <c r="R632" s="75"/>
      <c r="S632" s="75"/>
      <c r="W632" s="80"/>
      <c r="X632" s="80"/>
      <c r="Y632" s="80"/>
      <c r="AG632" s="150">
        <f t="shared" si="33"/>
        <v>2460</v>
      </c>
      <c r="AT632" s="140"/>
    </row>
    <row r="633" spans="6:46">
      <c r="F633" s="75"/>
      <c r="G633" s="75"/>
      <c r="H633" s="75"/>
      <c r="I633" s="75"/>
      <c r="J633" s="75"/>
      <c r="K633" s="75"/>
      <c r="L633" s="229"/>
      <c r="M633" s="229"/>
      <c r="N633" s="229"/>
      <c r="O633" s="75"/>
      <c r="P633" s="75"/>
      <c r="Q633" s="75"/>
      <c r="R633" s="75"/>
      <c r="S633" s="75"/>
      <c r="W633" s="80"/>
      <c r="X633" s="80"/>
      <c r="Y633" s="80"/>
      <c r="AG633" s="150">
        <f t="shared" si="33"/>
        <v>2490</v>
      </c>
      <c r="AT633" s="140"/>
    </row>
    <row r="634" spans="6:46">
      <c r="F634" s="75"/>
      <c r="G634" s="75"/>
      <c r="H634" s="75"/>
      <c r="I634" s="75"/>
      <c r="J634" s="75"/>
      <c r="K634" s="75"/>
      <c r="L634" s="229"/>
      <c r="M634" s="229"/>
      <c r="N634" s="229"/>
      <c r="O634" s="75"/>
      <c r="P634" s="75"/>
      <c r="Q634" s="75"/>
      <c r="R634" s="75"/>
      <c r="S634" s="75"/>
      <c r="W634" s="80"/>
      <c r="X634" s="80"/>
      <c r="Y634" s="80"/>
      <c r="AG634" s="150">
        <f t="shared" si="33"/>
        <v>2520</v>
      </c>
      <c r="AT634" s="140"/>
    </row>
    <row r="635" spans="6:46">
      <c r="F635" s="75"/>
      <c r="G635" s="75"/>
      <c r="H635" s="75"/>
      <c r="I635" s="75"/>
      <c r="J635" s="75"/>
      <c r="K635" s="75"/>
      <c r="L635" s="229"/>
      <c r="M635" s="229"/>
      <c r="N635" s="229"/>
      <c r="O635" s="75"/>
      <c r="P635" s="75"/>
      <c r="Q635" s="75"/>
      <c r="R635" s="75"/>
      <c r="S635" s="75"/>
      <c r="W635" s="80"/>
      <c r="X635" s="80"/>
      <c r="Y635" s="80"/>
      <c r="AG635" s="150">
        <f t="shared" si="33"/>
        <v>2550</v>
      </c>
      <c r="AT635" s="140"/>
    </row>
    <row r="636" spans="6:46">
      <c r="F636" s="75"/>
      <c r="G636" s="75"/>
      <c r="H636" s="75"/>
      <c r="I636" s="75"/>
      <c r="J636" s="75"/>
      <c r="K636" s="75"/>
      <c r="L636" s="229"/>
      <c r="M636" s="229"/>
      <c r="N636" s="229"/>
      <c r="O636" s="75"/>
      <c r="P636" s="75"/>
      <c r="Q636" s="75"/>
      <c r="R636" s="75"/>
      <c r="S636" s="75"/>
      <c r="W636" s="80"/>
      <c r="X636" s="80"/>
      <c r="Y636" s="80"/>
      <c r="AG636" s="150">
        <f t="shared" si="33"/>
        <v>2580</v>
      </c>
      <c r="AT636" s="140"/>
    </row>
    <row r="637" spans="6:46">
      <c r="F637" s="75"/>
      <c r="G637" s="75"/>
      <c r="H637" s="75"/>
      <c r="I637" s="75"/>
      <c r="J637" s="75"/>
      <c r="K637" s="75"/>
      <c r="L637" s="229"/>
      <c r="M637" s="229"/>
      <c r="N637" s="229"/>
      <c r="O637" s="75"/>
      <c r="P637" s="75"/>
      <c r="Q637" s="75"/>
      <c r="R637" s="75"/>
      <c r="S637" s="75"/>
      <c r="W637" s="80"/>
      <c r="X637" s="80"/>
      <c r="Y637" s="80"/>
      <c r="AG637" s="150">
        <f t="shared" si="33"/>
        <v>2610</v>
      </c>
      <c r="AT637" s="140"/>
    </row>
    <row r="638" spans="6:46">
      <c r="F638" s="75"/>
      <c r="G638" s="75"/>
      <c r="H638" s="75"/>
      <c r="I638" s="75"/>
      <c r="J638" s="75"/>
      <c r="K638" s="75"/>
      <c r="L638" s="229"/>
      <c r="M638" s="229"/>
      <c r="N638" s="229"/>
      <c r="O638" s="75"/>
      <c r="P638" s="75"/>
      <c r="Q638" s="75"/>
      <c r="R638" s="75"/>
      <c r="S638" s="75"/>
      <c r="W638" s="80"/>
      <c r="X638" s="80"/>
      <c r="Y638" s="80"/>
      <c r="AG638" s="150">
        <f t="shared" si="33"/>
        <v>2640</v>
      </c>
      <c r="AT638" s="140"/>
    </row>
    <row r="639" spans="6:46">
      <c r="F639" s="75"/>
      <c r="G639" s="75"/>
      <c r="H639" s="75"/>
      <c r="I639" s="75"/>
      <c r="J639" s="75"/>
      <c r="K639" s="75"/>
      <c r="L639" s="229"/>
      <c r="M639" s="229"/>
      <c r="N639" s="229"/>
      <c r="O639" s="75"/>
      <c r="P639" s="75"/>
      <c r="Q639" s="75"/>
      <c r="R639" s="75"/>
      <c r="S639" s="75"/>
      <c r="W639" s="80"/>
      <c r="X639" s="80"/>
      <c r="Y639" s="80"/>
      <c r="AG639" s="150">
        <f t="shared" si="33"/>
        <v>2670</v>
      </c>
      <c r="AT639" s="140"/>
    </row>
    <row r="640" spans="6:46">
      <c r="F640" s="75"/>
      <c r="G640" s="75"/>
      <c r="H640" s="75"/>
      <c r="I640" s="75"/>
      <c r="J640" s="75"/>
      <c r="K640" s="75"/>
      <c r="L640" s="229"/>
      <c r="M640" s="229"/>
      <c r="N640" s="229"/>
      <c r="O640" s="75"/>
      <c r="P640" s="75"/>
      <c r="Q640" s="75"/>
      <c r="R640" s="75"/>
      <c r="S640" s="75"/>
      <c r="W640" s="80"/>
      <c r="X640" s="80"/>
      <c r="Y640" s="80"/>
      <c r="AG640" s="150">
        <f t="shared" si="33"/>
        <v>2700</v>
      </c>
      <c r="AT640" s="140"/>
    </row>
    <row r="641" spans="6:46">
      <c r="F641" s="75"/>
      <c r="G641" s="75"/>
      <c r="H641" s="75"/>
      <c r="I641" s="75"/>
      <c r="J641" s="75"/>
      <c r="K641" s="75"/>
      <c r="L641" s="229"/>
      <c r="M641" s="229"/>
      <c r="N641" s="229"/>
      <c r="O641" s="75"/>
      <c r="P641" s="75"/>
      <c r="Q641" s="75"/>
      <c r="R641" s="75"/>
      <c r="S641" s="75"/>
      <c r="W641" s="80"/>
      <c r="X641" s="80"/>
      <c r="Y641" s="80"/>
      <c r="AG641" s="150">
        <f t="shared" si="33"/>
        <v>2730</v>
      </c>
      <c r="AT641" s="140"/>
    </row>
    <row r="642" spans="6:46">
      <c r="F642" s="75"/>
      <c r="G642" s="75"/>
      <c r="H642" s="75"/>
      <c r="I642" s="75"/>
      <c r="J642" s="75"/>
      <c r="K642" s="75"/>
      <c r="L642" s="229"/>
      <c r="M642" s="229"/>
      <c r="N642" s="229"/>
      <c r="O642" s="75"/>
      <c r="P642" s="75"/>
      <c r="Q642" s="75"/>
      <c r="R642" s="75"/>
      <c r="S642" s="75"/>
      <c r="W642" s="80"/>
      <c r="X642" s="80"/>
      <c r="Y642" s="80"/>
      <c r="AG642" s="150">
        <f t="shared" si="33"/>
        <v>2760</v>
      </c>
      <c r="AT642" s="140"/>
    </row>
    <row r="643" spans="6:46">
      <c r="F643" s="75"/>
      <c r="G643" s="75"/>
      <c r="H643" s="75"/>
      <c r="I643" s="75"/>
      <c r="J643" s="75"/>
      <c r="K643" s="75"/>
      <c r="L643" s="229"/>
      <c r="M643" s="229"/>
      <c r="N643" s="229"/>
      <c r="O643" s="75"/>
      <c r="P643" s="75"/>
      <c r="Q643" s="75"/>
      <c r="R643" s="75"/>
      <c r="S643" s="75"/>
      <c r="W643" s="80"/>
      <c r="X643" s="80"/>
      <c r="Y643" s="80"/>
      <c r="AG643" s="150">
        <f t="shared" si="33"/>
        <v>2790</v>
      </c>
      <c r="AT643" s="140"/>
    </row>
    <row r="644" spans="6:46">
      <c r="F644" s="75"/>
      <c r="G644" s="75"/>
      <c r="H644" s="75"/>
      <c r="I644" s="75"/>
      <c r="J644" s="75"/>
      <c r="K644" s="75"/>
      <c r="L644" s="229"/>
      <c r="M644" s="229"/>
      <c r="N644" s="229"/>
      <c r="O644" s="75"/>
      <c r="P644" s="75"/>
      <c r="Q644" s="75"/>
      <c r="R644" s="75"/>
      <c r="S644" s="75"/>
      <c r="W644" s="80"/>
      <c r="X644" s="80"/>
      <c r="Y644" s="80"/>
      <c r="AG644" s="150">
        <f t="shared" si="33"/>
        <v>2820</v>
      </c>
      <c r="AT644" s="140"/>
    </row>
    <row r="645" spans="6:46">
      <c r="F645" s="75"/>
      <c r="G645" s="75"/>
      <c r="H645" s="75"/>
      <c r="I645" s="75"/>
      <c r="J645" s="75"/>
      <c r="K645" s="75"/>
      <c r="L645" s="229"/>
      <c r="M645" s="229"/>
      <c r="N645" s="229"/>
      <c r="O645" s="75"/>
      <c r="P645" s="75"/>
      <c r="Q645" s="75"/>
      <c r="R645" s="75"/>
      <c r="S645" s="75"/>
      <c r="W645" s="80"/>
      <c r="X645" s="80"/>
      <c r="Y645" s="80"/>
      <c r="AG645" s="150">
        <f t="shared" si="33"/>
        <v>2850</v>
      </c>
      <c r="AT645" s="140"/>
    </row>
    <row r="646" spans="6:46">
      <c r="F646" s="75"/>
      <c r="G646" s="75"/>
      <c r="H646" s="75"/>
      <c r="I646" s="75"/>
      <c r="J646" s="75"/>
      <c r="K646" s="75"/>
      <c r="L646" s="229"/>
      <c r="M646" s="229"/>
      <c r="N646" s="229"/>
      <c r="O646" s="75"/>
      <c r="P646" s="75"/>
      <c r="Q646" s="75"/>
      <c r="R646" s="75"/>
      <c r="S646" s="75"/>
      <c r="W646" s="80"/>
      <c r="X646" s="80"/>
      <c r="Y646" s="80"/>
      <c r="AG646" s="150">
        <f t="shared" si="33"/>
        <v>2880</v>
      </c>
      <c r="AT646" s="140"/>
    </row>
    <row r="647" spans="6:46">
      <c r="F647" s="75"/>
      <c r="G647" s="75"/>
      <c r="H647" s="75"/>
      <c r="I647" s="75"/>
      <c r="J647" s="75"/>
      <c r="K647" s="75"/>
      <c r="L647" s="229"/>
      <c r="M647" s="229"/>
      <c r="N647" s="229"/>
      <c r="O647" s="75"/>
      <c r="P647" s="75"/>
      <c r="Q647" s="75"/>
      <c r="R647" s="75"/>
      <c r="S647" s="75"/>
      <c r="W647" s="80"/>
      <c r="X647" s="80"/>
      <c r="Y647" s="80"/>
      <c r="AG647" s="150">
        <f t="shared" si="33"/>
        <v>2910</v>
      </c>
      <c r="AT647" s="140"/>
    </row>
    <row r="648" spans="6:46">
      <c r="F648" s="75"/>
      <c r="G648" s="75"/>
      <c r="H648" s="75"/>
      <c r="I648" s="75"/>
      <c r="J648" s="75"/>
      <c r="K648" s="75"/>
      <c r="L648" s="229"/>
      <c r="M648" s="229"/>
      <c r="N648" s="229"/>
      <c r="O648" s="75"/>
      <c r="P648" s="75"/>
      <c r="Q648" s="75"/>
      <c r="R648" s="75"/>
      <c r="S648" s="75"/>
      <c r="W648" s="80"/>
      <c r="X648" s="80"/>
      <c r="Y648" s="80"/>
      <c r="AG648" s="150">
        <f t="shared" si="33"/>
        <v>2940</v>
      </c>
      <c r="AT648" s="140"/>
    </row>
    <row r="649" spans="6:46">
      <c r="F649" s="75"/>
      <c r="G649" s="75"/>
      <c r="H649" s="75"/>
      <c r="I649" s="75"/>
      <c r="J649" s="75"/>
      <c r="K649" s="75"/>
      <c r="L649" s="229"/>
      <c r="M649" s="229"/>
      <c r="N649" s="229"/>
      <c r="O649" s="75"/>
      <c r="P649" s="75"/>
      <c r="Q649" s="75"/>
      <c r="R649" s="75"/>
      <c r="S649" s="75"/>
      <c r="W649" s="80"/>
      <c r="X649" s="80"/>
      <c r="Y649" s="80"/>
      <c r="AG649" s="150">
        <f t="shared" si="33"/>
        <v>2970</v>
      </c>
      <c r="AT649" s="140"/>
    </row>
    <row r="650" spans="6:46">
      <c r="F650" s="75"/>
      <c r="G650" s="75"/>
      <c r="H650" s="75"/>
      <c r="I650" s="75"/>
      <c r="J650" s="75"/>
      <c r="K650" s="75"/>
      <c r="L650" s="229"/>
      <c r="M650" s="229"/>
      <c r="N650" s="229"/>
      <c r="O650" s="75"/>
      <c r="P650" s="75"/>
      <c r="Q650" s="75"/>
      <c r="R650" s="75"/>
      <c r="S650" s="75"/>
      <c r="W650" s="80"/>
      <c r="X650" s="80"/>
      <c r="Y650" s="80"/>
      <c r="AG650" s="150">
        <f t="shared" si="33"/>
        <v>3000</v>
      </c>
      <c r="AT650" s="140"/>
    </row>
    <row r="651" spans="6:46">
      <c r="F651" s="75"/>
      <c r="G651" s="75"/>
      <c r="H651" s="75"/>
      <c r="I651" s="75"/>
      <c r="J651" s="75"/>
      <c r="K651" s="75"/>
      <c r="L651" s="229"/>
      <c r="M651" s="229"/>
      <c r="N651" s="229"/>
      <c r="O651" s="75"/>
      <c r="P651" s="75"/>
      <c r="Q651" s="75"/>
      <c r="R651" s="75"/>
      <c r="S651" s="75"/>
      <c r="W651" s="80"/>
      <c r="X651" s="80"/>
      <c r="Y651" s="80"/>
      <c r="AG651" s="150">
        <f t="shared" si="33"/>
        <v>3030</v>
      </c>
      <c r="AT651" s="140"/>
    </row>
    <row r="652" spans="6:46">
      <c r="F652" s="75"/>
      <c r="G652" s="75"/>
      <c r="H652" s="75"/>
      <c r="I652" s="75"/>
      <c r="J652" s="75"/>
      <c r="K652" s="75"/>
      <c r="L652" s="229"/>
      <c r="M652" s="229"/>
      <c r="N652" s="229"/>
      <c r="O652" s="75"/>
      <c r="P652" s="75"/>
      <c r="Q652" s="75"/>
      <c r="R652" s="75"/>
      <c r="S652" s="75"/>
      <c r="W652" s="80"/>
      <c r="X652" s="80"/>
      <c r="Y652" s="80"/>
      <c r="AG652" s="150">
        <f t="shared" si="33"/>
        <v>3060</v>
      </c>
      <c r="AT652" s="140"/>
    </row>
    <row r="653" spans="6:46">
      <c r="F653" s="75"/>
      <c r="G653" s="75"/>
      <c r="H653" s="75"/>
      <c r="I653" s="75"/>
      <c r="J653" s="75"/>
      <c r="K653" s="75"/>
      <c r="L653" s="229"/>
      <c r="M653" s="229"/>
      <c r="N653" s="229"/>
      <c r="O653" s="75"/>
      <c r="P653" s="75"/>
      <c r="Q653" s="75"/>
      <c r="R653" s="75"/>
      <c r="S653" s="75"/>
      <c r="W653" s="80"/>
      <c r="X653" s="80"/>
      <c r="Y653" s="80"/>
      <c r="AG653" s="150">
        <f t="shared" si="33"/>
        <v>3090</v>
      </c>
      <c r="AT653" s="140"/>
    </row>
    <row r="654" spans="6:46">
      <c r="F654" s="75"/>
      <c r="G654" s="75"/>
      <c r="H654" s="75"/>
      <c r="I654" s="75"/>
      <c r="J654" s="75"/>
      <c r="K654" s="75"/>
      <c r="L654" s="229"/>
      <c r="M654" s="229"/>
      <c r="N654" s="229"/>
      <c r="O654" s="75"/>
      <c r="P654" s="75"/>
      <c r="Q654" s="75"/>
      <c r="R654" s="75"/>
      <c r="S654" s="75"/>
      <c r="W654" s="80"/>
      <c r="X654" s="80"/>
      <c r="Y654" s="80"/>
      <c r="AG654" s="150">
        <f t="shared" si="33"/>
        <v>3120</v>
      </c>
      <c r="AT654" s="140"/>
    </row>
    <row r="655" spans="6:46">
      <c r="F655" s="75"/>
      <c r="G655" s="75"/>
      <c r="H655" s="75"/>
      <c r="I655" s="75"/>
      <c r="J655" s="75"/>
      <c r="K655" s="75"/>
      <c r="L655" s="229"/>
      <c r="M655" s="229"/>
      <c r="N655" s="229"/>
      <c r="O655" s="75"/>
      <c r="P655" s="75"/>
      <c r="Q655" s="75"/>
      <c r="R655" s="75"/>
      <c r="S655" s="75"/>
      <c r="W655" s="80"/>
      <c r="X655" s="80"/>
      <c r="Y655" s="80"/>
      <c r="AG655" s="150">
        <f t="shared" si="33"/>
        <v>3150</v>
      </c>
      <c r="AT655" s="140"/>
    </row>
    <row r="656" spans="6:46">
      <c r="F656" s="75"/>
      <c r="G656" s="75"/>
      <c r="H656" s="75"/>
      <c r="I656" s="75"/>
      <c r="J656" s="75"/>
      <c r="K656" s="75"/>
      <c r="L656" s="229"/>
      <c r="M656" s="229"/>
      <c r="N656" s="229"/>
      <c r="O656" s="75"/>
      <c r="P656" s="75"/>
      <c r="Q656" s="75"/>
      <c r="R656" s="75"/>
      <c r="S656" s="75"/>
      <c r="W656" s="80"/>
      <c r="X656" s="80"/>
      <c r="Y656" s="80"/>
      <c r="AG656" s="150">
        <f t="shared" si="33"/>
        <v>3180</v>
      </c>
      <c r="AT656" s="140"/>
    </row>
    <row r="657" spans="6:46">
      <c r="F657" s="75"/>
      <c r="G657" s="75"/>
      <c r="H657" s="75"/>
      <c r="I657" s="75"/>
      <c r="J657" s="75"/>
      <c r="K657" s="75"/>
      <c r="L657" s="229"/>
      <c r="M657" s="229"/>
      <c r="N657" s="229"/>
      <c r="O657" s="75"/>
      <c r="P657" s="75"/>
      <c r="Q657" s="75"/>
      <c r="R657" s="75"/>
      <c r="S657" s="75"/>
      <c r="W657" s="80"/>
      <c r="X657" s="80"/>
      <c r="Y657" s="80"/>
      <c r="AG657" s="150">
        <f t="shared" si="33"/>
        <v>3210</v>
      </c>
      <c r="AT657" s="140"/>
    </row>
    <row r="658" spans="6:46">
      <c r="F658" s="75"/>
      <c r="G658" s="75"/>
      <c r="H658" s="75"/>
      <c r="I658" s="75"/>
      <c r="J658" s="75"/>
      <c r="K658" s="75"/>
      <c r="L658" s="229"/>
      <c r="M658" s="229"/>
      <c r="N658" s="229"/>
      <c r="O658" s="75"/>
      <c r="P658" s="75"/>
      <c r="Q658" s="75"/>
      <c r="R658" s="75"/>
      <c r="S658" s="75"/>
      <c r="W658" s="80"/>
      <c r="X658" s="80"/>
      <c r="Y658" s="80"/>
      <c r="AG658" s="150">
        <f t="shared" si="33"/>
        <v>3240</v>
      </c>
      <c r="AT658" s="140"/>
    </row>
    <row r="659" spans="6:46">
      <c r="F659" s="75"/>
      <c r="G659" s="75"/>
      <c r="H659" s="75"/>
      <c r="I659" s="75"/>
      <c r="J659" s="75"/>
      <c r="K659" s="75"/>
      <c r="L659" s="229"/>
      <c r="M659" s="229"/>
      <c r="N659" s="229"/>
      <c r="O659" s="75"/>
      <c r="P659" s="75"/>
      <c r="Q659" s="75"/>
      <c r="R659" s="75"/>
      <c r="S659" s="75"/>
      <c r="W659" s="80"/>
      <c r="X659" s="80"/>
      <c r="Y659" s="80"/>
      <c r="AG659" s="150">
        <f t="shared" si="33"/>
        <v>3270</v>
      </c>
      <c r="AT659" s="140"/>
    </row>
    <row r="660" spans="6:46">
      <c r="F660" s="75"/>
      <c r="G660" s="75"/>
      <c r="H660" s="75"/>
      <c r="I660" s="75"/>
      <c r="J660" s="75"/>
      <c r="K660" s="75"/>
      <c r="L660" s="229"/>
      <c r="M660" s="229"/>
      <c r="N660" s="229"/>
      <c r="O660" s="75"/>
      <c r="P660" s="75"/>
      <c r="Q660" s="75"/>
      <c r="R660" s="75"/>
      <c r="S660" s="75"/>
      <c r="W660" s="80"/>
      <c r="X660" s="80"/>
      <c r="Y660" s="80"/>
      <c r="AG660" s="150">
        <f t="shared" si="33"/>
        <v>3300</v>
      </c>
      <c r="AT660" s="140"/>
    </row>
    <row r="661" spans="6:46">
      <c r="F661" s="75"/>
      <c r="G661" s="75"/>
      <c r="H661" s="75"/>
      <c r="I661" s="75"/>
      <c r="J661" s="75"/>
      <c r="K661" s="75"/>
      <c r="L661" s="229"/>
      <c r="M661" s="229"/>
      <c r="N661" s="229"/>
      <c r="O661" s="75"/>
      <c r="P661" s="75"/>
      <c r="Q661" s="75"/>
      <c r="R661" s="75"/>
      <c r="S661" s="75"/>
      <c r="W661" s="80"/>
      <c r="X661" s="80"/>
      <c r="Y661" s="80"/>
      <c r="AG661" s="150">
        <f t="shared" si="33"/>
        <v>3330</v>
      </c>
      <c r="AT661" s="140"/>
    </row>
    <row r="662" spans="6:46">
      <c r="F662" s="75"/>
      <c r="G662" s="75"/>
      <c r="H662" s="75"/>
      <c r="I662" s="75"/>
      <c r="J662" s="75"/>
      <c r="K662" s="75"/>
      <c r="L662" s="229"/>
      <c r="M662" s="229"/>
      <c r="N662" s="229"/>
      <c r="O662" s="75"/>
      <c r="P662" s="75"/>
      <c r="Q662" s="75"/>
      <c r="R662" s="75"/>
      <c r="S662" s="75"/>
      <c r="W662" s="80"/>
      <c r="X662" s="80"/>
      <c r="Y662" s="80"/>
      <c r="AG662" s="150">
        <f t="shared" si="33"/>
        <v>3360</v>
      </c>
      <c r="AT662" s="140"/>
    </row>
    <row r="663" spans="6:46">
      <c r="F663" s="75"/>
      <c r="G663" s="75"/>
      <c r="H663" s="75"/>
      <c r="I663" s="75"/>
      <c r="J663" s="75"/>
      <c r="K663" s="75"/>
      <c r="L663" s="229"/>
      <c r="M663" s="229"/>
      <c r="N663" s="229"/>
      <c r="O663" s="75"/>
      <c r="P663" s="75"/>
      <c r="Q663" s="75"/>
      <c r="R663" s="75"/>
      <c r="S663" s="75"/>
      <c r="W663" s="80"/>
      <c r="X663" s="80"/>
      <c r="Y663" s="80"/>
      <c r="AG663" s="150">
        <f t="shared" si="33"/>
        <v>3390</v>
      </c>
      <c r="AT663" s="140"/>
    </row>
    <row r="664" spans="6:46">
      <c r="F664" s="75"/>
      <c r="G664" s="75"/>
      <c r="H664" s="75"/>
      <c r="I664" s="75"/>
      <c r="J664" s="75"/>
      <c r="K664" s="75"/>
      <c r="L664" s="229"/>
      <c r="M664" s="229"/>
      <c r="N664" s="229"/>
      <c r="O664" s="75"/>
      <c r="P664" s="75"/>
      <c r="Q664" s="75"/>
      <c r="R664" s="75"/>
      <c r="S664" s="75"/>
      <c r="W664" s="80"/>
      <c r="X664" s="80"/>
      <c r="Y664" s="80"/>
      <c r="AG664" s="150">
        <f t="shared" si="33"/>
        <v>3420</v>
      </c>
      <c r="AT664" s="140"/>
    </row>
    <row r="665" spans="6:46">
      <c r="F665" s="75"/>
      <c r="G665" s="75"/>
      <c r="H665" s="75"/>
      <c r="I665" s="75"/>
      <c r="J665" s="75"/>
      <c r="K665" s="75"/>
      <c r="L665" s="229"/>
      <c r="M665" s="229"/>
      <c r="N665" s="229"/>
      <c r="O665" s="75"/>
      <c r="P665" s="75"/>
      <c r="Q665" s="75"/>
      <c r="R665" s="75"/>
      <c r="S665" s="75"/>
      <c r="W665" s="80"/>
      <c r="X665" s="80"/>
      <c r="Y665" s="80"/>
      <c r="AG665" s="150">
        <f t="shared" si="33"/>
        <v>3450</v>
      </c>
      <c r="AT665" s="140"/>
    </row>
    <row r="666" spans="6:46">
      <c r="F666" s="75"/>
      <c r="G666" s="75"/>
      <c r="H666" s="75"/>
      <c r="I666" s="75"/>
      <c r="J666" s="75"/>
      <c r="K666" s="75"/>
      <c r="L666" s="229"/>
      <c r="M666" s="229"/>
      <c r="N666" s="229"/>
      <c r="O666" s="75"/>
      <c r="P666" s="75"/>
      <c r="Q666" s="75"/>
      <c r="R666" s="75"/>
      <c r="S666" s="75"/>
      <c r="W666" s="80"/>
      <c r="X666" s="80"/>
      <c r="Y666" s="80"/>
      <c r="AG666" s="150">
        <f t="shared" si="33"/>
        <v>3480</v>
      </c>
      <c r="AT666" s="140"/>
    </row>
    <row r="667" spans="6:46">
      <c r="F667" s="75"/>
      <c r="G667" s="75"/>
      <c r="H667" s="75"/>
      <c r="I667" s="75"/>
      <c r="J667" s="75"/>
      <c r="K667" s="75"/>
      <c r="L667" s="229"/>
      <c r="M667" s="229"/>
      <c r="N667" s="229"/>
      <c r="O667" s="75"/>
      <c r="P667" s="75"/>
      <c r="Q667" s="75"/>
      <c r="R667" s="75"/>
      <c r="S667" s="75"/>
      <c r="W667" s="80"/>
      <c r="X667" s="80"/>
      <c r="Y667" s="80"/>
      <c r="AG667" s="150">
        <f t="shared" si="33"/>
        <v>3510</v>
      </c>
      <c r="AT667" s="140"/>
    </row>
    <row r="668" spans="6:46">
      <c r="F668" s="75"/>
      <c r="G668" s="75"/>
      <c r="H668" s="75"/>
      <c r="I668" s="75"/>
      <c r="J668" s="75"/>
      <c r="K668" s="75"/>
      <c r="L668" s="229"/>
      <c r="M668" s="229"/>
      <c r="N668" s="229"/>
      <c r="O668" s="75"/>
      <c r="P668" s="75"/>
      <c r="Q668" s="75"/>
      <c r="R668" s="75"/>
      <c r="S668" s="75"/>
      <c r="W668" s="80"/>
      <c r="X668" s="80"/>
      <c r="Y668" s="80"/>
      <c r="AG668" s="150">
        <f t="shared" si="33"/>
        <v>3540</v>
      </c>
      <c r="AT668" s="140"/>
    </row>
    <row r="669" spans="6:46">
      <c r="F669" s="75"/>
      <c r="G669" s="75"/>
      <c r="H669" s="75"/>
      <c r="I669" s="75"/>
      <c r="J669" s="75"/>
      <c r="K669" s="75"/>
      <c r="L669" s="229"/>
      <c r="M669" s="229"/>
      <c r="N669" s="229"/>
      <c r="O669" s="75"/>
      <c r="P669" s="75"/>
      <c r="Q669" s="75"/>
      <c r="R669" s="75"/>
      <c r="S669" s="75"/>
      <c r="W669" s="80"/>
      <c r="X669" s="80"/>
      <c r="Y669" s="80"/>
      <c r="AG669" s="150">
        <f t="shared" si="33"/>
        <v>3570</v>
      </c>
      <c r="AT669" s="140"/>
    </row>
    <row r="670" spans="6:46">
      <c r="F670" s="75"/>
      <c r="G670" s="75"/>
      <c r="H670" s="75"/>
      <c r="I670" s="75"/>
      <c r="J670" s="75"/>
      <c r="K670" s="75"/>
      <c r="L670" s="229"/>
      <c r="M670" s="229"/>
      <c r="N670" s="229"/>
      <c r="O670" s="75"/>
      <c r="P670" s="75"/>
      <c r="Q670" s="75"/>
      <c r="R670" s="75"/>
      <c r="S670" s="75"/>
      <c r="W670" s="80"/>
      <c r="X670" s="80"/>
      <c r="Y670" s="80"/>
      <c r="AG670" s="150">
        <f t="shared" si="33"/>
        <v>3600</v>
      </c>
      <c r="AT670" s="140"/>
    </row>
    <row r="671" spans="6:46">
      <c r="F671" s="75"/>
      <c r="G671" s="75"/>
      <c r="H671" s="75"/>
      <c r="I671" s="75"/>
      <c r="J671" s="75"/>
      <c r="K671" s="75"/>
      <c r="L671" s="229"/>
      <c r="M671" s="229"/>
      <c r="N671" s="229"/>
      <c r="O671" s="75"/>
      <c r="P671" s="75"/>
      <c r="Q671" s="75"/>
      <c r="R671" s="75"/>
      <c r="S671" s="75"/>
      <c r="W671" s="80"/>
      <c r="X671" s="80"/>
      <c r="Y671" s="80"/>
      <c r="AG671" s="150">
        <f t="shared" si="33"/>
        <v>3630</v>
      </c>
      <c r="AT671" s="140"/>
    </row>
    <row r="672" spans="6:46">
      <c r="F672" s="75"/>
      <c r="G672" s="75"/>
      <c r="H672" s="75"/>
      <c r="I672" s="75"/>
      <c r="J672" s="75"/>
      <c r="K672" s="75"/>
      <c r="L672" s="229"/>
      <c r="M672" s="229"/>
      <c r="N672" s="229"/>
      <c r="O672" s="75"/>
      <c r="P672" s="75"/>
      <c r="Q672" s="75"/>
      <c r="R672" s="75"/>
      <c r="S672" s="75"/>
      <c r="W672" s="80"/>
      <c r="X672" s="80"/>
      <c r="Y672" s="80"/>
      <c r="AG672" s="150">
        <f t="shared" si="33"/>
        <v>3660</v>
      </c>
      <c r="AT672" s="140"/>
    </row>
    <row r="673" spans="6:46">
      <c r="F673" s="75"/>
      <c r="G673" s="75"/>
      <c r="H673" s="75"/>
      <c r="I673" s="75"/>
      <c r="J673" s="75"/>
      <c r="K673" s="75"/>
      <c r="L673" s="229"/>
      <c r="M673" s="229"/>
      <c r="N673" s="229"/>
      <c r="O673" s="75"/>
      <c r="P673" s="75"/>
      <c r="Q673" s="75"/>
      <c r="R673" s="75"/>
      <c r="S673" s="75"/>
      <c r="W673" s="80"/>
      <c r="X673" s="80"/>
      <c r="Y673" s="80"/>
      <c r="AG673" s="150">
        <f t="shared" ref="AG673:AG736" si="34">AG672+30</f>
        <v>3690</v>
      </c>
      <c r="AT673" s="140"/>
    </row>
    <row r="674" spans="6:46">
      <c r="F674" s="75"/>
      <c r="G674" s="75"/>
      <c r="H674" s="75"/>
      <c r="I674" s="75"/>
      <c r="J674" s="75"/>
      <c r="K674" s="75"/>
      <c r="L674" s="229"/>
      <c r="M674" s="229"/>
      <c r="N674" s="229"/>
      <c r="O674" s="75"/>
      <c r="P674" s="75"/>
      <c r="Q674" s="75"/>
      <c r="R674" s="75"/>
      <c r="S674" s="75"/>
      <c r="W674" s="80"/>
      <c r="X674" s="80"/>
      <c r="Y674" s="80"/>
      <c r="AG674" s="150">
        <f t="shared" si="34"/>
        <v>3720</v>
      </c>
      <c r="AT674" s="140"/>
    </row>
    <row r="675" spans="6:46">
      <c r="F675" s="75"/>
      <c r="G675" s="75"/>
      <c r="H675" s="75"/>
      <c r="I675" s="75"/>
      <c r="J675" s="75"/>
      <c r="K675" s="75"/>
      <c r="L675" s="229"/>
      <c r="M675" s="229"/>
      <c r="N675" s="229"/>
      <c r="O675" s="75"/>
      <c r="P675" s="75"/>
      <c r="Q675" s="75"/>
      <c r="R675" s="75"/>
      <c r="S675" s="75"/>
      <c r="W675" s="80"/>
      <c r="X675" s="80"/>
      <c r="Y675" s="80"/>
      <c r="AG675" s="150">
        <f t="shared" si="34"/>
        <v>3750</v>
      </c>
      <c r="AT675" s="140"/>
    </row>
    <row r="676" spans="6:46">
      <c r="F676" s="75"/>
      <c r="G676" s="75"/>
      <c r="H676" s="75"/>
      <c r="I676" s="75"/>
      <c r="J676" s="75"/>
      <c r="K676" s="75"/>
      <c r="L676" s="229"/>
      <c r="M676" s="229"/>
      <c r="N676" s="229"/>
      <c r="O676" s="75"/>
      <c r="P676" s="75"/>
      <c r="Q676" s="75"/>
      <c r="R676" s="75"/>
      <c r="S676" s="75"/>
      <c r="W676" s="80"/>
      <c r="X676" s="80"/>
      <c r="Y676" s="80"/>
      <c r="AG676" s="150">
        <f t="shared" si="34"/>
        <v>3780</v>
      </c>
      <c r="AT676" s="140"/>
    </row>
    <row r="677" spans="6:46">
      <c r="F677" s="75"/>
      <c r="G677" s="75"/>
      <c r="H677" s="75"/>
      <c r="I677" s="75"/>
      <c r="J677" s="75"/>
      <c r="K677" s="75"/>
      <c r="L677" s="229"/>
      <c r="M677" s="229"/>
      <c r="N677" s="229"/>
      <c r="O677" s="75"/>
      <c r="P677" s="75"/>
      <c r="Q677" s="75"/>
      <c r="R677" s="75"/>
      <c r="S677" s="75"/>
      <c r="W677" s="80"/>
      <c r="X677" s="80"/>
      <c r="Y677" s="80"/>
      <c r="AG677" s="150">
        <f t="shared" si="34"/>
        <v>3810</v>
      </c>
      <c r="AT677" s="140"/>
    </row>
    <row r="678" spans="6:46">
      <c r="F678" s="75"/>
      <c r="G678" s="75"/>
      <c r="H678" s="75"/>
      <c r="I678" s="75"/>
      <c r="J678" s="75"/>
      <c r="K678" s="75"/>
      <c r="L678" s="229"/>
      <c r="M678" s="229"/>
      <c r="N678" s="229"/>
      <c r="O678" s="75"/>
      <c r="P678" s="75"/>
      <c r="Q678" s="75"/>
      <c r="R678" s="75"/>
      <c r="S678" s="75"/>
      <c r="W678" s="80"/>
      <c r="X678" s="80"/>
      <c r="Y678" s="80"/>
      <c r="AG678" s="150">
        <f t="shared" si="34"/>
        <v>3840</v>
      </c>
      <c r="AT678" s="140"/>
    </row>
    <row r="679" spans="6:46">
      <c r="F679" s="75"/>
      <c r="G679" s="75"/>
      <c r="H679" s="75"/>
      <c r="I679" s="75"/>
      <c r="J679" s="75"/>
      <c r="K679" s="75"/>
      <c r="L679" s="229"/>
      <c r="M679" s="229"/>
      <c r="N679" s="229"/>
      <c r="O679" s="75"/>
      <c r="P679" s="75"/>
      <c r="Q679" s="75"/>
      <c r="R679" s="75"/>
      <c r="S679" s="75"/>
      <c r="W679" s="80"/>
      <c r="X679" s="80"/>
      <c r="Y679" s="80"/>
      <c r="AG679" s="150">
        <f t="shared" si="34"/>
        <v>3870</v>
      </c>
      <c r="AT679" s="140"/>
    </row>
    <row r="680" spans="6:46">
      <c r="F680" s="75"/>
      <c r="G680" s="75"/>
      <c r="H680" s="75"/>
      <c r="I680" s="75"/>
      <c r="J680" s="75"/>
      <c r="K680" s="75"/>
      <c r="L680" s="229"/>
      <c r="M680" s="229"/>
      <c r="N680" s="229"/>
      <c r="O680" s="75"/>
      <c r="P680" s="75"/>
      <c r="Q680" s="75"/>
      <c r="R680" s="75"/>
      <c r="S680" s="75"/>
      <c r="W680" s="80"/>
      <c r="X680" s="80"/>
      <c r="Y680" s="80"/>
      <c r="AG680" s="150">
        <f t="shared" si="34"/>
        <v>3900</v>
      </c>
      <c r="AT680" s="140"/>
    </row>
    <row r="681" spans="6:46">
      <c r="F681" s="75"/>
      <c r="G681" s="75"/>
      <c r="H681" s="75"/>
      <c r="I681" s="75"/>
      <c r="J681" s="75"/>
      <c r="K681" s="75"/>
      <c r="L681" s="229"/>
      <c r="M681" s="229"/>
      <c r="N681" s="229"/>
      <c r="O681" s="75"/>
      <c r="P681" s="75"/>
      <c r="Q681" s="75"/>
      <c r="R681" s="75"/>
      <c r="S681" s="75"/>
      <c r="W681" s="80"/>
      <c r="X681" s="80"/>
      <c r="Y681" s="80"/>
      <c r="AG681" s="150">
        <f t="shared" si="34"/>
        <v>3930</v>
      </c>
      <c r="AT681" s="140"/>
    </row>
    <row r="682" spans="6:46">
      <c r="F682" s="75"/>
      <c r="G682" s="75"/>
      <c r="H682" s="75"/>
      <c r="I682" s="75"/>
      <c r="J682" s="75"/>
      <c r="K682" s="75"/>
      <c r="L682" s="229"/>
      <c r="M682" s="229"/>
      <c r="N682" s="229"/>
      <c r="O682" s="75"/>
      <c r="P682" s="75"/>
      <c r="Q682" s="75"/>
      <c r="R682" s="75"/>
      <c r="S682" s="75"/>
      <c r="W682" s="80"/>
      <c r="X682" s="80"/>
      <c r="Y682" s="80"/>
      <c r="AG682" s="150">
        <f t="shared" si="34"/>
        <v>3960</v>
      </c>
      <c r="AT682" s="140"/>
    </row>
    <row r="683" spans="6:46">
      <c r="F683" s="75"/>
      <c r="G683" s="75"/>
      <c r="H683" s="75"/>
      <c r="I683" s="75"/>
      <c r="J683" s="75"/>
      <c r="K683" s="75"/>
      <c r="L683" s="229"/>
      <c r="M683" s="229"/>
      <c r="N683" s="229"/>
      <c r="O683" s="75"/>
      <c r="P683" s="75"/>
      <c r="Q683" s="75"/>
      <c r="R683" s="75"/>
      <c r="S683" s="75"/>
      <c r="W683" s="80"/>
      <c r="X683" s="80"/>
      <c r="Y683" s="80"/>
      <c r="AG683" s="150">
        <f t="shared" si="34"/>
        <v>3990</v>
      </c>
      <c r="AT683" s="140"/>
    </row>
    <row r="684" spans="6:46">
      <c r="F684" s="75"/>
      <c r="G684" s="75"/>
      <c r="H684" s="75"/>
      <c r="I684" s="75"/>
      <c r="J684" s="75"/>
      <c r="K684" s="75"/>
      <c r="L684" s="229"/>
      <c r="M684" s="229"/>
      <c r="N684" s="229"/>
      <c r="O684" s="75"/>
      <c r="P684" s="75"/>
      <c r="Q684" s="75"/>
      <c r="R684" s="75"/>
      <c r="S684" s="75"/>
      <c r="W684" s="80"/>
      <c r="X684" s="80"/>
      <c r="Y684" s="80"/>
      <c r="AG684" s="150">
        <f t="shared" si="34"/>
        <v>4020</v>
      </c>
      <c r="AT684" s="140"/>
    </row>
    <row r="685" spans="6:46">
      <c r="F685" s="75"/>
      <c r="G685" s="75"/>
      <c r="H685" s="75"/>
      <c r="I685" s="75"/>
      <c r="J685" s="75"/>
      <c r="K685" s="75"/>
      <c r="L685" s="229"/>
      <c r="M685" s="229"/>
      <c r="N685" s="229"/>
      <c r="O685" s="75"/>
      <c r="P685" s="75"/>
      <c r="Q685" s="75"/>
      <c r="R685" s="75"/>
      <c r="S685" s="75"/>
      <c r="W685" s="80"/>
      <c r="X685" s="80"/>
      <c r="Y685" s="80"/>
      <c r="AG685" s="150">
        <f t="shared" si="34"/>
        <v>4050</v>
      </c>
      <c r="AT685" s="140"/>
    </row>
    <row r="686" spans="6:46">
      <c r="F686" s="75"/>
      <c r="G686" s="75"/>
      <c r="H686" s="75"/>
      <c r="I686" s="75"/>
      <c r="J686" s="75"/>
      <c r="K686" s="75"/>
      <c r="L686" s="229"/>
      <c r="M686" s="229"/>
      <c r="N686" s="229"/>
      <c r="O686" s="75"/>
      <c r="P686" s="75"/>
      <c r="Q686" s="75"/>
      <c r="R686" s="75"/>
      <c r="S686" s="75"/>
      <c r="W686" s="80"/>
      <c r="X686" s="80"/>
      <c r="Y686" s="80"/>
      <c r="AG686" s="150">
        <f t="shared" si="34"/>
        <v>4080</v>
      </c>
      <c r="AT686" s="140"/>
    </row>
    <row r="687" spans="6:46">
      <c r="F687" s="75"/>
      <c r="G687" s="75"/>
      <c r="H687" s="75"/>
      <c r="I687" s="75"/>
      <c r="J687" s="75"/>
      <c r="K687" s="75"/>
      <c r="L687" s="229"/>
      <c r="M687" s="229"/>
      <c r="N687" s="229"/>
      <c r="O687" s="75"/>
      <c r="P687" s="75"/>
      <c r="Q687" s="75"/>
      <c r="R687" s="75"/>
      <c r="S687" s="75"/>
      <c r="W687" s="80"/>
      <c r="X687" s="80"/>
      <c r="Y687" s="80"/>
      <c r="AG687" s="150">
        <f t="shared" si="34"/>
        <v>4110</v>
      </c>
      <c r="AT687" s="140"/>
    </row>
    <row r="688" spans="6:46">
      <c r="F688" s="75"/>
      <c r="G688" s="75"/>
      <c r="H688" s="75"/>
      <c r="I688" s="75"/>
      <c r="J688" s="75"/>
      <c r="K688" s="75"/>
      <c r="L688" s="229"/>
      <c r="M688" s="229"/>
      <c r="N688" s="229"/>
      <c r="O688" s="75"/>
      <c r="P688" s="75"/>
      <c r="Q688" s="75"/>
      <c r="R688" s="75"/>
      <c r="S688" s="75"/>
      <c r="W688" s="80"/>
      <c r="X688" s="80"/>
      <c r="Y688" s="80"/>
      <c r="AG688" s="150">
        <f t="shared" si="34"/>
        <v>4140</v>
      </c>
      <c r="AT688" s="140"/>
    </row>
    <row r="689" spans="6:46">
      <c r="F689" s="75"/>
      <c r="G689" s="75"/>
      <c r="H689" s="75"/>
      <c r="I689" s="75"/>
      <c r="J689" s="75"/>
      <c r="K689" s="75"/>
      <c r="L689" s="229"/>
      <c r="M689" s="229"/>
      <c r="N689" s="229"/>
      <c r="O689" s="75"/>
      <c r="P689" s="75"/>
      <c r="Q689" s="75"/>
      <c r="R689" s="75"/>
      <c r="S689" s="75"/>
      <c r="W689" s="80"/>
      <c r="X689" s="80"/>
      <c r="Y689" s="80"/>
      <c r="AG689" s="150">
        <f t="shared" si="34"/>
        <v>4170</v>
      </c>
      <c r="AT689" s="140"/>
    </row>
    <row r="690" spans="6:46">
      <c r="F690" s="75"/>
      <c r="G690" s="75"/>
      <c r="H690" s="75"/>
      <c r="I690" s="75"/>
      <c r="J690" s="75"/>
      <c r="K690" s="75"/>
      <c r="L690" s="229"/>
      <c r="M690" s="229"/>
      <c r="N690" s="229"/>
      <c r="O690" s="75"/>
      <c r="P690" s="75"/>
      <c r="Q690" s="75"/>
      <c r="R690" s="75"/>
      <c r="S690" s="75"/>
      <c r="W690" s="80"/>
      <c r="X690" s="80"/>
      <c r="Y690" s="80"/>
      <c r="AG690" s="150">
        <f t="shared" si="34"/>
        <v>4200</v>
      </c>
      <c r="AT690" s="140"/>
    </row>
    <row r="691" spans="6:46">
      <c r="F691" s="75"/>
      <c r="G691" s="75"/>
      <c r="H691" s="75"/>
      <c r="I691" s="75"/>
      <c r="J691" s="75"/>
      <c r="K691" s="75"/>
      <c r="L691" s="229"/>
      <c r="M691" s="229"/>
      <c r="N691" s="229"/>
      <c r="O691" s="75"/>
      <c r="P691" s="75"/>
      <c r="Q691" s="75"/>
      <c r="R691" s="75"/>
      <c r="S691" s="75"/>
      <c r="W691" s="80"/>
      <c r="X691" s="80"/>
      <c r="Y691" s="80"/>
      <c r="AG691" s="150">
        <f t="shared" si="34"/>
        <v>4230</v>
      </c>
      <c r="AT691" s="140"/>
    </row>
    <row r="692" spans="6:46">
      <c r="F692" s="75"/>
      <c r="G692" s="75"/>
      <c r="H692" s="75"/>
      <c r="I692" s="75"/>
      <c r="J692" s="75"/>
      <c r="K692" s="75"/>
      <c r="L692" s="229"/>
      <c r="M692" s="229"/>
      <c r="N692" s="229"/>
      <c r="O692" s="75"/>
      <c r="P692" s="75"/>
      <c r="Q692" s="75"/>
      <c r="R692" s="75"/>
      <c r="S692" s="75"/>
      <c r="W692" s="80"/>
      <c r="X692" s="80"/>
      <c r="Y692" s="80"/>
      <c r="AG692" s="150">
        <f t="shared" si="34"/>
        <v>4260</v>
      </c>
      <c r="AT692" s="140"/>
    </row>
    <row r="693" spans="6:46">
      <c r="F693" s="75"/>
      <c r="G693" s="75"/>
      <c r="H693" s="75"/>
      <c r="I693" s="75"/>
      <c r="J693" s="75"/>
      <c r="K693" s="75"/>
      <c r="L693" s="229"/>
      <c r="M693" s="229"/>
      <c r="N693" s="229"/>
      <c r="O693" s="75"/>
      <c r="P693" s="75"/>
      <c r="Q693" s="75"/>
      <c r="R693" s="75"/>
      <c r="S693" s="75"/>
      <c r="W693" s="80"/>
      <c r="X693" s="80"/>
      <c r="Y693" s="80"/>
      <c r="AG693" s="150">
        <f t="shared" si="34"/>
        <v>4290</v>
      </c>
      <c r="AT693" s="140"/>
    </row>
    <row r="694" spans="6:46">
      <c r="F694" s="75"/>
      <c r="G694" s="75"/>
      <c r="H694" s="75"/>
      <c r="I694" s="75"/>
      <c r="J694" s="75"/>
      <c r="K694" s="75"/>
      <c r="L694" s="229"/>
      <c r="M694" s="229"/>
      <c r="N694" s="229"/>
      <c r="O694" s="75"/>
      <c r="P694" s="75"/>
      <c r="Q694" s="75"/>
      <c r="R694" s="75"/>
      <c r="S694" s="75"/>
      <c r="W694" s="80"/>
      <c r="X694" s="80"/>
      <c r="Y694" s="80"/>
      <c r="AG694" s="150">
        <f t="shared" si="34"/>
        <v>4320</v>
      </c>
      <c r="AT694" s="140"/>
    </row>
    <row r="695" spans="6:46">
      <c r="F695" s="75"/>
      <c r="G695" s="75"/>
      <c r="H695" s="75"/>
      <c r="I695" s="75"/>
      <c r="J695" s="75"/>
      <c r="K695" s="75"/>
      <c r="L695" s="229"/>
      <c r="M695" s="229"/>
      <c r="N695" s="229"/>
      <c r="O695" s="75"/>
      <c r="P695" s="75"/>
      <c r="Q695" s="75"/>
      <c r="R695" s="75"/>
      <c r="S695" s="75"/>
      <c r="W695" s="80"/>
      <c r="X695" s="80"/>
      <c r="Y695" s="80"/>
      <c r="AG695" s="150">
        <f t="shared" si="34"/>
        <v>4350</v>
      </c>
      <c r="AT695" s="140"/>
    </row>
    <row r="696" spans="6:46">
      <c r="F696" s="75"/>
      <c r="G696" s="75"/>
      <c r="H696" s="75"/>
      <c r="I696" s="75"/>
      <c r="J696" s="75"/>
      <c r="K696" s="75"/>
      <c r="L696" s="229"/>
      <c r="M696" s="229"/>
      <c r="N696" s="229"/>
      <c r="O696" s="75"/>
      <c r="P696" s="75"/>
      <c r="Q696" s="75"/>
      <c r="R696" s="75"/>
      <c r="S696" s="75"/>
      <c r="W696" s="80"/>
      <c r="X696" s="80"/>
      <c r="Y696" s="80"/>
      <c r="AG696" s="150">
        <f t="shared" si="34"/>
        <v>4380</v>
      </c>
      <c r="AT696" s="140"/>
    </row>
    <row r="697" spans="6:46">
      <c r="F697" s="75"/>
      <c r="G697" s="75"/>
      <c r="H697" s="75"/>
      <c r="I697" s="75"/>
      <c r="J697" s="75"/>
      <c r="K697" s="75"/>
      <c r="L697" s="229"/>
      <c r="M697" s="229"/>
      <c r="N697" s="229"/>
      <c r="O697" s="75"/>
      <c r="P697" s="75"/>
      <c r="Q697" s="75"/>
      <c r="R697" s="75"/>
      <c r="S697" s="75"/>
      <c r="W697" s="80"/>
      <c r="X697" s="80"/>
      <c r="Y697" s="80"/>
      <c r="AG697" s="150">
        <f t="shared" si="34"/>
        <v>4410</v>
      </c>
      <c r="AT697" s="140"/>
    </row>
    <row r="698" spans="6:46">
      <c r="F698" s="75"/>
      <c r="G698" s="75"/>
      <c r="H698" s="75"/>
      <c r="I698" s="75"/>
      <c r="J698" s="75"/>
      <c r="K698" s="75"/>
      <c r="L698" s="229"/>
      <c r="M698" s="229"/>
      <c r="N698" s="229"/>
      <c r="O698" s="75"/>
      <c r="P698" s="75"/>
      <c r="Q698" s="75"/>
      <c r="R698" s="75"/>
      <c r="S698" s="75"/>
      <c r="W698" s="80"/>
      <c r="X698" s="80"/>
      <c r="Y698" s="80"/>
      <c r="AG698" s="150">
        <f t="shared" si="34"/>
        <v>4440</v>
      </c>
      <c r="AT698" s="140"/>
    </row>
    <row r="699" spans="6:46">
      <c r="F699" s="75"/>
      <c r="G699" s="75"/>
      <c r="H699" s="75"/>
      <c r="I699" s="75"/>
      <c r="J699" s="75"/>
      <c r="K699" s="75"/>
      <c r="L699" s="229"/>
      <c r="M699" s="229"/>
      <c r="N699" s="229"/>
      <c r="O699" s="75"/>
      <c r="P699" s="75"/>
      <c r="Q699" s="75"/>
      <c r="R699" s="75"/>
      <c r="S699" s="75"/>
      <c r="W699" s="80"/>
      <c r="X699" s="80"/>
      <c r="Y699" s="80"/>
      <c r="AG699" s="150">
        <f t="shared" si="34"/>
        <v>4470</v>
      </c>
      <c r="AT699" s="140"/>
    </row>
    <row r="700" spans="6:46">
      <c r="F700" s="75"/>
      <c r="G700" s="75"/>
      <c r="H700" s="75"/>
      <c r="I700" s="75"/>
      <c r="J700" s="75"/>
      <c r="K700" s="75"/>
      <c r="L700" s="229"/>
      <c r="M700" s="229"/>
      <c r="N700" s="229"/>
      <c r="O700" s="75"/>
      <c r="P700" s="75"/>
      <c r="Q700" s="75"/>
      <c r="R700" s="75"/>
      <c r="S700" s="75"/>
      <c r="W700" s="80"/>
      <c r="X700" s="80"/>
      <c r="Y700" s="80"/>
      <c r="AG700" s="150">
        <f t="shared" si="34"/>
        <v>4500</v>
      </c>
      <c r="AT700" s="140"/>
    </row>
    <row r="701" spans="6:46">
      <c r="F701" s="75"/>
      <c r="G701" s="75"/>
      <c r="H701" s="75"/>
      <c r="I701" s="75"/>
      <c r="J701" s="75"/>
      <c r="K701" s="75"/>
      <c r="L701" s="229"/>
      <c r="M701" s="229"/>
      <c r="N701" s="229"/>
      <c r="O701" s="75"/>
      <c r="P701" s="75"/>
      <c r="Q701" s="75"/>
      <c r="R701" s="75"/>
      <c r="S701" s="75"/>
      <c r="W701" s="80"/>
      <c r="X701" s="80"/>
      <c r="Y701" s="80"/>
      <c r="AG701" s="150">
        <f t="shared" si="34"/>
        <v>4530</v>
      </c>
      <c r="AT701" s="140"/>
    </row>
    <row r="702" spans="6:46">
      <c r="F702" s="75"/>
      <c r="G702" s="75"/>
      <c r="H702" s="75"/>
      <c r="I702" s="75"/>
      <c r="J702" s="75"/>
      <c r="K702" s="75"/>
      <c r="L702" s="229"/>
      <c r="M702" s="229"/>
      <c r="N702" s="229"/>
      <c r="O702" s="75"/>
      <c r="P702" s="75"/>
      <c r="Q702" s="75"/>
      <c r="R702" s="75"/>
      <c r="S702" s="75"/>
      <c r="W702" s="80"/>
      <c r="X702" s="80"/>
      <c r="Y702" s="80"/>
      <c r="AG702" s="150">
        <f t="shared" si="34"/>
        <v>4560</v>
      </c>
      <c r="AT702" s="140"/>
    </row>
    <row r="703" spans="6:46">
      <c r="F703" s="75"/>
      <c r="G703" s="75"/>
      <c r="H703" s="75"/>
      <c r="I703" s="75"/>
      <c r="J703" s="75"/>
      <c r="K703" s="75"/>
      <c r="L703" s="229"/>
      <c r="M703" s="229"/>
      <c r="N703" s="229"/>
      <c r="O703" s="75"/>
      <c r="P703" s="75"/>
      <c r="Q703" s="75"/>
      <c r="R703" s="75"/>
      <c r="S703" s="75"/>
      <c r="W703" s="80"/>
      <c r="X703" s="80"/>
      <c r="Y703" s="80"/>
      <c r="AG703" s="150">
        <f t="shared" si="34"/>
        <v>4590</v>
      </c>
      <c r="AT703" s="140"/>
    </row>
    <row r="704" spans="6:46">
      <c r="F704" s="75"/>
      <c r="G704" s="75"/>
      <c r="H704" s="75"/>
      <c r="I704" s="75"/>
      <c r="J704" s="75"/>
      <c r="K704" s="75"/>
      <c r="L704" s="229"/>
      <c r="M704" s="229"/>
      <c r="N704" s="229"/>
      <c r="O704" s="75"/>
      <c r="P704" s="75"/>
      <c r="Q704" s="75"/>
      <c r="R704" s="75"/>
      <c r="S704" s="75"/>
      <c r="W704" s="80"/>
      <c r="X704" s="80"/>
      <c r="Y704" s="80"/>
      <c r="AG704" s="150">
        <f t="shared" si="34"/>
        <v>4620</v>
      </c>
      <c r="AT704" s="140"/>
    </row>
    <row r="705" spans="6:46">
      <c r="F705" s="75"/>
      <c r="G705" s="75"/>
      <c r="H705" s="75"/>
      <c r="I705" s="75"/>
      <c r="J705" s="75"/>
      <c r="K705" s="75"/>
      <c r="L705" s="229"/>
      <c r="M705" s="229"/>
      <c r="N705" s="229"/>
      <c r="O705" s="75"/>
      <c r="P705" s="75"/>
      <c r="Q705" s="75"/>
      <c r="R705" s="75"/>
      <c r="S705" s="75"/>
      <c r="W705" s="80"/>
      <c r="X705" s="80"/>
      <c r="Y705" s="80"/>
      <c r="AG705" s="150">
        <f t="shared" si="34"/>
        <v>4650</v>
      </c>
      <c r="AT705" s="140"/>
    </row>
    <row r="706" spans="6:46">
      <c r="F706" s="75"/>
      <c r="G706" s="75"/>
      <c r="H706" s="75"/>
      <c r="I706" s="75"/>
      <c r="J706" s="75"/>
      <c r="K706" s="75"/>
      <c r="L706" s="229"/>
      <c r="M706" s="229"/>
      <c r="N706" s="229"/>
      <c r="O706" s="75"/>
      <c r="P706" s="75"/>
      <c r="Q706" s="75"/>
      <c r="R706" s="75"/>
      <c r="S706" s="75"/>
      <c r="W706" s="80"/>
      <c r="X706" s="80"/>
      <c r="Y706" s="80"/>
      <c r="AG706" s="150">
        <f t="shared" si="34"/>
        <v>4680</v>
      </c>
      <c r="AT706" s="140"/>
    </row>
    <row r="707" spans="6:46">
      <c r="F707" s="75"/>
      <c r="G707" s="75"/>
      <c r="H707" s="75"/>
      <c r="I707" s="75"/>
      <c r="J707" s="75"/>
      <c r="K707" s="75"/>
      <c r="L707" s="229"/>
      <c r="M707" s="229"/>
      <c r="N707" s="229"/>
      <c r="O707" s="75"/>
      <c r="P707" s="75"/>
      <c r="Q707" s="75"/>
      <c r="R707" s="75"/>
      <c r="S707" s="75"/>
      <c r="W707" s="80"/>
      <c r="X707" s="80"/>
      <c r="Y707" s="80"/>
      <c r="AG707" s="150">
        <f t="shared" si="34"/>
        <v>4710</v>
      </c>
      <c r="AT707" s="140"/>
    </row>
    <row r="708" spans="6:46">
      <c r="F708" s="75"/>
      <c r="G708" s="75"/>
      <c r="H708" s="75"/>
      <c r="I708" s="75"/>
      <c r="J708" s="75"/>
      <c r="K708" s="75"/>
      <c r="L708" s="229"/>
      <c r="M708" s="229"/>
      <c r="N708" s="229"/>
      <c r="O708" s="75"/>
      <c r="P708" s="75"/>
      <c r="Q708" s="75"/>
      <c r="R708" s="75"/>
      <c r="S708" s="75"/>
      <c r="W708" s="80"/>
      <c r="X708" s="80"/>
      <c r="Y708" s="80"/>
      <c r="AG708" s="150">
        <f t="shared" si="34"/>
        <v>4740</v>
      </c>
      <c r="AT708" s="140"/>
    </row>
    <row r="709" spans="6:46">
      <c r="F709" s="75"/>
      <c r="G709" s="75"/>
      <c r="H709" s="75"/>
      <c r="I709" s="75"/>
      <c r="J709" s="75"/>
      <c r="K709" s="75"/>
      <c r="L709" s="229"/>
      <c r="M709" s="229"/>
      <c r="N709" s="229"/>
      <c r="O709" s="75"/>
      <c r="P709" s="75"/>
      <c r="Q709" s="75"/>
      <c r="R709" s="75"/>
      <c r="S709" s="75"/>
      <c r="W709" s="80"/>
      <c r="X709" s="80"/>
      <c r="Y709" s="80"/>
      <c r="AG709" s="150">
        <f t="shared" si="34"/>
        <v>4770</v>
      </c>
      <c r="AT709" s="140"/>
    </row>
    <row r="710" spans="6:46">
      <c r="F710" s="75"/>
      <c r="G710" s="75"/>
      <c r="H710" s="75"/>
      <c r="I710" s="75"/>
      <c r="J710" s="75"/>
      <c r="K710" s="75"/>
      <c r="L710" s="229"/>
      <c r="M710" s="229"/>
      <c r="N710" s="229"/>
      <c r="O710" s="75"/>
      <c r="P710" s="75"/>
      <c r="Q710" s="75"/>
      <c r="R710" s="75"/>
      <c r="S710" s="75"/>
      <c r="W710" s="80"/>
      <c r="X710" s="80"/>
      <c r="Y710" s="80"/>
      <c r="AG710" s="150">
        <f t="shared" si="34"/>
        <v>4800</v>
      </c>
      <c r="AT710" s="140"/>
    </row>
    <row r="711" spans="6:46">
      <c r="F711" s="75"/>
      <c r="G711" s="75"/>
      <c r="H711" s="75"/>
      <c r="I711" s="75"/>
      <c r="J711" s="75"/>
      <c r="K711" s="75"/>
      <c r="L711" s="229"/>
      <c r="M711" s="229"/>
      <c r="N711" s="229"/>
      <c r="O711" s="75"/>
      <c r="P711" s="75"/>
      <c r="Q711" s="75"/>
      <c r="R711" s="75"/>
      <c r="S711" s="75"/>
      <c r="W711" s="80"/>
      <c r="X711" s="80"/>
      <c r="Y711" s="80"/>
      <c r="AG711" s="150">
        <f t="shared" si="34"/>
        <v>4830</v>
      </c>
      <c r="AT711" s="140"/>
    </row>
    <row r="712" spans="6:46">
      <c r="F712" s="75"/>
      <c r="G712" s="75"/>
      <c r="H712" s="75"/>
      <c r="I712" s="75"/>
      <c r="J712" s="75"/>
      <c r="K712" s="75"/>
      <c r="L712" s="229"/>
      <c r="M712" s="229"/>
      <c r="N712" s="229"/>
      <c r="O712" s="75"/>
      <c r="P712" s="75"/>
      <c r="Q712" s="75"/>
      <c r="R712" s="75"/>
      <c r="S712" s="75"/>
      <c r="W712" s="80"/>
      <c r="X712" s="80"/>
      <c r="Y712" s="80"/>
      <c r="AG712" s="150">
        <f t="shared" si="34"/>
        <v>4860</v>
      </c>
      <c r="AT712" s="140"/>
    </row>
    <row r="713" spans="6:46">
      <c r="F713" s="75"/>
      <c r="G713" s="75"/>
      <c r="H713" s="75"/>
      <c r="I713" s="75"/>
      <c r="J713" s="75"/>
      <c r="K713" s="75"/>
      <c r="L713" s="229"/>
      <c r="M713" s="229"/>
      <c r="N713" s="229"/>
      <c r="O713" s="75"/>
      <c r="P713" s="75"/>
      <c r="Q713" s="75"/>
      <c r="R713" s="75"/>
      <c r="S713" s="75"/>
      <c r="W713" s="80"/>
      <c r="X713" s="80"/>
      <c r="Y713" s="80"/>
      <c r="AG713" s="150">
        <f t="shared" si="34"/>
        <v>4890</v>
      </c>
      <c r="AT713" s="140"/>
    </row>
    <row r="714" spans="6:46">
      <c r="F714" s="75"/>
      <c r="G714" s="75"/>
      <c r="H714" s="75"/>
      <c r="I714" s="75"/>
      <c r="J714" s="75"/>
      <c r="K714" s="75"/>
      <c r="L714" s="229"/>
      <c r="M714" s="229"/>
      <c r="N714" s="229"/>
      <c r="O714" s="75"/>
      <c r="P714" s="75"/>
      <c r="Q714" s="75"/>
      <c r="R714" s="75"/>
      <c r="S714" s="75"/>
      <c r="W714" s="80"/>
      <c r="X714" s="80"/>
      <c r="Y714" s="80"/>
      <c r="AG714" s="150">
        <f t="shared" si="34"/>
        <v>4920</v>
      </c>
      <c r="AT714" s="140"/>
    </row>
    <row r="715" spans="6:46">
      <c r="F715" s="75"/>
      <c r="G715" s="75"/>
      <c r="H715" s="75"/>
      <c r="I715" s="75"/>
      <c r="J715" s="75"/>
      <c r="K715" s="75"/>
      <c r="L715" s="229"/>
      <c r="M715" s="229"/>
      <c r="N715" s="229"/>
      <c r="O715" s="75"/>
      <c r="P715" s="75"/>
      <c r="Q715" s="75"/>
      <c r="R715" s="75"/>
      <c r="S715" s="75"/>
      <c r="W715" s="80"/>
      <c r="X715" s="80"/>
      <c r="Y715" s="80"/>
      <c r="AG715" s="150">
        <f t="shared" si="34"/>
        <v>4950</v>
      </c>
      <c r="AT715" s="140"/>
    </row>
    <row r="716" spans="6:46">
      <c r="F716" s="75"/>
      <c r="G716" s="75"/>
      <c r="H716" s="75"/>
      <c r="I716" s="75"/>
      <c r="J716" s="75"/>
      <c r="K716" s="75"/>
      <c r="L716" s="229"/>
      <c r="M716" s="229"/>
      <c r="N716" s="229"/>
      <c r="O716" s="75"/>
      <c r="P716" s="75"/>
      <c r="Q716" s="75"/>
      <c r="R716" s="75"/>
      <c r="S716" s="75"/>
      <c r="W716" s="80"/>
      <c r="X716" s="80"/>
      <c r="Y716" s="80"/>
      <c r="AG716" s="150">
        <f t="shared" si="34"/>
        <v>4980</v>
      </c>
      <c r="AT716" s="140"/>
    </row>
    <row r="717" spans="6:46">
      <c r="F717" s="75"/>
      <c r="G717" s="75"/>
      <c r="H717" s="75"/>
      <c r="I717" s="75"/>
      <c r="J717" s="75"/>
      <c r="K717" s="75"/>
      <c r="L717" s="229"/>
      <c r="M717" s="229"/>
      <c r="N717" s="229"/>
      <c r="O717" s="75"/>
      <c r="P717" s="75"/>
      <c r="Q717" s="75"/>
      <c r="R717" s="75"/>
      <c r="S717" s="75"/>
      <c r="W717" s="80"/>
      <c r="X717" s="80"/>
      <c r="Y717" s="80"/>
      <c r="AG717" s="150">
        <f t="shared" si="34"/>
        <v>5010</v>
      </c>
      <c r="AT717" s="140"/>
    </row>
    <row r="718" spans="6:46">
      <c r="F718" s="75"/>
      <c r="G718" s="75"/>
      <c r="H718" s="75"/>
      <c r="I718" s="75"/>
      <c r="J718" s="75"/>
      <c r="K718" s="75"/>
      <c r="L718" s="229"/>
      <c r="M718" s="229"/>
      <c r="N718" s="229"/>
      <c r="O718" s="75"/>
      <c r="P718" s="75"/>
      <c r="Q718" s="75"/>
      <c r="R718" s="75"/>
      <c r="S718" s="75"/>
      <c r="W718" s="80"/>
      <c r="X718" s="80"/>
      <c r="Y718" s="80"/>
      <c r="AG718" s="150">
        <f t="shared" si="34"/>
        <v>5040</v>
      </c>
      <c r="AT718" s="140"/>
    </row>
    <row r="719" spans="6:46">
      <c r="F719" s="75"/>
      <c r="G719" s="75"/>
      <c r="H719" s="75"/>
      <c r="I719" s="75"/>
      <c r="J719" s="75"/>
      <c r="K719" s="75"/>
      <c r="L719" s="229"/>
      <c r="M719" s="229"/>
      <c r="N719" s="229"/>
      <c r="O719" s="75"/>
      <c r="P719" s="75"/>
      <c r="Q719" s="75"/>
      <c r="R719" s="75"/>
      <c r="S719" s="75"/>
      <c r="W719" s="80"/>
      <c r="X719" s="80"/>
      <c r="Y719" s="80"/>
      <c r="AG719" s="150">
        <f t="shared" si="34"/>
        <v>5070</v>
      </c>
      <c r="AT719" s="140"/>
    </row>
    <row r="720" spans="6:46">
      <c r="F720" s="75"/>
      <c r="G720" s="75"/>
      <c r="H720" s="75"/>
      <c r="I720" s="75"/>
      <c r="J720" s="75"/>
      <c r="K720" s="75"/>
      <c r="L720" s="229"/>
      <c r="M720" s="229"/>
      <c r="N720" s="229"/>
      <c r="O720" s="75"/>
      <c r="P720" s="75"/>
      <c r="Q720" s="75"/>
      <c r="R720" s="75"/>
      <c r="S720" s="75"/>
      <c r="W720" s="80"/>
      <c r="X720" s="80"/>
      <c r="Y720" s="80"/>
      <c r="AG720" s="150">
        <f t="shared" si="34"/>
        <v>5100</v>
      </c>
      <c r="AT720" s="140"/>
    </row>
    <row r="721" spans="6:46">
      <c r="F721" s="75"/>
      <c r="G721" s="75"/>
      <c r="H721" s="75"/>
      <c r="I721" s="75"/>
      <c r="J721" s="75"/>
      <c r="K721" s="75"/>
      <c r="L721" s="229"/>
      <c r="M721" s="229"/>
      <c r="N721" s="229"/>
      <c r="O721" s="75"/>
      <c r="P721" s="75"/>
      <c r="Q721" s="75"/>
      <c r="R721" s="75"/>
      <c r="S721" s="75"/>
      <c r="W721" s="80"/>
      <c r="X721" s="80"/>
      <c r="Y721" s="80"/>
      <c r="AG721" s="150">
        <f t="shared" si="34"/>
        <v>5130</v>
      </c>
      <c r="AT721" s="140"/>
    </row>
    <row r="722" spans="6:46">
      <c r="F722" s="75"/>
      <c r="G722" s="75"/>
      <c r="H722" s="75"/>
      <c r="I722" s="75"/>
      <c r="J722" s="75"/>
      <c r="K722" s="75"/>
      <c r="L722" s="229"/>
      <c r="M722" s="229"/>
      <c r="N722" s="229"/>
      <c r="O722" s="75"/>
      <c r="P722" s="75"/>
      <c r="Q722" s="75"/>
      <c r="R722" s="75"/>
      <c r="S722" s="75"/>
      <c r="W722" s="80"/>
      <c r="X722" s="80"/>
      <c r="Y722" s="80"/>
      <c r="AG722" s="150">
        <f t="shared" si="34"/>
        <v>5160</v>
      </c>
      <c r="AT722" s="140"/>
    </row>
    <row r="723" spans="6:46">
      <c r="F723" s="75"/>
      <c r="G723" s="75"/>
      <c r="H723" s="75"/>
      <c r="I723" s="75"/>
      <c r="J723" s="75"/>
      <c r="K723" s="75"/>
      <c r="L723" s="229"/>
      <c r="M723" s="229"/>
      <c r="N723" s="229"/>
      <c r="O723" s="75"/>
      <c r="P723" s="75"/>
      <c r="Q723" s="75"/>
      <c r="R723" s="75"/>
      <c r="S723" s="75"/>
      <c r="W723" s="80"/>
      <c r="X723" s="80"/>
      <c r="Y723" s="80"/>
      <c r="AG723" s="150">
        <f t="shared" si="34"/>
        <v>5190</v>
      </c>
      <c r="AT723" s="140"/>
    </row>
    <row r="724" spans="6:46">
      <c r="F724" s="75"/>
      <c r="G724" s="75"/>
      <c r="H724" s="75"/>
      <c r="I724" s="75"/>
      <c r="J724" s="75"/>
      <c r="K724" s="75"/>
      <c r="L724" s="229"/>
      <c r="M724" s="229"/>
      <c r="N724" s="229"/>
      <c r="O724" s="75"/>
      <c r="P724" s="75"/>
      <c r="Q724" s="75"/>
      <c r="R724" s="75"/>
      <c r="S724" s="75"/>
      <c r="W724" s="80"/>
      <c r="X724" s="80"/>
      <c r="Y724" s="80"/>
      <c r="AG724" s="150">
        <f t="shared" si="34"/>
        <v>5220</v>
      </c>
      <c r="AT724" s="140"/>
    </row>
    <row r="725" spans="6:46">
      <c r="F725" s="75"/>
      <c r="G725" s="75"/>
      <c r="H725" s="75"/>
      <c r="I725" s="75"/>
      <c r="J725" s="75"/>
      <c r="K725" s="75"/>
      <c r="L725" s="229"/>
      <c r="M725" s="229"/>
      <c r="N725" s="229"/>
      <c r="O725" s="75"/>
      <c r="P725" s="75"/>
      <c r="Q725" s="75"/>
      <c r="R725" s="75"/>
      <c r="S725" s="75"/>
      <c r="W725" s="80"/>
      <c r="X725" s="80"/>
      <c r="Y725" s="80"/>
      <c r="AG725" s="150">
        <f t="shared" si="34"/>
        <v>5250</v>
      </c>
      <c r="AT725" s="140"/>
    </row>
    <row r="726" spans="6:46">
      <c r="F726" s="75"/>
      <c r="G726" s="75"/>
      <c r="H726" s="75"/>
      <c r="I726" s="75"/>
      <c r="J726" s="75"/>
      <c r="K726" s="75"/>
      <c r="L726" s="229"/>
      <c r="M726" s="229"/>
      <c r="N726" s="229"/>
      <c r="O726" s="75"/>
      <c r="P726" s="75"/>
      <c r="Q726" s="75"/>
      <c r="R726" s="75"/>
      <c r="S726" s="75"/>
      <c r="W726" s="80"/>
      <c r="X726" s="80"/>
      <c r="Y726" s="80"/>
      <c r="AG726" s="150">
        <f t="shared" si="34"/>
        <v>5280</v>
      </c>
      <c r="AT726" s="140"/>
    </row>
    <row r="727" spans="6:46">
      <c r="F727" s="75"/>
      <c r="G727" s="75"/>
      <c r="H727" s="75"/>
      <c r="I727" s="75"/>
      <c r="J727" s="75"/>
      <c r="K727" s="75"/>
      <c r="L727" s="229"/>
      <c r="M727" s="229"/>
      <c r="N727" s="229"/>
      <c r="O727" s="75"/>
      <c r="P727" s="75"/>
      <c r="Q727" s="75"/>
      <c r="R727" s="75"/>
      <c r="S727" s="75"/>
      <c r="W727" s="80"/>
      <c r="X727" s="80"/>
      <c r="Y727" s="80"/>
      <c r="AG727" s="150">
        <f t="shared" si="34"/>
        <v>5310</v>
      </c>
      <c r="AT727" s="140"/>
    </row>
    <row r="728" spans="6:46">
      <c r="F728" s="75"/>
      <c r="G728" s="75"/>
      <c r="H728" s="75"/>
      <c r="I728" s="75"/>
      <c r="J728" s="75"/>
      <c r="K728" s="75"/>
      <c r="L728" s="229"/>
      <c r="M728" s="229"/>
      <c r="N728" s="229"/>
      <c r="O728" s="75"/>
      <c r="P728" s="75"/>
      <c r="Q728" s="75"/>
      <c r="R728" s="75"/>
      <c r="S728" s="75"/>
      <c r="W728" s="80"/>
      <c r="X728" s="80"/>
      <c r="Y728" s="80"/>
      <c r="AG728" s="150">
        <f t="shared" si="34"/>
        <v>5340</v>
      </c>
      <c r="AT728" s="140"/>
    </row>
    <row r="729" spans="6:46">
      <c r="F729" s="75"/>
      <c r="G729" s="75"/>
      <c r="H729" s="75"/>
      <c r="I729" s="75"/>
      <c r="J729" s="75"/>
      <c r="K729" s="75"/>
      <c r="L729" s="229"/>
      <c r="M729" s="229"/>
      <c r="N729" s="229"/>
      <c r="O729" s="75"/>
      <c r="P729" s="75"/>
      <c r="Q729" s="75"/>
      <c r="R729" s="75"/>
      <c r="S729" s="75"/>
      <c r="W729" s="80"/>
      <c r="X729" s="80"/>
      <c r="Y729" s="80"/>
      <c r="AG729" s="150">
        <f t="shared" si="34"/>
        <v>5370</v>
      </c>
      <c r="AT729" s="140"/>
    </row>
    <row r="730" spans="6:46">
      <c r="F730" s="75"/>
      <c r="G730" s="75"/>
      <c r="H730" s="75"/>
      <c r="I730" s="75"/>
      <c r="J730" s="75"/>
      <c r="K730" s="75"/>
      <c r="L730" s="229"/>
      <c r="M730" s="229"/>
      <c r="N730" s="229"/>
      <c r="O730" s="75"/>
      <c r="P730" s="75"/>
      <c r="Q730" s="75"/>
      <c r="R730" s="75"/>
      <c r="S730" s="75"/>
      <c r="W730" s="80"/>
      <c r="X730" s="80"/>
      <c r="Y730" s="80"/>
      <c r="AG730" s="150">
        <f t="shared" si="34"/>
        <v>5400</v>
      </c>
      <c r="AT730" s="140"/>
    </row>
    <row r="731" spans="6:46">
      <c r="F731" s="75"/>
      <c r="G731" s="75"/>
      <c r="H731" s="75"/>
      <c r="I731" s="75"/>
      <c r="J731" s="75"/>
      <c r="K731" s="75"/>
      <c r="L731" s="229"/>
      <c r="M731" s="229"/>
      <c r="N731" s="229"/>
      <c r="O731" s="75"/>
      <c r="P731" s="75"/>
      <c r="Q731" s="75"/>
      <c r="R731" s="75"/>
      <c r="S731" s="75"/>
      <c r="W731" s="80"/>
      <c r="X731" s="80"/>
      <c r="Y731" s="80"/>
      <c r="AG731" s="150">
        <f t="shared" si="34"/>
        <v>5430</v>
      </c>
      <c r="AT731" s="140"/>
    </row>
    <row r="732" spans="6:46">
      <c r="F732" s="75"/>
      <c r="G732" s="75"/>
      <c r="H732" s="75"/>
      <c r="I732" s="75"/>
      <c r="J732" s="75"/>
      <c r="K732" s="75"/>
      <c r="L732" s="229"/>
      <c r="M732" s="229"/>
      <c r="N732" s="229"/>
      <c r="O732" s="75"/>
      <c r="P732" s="75"/>
      <c r="Q732" s="75"/>
      <c r="R732" s="75"/>
      <c r="S732" s="75"/>
      <c r="W732" s="80"/>
      <c r="X732" s="80"/>
      <c r="Y732" s="80"/>
      <c r="AG732" s="150">
        <f t="shared" si="34"/>
        <v>5460</v>
      </c>
      <c r="AT732" s="140"/>
    </row>
    <row r="733" spans="6:46">
      <c r="F733" s="75"/>
      <c r="G733" s="75"/>
      <c r="H733" s="75"/>
      <c r="I733" s="75"/>
      <c r="J733" s="75"/>
      <c r="K733" s="75"/>
      <c r="L733" s="229"/>
      <c r="M733" s="229"/>
      <c r="N733" s="229"/>
      <c r="O733" s="75"/>
      <c r="P733" s="75"/>
      <c r="Q733" s="75"/>
      <c r="R733" s="75"/>
      <c r="S733" s="75"/>
      <c r="W733" s="80"/>
      <c r="X733" s="80"/>
      <c r="Y733" s="80"/>
      <c r="AG733" s="150">
        <f t="shared" si="34"/>
        <v>5490</v>
      </c>
      <c r="AT733" s="140"/>
    </row>
    <row r="734" spans="6:46">
      <c r="F734" s="75"/>
      <c r="G734" s="75"/>
      <c r="H734" s="75"/>
      <c r="I734" s="75"/>
      <c r="J734" s="75"/>
      <c r="K734" s="75"/>
      <c r="L734" s="229"/>
      <c r="M734" s="229"/>
      <c r="N734" s="229"/>
      <c r="O734" s="75"/>
      <c r="P734" s="75"/>
      <c r="Q734" s="75"/>
      <c r="R734" s="75"/>
      <c r="S734" s="75"/>
      <c r="W734" s="80"/>
      <c r="X734" s="80"/>
      <c r="Y734" s="80"/>
      <c r="AG734" s="150">
        <f t="shared" si="34"/>
        <v>5520</v>
      </c>
      <c r="AT734" s="140"/>
    </row>
    <row r="735" spans="6:46">
      <c r="F735" s="75"/>
      <c r="G735" s="75"/>
      <c r="H735" s="75"/>
      <c r="I735" s="75"/>
      <c r="J735" s="75"/>
      <c r="K735" s="75"/>
      <c r="L735" s="229"/>
      <c r="M735" s="229"/>
      <c r="N735" s="229"/>
      <c r="O735" s="75"/>
      <c r="P735" s="75"/>
      <c r="Q735" s="75"/>
      <c r="R735" s="75"/>
      <c r="S735" s="75"/>
      <c r="W735" s="80"/>
      <c r="X735" s="80"/>
      <c r="Y735" s="80"/>
      <c r="AG735" s="150">
        <f t="shared" si="34"/>
        <v>5550</v>
      </c>
      <c r="AT735" s="140"/>
    </row>
    <row r="736" spans="6:46">
      <c r="F736" s="75"/>
      <c r="G736" s="75"/>
      <c r="H736" s="75"/>
      <c r="I736" s="75"/>
      <c r="J736" s="75"/>
      <c r="K736" s="75"/>
      <c r="L736" s="229"/>
      <c r="M736" s="229"/>
      <c r="N736" s="229"/>
      <c r="O736" s="75"/>
      <c r="P736" s="75"/>
      <c r="Q736" s="75"/>
      <c r="R736" s="75"/>
      <c r="S736" s="75"/>
      <c r="W736" s="80"/>
      <c r="X736" s="80"/>
      <c r="Y736" s="80"/>
      <c r="AG736" s="150">
        <f t="shared" si="34"/>
        <v>5580</v>
      </c>
      <c r="AT736" s="140"/>
    </row>
    <row r="737" spans="6:46">
      <c r="F737" s="75"/>
      <c r="G737" s="75"/>
      <c r="H737" s="75"/>
      <c r="I737" s="75"/>
      <c r="J737" s="75"/>
      <c r="K737" s="75"/>
      <c r="L737" s="229"/>
      <c r="M737" s="229"/>
      <c r="N737" s="229"/>
      <c r="O737" s="75"/>
      <c r="P737" s="75"/>
      <c r="Q737" s="75"/>
      <c r="R737" s="75"/>
      <c r="S737" s="75"/>
      <c r="W737" s="80"/>
      <c r="X737" s="80"/>
      <c r="Y737" s="80"/>
      <c r="AG737" s="150">
        <f t="shared" ref="AG737:AG800" si="35">AG736+30</f>
        <v>5610</v>
      </c>
      <c r="AT737" s="140"/>
    </row>
    <row r="738" spans="6:46">
      <c r="F738" s="75"/>
      <c r="G738" s="75"/>
      <c r="H738" s="75"/>
      <c r="I738" s="75"/>
      <c r="J738" s="75"/>
      <c r="K738" s="75"/>
      <c r="L738" s="229"/>
      <c r="M738" s="229"/>
      <c r="N738" s="229"/>
      <c r="O738" s="75"/>
      <c r="P738" s="75"/>
      <c r="Q738" s="75"/>
      <c r="R738" s="75"/>
      <c r="S738" s="75"/>
      <c r="W738" s="80"/>
      <c r="X738" s="80"/>
      <c r="Y738" s="80"/>
      <c r="AG738" s="150">
        <f t="shared" si="35"/>
        <v>5640</v>
      </c>
      <c r="AT738" s="140"/>
    </row>
    <row r="739" spans="6:46">
      <c r="F739" s="75"/>
      <c r="G739" s="75"/>
      <c r="H739" s="75"/>
      <c r="I739" s="75"/>
      <c r="J739" s="75"/>
      <c r="K739" s="75"/>
      <c r="L739" s="229"/>
      <c r="M739" s="229"/>
      <c r="N739" s="229"/>
      <c r="O739" s="75"/>
      <c r="P739" s="75"/>
      <c r="Q739" s="75"/>
      <c r="R739" s="75"/>
      <c r="S739" s="75"/>
      <c r="W739" s="80"/>
      <c r="X739" s="80"/>
      <c r="Y739" s="80"/>
      <c r="AG739" s="150">
        <f t="shared" si="35"/>
        <v>5670</v>
      </c>
      <c r="AT739" s="140"/>
    </row>
    <row r="740" spans="6:46">
      <c r="F740" s="75"/>
      <c r="G740" s="75"/>
      <c r="H740" s="75"/>
      <c r="I740" s="75"/>
      <c r="J740" s="75"/>
      <c r="K740" s="75"/>
      <c r="L740" s="229"/>
      <c r="M740" s="229"/>
      <c r="N740" s="229"/>
      <c r="O740" s="75"/>
      <c r="P740" s="75"/>
      <c r="Q740" s="75"/>
      <c r="R740" s="75"/>
      <c r="S740" s="75"/>
      <c r="W740" s="80"/>
      <c r="X740" s="80"/>
      <c r="Y740" s="80"/>
      <c r="AG740" s="150">
        <f t="shared" si="35"/>
        <v>5700</v>
      </c>
      <c r="AT740" s="140"/>
    </row>
    <row r="741" spans="6:46">
      <c r="F741" s="75"/>
      <c r="G741" s="75"/>
      <c r="H741" s="75"/>
      <c r="I741" s="75"/>
      <c r="J741" s="75"/>
      <c r="K741" s="75"/>
      <c r="L741" s="229"/>
      <c r="M741" s="229"/>
      <c r="N741" s="229"/>
      <c r="O741" s="75"/>
      <c r="P741" s="75"/>
      <c r="Q741" s="75"/>
      <c r="R741" s="75"/>
      <c r="S741" s="75"/>
      <c r="W741" s="80"/>
      <c r="X741" s="80"/>
      <c r="Y741" s="80"/>
      <c r="AG741" s="150">
        <f t="shared" si="35"/>
        <v>5730</v>
      </c>
      <c r="AT741" s="140"/>
    </row>
    <row r="742" spans="6:46">
      <c r="F742" s="75"/>
      <c r="G742" s="75"/>
      <c r="H742" s="75"/>
      <c r="I742" s="75"/>
      <c r="J742" s="75"/>
      <c r="K742" s="75"/>
      <c r="L742" s="229"/>
      <c r="M742" s="229"/>
      <c r="N742" s="229"/>
      <c r="O742" s="75"/>
      <c r="P742" s="75"/>
      <c r="Q742" s="75"/>
      <c r="R742" s="75"/>
      <c r="S742" s="75"/>
      <c r="W742" s="80"/>
      <c r="X742" s="80"/>
      <c r="Y742" s="80"/>
      <c r="AG742" s="150">
        <f t="shared" si="35"/>
        <v>5760</v>
      </c>
      <c r="AT742" s="140"/>
    </row>
    <row r="743" spans="6:46">
      <c r="F743" s="75"/>
      <c r="G743" s="75"/>
      <c r="H743" s="75"/>
      <c r="I743" s="75"/>
      <c r="J743" s="75"/>
      <c r="K743" s="75"/>
      <c r="L743" s="229"/>
      <c r="M743" s="229"/>
      <c r="N743" s="229"/>
      <c r="O743" s="75"/>
      <c r="P743" s="75"/>
      <c r="Q743" s="75"/>
      <c r="R743" s="75"/>
      <c r="S743" s="75"/>
      <c r="W743" s="80"/>
      <c r="X743" s="80"/>
      <c r="Y743" s="80"/>
      <c r="AG743" s="150">
        <f t="shared" si="35"/>
        <v>5790</v>
      </c>
      <c r="AT743" s="140"/>
    </row>
    <row r="744" spans="6:46">
      <c r="F744" s="75"/>
      <c r="G744" s="75"/>
      <c r="H744" s="75"/>
      <c r="I744" s="75"/>
      <c r="J744" s="75"/>
      <c r="K744" s="75"/>
      <c r="L744" s="229"/>
      <c r="M744" s="229"/>
      <c r="N744" s="229"/>
      <c r="O744" s="75"/>
      <c r="P744" s="75"/>
      <c r="Q744" s="75"/>
      <c r="R744" s="75"/>
      <c r="S744" s="75"/>
      <c r="W744" s="80"/>
      <c r="X744" s="80"/>
      <c r="Y744" s="80"/>
      <c r="AG744" s="150">
        <f t="shared" si="35"/>
        <v>5820</v>
      </c>
      <c r="AT744" s="140"/>
    </row>
    <row r="745" spans="6:46">
      <c r="F745" s="75"/>
      <c r="G745" s="75"/>
      <c r="H745" s="75"/>
      <c r="I745" s="75"/>
      <c r="J745" s="75"/>
      <c r="K745" s="75"/>
      <c r="L745" s="229"/>
      <c r="M745" s="229"/>
      <c r="N745" s="229"/>
      <c r="O745" s="75"/>
      <c r="P745" s="75"/>
      <c r="Q745" s="75"/>
      <c r="R745" s="75"/>
      <c r="S745" s="75"/>
      <c r="W745" s="80"/>
      <c r="X745" s="80"/>
      <c r="Y745" s="80"/>
      <c r="AG745" s="150">
        <f t="shared" si="35"/>
        <v>5850</v>
      </c>
      <c r="AT745" s="140"/>
    </row>
    <row r="746" spans="6:46">
      <c r="F746" s="75"/>
      <c r="G746" s="75"/>
      <c r="H746" s="75"/>
      <c r="I746" s="75"/>
      <c r="J746" s="75"/>
      <c r="K746" s="75"/>
      <c r="L746" s="229"/>
      <c r="M746" s="229"/>
      <c r="N746" s="229"/>
      <c r="O746" s="75"/>
      <c r="P746" s="75"/>
      <c r="Q746" s="75"/>
      <c r="R746" s="75"/>
      <c r="S746" s="75"/>
      <c r="W746" s="80"/>
      <c r="X746" s="80"/>
      <c r="Y746" s="80"/>
      <c r="AG746" s="150">
        <f t="shared" si="35"/>
        <v>5880</v>
      </c>
      <c r="AT746" s="140"/>
    </row>
    <row r="747" spans="6:46">
      <c r="F747" s="75"/>
      <c r="G747" s="75"/>
      <c r="H747" s="75"/>
      <c r="I747" s="75"/>
      <c r="J747" s="75"/>
      <c r="K747" s="75"/>
      <c r="L747" s="229"/>
      <c r="M747" s="229"/>
      <c r="N747" s="229"/>
      <c r="O747" s="75"/>
      <c r="P747" s="75"/>
      <c r="Q747" s="75"/>
      <c r="R747" s="75"/>
      <c r="S747" s="75"/>
      <c r="W747" s="80"/>
      <c r="X747" s="80"/>
      <c r="Y747" s="80"/>
      <c r="AG747" s="150">
        <f t="shared" si="35"/>
        <v>5910</v>
      </c>
      <c r="AT747" s="140"/>
    </row>
    <row r="748" spans="6:46">
      <c r="F748" s="75"/>
      <c r="G748" s="75"/>
      <c r="H748" s="75"/>
      <c r="I748" s="75"/>
      <c r="J748" s="75"/>
      <c r="K748" s="75"/>
      <c r="L748" s="229"/>
      <c r="M748" s="229"/>
      <c r="N748" s="229"/>
      <c r="O748" s="75"/>
      <c r="P748" s="75"/>
      <c r="Q748" s="75"/>
      <c r="R748" s="75"/>
      <c r="S748" s="75"/>
      <c r="W748" s="80"/>
      <c r="X748" s="80"/>
      <c r="Y748" s="80"/>
      <c r="AG748" s="150">
        <f t="shared" si="35"/>
        <v>5940</v>
      </c>
      <c r="AT748" s="140"/>
    </row>
    <row r="749" spans="6:46">
      <c r="F749" s="75"/>
      <c r="G749" s="75"/>
      <c r="H749" s="75"/>
      <c r="I749" s="75"/>
      <c r="J749" s="75"/>
      <c r="K749" s="75"/>
      <c r="L749" s="229"/>
      <c r="M749" s="229"/>
      <c r="N749" s="229"/>
      <c r="O749" s="75"/>
      <c r="P749" s="75"/>
      <c r="Q749" s="75"/>
      <c r="R749" s="75"/>
      <c r="S749" s="75"/>
      <c r="W749" s="80"/>
      <c r="X749" s="80"/>
      <c r="Y749" s="80"/>
      <c r="AG749" s="150">
        <f t="shared" si="35"/>
        <v>5970</v>
      </c>
      <c r="AT749" s="140"/>
    </row>
    <row r="750" spans="6:46">
      <c r="F750" s="75"/>
      <c r="G750" s="75"/>
      <c r="H750" s="75"/>
      <c r="I750" s="75"/>
      <c r="J750" s="75"/>
      <c r="K750" s="75"/>
      <c r="L750" s="229"/>
      <c r="M750" s="229"/>
      <c r="N750" s="229"/>
      <c r="O750" s="75"/>
      <c r="P750" s="75"/>
      <c r="Q750" s="75"/>
      <c r="R750" s="75"/>
      <c r="S750" s="75"/>
      <c r="W750" s="80"/>
      <c r="X750" s="80"/>
      <c r="Y750" s="80"/>
      <c r="AG750" s="150">
        <f t="shared" si="35"/>
        <v>6000</v>
      </c>
      <c r="AT750" s="140"/>
    </row>
    <row r="751" spans="6:46">
      <c r="F751" s="75"/>
      <c r="G751" s="75"/>
      <c r="H751" s="75"/>
      <c r="I751" s="75"/>
      <c r="J751" s="75"/>
      <c r="K751" s="75"/>
      <c r="L751" s="229"/>
      <c r="M751" s="229"/>
      <c r="N751" s="229"/>
      <c r="O751" s="75"/>
      <c r="P751" s="75"/>
      <c r="Q751" s="75"/>
      <c r="R751" s="75"/>
      <c r="S751" s="75"/>
      <c r="W751" s="80"/>
      <c r="X751" s="80"/>
      <c r="Y751" s="80"/>
      <c r="AG751" s="150">
        <f t="shared" si="35"/>
        <v>6030</v>
      </c>
      <c r="AT751" s="140"/>
    </row>
    <row r="752" spans="6:46">
      <c r="F752" s="75"/>
      <c r="G752" s="75"/>
      <c r="H752" s="75"/>
      <c r="I752" s="75"/>
      <c r="J752" s="75"/>
      <c r="K752" s="75"/>
      <c r="L752" s="229"/>
      <c r="M752" s="229"/>
      <c r="N752" s="229"/>
      <c r="O752" s="75"/>
      <c r="P752" s="75"/>
      <c r="Q752" s="75"/>
      <c r="R752" s="75"/>
      <c r="S752" s="75"/>
      <c r="W752" s="80"/>
      <c r="X752" s="80"/>
      <c r="Y752" s="80"/>
      <c r="AG752" s="150">
        <f t="shared" si="35"/>
        <v>6060</v>
      </c>
      <c r="AT752" s="140"/>
    </row>
    <row r="753" spans="6:46">
      <c r="F753" s="75"/>
      <c r="G753" s="75"/>
      <c r="H753" s="75"/>
      <c r="I753" s="75"/>
      <c r="J753" s="75"/>
      <c r="K753" s="75"/>
      <c r="L753" s="229"/>
      <c r="M753" s="229"/>
      <c r="N753" s="229"/>
      <c r="O753" s="75"/>
      <c r="P753" s="75"/>
      <c r="Q753" s="75"/>
      <c r="R753" s="75"/>
      <c r="S753" s="75"/>
      <c r="W753" s="80"/>
      <c r="X753" s="80"/>
      <c r="Y753" s="80"/>
      <c r="AG753" s="150">
        <f t="shared" si="35"/>
        <v>6090</v>
      </c>
      <c r="AT753" s="140"/>
    </row>
    <row r="754" spans="6:46">
      <c r="F754" s="75"/>
      <c r="G754" s="75"/>
      <c r="H754" s="75"/>
      <c r="I754" s="75"/>
      <c r="J754" s="75"/>
      <c r="K754" s="75"/>
      <c r="L754" s="229"/>
      <c r="M754" s="229"/>
      <c r="N754" s="229"/>
      <c r="O754" s="75"/>
      <c r="P754" s="75"/>
      <c r="Q754" s="75"/>
      <c r="R754" s="75"/>
      <c r="S754" s="75"/>
      <c r="W754" s="80"/>
      <c r="X754" s="80"/>
      <c r="Y754" s="80"/>
      <c r="AG754" s="150">
        <f t="shared" si="35"/>
        <v>6120</v>
      </c>
      <c r="AT754" s="140"/>
    </row>
    <row r="755" spans="6:46">
      <c r="F755" s="75"/>
      <c r="G755" s="75"/>
      <c r="H755" s="75"/>
      <c r="I755" s="75"/>
      <c r="J755" s="75"/>
      <c r="K755" s="75"/>
      <c r="L755" s="229"/>
      <c r="M755" s="229"/>
      <c r="N755" s="229"/>
      <c r="O755" s="75"/>
      <c r="P755" s="75"/>
      <c r="Q755" s="75"/>
      <c r="R755" s="75"/>
      <c r="S755" s="75"/>
      <c r="W755" s="80"/>
      <c r="X755" s="80"/>
      <c r="Y755" s="80"/>
      <c r="AG755" s="150">
        <f t="shared" si="35"/>
        <v>6150</v>
      </c>
      <c r="AT755" s="140"/>
    </row>
    <row r="756" spans="6:46">
      <c r="F756" s="75"/>
      <c r="G756" s="75"/>
      <c r="H756" s="75"/>
      <c r="I756" s="75"/>
      <c r="J756" s="75"/>
      <c r="K756" s="75"/>
      <c r="L756" s="229"/>
      <c r="M756" s="229"/>
      <c r="N756" s="229"/>
      <c r="O756" s="75"/>
      <c r="P756" s="75"/>
      <c r="Q756" s="75"/>
      <c r="R756" s="75"/>
      <c r="S756" s="75"/>
      <c r="W756" s="80"/>
      <c r="X756" s="80"/>
      <c r="Y756" s="80"/>
      <c r="AG756" s="150">
        <f t="shared" si="35"/>
        <v>6180</v>
      </c>
      <c r="AT756" s="140"/>
    </row>
    <row r="757" spans="6:46">
      <c r="F757" s="75"/>
      <c r="G757" s="75"/>
      <c r="H757" s="75"/>
      <c r="I757" s="75"/>
      <c r="J757" s="75"/>
      <c r="K757" s="75"/>
      <c r="L757" s="229"/>
      <c r="M757" s="229"/>
      <c r="N757" s="229"/>
      <c r="O757" s="75"/>
      <c r="P757" s="75"/>
      <c r="Q757" s="75"/>
      <c r="R757" s="75"/>
      <c r="S757" s="75"/>
      <c r="W757" s="80"/>
      <c r="X757" s="80"/>
      <c r="Y757" s="80"/>
      <c r="AG757" s="150">
        <f t="shared" si="35"/>
        <v>6210</v>
      </c>
      <c r="AT757" s="140"/>
    </row>
    <row r="758" spans="6:46">
      <c r="F758" s="75"/>
      <c r="G758" s="75"/>
      <c r="H758" s="75"/>
      <c r="I758" s="75"/>
      <c r="J758" s="75"/>
      <c r="K758" s="75"/>
      <c r="L758" s="229"/>
      <c r="M758" s="229"/>
      <c r="N758" s="229"/>
      <c r="O758" s="75"/>
      <c r="P758" s="75"/>
      <c r="Q758" s="75"/>
      <c r="R758" s="75"/>
      <c r="S758" s="75"/>
      <c r="W758" s="80"/>
      <c r="X758" s="80"/>
      <c r="Y758" s="80"/>
      <c r="AG758" s="150">
        <f t="shared" si="35"/>
        <v>6240</v>
      </c>
      <c r="AT758" s="140"/>
    </row>
    <row r="759" spans="6:46">
      <c r="F759" s="75"/>
      <c r="G759" s="75"/>
      <c r="H759" s="75"/>
      <c r="I759" s="75"/>
      <c r="J759" s="75"/>
      <c r="K759" s="75"/>
      <c r="L759" s="229"/>
      <c r="M759" s="229"/>
      <c r="N759" s="229"/>
      <c r="O759" s="75"/>
      <c r="P759" s="75"/>
      <c r="Q759" s="75"/>
      <c r="R759" s="75"/>
      <c r="S759" s="75"/>
      <c r="W759" s="80"/>
      <c r="X759" s="80"/>
      <c r="Y759" s="80"/>
      <c r="AG759" s="150">
        <f t="shared" si="35"/>
        <v>6270</v>
      </c>
      <c r="AT759" s="140"/>
    </row>
    <row r="760" spans="6:46">
      <c r="F760" s="75"/>
      <c r="G760" s="75"/>
      <c r="H760" s="75"/>
      <c r="I760" s="75"/>
      <c r="J760" s="75"/>
      <c r="K760" s="75"/>
      <c r="L760" s="229"/>
      <c r="M760" s="229"/>
      <c r="N760" s="229"/>
      <c r="O760" s="75"/>
      <c r="P760" s="75"/>
      <c r="Q760" s="75"/>
      <c r="R760" s="75"/>
      <c r="S760" s="75"/>
      <c r="W760" s="80"/>
      <c r="X760" s="80"/>
      <c r="Y760" s="80"/>
      <c r="AG760" s="150">
        <f t="shared" si="35"/>
        <v>6300</v>
      </c>
      <c r="AT760" s="140"/>
    </row>
    <row r="761" spans="6:46">
      <c r="F761" s="75"/>
      <c r="G761" s="75"/>
      <c r="H761" s="75"/>
      <c r="I761" s="75"/>
      <c r="J761" s="75"/>
      <c r="K761" s="75"/>
      <c r="L761" s="229"/>
      <c r="M761" s="229"/>
      <c r="N761" s="229"/>
      <c r="O761" s="75"/>
      <c r="P761" s="75"/>
      <c r="Q761" s="75"/>
      <c r="R761" s="75"/>
      <c r="S761" s="75"/>
      <c r="W761" s="80"/>
      <c r="X761" s="80"/>
      <c r="Y761" s="80"/>
      <c r="AG761" s="150">
        <f t="shared" si="35"/>
        <v>6330</v>
      </c>
      <c r="AT761" s="140"/>
    </row>
    <row r="762" spans="6:46">
      <c r="F762" s="75"/>
      <c r="G762" s="75"/>
      <c r="H762" s="75"/>
      <c r="I762" s="75"/>
      <c r="J762" s="75"/>
      <c r="K762" s="75"/>
      <c r="L762" s="229"/>
      <c r="M762" s="229"/>
      <c r="N762" s="229"/>
      <c r="O762" s="75"/>
      <c r="P762" s="75"/>
      <c r="Q762" s="75"/>
      <c r="R762" s="75"/>
      <c r="S762" s="75"/>
      <c r="W762" s="80"/>
      <c r="X762" s="80"/>
      <c r="Y762" s="80"/>
      <c r="AG762" s="150">
        <f t="shared" si="35"/>
        <v>6360</v>
      </c>
      <c r="AT762" s="140"/>
    </row>
    <row r="763" spans="6:46">
      <c r="F763" s="75"/>
      <c r="G763" s="75"/>
      <c r="H763" s="75"/>
      <c r="I763" s="75"/>
      <c r="J763" s="75"/>
      <c r="K763" s="75"/>
      <c r="L763" s="229"/>
      <c r="M763" s="229"/>
      <c r="N763" s="229"/>
      <c r="O763" s="75"/>
      <c r="P763" s="75"/>
      <c r="Q763" s="75"/>
      <c r="R763" s="75"/>
      <c r="S763" s="75"/>
      <c r="W763" s="80"/>
      <c r="X763" s="80"/>
      <c r="Y763" s="80"/>
      <c r="AG763" s="150">
        <f t="shared" si="35"/>
        <v>6390</v>
      </c>
      <c r="AT763" s="140"/>
    </row>
    <row r="764" spans="6:46">
      <c r="F764" s="75"/>
      <c r="G764" s="75"/>
      <c r="H764" s="75"/>
      <c r="I764" s="75"/>
      <c r="J764" s="75"/>
      <c r="K764" s="75"/>
      <c r="L764" s="229"/>
      <c r="M764" s="229"/>
      <c r="N764" s="229"/>
      <c r="O764" s="75"/>
      <c r="P764" s="75"/>
      <c r="Q764" s="75"/>
      <c r="R764" s="75"/>
      <c r="S764" s="75"/>
      <c r="W764" s="80"/>
      <c r="X764" s="80"/>
      <c r="Y764" s="80"/>
      <c r="AG764" s="150">
        <f t="shared" si="35"/>
        <v>6420</v>
      </c>
      <c r="AT764" s="140"/>
    </row>
    <row r="765" spans="6:46">
      <c r="F765" s="75"/>
      <c r="G765" s="75"/>
      <c r="H765" s="75"/>
      <c r="I765" s="75"/>
      <c r="J765" s="75"/>
      <c r="K765" s="75"/>
      <c r="L765" s="229"/>
      <c r="M765" s="229"/>
      <c r="N765" s="229"/>
      <c r="O765" s="75"/>
      <c r="P765" s="75"/>
      <c r="Q765" s="75"/>
      <c r="R765" s="75"/>
      <c r="S765" s="75"/>
      <c r="W765" s="80"/>
      <c r="X765" s="80"/>
      <c r="Y765" s="80"/>
      <c r="AG765" s="150">
        <f t="shared" si="35"/>
        <v>6450</v>
      </c>
      <c r="AT765" s="140"/>
    </row>
    <row r="766" spans="6:46">
      <c r="F766" s="75"/>
      <c r="G766" s="75"/>
      <c r="H766" s="75"/>
      <c r="I766" s="75"/>
      <c r="J766" s="75"/>
      <c r="K766" s="75"/>
      <c r="L766" s="229"/>
      <c r="M766" s="229"/>
      <c r="N766" s="229"/>
      <c r="O766" s="75"/>
      <c r="P766" s="75"/>
      <c r="Q766" s="75"/>
      <c r="R766" s="75"/>
      <c r="S766" s="75"/>
      <c r="W766" s="80"/>
      <c r="X766" s="80"/>
      <c r="Y766" s="80"/>
      <c r="AG766" s="150">
        <f t="shared" si="35"/>
        <v>6480</v>
      </c>
      <c r="AT766" s="140"/>
    </row>
    <row r="767" spans="6:46">
      <c r="F767" s="75"/>
      <c r="G767" s="75"/>
      <c r="H767" s="75"/>
      <c r="I767" s="75"/>
      <c r="J767" s="75"/>
      <c r="K767" s="75"/>
      <c r="L767" s="229"/>
      <c r="M767" s="229"/>
      <c r="N767" s="229"/>
      <c r="O767" s="75"/>
      <c r="P767" s="75"/>
      <c r="Q767" s="75"/>
      <c r="R767" s="75"/>
      <c r="S767" s="75"/>
      <c r="W767" s="80"/>
      <c r="X767" s="80"/>
      <c r="Y767" s="80"/>
      <c r="AG767" s="150">
        <f t="shared" si="35"/>
        <v>6510</v>
      </c>
      <c r="AT767" s="140"/>
    </row>
    <row r="768" spans="6:46">
      <c r="F768" s="75"/>
      <c r="G768" s="75"/>
      <c r="H768" s="75"/>
      <c r="I768" s="75"/>
      <c r="J768" s="75"/>
      <c r="K768" s="75"/>
      <c r="L768" s="229"/>
      <c r="M768" s="229"/>
      <c r="N768" s="229"/>
      <c r="O768" s="75"/>
      <c r="P768" s="75"/>
      <c r="Q768" s="75"/>
      <c r="R768" s="75"/>
      <c r="S768" s="75"/>
      <c r="W768" s="80"/>
      <c r="X768" s="80"/>
      <c r="Y768" s="80"/>
      <c r="AG768" s="150">
        <f t="shared" si="35"/>
        <v>6540</v>
      </c>
      <c r="AT768" s="140"/>
    </row>
    <row r="769" spans="6:46">
      <c r="F769" s="75"/>
      <c r="G769" s="75"/>
      <c r="H769" s="75"/>
      <c r="I769" s="75"/>
      <c r="J769" s="75"/>
      <c r="K769" s="75"/>
      <c r="L769" s="229"/>
      <c r="M769" s="229"/>
      <c r="N769" s="229"/>
      <c r="O769" s="75"/>
      <c r="P769" s="75"/>
      <c r="Q769" s="75"/>
      <c r="R769" s="75"/>
      <c r="S769" s="75"/>
      <c r="W769" s="80"/>
      <c r="X769" s="80"/>
      <c r="Y769" s="80"/>
      <c r="AG769" s="150">
        <f t="shared" si="35"/>
        <v>6570</v>
      </c>
      <c r="AT769" s="140"/>
    </row>
    <row r="770" spans="6:46">
      <c r="F770" s="75"/>
      <c r="G770" s="75"/>
      <c r="H770" s="75"/>
      <c r="I770" s="75"/>
      <c r="J770" s="75"/>
      <c r="K770" s="75"/>
      <c r="L770" s="229"/>
      <c r="M770" s="229"/>
      <c r="N770" s="229"/>
      <c r="O770" s="75"/>
      <c r="P770" s="75"/>
      <c r="Q770" s="75"/>
      <c r="R770" s="75"/>
      <c r="S770" s="75"/>
      <c r="W770" s="80"/>
      <c r="X770" s="80"/>
      <c r="Y770" s="80"/>
      <c r="AG770" s="150">
        <f t="shared" si="35"/>
        <v>6600</v>
      </c>
      <c r="AT770" s="140"/>
    </row>
    <row r="771" spans="6:46">
      <c r="F771" s="75"/>
      <c r="G771" s="75"/>
      <c r="H771" s="75"/>
      <c r="I771" s="75"/>
      <c r="J771" s="75"/>
      <c r="K771" s="75"/>
      <c r="L771" s="229"/>
      <c r="M771" s="229"/>
      <c r="N771" s="229"/>
      <c r="O771" s="75"/>
      <c r="P771" s="75"/>
      <c r="Q771" s="75"/>
      <c r="R771" s="75"/>
      <c r="S771" s="75"/>
      <c r="AG771" s="150">
        <f t="shared" si="35"/>
        <v>6630</v>
      </c>
      <c r="AT771" s="140"/>
    </row>
    <row r="772" spans="6:46">
      <c r="F772" s="75"/>
      <c r="G772" s="75"/>
      <c r="H772" s="75"/>
      <c r="I772" s="75"/>
      <c r="J772" s="75"/>
      <c r="K772" s="75"/>
      <c r="L772" s="229"/>
      <c r="M772" s="229"/>
      <c r="N772" s="229"/>
      <c r="O772" s="75"/>
      <c r="P772" s="75"/>
      <c r="Q772" s="75"/>
      <c r="R772" s="75"/>
      <c r="S772" s="75"/>
      <c r="AG772" s="150">
        <f t="shared" si="35"/>
        <v>6660</v>
      </c>
      <c r="AT772" s="140"/>
    </row>
    <row r="773" spans="6:46">
      <c r="F773" s="75"/>
      <c r="G773" s="75"/>
      <c r="H773" s="75"/>
      <c r="I773" s="75"/>
      <c r="J773" s="75"/>
      <c r="K773" s="75"/>
      <c r="L773" s="229"/>
      <c r="M773" s="229"/>
      <c r="N773" s="229"/>
      <c r="O773" s="75"/>
      <c r="P773" s="75"/>
      <c r="Q773" s="75"/>
      <c r="R773" s="75"/>
      <c r="S773" s="75"/>
      <c r="AG773" s="150">
        <f t="shared" si="35"/>
        <v>6690</v>
      </c>
      <c r="AT773" s="140"/>
    </row>
    <row r="774" spans="6:46">
      <c r="F774" s="75"/>
      <c r="G774" s="75"/>
      <c r="H774" s="75"/>
      <c r="I774" s="75"/>
      <c r="J774" s="75"/>
      <c r="K774" s="75"/>
      <c r="L774" s="229"/>
      <c r="M774" s="229"/>
      <c r="N774" s="229"/>
      <c r="O774" s="75"/>
      <c r="P774" s="75"/>
      <c r="Q774" s="75"/>
      <c r="R774" s="75"/>
      <c r="S774" s="75"/>
      <c r="AG774" s="150">
        <f t="shared" si="35"/>
        <v>6720</v>
      </c>
      <c r="AT774" s="140"/>
    </row>
    <row r="775" spans="6:46">
      <c r="F775" s="75"/>
      <c r="G775" s="75"/>
      <c r="H775" s="75"/>
      <c r="I775" s="75"/>
      <c r="J775" s="75"/>
      <c r="K775" s="75"/>
      <c r="L775" s="229"/>
      <c r="M775" s="229"/>
      <c r="N775" s="229"/>
      <c r="O775" s="75"/>
      <c r="P775" s="75"/>
      <c r="Q775" s="75"/>
      <c r="R775" s="75"/>
      <c r="S775" s="75"/>
      <c r="AG775" s="150">
        <f t="shared" si="35"/>
        <v>6750</v>
      </c>
      <c r="AT775" s="140"/>
    </row>
    <row r="776" spans="6:46">
      <c r="F776" s="75"/>
      <c r="G776" s="75"/>
      <c r="H776" s="75"/>
      <c r="I776" s="75"/>
      <c r="J776" s="75"/>
      <c r="K776" s="75"/>
      <c r="L776" s="229"/>
      <c r="M776" s="229"/>
      <c r="N776" s="229"/>
      <c r="O776" s="75"/>
      <c r="P776" s="75"/>
      <c r="Q776" s="75"/>
      <c r="R776" s="75"/>
      <c r="S776" s="75"/>
      <c r="AG776" s="150">
        <f t="shared" si="35"/>
        <v>6780</v>
      </c>
      <c r="AT776" s="140"/>
    </row>
    <row r="777" spans="6:46">
      <c r="F777" s="75"/>
      <c r="G777" s="75"/>
      <c r="H777" s="75"/>
      <c r="I777" s="75"/>
      <c r="J777" s="75"/>
      <c r="K777" s="75"/>
      <c r="L777" s="229"/>
      <c r="M777" s="229"/>
      <c r="N777" s="229"/>
      <c r="O777" s="75"/>
      <c r="P777" s="75"/>
      <c r="Q777" s="75"/>
      <c r="R777" s="75"/>
      <c r="S777" s="75"/>
      <c r="AG777" s="150">
        <f t="shared" si="35"/>
        <v>6810</v>
      </c>
      <c r="AT777" s="140"/>
    </row>
    <row r="778" spans="6:46">
      <c r="F778" s="75"/>
      <c r="G778" s="75"/>
      <c r="H778" s="75"/>
      <c r="I778" s="75"/>
      <c r="J778" s="75"/>
      <c r="K778" s="75"/>
      <c r="L778" s="229"/>
      <c r="M778" s="229"/>
      <c r="N778" s="229"/>
      <c r="O778" s="75"/>
      <c r="P778" s="75"/>
      <c r="Q778" s="75"/>
      <c r="R778" s="75"/>
      <c r="S778" s="75"/>
      <c r="AG778" s="150">
        <f t="shared" si="35"/>
        <v>6840</v>
      </c>
      <c r="AT778" s="140"/>
    </row>
    <row r="779" spans="6:46">
      <c r="F779" s="75"/>
      <c r="G779" s="75"/>
      <c r="H779" s="75"/>
      <c r="I779" s="75"/>
      <c r="J779" s="75"/>
      <c r="K779" s="75"/>
      <c r="L779" s="229"/>
      <c r="M779" s="229"/>
      <c r="N779" s="229"/>
      <c r="O779" s="75"/>
      <c r="P779" s="75"/>
      <c r="Q779" s="75"/>
      <c r="R779" s="75"/>
      <c r="S779" s="75"/>
      <c r="AG779" s="150">
        <f t="shared" si="35"/>
        <v>6870</v>
      </c>
      <c r="AT779" s="140"/>
    </row>
    <row r="780" spans="6:46">
      <c r="F780" s="75"/>
      <c r="G780" s="75"/>
      <c r="H780" s="75"/>
      <c r="I780" s="75"/>
      <c r="J780" s="75"/>
      <c r="K780" s="75"/>
      <c r="L780" s="229"/>
      <c r="M780" s="229"/>
      <c r="N780" s="229"/>
      <c r="O780" s="75"/>
      <c r="P780" s="75"/>
      <c r="Q780" s="75"/>
      <c r="R780" s="75"/>
      <c r="S780" s="75"/>
      <c r="AG780" s="150">
        <f t="shared" si="35"/>
        <v>6900</v>
      </c>
      <c r="AT780" s="140"/>
    </row>
    <row r="781" spans="6:46">
      <c r="F781" s="75"/>
      <c r="G781" s="75"/>
      <c r="H781" s="75"/>
      <c r="I781" s="75"/>
      <c r="J781" s="75"/>
      <c r="K781" s="75"/>
      <c r="L781" s="229"/>
      <c r="M781" s="229"/>
      <c r="N781" s="229"/>
      <c r="O781" s="75"/>
      <c r="P781" s="75"/>
      <c r="Q781" s="75"/>
      <c r="R781" s="75"/>
      <c r="S781" s="75"/>
      <c r="AG781" s="150">
        <f t="shared" si="35"/>
        <v>6930</v>
      </c>
      <c r="AT781" s="140"/>
    </row>
    <row r="782" spans="6:46">
      <c r="F782" s="75"/>
      <c r="G782" s="75"/>
      <c r="H782" s="75"/>
      <c r="I782" s="75"/>
      <c r="J782" s="75"/>
      <c r="K782" s="75"/>
      <c r="L782" s="229"/>
      <c r="M782" s="229"/>
      <c r="N782" s="229"/>
      <c r="O782" s="75"/>
      <c r="P782" s="75"/>
      <c r="Q782" s="75"/>
      <c r="R782" s="75"/>
      <c r="S782" s="75"/>
      <c r="AG782" s="150">
        <f t="shared" si="35"/>
        <v>6960</v>
      </c>
      <c r="AT782" s="140"/>
    </row>
    <row r="783" spans="6:46">
      <c r="F783" s="75"/>
      <c r="G783" s="75"/>
      <c r="H783" s="75"/>
      <c r="I783" s="75"/>
      <c r="J783" s="75"/>
      <c r="K783" s="75"/>
      <c r="L783" s="229"/>
      <c r="M783" s="229"/>
      <c r="N783" s="229"/>
      <c r="O783" s="75"/>
      <c r="P783" s="75"/>
      <c r="Q783" s="75"/>
      <c r="R783" s="75"/>
      <c r="S783" s="75"/>
      <c r="AG783" s="150">
        <f t="shared" si="35"/>
        <v>6990</v>
      </c>
      <c r="AT783" s="140"/>
    </row>
    <row r="784" spans="6:46">
      <c r="F784" s="75"/>
      <c r="G784" s="75"/>
      <c r="H784" s="75"/>
      <c r="I784" s="75"/>
      <c r="J784" s="75"/>
      <c r="K784" s="75"/>
      <c r="L784" s="229"/>
      <c r="M784" s="229"/>
      <c r="N784" s="229"/>
      <c r="O784" s="75"/>
      <c r="P784" s="75"/>
      <c r="Q784" s="75"/>
      <c r="R784" s="75"/>
      <c r="S784" s="75"/>
      <c r="AG784" s="150">
        <f t="shared" si="35"/>
        <v>7020</v>
      </c>
      <c r="AT784" s="140"/>
    </row>
    <row r="785" spans="6:46">
      <c r="F785" s="75"/>
      <c r="G785" s="75"/>
      <c r="H785" s="75"/>
      <c r="I785" s="75"/>
      <c r="J785" s="75"/>
      <c r="K785" s="75"/>
      <c r="L785" s="229"/>
      <c r="M785" s="229"/>
      <c r="N785" s="229"/>
      <c r="O785" s="75"/>
      <c r="P785" s="75"/>
      <c r="Q785" s="75"/>
      <c r="R785" s="75"/>
      <c r="S785" s="75"/>
      <c r="AG785" s="150">
        <f t="shared" si="35"/>
        <v>7050</v>
      </c>
      <c r="AT785" s="140"/>
    </row>
    <row r="786" spans="6:46">
      <c r="F786" s="75"/>
      <c r="G786" s="75"/>
      <c r="H786" s="75"/>
      <c r="I786" s="75"/>
      <c r="J786" s="75"/>
      <c r="K786" s="75"/>
      <c r="L786" s="229"/>
      <c r="M786" s="229"/>
      <c r="N786" s="229"/>
      <c r="O786" s="75"/>
      <c r="P786" s="75"/>
      <c r="Q786" s="75"/>
      <c r="R786" s="75"/>
      <c r="S786" s="75"/>
      <c r="AG786" s="150">
        <f t="shared" si="35"/>
        <v>7080</v>
      </c>
      <c r="AT786" s="140"/>
    </row>
    <row r="787" spans="6:46">
      <c r="F787" s="75"/>
      <c r="G787" s="75"/>
      <c r="H787" s="75"/>
      <c r="I787" s="75"/>
      <c r="J787" s="75"/>
      <c r="K787" s="75"/>
      <c r="L787" s="229"/>
      <c r="M787" s="229"/>
      <c r="N787" s="229"/>
      <c r="O787" s="75"/>
      <c r="P787" s="75"/>
      <c r="Q787" s="75"/>
      <c r="R787" s="75"/>
      <c r="S787" s="75"/>
      <c r="AG787" s="150">
        <f t="shared" si="35"/>
        <v>7110</v>
      </c>
      <c r="AT787" s="140"/>
    </row>
    <row r="788" spans="6:46">
      <c r="F788" s="75"/>
      <c r="G788" s="75"/>
      <c r="H788" s="75"/>
      <c r="I788" s="75"/>
      <c r="J788" s="75"/>
      <c r="K788" s="75"/>
      <c r="L788" s="229"/>
      <c r="M788" s="229"/>
      <c r="N788" s="229"/>
      <c r="O788" s="75"/>
      <c r="P788" s="75"/>
      <c r="Q788" s="75"/>
      <c r="R788" s="75"/>
      <c r="S788" s="75"/>
      <c r="AG788" s="150">
        <f t="shared" si="35"/>
        <v>7140</v>
      </c>
      <c r="AT788" s="140"/>
    </row>
    <row r="789" spans="6:46">
      <c r="F789" s="75"/>
      <c r="G789" s="75"/>
      <c r="H789" s="75"/>
      <c r="I789" s="75"/>
      <c r="J789" s="75"/>
      <c r="K789" s="75"/>
      <c r="L789" s="229"/>
      <c r="M789" s="229"/>
      <c r="N789" s="229"/>
      <c r="O789" s="75"/>
      <c r="P789" s="75"/>
      <c r="Q789" s="75"/>
      <c r="R789" s="75"/>
      <c r="S789" s="75"/>
      <c r="AG789" s="150">
        <f t="shared" si="35"/>
        <v>7170</v>
      </c>
      <c r="AT789" s="140"/>
    </row>
    <row r="790" spans="6:46">
      <c r="F790" s="75"/>
      <c r="G790" s="75"/>
      <c r="H790" s="75"/>
      <c r="I790" s="75"/>
      <c r="J790" s="75"/>
      <c r="K790" s="75"/>
      <c r="L790" s="229"/>
      <c r="M790" s="229"/>
      <c r="N790" s="229"/>
      <c r="O790" s="75"/>
      <c r="P790" s="75"/>
      <c r="Q790" s="75"/>
      <c r="R790" s="75"/>
      <c r="S790" s="75"/>
      <c r="AG790" s="150">
        <f t="shared" si="35"/>
        <v>7200</v>
      </c>
      <c r="AT790" s="140"/>
    </row>
    <row r="791" spans="6:46">
      <c r="F791" s="75"/>
      <c r="G791" s="75"/>
      <c r="H791" s="75"/>
      <c r="I791" s="75"/>
      <c r="J791" s="75"/>
      <c r="K791" s="75"/>
      <c r="L791" s="229"/>
      <c r="M791" s="229"/>
      <c r="N791" s="229"/>
      <c r="O791" s="75"/>
      <c r="P791" s="75"/>
      <c r="Q791" s="75"/>
      <c r="R791" s="75"/>
      <c r="S791" s="75"/>
      <c r="AG791" s="150">
        <f t="shared" si="35"/>
        <v>7230</v>
      </c>
      <c r="AT791" s="140"/>
    </row>
    <row r="792" spans="6:46">
      <c r="F792" s="75"/>
      <c r="G792" s="75"/>
      <c r="H792" s="75"/>
      <c r="I792" s="75"/>
      <c r="J792" s="75"/>
      <c r="K792" s="75"/>
      <c r="L792" s="229"/>
      <c r="M792" s="229"/>
      <c r="N792" s="229"/>
      <c r="O792" s="75"/>
      <c r="P792" s="75"/>
      <c r="Q792" s="75"/>
      <c r="R792" s="75"/>
      <c r="S792" s="75"/>
      <c r="AG792" s="150">
        <f t="shared" si="35"/>
        <v>7260</v>
      </c>
      <c r="AT792" s="140"/>
    </row>
    <row r="793" spans="6:46">
      <c r="F793" s="75"/>
      <c r="G793" s="75"/>
      <c r="H793" s="75"/>
      <c r="I793" s="75"/>
      <c r="J793" s="75"/>
      <c r="K793" s="75"/>
      <c r="L793" s="229"/>
      <c r="M793" s="229"/>
      <c r="N793" s="229"/>
      <c r="O793" s="75"/>
      <c r="P793" s="75"/>
      <c r="Q793" s="75"/>
      <c r="R793" s="75"/>
      <c r="S793" s="75"/>
      <c r="AG793" s="150">
        <f t="shared" si="35"/>
        <v>7290</v>
      </c>
      <c r="AT793" s="140"/>
    </row>
    <row r="794" spans="6:46">
      <c r="F794" s="75"/>
      <c r="G794" s="75"/>
      <c r="H794" s="75"/>
      <c r="I794" s="75"/>
      <c r="J794" s="75"/>
      <c r="K794" s="75"/>
      <c r="L794" s="229"/>
      <c r="M794" s="229"/>
      <c r="N794" s="229"/>
      <c r="O794" s="75"/>
      <c r="P794" s="75"/>
      <c r="Q794" s="75"/>
      <c r="R794" s="75"/>
      <c r="S794" s="75"/>
      <c r="AG794" s="150">
        <f t="shared" si="35"/>
        <v>7320</v>
      </c>
      <c r="AT794" s="140"/>
    </row>
    <row r="795" spans="6:46">
      <c r="F795" s="75"/>
      <c r="G795" s="75"/>
      <c r="H795" s="75"/>
      <c r="I795" s="75"/>
      <c r="J795" s="75"/>
      <c r="K795" s="75"/>
      <c r="L795" s="229"/>
      <c r="M795" s="229"/>
      <c r="N795" s="229"/>
      <c r="O795" s="75"/>
      <c r="P795" s="75"/>
      <c r="Q795" s="75"/>
      <c r="R795" s="75"/>
      <c r="S795" s="75"/>
      <c r="AG795" s="150">
        <f t="shared" si="35"/>
        <v>7350</v>
      </c>
      <c r="AT795" s="140"/>
    </row>
    <row r="796" spans="6:46">
      <c r="F796" s="75"/>
      <c r="G796" s="75"/>
      <c r="H796" s="75"/>
      <c r="I796" s="75"/>
      <c r="J796" s="75"/>
      <c r="K796" s="75"/>
      <c r="L796" s="229"/>
      <c r="M796" s="229"/>
      <c r="N796" s="229"/>
      <c r="O796" s="75"/>
      <c r="P796" s="75"/>
      <c r="Q796" s="75"/>
      <c r="R796" s="75"/>
      <c r="S796" s="75"/>
      <c r="AG796" s="150">
        <f t="shared" si="35"/>
        <v>7380</v>
      </c>
      <c r="AT796" s="140"/>
    </row>
    <row r="797" spans="6:46">
      <c r="F797" s="75"/>
      <c r="G797" s="75"/>
      <c r="H797" s="75"/>
      <c r="I797" s="75"/>
      <c r="J797" s="75"/>
      <c r="K797" s="75"/>
      <c r="L797" s="229"/>
      <c r="M797" s="229"/>
      <c r="N797" s="229"/>
      <c r="O797" s="75"/>
      <c r="P797" s="75"/>
      <c r="Q797" s="75"/>
      <c r="R797" s="75"/>
      <c r="S797" s="75"/>
      <c r="AG797" s="150">
        <f t="shared" si="35"/>
        <v>7410</v>
      </c>
      <c r="AT797" s="140"/>
    </row>
    <row r="798" spans="6:46">
      <c r="F798" s="75"/>
      <c r="G798" s="75"/>
      <c r="H798" s="75"/>
      <c r="I798" s="75"/>
      <c r="J798" s="75"/>
      <c r="K798" s="75"/>
      <c r="L798" s="229"/>
      <c r="M798" s="229"/>
      <c r="N798" s="229"/>
      <c r="O798" s="75"/>
      <c r="P798" s="75"/>
      <c r="Q798" s="75"/>
      <c r="R798" s="75"/>
      <c r="S798" s="75"/>
      <c r="AG798" s="150">
        <f t="shared" si="35"/>
        <v>7440</v>
      </c>
      <c r="AT798" s="140"/>
    </row>
    <row r="799" spans="6:46">
      <c r="F799" s="75"/>
      <c r="G799" s="75"/>
      <c r="H799" s="75"/>
      <c r="I799" s="75"/>
      <c r="J799" s="75"/>
      <c r="K799" s="75"/>
      <c r="L799" s="229"/>
      <c r="M799" s="229"/>
      <c r="N799" s="229"/>
      <c r="O799" s="75"/>
      <c r="P799" s="75"/>
      <c r="Q799" s="75"/>
      <c r="R799" s="75"/>
      <c r="S799" s="75"/>
      <c r="AG799" s="150">
        <f t="shared" si="35"/>
        <v>7470</v>
      </c>
      <c r="AT799" s="140"/>
    </row>
    <row r="800" spans="6:46">
      <c r="F800" s="75"/>
      <c r="G800" s="75"/>
      <c r="H800" s="75"/>
      <c r="I800" s="75"/>
      <c r="J800" s="75"/>
      <c r="K800" s="75"/>
      <c r="L800" s="229"/>
      <c r="M800" s="229"/>
      <c r="N800" s="229"/>
      <c r="O800" s="75"/>
      <c r="P800" s="75"/>
      <c r="Q800" s="75"/>
      <c r="R800" s="75"/>
      <c r="S800" s="75"/>
      <c r="AG800" s="150">
        <f t="shared" si="35"/>
        <v>7500</v>
      </c>
      <c r="AT800" s="140"/>
    </row>
    <row r="801" spans="6:46">
      <c r="F801" s="75"/>
      <c r="G801" s="75"/>
      <c r="H801" s="75"/>
      <c r="I801" s="75"/>
      <c r="J801" s="75"/>
      <c r="K801" s="75"/>
      <c r="L801" s="229"/>
      <c r="M801" s="229"/>
      <c r="N801" s="229"/>
      <c r="O801" s="75"/>
      <c r="P801" s="75"/>
      <c r="Q801" s="75"/>
      <c r="R801" s="75"/>
      <c r="S801" s="75"/>
      <c r="AG801" s="150">
        <f>AG800+30</f>
        <v>7530</v>
      </c>
      <c r="AT801" s="140"/>
    </row>
    <row r="802" spans="6:46">
      <c r="F802" s="75"/>
      <c r="G802" s="75"/>
      <c r="H802" s="75"/>
      <c r="I802" s="75"/>
      <c r="J802" s="75"/>
      <c r="K802" s="75"/>
      <c r="L802" s="229"/>
      <c r="M802" s="229"/>
      <c r="N802" s="229"/>
      <c r="O802" s="75"/>
      <c r="P802" s="75"/>
      <c r="Q802" s="75"/>
      <c r="R802" s="75"/>
      <c r="S802" s="75"/>
      <c r="AG802" s="150">
        <f>AG801+30</f>
        <v>7560</v>
      </c>
      <c r="AT802" s="140"/>
    </row>
    <row r="803" spans="6:46">
      <c r="F803" s="75"/>
      <c r="G803" s="75"/>
      <c r="H803" s="75"/>
      <c r="I803" s="75"/>
      <c r="J803" s="75"/>
      <c r="K803" s="75"/>
      <c r="L803" s="229"/>
      <c r="M803" s="229"/>
      <c r="N803" s="229"/>
      <c r="O803" s="75"/>
      <c r="P803" s="75"/>
      <c r="Q803" s="75"/>
      <c r="R803" s="75"/>
      <c r="S803" s="75"/>
      <c r="AG803" s="150">
        <f>AG802+30</f>
        <v>7590</v>
      </c>
      <c r="AT803" s="140"/>
    </row>
    <row r="804" spans="6:46">
      <c r="F804" s="75"/>
      <c r="G804" s="75"/>
      <c r="H804" s="75"/>
      <c r="I804" s="75"/>
      <c r="J804" s="75"/>
      <c r="K804" s="75"/>
      <c r="L804" s="229"/>
      <c r="M804" s="229"/>
      <c r="N804" s="229"/>
      <c r="O804" s="75"/>
      <c r="P804" s="75"/>
      <c r="Q804" s="75"/>
      <c r="R804" s="75"/>
      <c r="S804" s="75"/>
      <c r="AG804" s="150">
        <f>AG803+30</f>
        <v>7620</v>
      </c>
      <c r="AT804" s="140"/>
    </row>
    <row r="805" spans="6:46">
      <c r="F805" s="75"/>
      <c r="G805" s="75"/>
      <c r="H805" s="75"/>
      <c r="I805" s="75"/>
      <c r="J805" s="75"/>
      <c r="K805" s="75"/>
      <c r="L805" s="229"/>
      <c r="M805" s="229"/>
      <c r="N805" s="229"/>
      <c r="O805" s="75"/>
      <c r="P805" s="75"/>
      <c r="Q805" s="75"/>
      <c r="R805" s="75"/>
      <c r="S805" s="75"/>
      <c r="AT805" s="140"/>
    </row>
    <row r="806" spans="6:46">
      <c r="F806" s="75"/>
      <c r="G806" s="75"/>
      <c r="H806" s="75"/>
      <c r="I806" s="75"/>
      <c r="J806" s="75"/>
      <c r="K806" s="75"/>
      <c r="L806" s="229"/>
      <c r="M806" s="229"/>
      <c r="N806" s="229"/>
      <c r="O806" s="75"/>
      <c r="P806" s="75"/>
      <c r="Q806" s="75"/>
      <c r="R806" s="75"/>
      <c r="S806" s="75"/>
      <c r="AT806" s="140"/>
    </row>
    <row r="807" spans="6:46">
      <c r="F807" s="75"/>
      <c r="G807" s="75"/>
      <c r="H807" s="75"/>
      <c r="I807" s="75"/>
      <c r="J807" s="75"/>
      <c r="K807" s="75"/>
      <c r="L807" s="229"/>
      <c r="M807" s="229"/>
      <c r="N807" s="229"/>
      <c r="O807" s="75"/>
      <c r="P807" s="75"/>
      <c r="Q807" s="75"/>
      <c r="R807" s="75"/>
      <c r="S807" s="75"/>
      <c r="AT807" s="140"/>
    </row>
    <row r="808" spans="6:46">
      <c r="F808" s="75"/>
      <c r="G808" s="75"/>
      <c r="H808" s="75"/>
      <c r="I808" s="75"/>
      <c r="J808" s="75"/>
      <c r="K808" s="75"/>
      <c r="L808" s="229"/>
      <c r="M808" s="229"/>
      <c r="N808" s="229"/>
      <c r="O808" s="75"/>
      <c r="P808" s="75"/>
      <c r="Q808" s="75"/>
      <c r="R808" s="75"/>
      <c r="S808" s="75"/>
      <c r="AT808" s="140"/>
    </row>
    <row r="809" spans="6:46">
      <c r="F809" s="75"/>
      <c r="G809" s="75"/>
      <c r="H809" s="75"/>
      <c r="I809" s="75"/>
      <c r="J809" s="75"/>
      <c r="K809" s="75"/>
      <c r="L809" s="229"/>
      <c r="M809" s="229"/>
      <c r="N809" s="229"/>
      <c r="O809" s="75"/>
      <c r="P809" s="75"/>
      <c r="Q809" s="75"/>
      <c r="R809" s="75"/>
      <c r="S809" s="75"/>
      <c r="AT809" s="140"/>
    </row>
    <row r="810" spans="6:46">
      <c r="F810" s="75"/>
      <c r="G810" s="75"/>
      <c r="H810" s="75"/>
      <c r="I810" s="75"/>
      <c r="J810" s="75"/>
      <c r="K810" s="75"/>
      <c r="L810" s="229"/>
      <c r="M810" s="229"/>
      <c r="N810" s="229"/>
      <c r="O810" s="75"/>
      <c r="P810" s="75"/>
      <c r="Q810" s="75"/>
      <c r="R810" s="75"/>
      <c r="S810" s="75"/>
      <c r="AT810" s="140"/>
    </row>
    <row r="811" spans="6:46">
      <c r="F811" s="75"/>
      <c r="G811" s="75"/>
      <c r="H811" s="75"/>
      <c r="I811" s="75"/>
      <c r="J811" s="75"/>
      <c r="K811" s="75"/>
      <c r="L811" s="229"/>
      <c r="M811" s="229"/>
      <c r="N811" s="229"/>
      <c r="O811" s="75"/>
      <c r="P811" s="75"/>
      <c r="Q811" s="75"/>
      <c r="R811" s="75"/>
      <c r="S811" s="75"/>
      <c r="AT811" s="140"/>
    </row>
    <row r="812" spans="6:46">
      <c r="F812" s="75"/>
      <c r="G812" s="75"/>
      <c r="H812" s="75"/>
      <c r="I812" s="75"/>
      <c r="J812" s="75"/>
      <c r="K812" s="75"/>
      <c r="L812" s="229"/>
      <c r="M812" s="229"/>
      <c r="N812" s="229"/>
      <c r="O812" s="75"/>
      <c r="P812" s="75"/>
      <c r="Q812" s="75"/>
      <c r="R812" s="75"/>
      <c r="S812" s="75"/>
      <c r="AT812" s="140"/>
    </row>
    <row r="813" spans="6:46">
      <c r="F813" s="75"/>
      <c r="G813" s="75"/>
      <c r="H813" s="75"/>
      <c r="I813" s="75"/>
      <c r="J813" s="75"/>
      <c r="K813" s="75"/>
      <c r="L813" s="229"/>
      <c r="M813" s="229"/>
      <c r="N813" s="229"/>
      <c r="O813" s="75"/>
      <c r="P813" s="75"/>
      <c r="Q813" s="75"/>
      <c r="R813" s="75"/>
      <c r="S813" s="75"/>
      <c r="AT813" s="140"/>
    </row>
    <row r="814" spans="6:46">
      <c r="F814" s="75"/>
      <c r="G814" s="75"/>
      <c r="H814" s="75"/>
      <c r="I814" s="75"/>
      <c r="J814" s="75"/>
      <c r="K814" s="75"/>
      <c r="L814" s="229"/>
      <c r="M814" s="229"/>
      <c r="N814" s="229"/>
      <c r="O814" s="75"/>
      <c r="P814" s="75"/>
      <c r="Q814" s="75"/>
      <c r="R814" s="75"/>
      <c r="S814" s="75"/>
      <c r="AT814" s="140"/>
    </row>
    <row r="815" spans="6:46">
      <c r="F815" s="75"/>
      <c r="G815" s="75"/>
      <c r="H815" s="75"/>
      <c r="I815" s="75"/>
      <c r="J815" s="75"/>
      <c r="K815" s="75"/>
      <c r="L815" s="229"/>
      <c r="M815" s="229"/>
      <c r="N815" s="229"/>
      <c r="O815" s="75"/>
      <c r="P815" s="75"/>
      <c r="Q815" s="75"/>
      <c r="R815" s="75"/>
      <c r="S815" s="75"/>
      <c r="AT815" s="140"/>
    </row>
    <row r="816" spans="6:46">
      <c r="F816" s="75"/>
      <c r="G816" s="75"/>
      <c r="H816" s="75"/>
      <c r="I816" s="75"/>
      <c r="J816" s="75"/>
      <c r="K816" s="75"/>
      <c r="L816" s="229"/>
      <c r="M816" s="229"/>
      <c r="N816" s="229"/>
      <c r="O816" s="75"/>
      <c r="P816" s="75"/>
      <c r="Q816" s="75"/>
      <c r="R816" s="75"/>
      <c r="S816" s="75"/>
      <c r="AT816" s="140"/>
    </row>
    <row r="817" spans="6:46">
      <c r="F817" s="75"/>
      <c r="G817" s="75"/>
      <c r="H817" s="75"/>
      <c r="I817" s="75"/>
      <c r="J817" s="75"/>
      <c r="K817" s="75"/>
      <c r="L817" s="229"/>
      <c r="M817" s="229"/>
      <c r="N817" s="229"/>
      <c r="O817" s="75"/>
      <c r="P817" s="75"/>
      <c r="Q817" s="75"/>
      <c r="R817" s="75"/>
      <c r="S817" s="75"/>
      <c r="AT817" s="140"/>
    </row>
    <row r="818" spans="6:46">
      <c r="F818" s="75"/>
      <c r="G818" s="75"/>
      <c r="H818" s="75"/>
      <c r="I818" s="75"/>
      <c r="J818" s="75"/>
      <c r="K818" s="75"/>
      <c r="L818" s="229"/>
      <c r="M818" s="229"/>
      <c r="N818" s="229"/>
      <c r="O818" s="75"/>
      <c r="P818" s="75"/>
      <c r="Q818" s="75"/>
      <c r="R818" s="75"/>
      <c r="S818" s="75"/>
      <c r="AT818" s="140"/>
    </row>
    <row r="819" spans="6:46">
      <c r="F819" s="75"/>
      <c r="G819" s="75"/>
      <c r="H819" s="75"/>
      <c r="I819" s="75"/>
      <c r="J819" s="75"/>
      <c r="K819" s="75"/>
      <c r="L819" s="229"/>
      <c r="M819" s="229"/>
      <c r="N819" s="229"/>
      <c r="O819" s="75"/>
      <c r="P819" s="75"/>
      <c r="Q819" s="75"/>
      <c r="R819" s="75"/>
      <c r="S819" s="75"/>
      <c r="AT819" s="140"/>
    </row>
    <row r="820" spans="6:46">
      <c r="F820" s="75"/>
      <c r="G820" s="75"/>
      <c r="H820" s="75"/>
      <c r="I820" s="75"/>
      <c r="J820" s="75"/>
      <c r="K820" s="75"/>
      <c r="L820" s="229"/>
      <c r="M820" s="229"/>
      <c r="N820" s="229"/>
      <c r="O820" s="75"/>
      <c r="P820" s="75"/>
      <c r="Q820" s="75"/>
      <c r="R820" s="75"/>
      <c r="S820" s="75"/>
      <c r="AT820" s="140"/>
    </row>
    <row r="821" spans="6:46">
      <c r="F821" s="75"/>
      <c r="G821" s="75"/>
      <c r="H821" s="75"/>
      <c r="I821" s="75"/>
      <c r="J821" s="75"/>
      <c r="K821" s="75"/>
      <c r="L821" s="229"/>
      <c r="M821" s="229"/>
      <c r="N821" s="229"/>
      <c r="O821" s="75"/>
      <c r="P821" s="75"/>
      <c r="Q821" s="75"/>
      <c r="R821" s="75"/>
      <c r="S821" s="75"/>
      <c r="AT821" s="140"/>
    </row>
    <row r="822" spans="6:46">
      <c r="F822" s="75"/>
      <c r="G822" s="75"/>
      <c r="H822" s="75"/>
      <c r="I822" s="75"/>
      <c r="J822" s="75"/>
      <c r="K822" s="75"/>
      <c r="L822" s="229"/>
      <c r="M822" s="229"/>
      <c r="N822" s="229"/>
      <c r="O822" s="75"/>
      <c r="P822" s="75"/>
      <c r="Q822" s="75"/>
      <c r="R822" s="75"/>
      <c r="S822" s="75"/>
      <c r="AT822" s="140"/>
    </row>
    <row r="823" spans="6:46">
      <c r="F823" s="75"/>
      <c r="G823" s="75"/>
      <c r="H823" s="75"/>
      <c r="I823" s="75"/>
      <c r="J823" s="75"/>
      <c r="K823" s="75"/>
      <c r="L823" s="229"/>
      <c r="M823" s="229"/>
      <c r="N823" s="229"/>
      <c r="O823" s="75"/>
      <c r="P823" s="75"/>
      <c r="Q823" s="75"/>
      <c r="R823" s="75"/>
      <c r="S823" s="75"/>
      <c r="AT823" s="140"/>
    </row>
    <row r="824" spans="6:46">
      <c r="F824" s="75"/>
      <c r="G824" s="75"/>
      <c r="H824" s="75"/>
      <c r="I824" s="75"/>
      <c r="J824" s="75"/>
      <c r="K824" s="75"/>
      <c r="L824" s="229"/>
      <c r="M824" s="229"/>
      <c r="N824" s="229"/>
      <c r="O824" s="75"/>
      <c r="P824" s="75"/>
      <c r="Q824" s="75"/>
      <c r="R824" s="75"/>
      <c r="S824" s="75"/>
      <c r="AT824" s="140"/>
    </row>
    <row r="825" spans="6:46">
      <c r="F825" s="75"/>
      <c r="G825" s="75"/>
      <c r="H825" s="75"/>
      <c r="I825" s="75"/>
      <c r="J825" s="75"/>
      <c r="K825" s="75"/>
      <c r="L825" s="229"/>
      <c r="M825" s="229"/>
      <c r="N825" s="229"/>
      <c r="O825" s="75"/>
      <c r="P825" s="75"/>
      <c r="Q825" s="75"/>
      <c r="R825" s="75"/>
      <c r="S825" s="75"/>
      <c r="AT825" s="140"/>
    </row>
    <row r="826" spans="6:46">
      <c r="F826" s="75"/>
      <c r="G826" s="75"/>
      <c r="H826" s="75"/>
      <c r="I826" s="75"/>
      <c r="J826" s="75"/>
      <c r="K826" s="75"/>
      <c r="L826" s="229"/>
      <c r="M826" s="229"/>
      <c r="N826" s="229"/>
      <c r="O826" s="75"/>
      <c r="P826" s="75"/>
      <c r="Q826" s="75"/>
      <c r="R826" s="75"/>
      <c r="S826" s="75"/>
      <c r="AT826" s="140"/>
    </row>
    <row r="827" spans="6:46">
      <c r="F827" s="75"/>
      <c r="G827" s="75"/>
      <c r="H827" s="75"/>
      <c r="I827" s="75"/>
      <c r="J827" s="75"/>
      <c r="K827" s="75"/>
      <c r="L827" s="229"/>
      <c r="M827" s="229"/>
      <c r="N827" s="229"/>
      <c r="O827" s="75"/>
      <c r="P827" s="75"/>
      <c r="Q827" s="75"/>
      <c r="R827" s="75"/>
      <c r="S827" s="75"/>
      <c r="AT827" s="140"/>
    </row>
    <row r="828" spans="6:46">
      <c r="F828" s="75"/>
      <c r="G828" s="75"/>
      <c r="H828" s="75"/>
      <c r="I828" s="75"/>
      <c r="J828" s="75"/>
      <c r="K828" s="75"/>
      <c r="L828" s="229"/>
      <c r="M828" s="229"/>
      <c r="N828" s="229"/>
      <c r="O828" s="75"/>
      <c r="P828" s="75"/>
      <c r="Q828" s="75"/>
      <c r="R828" s="75"/>
      <c r="S828" s="75"/>
      <c r="AT828" s="140"/>
    </row>
    <row r="829" spans="6:46">
      <c r="F829" s="75"/>
      <c r="G829" s="75"/>
      <c r="H829" s="75"/>
      <c r="I829" s="75"/>
      <c r="J829" s="75"/>
      <c r="K829" s="75"/>
      <c r="L829" s="229"/>
      <c r="M829" s="229"/>
      <c r="N829" s="229"/>
      <c r="O829" s="75"/>
      <c r="P829" s="75"/>
      <c r="Q829" s="75"/>
      <c r="R829" s="75"/>
      <c r="S829" s="75"/>
      <c r="AT829" s="140"/>
    </row>
    <row r="830" spans="6:46">
      <c r="F830" s="75"/>
      <c r="G830" s="75"/>
      <c r="H830" s="75"/>
      <c r="I830" s="75"/>
      <c r="J830" s="75"/>
      <c r="K830" s="75"/>
      <c r="L830" s="229"/>
      <c r="M830" s="229"/>
      <c r="N830" s="229"/>
      <c r="O830" s="75"/>
      <c r="P830" s="75"/>
      <c r="Q830" s="75"/>
      <c r="R830" s="75"/>
      <c r="S830" s="75"/>
      <c r="AT830" s="140"/>
    </row>
    <row r="831" spans="6:46">
      <c r="F831" s="75"/>
      <c r="G831" s="75"/>
      <c r="H831" s="75"/>
      <c r="I831" s="75"/>
      <c r="J831" s="75"/>
      <c r="K831" s="75"/>
      <c r="L831" s="229"/>
      <c r="M831" s="229"/>
      <c r="N831" s="229"/>
      <c r="O831" s="75"/>
      <c r="P831" s="75"/>
      <c r="Q831" s="75"/>
      <c r="R831" s="75"/>
      <c r="S831" s="75"/>
      <c r="AT831" s="140"/>
    </row>
    <row r="832" spans="6:46">
      <c r="F832" s="75"/>
      <c r="G832" s="75"/>
      <c r="H832" s="75"/>
      <c r="I832" s="75"/>
      <c r="J832" s="75"/>
      <c r="K832" s="75"/>
      <c r="L832" s="229"/>
      <c r="M832" s="229"/>
      <c r="N832" s="229"/>
      <c r="O832" s="75"/>
      <c r="P832" s="75"/>
      <c r="Q832" s="75"/>
      <c r="R832" s="75"/>
      <c r="S832" s="75"/>
      <c r="AT832" s="140"/>
    </row>
    <row r="833" spans="6:46">
      <c r="F833" s="75"/>
      <c r="G833" s="75"/>
      <c r="H833" s="75"/>
      <c r="I833" s="75"/>
      <c r="J833" s="75"/>
      <c r="K833" s="75"/>
      <c r="L833" s="229"/>
      <c r="M833" s="229"/>
      <c r="N833" s="229"/>
      <c r="O833" s="75"/>
      <c r="P833" s="75"/>
      <c r="Q833" s="75"/>
      <c r="R833" s="75"/>
      <c r="S833" s="75"/>
      <c r="AT833" s="140"/>
    </row>
    <row r="834" spans="6:46">
      <c r="F834" s="75"/>
      <c r="G834" s="75"/>
      <c r="H834" s="75"/>
      <c r="I834" s="75"/>
      <c r="J834" s="75"/>
      <c r="K834" s="75"/>
      <c r="L834" s="229"/>
      <c r="M834" s="229"/>
      <c r="N834" s="229"/>
      <c r="O834" s="75"/>
      <c r="P834" s="75"/>
      <c r="Q834" s="75"/>
      <c r="R834" s="75"/>
      <c r="S834" s="75"/>
      <c r="AT834" s="140"/>
    </row>
    <row r="835" spans="6:46">
      <c r="F835" s="75"/>
      <c r="G835" s="75"/>
      <c r="H835" s="75"/>
      <c r="I835" s="75"/>
      <c r="J835" s="75"/>
      <c r="K835" s="75"/>
      <c r="L835" s="229"/>
      <c r="M835" s="229"/>
      <c r="N835" s="229"/>
      <c r="O835" s="75"/>
      <c r="P835" s="75"/>
      <c r="Q835" s="75"/>
      <c r="R835" s="75"/>
      <c r="S835" s="75"/>
      <c r="AT835" s="140"/>
    </row>
    <row r="836" spans="6:46">
      <c r="F836" s="75"/>
      <c r="G836" s="75"/>
      <c r="H836" s="75"/>
      <c r="I836" s="75"/>
      <c r="J836" s="75"/>
      <c r="K836" s="75"/>
      <c r="L836" s="229"/>
      <c r="M836" s="229"/>
      <c r="N836" s="229"/>
      <c r="O836" s="75"/>
      <c r="P836" s="75"/>
      <c r="Q836" s="75"/>
      <c r="R836" s="75"/>
      <c r="S836" s="75"/>
      <c r="AT836" s="140"/>
    </row>
    <row r="837" spans="6:46">
      <c r="F837" s="75"/>
      <c r="G837" s="75"/>
      <c r="H837" s="75"/>
      <c r="I837" s="75"/>
      <c r="J837" s="75"/>
      <c r="K837" s="75"/>
      <c r="L837" s="229"/>
      <c r="M837" s="229"/>
      <c r="N837" s="229"/>
      <c r="O837" s="75"/>
      <c r="P837" s="75"/>
      <c r="Q837" s="75"/>
      <c r="R837" s="75"/>
      <c r="S837" s="75"/>
      <c r="AT837" s="140"/>
    </row>
    <row r="838" spans="6:46">
      <c r="F838" s="75"/>
      <c r="G838" s="75"/>
      <c r="H838" s="75"/>
      <c r="I838" s="75"/>
      <c r="J838" s="75"/>
      <c r="K838" s="75"/>
      <c r="L838" s="229"/>
      <c r="M838" s="229"/>
      <c r="N838" s="229"/>
      <c r="O838" s="75"/>
      <c r="P838" s="75"/>
      <c r="Q838" s="75"/>
      <c r="R838" s="75"/>
      <c r="S838" s="75"/>
      <c r="AT838" s="140"/>
    </row>
    <row r="839" spans="6:46">
      <c r="F839" s="75"/>
      <c r="G839" s="75"/>
      <c r="H839" s="75"/>
      <c r="I839" s="75"/>
      <c r="J839" s="75"/>
      <c r="K839" s="75"/>
      <c r="L839" s="229"/>
      <c r="M839" s="229"/>
      <c r="N839" s="229"/>
      <c r="O839" s="75"/>
      <c r="P839" s="75"/>
      <c r="Q839" s="75"/>
      <c r="R839" s="75"/>
      <c r="S839" s="75"/>
      <c r="AT839" s="140"/>
    </row>
    <row r="840" spans="6:46">
      <c r="F840" s="75"/>
      <c r="G840" s="75"/>
      <c r="H840" s="75"/>
      <c r="I840" s="75"/>
      <c r="J840" s="75"/>
      <c r="K840" s="75"/>
      <c r="L840" s="229"/>
      <c r="M840" s="229"/>
      <c r="N840" s="229"/>
      <c r="O840" s="75"/>
      <c r="P840" s="75"/>
      <c r="Q840" s="75"/>
      <c r="R840" s="75"/>
      <c r="S840" s="75"/>
      <c r="AT840" s="140"/>
    </row>
    <row r="841" spans="6:46">
      <c r="F841" s="75"/>
      <c r="G841" s="75"/>
      <c r="H841" s="75"/>
      <c r="I841" s="75"/>
      <c r="J841" s="75"/>
      <c r="K841" s="75"/>
      <c r="L841" s="229"/>
      <c r="M841" s="229"/>
      <c r="N841" s="229"/>
      <c r="O841" s="75"/>
      <c r="P841" s="75"/>
      <c r="Q841" s="75"/>
      <c r="R841" s="75"/>
      <c r="S841" s="75"/>
      <c r="AT841" s="140"/>
    </row>
    <row r="842" spans="6:46">
      <c r="F842" s="75"/>
      <c r="G842" s="75"/>
      <c r="H842" s="75"/>
      <c r="I842" s="75"/>
      <c r="J842" s="75"/>
      <c r="K842" s="75"/>
      <c r="L842" s="229"/>
      <c r="M842" s="229"/>
      <c r="N842" s="229"/>
      <c r="O842" s="75"/>
      <c r="P842" s="75"/>
      <c r="Q842" s="75"/>
      <c r="R842" s="75"/>
      <c r="S842" s="75"/>
      <c r="AT842" s="140"/>
    </row>
    <row r="843" spans="6:46">
      <c r="F843" s="75"/>
      <c r="G843" s="75"/>
      <c r="H843" s="75"/>
      <c r="I843" s="75"/>
      <c r="J843" s="75"/>
      <c r="K843" s="75"/>
      <c r="L843" s="229"/>
      <c r="M843" s="229"/>
      <c r="N843" s="229"/>
      <c r="O843" s="75"/>
      <c r="P843" s="75"/>
      <c r="Q843" s="75"/>
      <c r="R843" s="75"/>
      <c r="S843" s="75"/>
      <c r="AT843" s="140"/>
    </row>
    <row r="844" spans="6:46">
      <c r="F844" s="75"/>
      <c r="G844" s="75"/>
      <c r="H844" s="75"/>
      <c r="I844" s="75"/>
      <c r="J844" s="75"/>
      <c r="K844" s="75"/>
      <c r="L844" s="229"/>
      <c r="M844" s="229"/>
      <c r="N844" s="229"/>
      <c r="O844" s="75"/>
      <c r="P844" s="75"/>
      <c r="Q844" s="75"/>
      <c r="R844" s="75"/>
      <c r="S844" s="75"/>
      <c r="AT844" s="140"/>
    </row>
    <row r="845" spans="6:46">
      <c r="F845" s="75"/>
      <c r="G845" s="75"/>
      <c r="H845" s="75"/>
      <c r="I845" s="75"/>
      <c r="J845" s="75"/>
      <c r="K845" s="75"/>
      <c r="L845" s="229"/>
      <c r="M845" s="229"/>
      <c r="N845" s="229"/>
      <c r="O845" s="75"/>
      <c r="P845" s="75"/>
      <c r="Q845" s="75"/>
      <c r="R845" s="75"/>
      <c r="S845" s="75"/>
      <c r="AT845" s="140"/>
    </row>
    <row r="846" spans="6:46">
      <c r="F846" s="75"/>
      <c r="G846" s="75"/>
      <c r="H846" s="75"/>
      <c r="I846" s="75"/>
      <c r="J846" s="75"/>
      <c r="K846" s="75"/>
      <c r="L846" s="229"/>
      <c r="M846" s="229"/>
      <c r="N846" s="229"/>
      <c r="O846" s="75"/>
      <c r="P846" s="75"/>
      <c r="Q846" s="75"/>
      <c r="R846" s="75"/>
      <c r="S846" s="75"/>
      <c r="AT846" s="140"/>
    </row>
    <row r="847" spans="6:46">
      <c r="F847" s="75"/>
      <c r="G847" s="75"/>
      <c r="H847" s="75"/>
      <c r="I847" s="75"/>
      <c r="J847" s="75"/>
      <c r="K847" s="75"/>
      <c r="L847" s="229"/>
      <c r="M847" s="229"/>
      <c r="N847" s="229"/>
      <c r="O847" s="75"/>
      <c r="P847" s="75"/>
      <c r="Q847" s="75"/>
      <c r="R847" s="75"/>
      <c r="S847" s="75"/>
      <c r="AT847" s="140"/>
    </row>
    <row r="848" spans="6:46">
      <c r="F848" s="75"/>
      <c r="G848" s="75"/>
      <c r="H848" s="75"/>
      <c r="I848" s="75"/>
      <c r="J848" s="75"/>
      <c r="K848" s="75"/>
      <c r="L848" s="229"/>
      <c r="M848" s="229"/>
      <c r="N848" s="229"/>
      <c r="O848" s="75"/>
      <c r="P848" s="75"/>
      <c r="Q848" s="75"/>
      <c r="R848" s="75"/>
      <c r="S848" s="75"/>
      <c r="AT848" s="140"/>
    </row>
    <row r="849" spans="6:46">
      <c r="F849" s="75"/>
      <c r="G849" s="75"/>
      <c r="H849" s="75"/>
      <c r="I849" s="75"/>
      <c r="J849" s="75"/>
      <c r="K849" s="75"/>
      <c r="L849" s="229"/>
      <c r="M849" s="229"/>
      <c r="N849" s="229"/>
      <c r="O849" s="75"/>
      <c r="P849" s="75"/>
      <c r="Q849" s="75"/>
      <c r="R849" s="75"/>
      <c r="S849" s="75"/>
      <c r="AT849" s="140"/>
    </row>
    <row r="850" spans="6:46">
      <c r="F850" s="75"/>
      <c r="G850" s="75"/>
      <c r="H850" s="75"/>
      <c r="I850" s="75"/>
      <c r="J850" s="75"/>
      <c r="K850" s="75"/>
      <c r="L850" s="229"/>
      <c r="M850" s="229"/>
      <c r="N850" s="229"/>
      <c r="O850" s="75"/>
      <c r="P850" s="75"/>
      <c r="Q850" s="75"/>
      <c r="R850" s="75"/>
      <c r="S850" s="75"/>
      <c r="AT850" s="140"/>
    </row>
    <row r="851" spans="6:46">
      <c r="F851" s="75"/>
      <c r="G851" s="75"/>
      <c r="H851" s="75"/>
      <c r="I851" s="75"/>
      <c r="J851" s="75"/>
      <c r="K851" s="75"/>
      <c r="L851" s="229"/>
      <c r="M851" s="229"/>
      <c r="N851" s="229"/>
      <c r="O851" s="75"/>
      <c r="P851" s="75"/>
      <c r="Q851" s="75"/>
      <c r="R851" s="75"/>
      <c r="S851" s="75"/>
      <c r="AT851" s="140"/>
    </row>
    <row r="852" spans="6:46">
      <c r="F852" s="75"/>
      <c r="G852" s="75"/>
      <c r="H852" s="75"/>
      <c r="I852" s="75"/>
      <c r="J852" s="75"/>
      <c r="K852" s="75"/>
      <c r="L852" s="229"/>
      <c r="M852" s="229"/>
      <c r="N852" s="229"/>
      <c r="O852" s="75"/>
      <c r="P852" s="75"/>
      <c r="Q852" s="75"/>
      <c r="R852" s="75"/>
      <c r="S852" s="75"/>
      <c r="AT852" s="140"/>
    </row>
    <row r="853" spans="6:46">
      <c r="F853" s="75"/>
      <c r="G853" s="75"/>
      <c r="H853" s="75"/>
      <c r="I853" s="75"/>
      <c r="J853" s="75"/>
      <c r="K853" s="75"/>
      <c r="L853" s="229"/>
      <c r="M853" s="229"/>
      <c r="N853" s="229"/>
      <c r="O853" s="75"/>
      <c r="P853" s="75"/>
      <c r="Q853" s="75"/>
      <c r="R853" s="75"/>
      <c r="S853" s="75"/>
      <c r="AT853" s="140"/>
    </row>
    <row r="854" spans="6:46">
      <c r="F854" s="75"/>
      <c r="G854" s="75"/>
      <c r="H854" s="75"/>
      <c r="I854" s="75"/>
      <c r="J854" s="75"/>
      <c r="K854" s="75"/>
      <c r="L854" s="229"/>
      <c r="M854" s="229"/>
      <c r="N854" s="229"/>
      <c r="O854" s="75"/>
      <c r="P854" s="75"/>
      <c r="Q854" s="75"/>
      <c r="R854" s="75"/>
      <c r="S854" s="75"/>
      <c r="AT854" s="140"/>
    </row>
    <row r="855" spans="6:46">
      <c r="F855" s="75"/>
      <c r="G855" s="75"/>
      <c r="H855" s="75"/>
      <c r="I855" s="75"/>
      <c r="J855" s="75"/>
      <c r="K855" s="75"/>
      <c r="L855" s="229"/>
      <c r="M855" s="229"/>
      <c r="N855" s="229"/>
      <c r="O855" s="75"/>
      <c r="P855" s="75"/>
      <c r="Q855" s="75"/>
      <c r="R855" s="75"/>
      <c r="S855" s="75"/>
      <c r="AT855" s="140"/>
    </row>
    <row r="856" spans="6:46">
      <c r="F856" s="75"/>
      <c r="G856" s="75"/>
      <c r="H856" s="75"/>
      <c r="I856" s="75"/>
      <c r="J856" s="75"/>
      <c r="K856" s="75"/>
      <c r="L856" s="229"/>
      <c r="M856" s="229"/>
      <c r="N856" s="229"/>
      <c r="O856" s="75"/>
      <c r="P856" s="75"/>
      <c r="Q856" s="75"/>
      <c r="R856" s="75"/>
      <c r="S856" s="75"/>
      <c r="AT856" s="140"/>
    </row>
    <row r="857" spans="6:46">
      <c r="F857" s="75"/>
      <c r="G857" s="75"/>
      <c r="H857" s="75"/>
      <c r="I857" s="75"/>
      <c r="J857" s="75"/>
      <c r="K857" s="75"/>
      <c r="L857" s="229"/>
      <c r="M857" s="229"/>
      <c r="N857" s="229"/>
      <c r="O857" s="75"/>
      <c r="P857" s="75"/>
      <c r="Q857" s="75"/>
      <c r="R857" s="75"/>
      <c r="S857" s="75"/>
      <c r="AT857" s="140"/>
    </row>
    <row r="858" spans="6:46">
      <c r="F858" s="75"/>
      <c r="G858" s="75"/>
      <c r="H858" s="75"/>
      <c r="I858" s="75"/>
      <c r="J858" s="75"/>
      <c r="K858" s="75"/>
      <c r="L858" s="229"/>
      <c r="M858" s="229"/>
      <c r="N858" s="229"/>
      <c r="O858" s="75"/>
      <c r="P858" s="75"/>
      <c r="Q858" s="75"/>
      <c r="R858" s="75"/>
      <c r="S858" s="75"/>
      <c r="AT858" s="140"/>
    </row>
    <row r="859" spans="6:46">
      <c r="F859" s="75"/>
      <c r="G859" s="75"/>
      <c r="H859" s="75"/>
      <c r="I859" s="75"/>
      <c r="J859" s="75"/>
      <c r="K859" s="75"/>
      <c r="L859" s="229"/>
      <c r="M859" s="229"/>
      <c r="N859" s="229"/>
      <c r="O859" s="75"/>
      <c r="P859" s="75"/>
      <c r="Q859" s="75"/>
      <c r="R859" s="75"/>
      <c r="S859" s="75"/>
      <c r="AT859" s="140"/>
    </row>
    <row r="860" spans="6:46">
      <c r="F860" s="75"/>
      <c r="G860" s="75"/>
      <c r="H860" s="75"/>
      <c r="I860" s="75"/>
      <c r="J860" s="75"/>
      <c r="K860" s="75"/>
      <c r="L860" s="229"/>
      <c r="M860" s="229"/>
      <c r="N860" s="229"/>
      <c r="O860" s="75"/>
      <c r="P860" s="75"/>
      <c r="Q860" s="75"/>
      <c r="R860" s="75"/>
      <c r="S860" s="75"/>
      <c r="AT860" s="140"/>
    </row>
    <row r="861" spans="6:46">
      <c r="F861" s="75"/>
      <c r="G861" s="75"/>
      <c r="H861" s="75"/>
      <c r="I861" s="75"/>
      <c r="J861" s="75"/>
      <c r="K861" s="75"/>
      <c r="L861" s="229"/>
      <c r="M861" s="229"/>
      <c r="N861" s="229"/>
      <c r="O861" s="75"/>
      <c r="P861" s="75"/>
      <c r="Q861" s="75"/>
      <c r="R861" s="75"/>
      <c r="S861" s="75"/>
      <c r="AT861" s="140"/>
    </row>
    <row r="862" spans="6:46">
      <c r="F862" s="75"/>
      <c r="G862" s="75"/>
      <c r="H862" s="75"/>
      <c r="I862" s="75"/>
      <c r="J862" s="75"/>
      <c r="K862" s="75"/>
      <c r="L862" s="229"/>
      <c r="M862" s="229"/>
      <c r="N862" s="229"/>
      <c r="O862" s="75"/>
      <c r="P862" s="75"/>
      <c r="Q862" s="75"/>
      <c r="R862" s="75"/>
      <c r="S862" s="75"/>
      <c r="AT862" s="140"/>
    </row>
    <row r="863" spans="6:46">
      <c r="F863" s="75"/>
      <c r="G863" s="75"/>
      <c r="H863" s="75"/>
      <c r="I863" s="75"/>
      <c r="J863" s="75"/>
      <c r="K863" s="75"/>
      <c r="L863" s="229"/>
      <c r="M863" s="229"/>
      <c r="N863" s="229"/>
      <c r="O863" s="75"/>
      <c r="P863" s="75"/>
      <c r="Q863" s="75"/>
      <c r="R863" s="75"/>
      <c r="S863" s="75"/>
      <c r="AT863" s="140"/>
    </row>
    <row r="864" spans="6:46">
      <c r="F864" s="75"/>
      <c r="G864" s="75"/>
      <c r="H864" s="75"/>
      <c r="I864" s="75"/>
      <c r="J864" s="75"/>
      <c r="K864" s="75"/>
      <c r="L864" s="229"/>
      <c r="M864" s="229"/>
      <c r="N864" s="229"/>
      <c r="O864" s="75"/>
      <c r="P864" s="75"/>
      <c r="Q864" s="75"/>
      <c r="R864" s="75"/>
      <c r="S864" s="75"/>
      <c r="AT864" s="140"/>
    </row>
    <row r="865" spans="6:46">
      <c r="F865" s="75"/>
      <c r="G865" s="75"/>
      <c r="H865" s="75"/>
      <c r="I865" s="75"/>
      <c r="J865" s="75"/>
      <c r="K865" s="75"/>
      <c r="L865" s="229"/>
      <c r="M865" s="229"/>
      <c r="N865" s="229"/>
      <c r="O865" s="75"/>
      <c r="P865" s="75"/>
      <c r="Q865" s="75"/>
      <c r="R865" s="75"/>
      <c r="S865" s="75"/>
      <c r="AT865" s="140"/>
    </row>
    <row r="866" spans="6:46">
      <c r="F866" s="75"/>
      <c r="G866" s="75"/>
      <c r="H866" s="75"/>
      <c r="I866" s="75"/>
      <c r="J866" s="75"/>
      <c r="K866" s="75"/>
      <c r="L866" s="229"/>
      <c r="M866" s="229"/>
      <c r="N866" s="229"/>
      <c r="O866" s="75"/>
      <c r="P866" s="75"/>
      <c r="Q866" s="75"/>
      <c r="R866" s="75"/>
      <c r="S866" s="75"/>
      <c r="AT866" s="140"/>
    </row>
    <row r="867" spans="6:46">
      <c r="F867" s="75"/>
      <c r="G867" s="75"/>
      <c r="H867" s="75"/>
      <c r="I867" s="75"/>
      <c r="J867" s="75"/>
      <c r="K867" s="75"/>
      <c r="L867" s="229"/>
      <c r="M867" s="229"/>
      <c r="N867" s="229"/>
      <c r="O867" s="75"/>
      <c r="P867" s="75"/>
      <c r="Q867" s="75"/>
      <c r="R867" s="75"/>
      <c r="S867" s="75"/>
      <c r="AT867" s="140"/>
    </row>
    <row r="868" spans="6:46">
      <c r="F868" s="75"/>
      <c r="G868" s="75"/>
      <c r="H868" s="75"/>
      <c r="I868" s="75"/>
      <c r="J868" s="75"/>
      <c r="K868" s="75"/>
      <c r="L868" s="229"/>
      <c r="M868" s="229"/>
      <c r="N868" s="229"/>
      <c r="O868" s="75"/>
      <c r="P868" s="75"/>
      <c r="Q868" s="75"/>
      <c r="R868" s="75"/>
      <c r="S868" s="75"/>
      <c r="AT868" s="140"/>
    </row>
    <row r="869" spans="6:46">
      <c r="F869" s="75"/>
      <c r="G869" s="75"/>
      <c r="H869" s="75"/>
      <c r="I869" s="75"/>
      <c r="J869" s="75"/>
      <c r="K869" s="75"/>
      <c r="L869" s="229"/>
      <c r="M869" s="229"/>
      <c r="N869" s="229"/>
      <c r="O869" s="75"/>
      <c r="P869" s="75"/>
      <c r="Q869" s="75"/>
      <c r="R869" s="75"/>
      <c r="S869" s="75"/>
      <c r="AT869" s="140"/>
    </row>
    <row r="870" spans="6:46">
      <c r="F870" s="75"/>
      <c r="G870" s="75"/>
      <c r="H870" s="75"/>
      <c r="I870" s="75"/>
      <c r="J870" s="75"/>
      <c r="K870" s="75"/>
      <c r="L870" s="229"/>
      <c r="M870" s="229"/>
      <c r="N870" s="229"/>
      <c r="O870" s="75"/>
      <c r="P870" s="75"/>
      <c r="Q870" s="75"/>
      <c r="R870" s="75"/>
      <c r="S870" s="75"/>
      <c r="AT870" s="140"/>
    </row>
    <row r="871" spans="6:46">
      <c r="F871" s="75"/>
      <c r="G871" s="75"/>
      <c r="H871" s="75"/>
      <c r="I871" s="75"/>
      <c r="J871" s="75"/>
      <c r="K871" s="75"/>
      <c r="L871" s="229"/>
      <c r="M871" s="229"/>
      <c r="N871" s="229"/>
      <c r="O871" s="75"/>
      <c r="P871" s="75"/>
      <c r="Q871" s="75"/>
      <c r="R871" s="75"/>
      <c r="S871" s="75"/>
      <c r="AT871" s="140"/>
    </row>
    <row r="872" spans="6:46">
      <c r="F872" s="75"/>
      <c r="G872" s="75"/>
      <c r="H872" s="75"/>
      <c r="I872" s="75"/>
      <c r="J872" s="75"/>
      <c r="K872" s="75"/>
      <c r="L872" s="229"/>
      <c r="M872" s="229"/>
      <c r="N872" s="229"/>
      <c r="O872" s="75"/>
      <c r="P872" s="75"/>
      <c r="Q872" s="75"/>
      <c r="R872" s="75"/>
      <c r="S872" s="75"/>
      <c r="AT872" s="140"/>
    </row>
    <row r="873" spans="6:46">
      <c r="F873" s="75"/>
      <c r="G873" s="75"/>
      <c r="H873" s="75"/>
      <c r="I873" s="75"/>
      <c r="J873" s="75"/>
      <c r="K873" s="75"/>
      <c r="L873" s="229"/>
      <c r="M873" s="229"/>
      <c r="N873" s="229"/>
      <c r="O873" s="75"/>
      <c r="P873" s="75"/>
      <c r="Q873" s="75"/>
      <c r="R873" s="75"/>
      <c r="S873" s="75"/>
      <c r="AT873" s="140"/>
    </row>
    <row r="874" spans="6:46">
      <c r="F874" s="75"/>
      <c r="G874" s="75"/>
      <c r="H874" s="75"/>
      <c r="I874" s="75"/>
      <c r="J874" s="75"/>
      <c r="K874" s="75"/>
      <c r="L874" s="229"/>
      <c r="M874" s="229"/>
      <c r="N874" s="229"/>
      <c r="O874" s="75"/>
      <c r="P874" s="75"/>
      <c r="Q874" s="75"/>
      <c r="R874" s="75"/>
      <c r="S874" s="75"/>
      <c r="AT874" s="140"/>
    </row>
    <row r="875" spans="6:46">
      <c r="F875" s="75"/>
      <c r="G875" s="75"/>
      <c r="H875" s="75"/>
      <c r="I875" s="75"/>
      <c r="J875" s="75"/>
      <c r="K875" s="75"/>
      <c r="L875" s="229"/>
      <c r="M875" s="229"/>
      <c r="N875" s="229"/>
      <c r="O875" s="75"/>
      <c r="P875" s="75"/>
      <c r="Q875" s="75"/>
      <c r="R875" s="75"/>
      <c r="S875" s="75"/>
      <c r="AT875" s="140"/>
    </row>
    <row r="876" spans="6:46">
      <c r="F876" s="75"/>
      <c r="G876" s="75"/>
      <c r="H876" s="75"/>
      <c r="I876" s="75"/>
      <c r="J876" s="75"/>
      <c r="K876" s="75"/>
      <c r="L876" s="229"/>
      <c r="M876" s="229"/>
      <c r="N876" s="229"/>
      <c r="O876" s="75"/>
      <c r="P876" s="75"/>
      <c r="Q876" s="75"/>
      <c r="R876" s="75"/>
      <c r="S876" s="75"/>
      <c r="AT876" s="140"/>
    </row>
    <row r="877" spans="6:46">
      <c r="F877" s="75"/>
      <c r="G877" s="75"/>
      <c r="H877" s="75"/>
      <c r="I877" s="75"/>
      <c r="J877" s="75"/>
      <c r="K877" s="75"/>
      <c r="L877" s="229"/>
      <c r="M877" s="229"/>
      <c r="N877" s="229"/>
      <c r="O877" s="75"/>
      <c r="P877" s="75"/>
      <c r="Q877" s="75"/>
      <c r="R877" s="75"/>
      <c r="S877" s="75"/>
      <c r="AT877" s="140"/>
    </row>
    <row r="878" spans="6:46">
      <c r="F878" s="75"/>
      <c r="G878" s="75"/>
      <c r="H878" s="75"/>
      <c r="I878" s="75"/>
      <c r="J878" s="75"/>
      <c r="K878" s="75"/>
      <c r="L878" s="229"/>
      <c r="M878" s="229"/>
      <c r="N878" s="229"/>
      <c r="O878" s="75"/>
      <c r="P878" s="75"/>
      <c r="Q878" s="75"/>
      <c r="R878" s="75"/>
      <c r="S878" s="75"/>
      <c r="AT878" s="140"/>
    </row>
    <row r="879" spans="6:46">
      <c r="F879" s="75"/>
      <c r="G879" s="75"/>
      <c r="H879" s="75"/>
      <c r="I879" s="75"/>
      <c r="J879" s="75"/>
      <c r="K879" s="75"/>
      <c r="L879" s="229"/>
      <c r="M879" s="229"/>
      <c r="N879" s="229"/>
      <c r="O879" s="75"/>
      <c r="P879" s="75"/>
      <c r="Q879" s="75"/>
      <c r="R879" s="75"/>
      <c r="S879" s="75"/>
      <c r="AT879" s="140"/>
    </row>
    <row r="880" spans="6:46">
      <c r="F880" s="75"/>
      <c r="G880" s="75"/>
      <c r="H880" s="75"/>
      <c r="I880" s="75"/>
      <c r="J880" s="75"/>
      <c r="K880" s="75"/>
      <c r="L880" s="229"/>
      <c r="M880" s="229"/>
      <c r="N880" s="229"/>
      <c r="O880" s="75"/>
      <c r="P880" s="75"/>
      <c r="Q880" s="75"/>
      <c r="R880" s="75"/>
      <c r="S880" s="75"/>
      <c r="AT880" s="140"/>
    </row>
    <row r="881" spans="6:46">
      <c r="F881" s="75"/>
      <c r="G881" s="75"/>
      <c r="H881" s="75"/>
      <c r="I881" s="75"/>
      <c r="J881" s="75"/>
      <c r="K881" s="75"/>
      <c r="L881" s="229"/>
      <c r="M881" s="229"/>
      <c r="N881" s="229"/>
      <c r="O881" s="75"/>
      <c r="P881" s="75"/>
      <c r="Q881" s="75"/>
      <c r="R881" s="75"/>
      <c r="S881" s="75"/>
      <c r="AT881" s="140"/>
    </row>
    <row r="882" spans="6:46">
      <c r="F882" s="75"/>
      <c r="G882" s="75"/>
      <c r="H882" s="75"/>
      <c r="I882" s="75"/>
      <c r="J882" s="75"/>
      <c r="K882" s="75"/>
      <c r="L882" s="229"/>
      <c r="M882" s="229"/>
      <c r="N882" s="229"/>
      <c r="O882" s="75"/>
      <c r="P882" s="75"/>
      <c r="Q882" s="75"/>
      <c r="R882" s="75"/>
      <c r="S882" s="75"/>
      <c r="AT882" s="140"/>
    </row>
    <row r="883" spans="6:46">
      <c r="F883" s="75"/>
      <c r="G883" s="75"/>
      <c r="H883" s="75"/>
      <c r="I883" s="75"/>
      <c r="J883" s="75"/>
      <c r="K883" s="75"/>
      <c r="L883" s="229"/>
      <c r="M883" s="229"/>
      <c r="N883" s="229"/>
      <c r="O883" s="75"/>
      <c r="P883" s="75"/>
      <c r="Q883" s="75"/>
      <c r="R883" s="75"/>
      <c r="S883" s="75"/>
      <c r="AT883" s="140"/>
    </row>
    <row r="884" spans="6:46">
      <c r="F884" s="75"/>
      <c r="G884" s="75"/>
      <c r="H884" s="75"/>
      <c r="I884" s="75"/>
      <c r="J884" s="75"/>
      <c r="K884" s="75"/>
      <c r="L884" s="229"/>
      <c r="M884" s="229"/>
      <c r="N884" s="229"/>
      <c r="O884" s="75"/>
      <c r="P884" s="75"/>
      <c r="Q884" s="75"/>
      <c r="R884" s="75"/>
      <c r="S884" s="75"/>
      <c r="AT884" s="140"/>
    </row>
    <row r="885" spans="6:46">
      <c r="F885" s="75"/>
      <c r="G885" s="75"/>
      <c r="H885" s="75"/>
      <c r="I885" s="75"/>
      <c r="J885" s="75"/>
      <c r="K885" s="75"/>
      <c r="L885" s="229"/>
      <c r="M885" s="229"/>
      <c r="N885" s="229"/>
      <c r="O885" s="75"/>
      <c r="P885" s="75"/>
      <c r="Q885" s="75"/>
      <c r="R885" s="75"/>
      <c r="S885" s="75"/>
      <c r="AT885" s="140"/>
    </row>
    <row r="886" spans="6:46">
      <c r="F886" s="75"/>
      <c r="G886" s="75"/>
      <c r="H886" s="75"/>
      <c r="I886" s="75"/>
      <c r="J886" s="75"/>
      <c r="K886" s="75"/>
      <c r="L886" s="229"/>
      <c r="M886" s="229"/>
      <c r="N886" s="229"/>
      <c r="O886" s="75"/>
      <c r="P886" s="75"/>
      <c r="Q886" s="75"/>
      <c r="R886" s="75"/>
      <c r="S886" s="75"/>
      <c r="AT886" s="140"/>
    </row>
    <row r="887" spans="6:46">
      <c r="F887" s="75"/>
      <c r="G887" s="75"/>
      <c r="H887" s="75"/>
      <c r="I887" s="75"/>
      <c r="J887" s="75"/>
      <c r="K887" s="75"/>
      <c r="L887" s="229"/>
      <c r="M887" s="229"/>
      <c r="N887" s="229"/>
      <c r="O887" s="75"/>
      <c r="P887" s="75"/>
      <c r="Q887" s="75"/>
      <c r="R887" s="75"/>
      <c r="S887" s="75"/>
      <c r="AT887" s="140"/>
    </row>
    <row r="888" spans="6:46">
      <c r="F888" s="75"/>
      <c r="G888" s="75"/>
      <c r="H888" s="75"/>
      <c r="I888" s="75"/>
      <c r="J888" s="75"/>
      <c r="K888" s="75"/>
      <c r="L888" s="229"/>
      <c r="M888" s="229"/>
      <c r="N888" s="229"/>
      <c r="O888" s="75"/>
      <c r="P888" s="75"/>
      <c r="Q888" s="75"/>
      <c r="R888" s="75"/>
      <c r="S888" s="75"/>
      <c r="AT888" s="140"/>
    </row>
    <row r="889" spans="6:46">
      <c r="F889" s="75"/>
      <c r="G889" s="75"/>
      <c r="H889" s="75"/>
      <c r="I889" s="75"/>
      <c r="J889" s="75"/>
      <c r="K889" s="75"/>
      <c r="L889" s="229"/>
      <c r="M889" s="229"/>
      <c r="N889" s="229"/>
      <c r="O889" s="75"/>
      <c r="P889" s="75"/>
      <c r="Q889" s="75"/>
      <c r="R889" s="75"/>
      <c r="S889" s="75"/>
      <c r="AT889" s="140"/>
    </row>
    <row r="890" spans="6:46">
      <c r="F890" s="75"/>
      <c r="G890" s="75"/>
      <c r="H890" s="75"/>
      <c r="I890" s="75"/>
      <c r="J890" s="75"/>
      <c r="K890" s="75"/>
      <c r="L890" s="229"/>
      <c r="M890" s="229"/>
      <c r="N890" s="229"/>
      <c r="O890" s="75"/>
      <c r="P890" s="75"/>
      <c r="Q890" s="75"/>
      <c r="R890" s="75"/>
      <c r="S890" s="75"/>
      <c r="AT890" s="140"/>
    </row>
    <row r="891" spans="6:46">
      <c r="F891" s="75"/>
      <c r="G891" s="75"/>
      <c r="H891" s="75"/>
      <c r="I891" s="75"/>
      <c r="J891" s="75"/>
      <c r="K891" s="75"/>
      <c r="L891" s="229"/>
      <c r="M891" s="229"/>
      <c r="N891" s="229"/>
      <c r="O891" s="75"/>
      <c r="P891" s="75"/>
      <c r="Q891" s="75"/>
      <c r="R891" s="75"/>
      <c r="S891" s="75"/>
      <c r="AT891" s="140"/>
    </row>
    <row r="892" spans="6:46">
      <c r="F892" s="75"/>
      <c r="G892" s="75"/>
      <c r="H892" s="75"/>
      <c r="I892" s="75"/>
      <c r="J892" s="75"/>
      <c r="K892" s="75"/>
      <c r="L892" s="229"/>
      <c r="M892" s="229"/>
      <c r="N892" s="229"/>
      <c r="O892" s="75"/>
      <c r="P892" s="75"/>
      <c r="Q892" s="75"/>
      <c r="R892" s="75"/>
      <c r="S892" s="75"/>
      <c r="AT892" s="140"/>
    </row>
    <row r="893" spans="6:46">
      <c r="F893" s="75"/>
      <c r="G893" s="75"/>
      <c r="H893" s="75"/>
      <c r="I893" s="75"/>
      <c r="J893" s="75"/>
      <c r="K893" s="75"/>
      <c r="L893" s="229"/>
      <c r="M893" s="229"/>
      <c r="N893" s="229"/>
      <c r="O893" s="75"/>
      <c r="P893" s="75"/>
      <c r="Q893" s="75"/>
      <c r="R893" s="75"/>
      <c r="S893" s="75"/>
      <c r="AT893" s="140"/>
    </row>
    <row r="894" spans="6:46">
      <c r="F894" s="75"/>
      <c r="G894" s="75"/>
      <c r="H894" s="75"/>
      <c r="I894" s="75"/>
      <c r="J894" s="75"/>
      <c r="K894" s="75"/>
      <c r="L894" s="229"/>
      <c r="M894" s="229"/>
      <c r="N894" s="229"/>
      <c r="O894" s="75"/>
      <c r="P894" s="75"/>
      <c r="Q894" s="75"/>
      <c r="R894" s="75"/>
      <c r="S894" s="75"/>
      <c r="AT894" s="140"/>
    </row>
    <row r="895" spans="6:46">
      <c r="F895" s="75"/>
      <c r="G895" s="75"/>
      <c r="H895" s="75"/>
      <c r="I895" s="75"/>
      <c r="J895" s="75"/>
      <c r="K895" s="75"/>
      <c r="L895" s="229"/>
      <c r="M895" s="229"/>
      <c r="N895" s="229"/>
      <c r="O895" s="75"/>
      <c r="P895" s="75"/>
      <c r="Q895" s="75"/>
      <c r="R895" s="75"/>
      <c r="S895" s="75"/>
      <c r="AT895" s="140"/>
    </row>
    <row r="896" spans="6:46">
      <c r="L896" s="229"/>
      <c r="M896" s="229"/>
      <c r="N896" s="229"/>
      <c r="AT896" s="140"/>
    </row>
    <row r="897" spans="12:46">
      <c r="L897" s="229"/>
      <c r="M897" s="229"/>
      <c r="N897" s="229"/>
      <c r="AT897" s="140"/>
    </row>
    <row r="898" spans="12:46">
      <c r="L898" s="229"/>
      <c r="M898" s="229"/>
      <c r="N898" s="229"/>
      <c r="AT898" s="140"/>
    </row>
    <row r="899" spans="12:46">
      <c r="L899" s="229"/>
      <c r="M899" s="229"/>
      <c r="N899" s="229"/>
      <c r="AT899" s="140"/>
    </row>
    <row r="900" spans="12:46">
      <c r="L900" s="229"/>
      <c r="M900" s="229"/>
      <c r="N900" s="229"/>
      <c r="AT900" s="140"/>
    </row>
    <row r="901" spans="12:46">
      <c r="L901" s="229"/>
      <c r="M901" s="229"/>
      <c r="N901" s="229"/>
      <c r="AT901" s="140"/>
    </row>
    <row r="902" spans="12:46">
      <c r="L902" s="229"/>
      <c r="M902" s="229"/>
      <c r="N902" s="229"/>
      <c r="AT902" s="140"/>
    </row>
    <row r="903" spans="12:46">
      <c r="L903" s="229"/>
      <c r="M903" s="229"/>
      <c r="N903" s="229"/>
      <c r="AT903" s="140"/>
    </row>
    <row r="904" spans="12:46">
      <c r="L904" s="229"/>
      <c r="M904" s="229"/>
      <c r="N904" s="229"/>
      <c r="AT904" s="140"/>
    </row>
    <row r="905" spans="12:46">
      <c r="L905" s="229"/>
      <c r="M905" s="229"/>
      <c r="N905" s="229"/>
      <c r="AT905" s="140"/>
    </row>
    <row r="906" spans="12:46">
      <c r="L906" s="229"/>
      <c r="M906" s="229"/>
      <c r="N906" s="229"/>
      <c r="AT906" s="140"/>
    </row>
    <row r="907" spans="12:46">
      <c r="L907" s="229"/>
      <c r="M907" s="229"/>
      <c r="N907" s="229"/>
      <c r="AT907" s="140"/>
    </row>
    <row r="908" spans="12:46">
      <c r="L908" s="229"/>
      <c r="M908" s="229"/>
      <c r="N908" s="229"/>
      <c r="AT908" s="140"/>
    </row>
    <row r="909" spans="12:46">
      <c r="L909" s="229"/>
      <c r="M909" s="229"/>
      <c r="N909" s="229"/>
      <c r="AT909" s="140"/>
    </row>
    <row r="910" spans="12:46">
      <c r="L910" s="229"/>
      <c r="M910" s="229"/>
      <c r="N910" s="229"/>
      <c r="AT910" s="140"/>
    </row>
    <row r="911" spans="12:46">
      <c r="L911" s="229"/>
      <c r="M911" s="229"/>
      <c r="N911" s="229"/>
      <c r="AT911" s="140"/>
    </row>
    <row r="912" spans="12:46">
      <c r="L912" s="229"/>
      <c r="M912" s="229"/>
      <c r="N912" s="229"/>
      <c r="AT912" s="140"/>
    </row>
    <row r="913" spans="12:46">
      <c r="L913" s="229"/>
      <c r="M913" s="229"/>
      <c r="N913" s="229"/>
      <c r="AT913" s="140"/>
    </row>
    <row r="914" spans="12:46">
      <c r="L914" s="229"/>
      <c r="M914" s="229"/>
      <c r="N914" s="229"/>
      <c r="AT914" s="140"/>
    </row>
    <row r="915" spans="12:46">
      <c r="L915" s="229"/>
      <c r="M915" s="229"/>
      <c r="N915" s="229"/>
      <c r="AT915" s="140"/>
    </row>
    <row r="916" spans="12:46">
      <c r="L916" s="229"/>
      <c r="M916" s="229"/>
      <c r="N916" s="229"/>
      <c r="AT916" s="140"/>
    </row>
    <row r="917" spans="12:46">
      <c r="L917" s="229"/>
      <c r="M917" s="229"/>
      <c r="N917" s="229"/>
      <c r="AT917" s="140"/>
    </row>
    <row r="918" spans="12:46">
      <c r="L918" s="229"/>
      <c r="M918" s="229"/>
      <c r="N918" s="229"/>
      <c r="AT918" s="140"/>
    </row>
    <row r="919" spans="12:46">
      <c r="L919" s="229"/>
      <c r="M919" s="229"/>
      <c r="N919" s="229"/>
      <c r="AT919" s="140"/>
    </row>
    <row r="920" spans="12:46">
      <c r="L920" s="229"/>
      <c r="M920" s="229"/>
      <c r="N920" s="229"/>
      <c r="AT920" s="140"/>
    </row>
    <row r="921" spans="12:46">
      <c r="L921" s="229"/>
      <c r="M921" s="229"/>
      <c r="N921" s="229"/>
      <c r="AT921" s="140"/>
    </row>
    <row r="922" spans="12:46">
      <c r="L922" s="229"/>
      <c r="M922" s="229"/>
      <c r="N922" s="229"/>
      <c r="AT922" s="140"/>
    </row>
    <row r="923" spans="12:46">
      <c r="L923" s="229"/>
      <c r="M923" s="229"/>
      <c r="N923" s="229"/>
      <c r="AT923" s="140"/>
    </row>
    <row r="924" spans="12:46">
      <c r="L924" s="229"/>
      <c r="M924" s="229"/>
      <c r="N924" s="229"/>
      <c r="AT924" s="140"/>
    </row>
    <row r="925" spans="12:46">
      <c r="L925" s="229"/>
      <c r="M925" s="229"/>
      <c r="N925" s="229"/>
      <c r="AT925" s="140"/>
    </row>
    <row r="926" spans="12:46">
      <c r="L926" s="229"/>
      <c r="M926" s="229"/>
      <c r="N926" s="229"/>
      <c r="AT926" s="140"/>
    </row>
    <row r="927" spans="12:46">
      <c r="L927" s="229"/>
      <c r="M927" s="229"/>
      <c r="N927" s="229"/>
      <c r="AT927" s="140"/>
    </row>
    <row r="928" spans="12:46">
      <c r="L928" s="229"/>
      <c r="M928" s="229"/>
      <c r="N928" s="229"/>
      <c r="AT928" s="140"/>
    </row>
    <row r="929" spans="12:46">
      <c r="L929" s="229"/>
      <c r="M929" s="229"/>
      <c r="N929" s="229"/>
      <c r="AT929" s="140"/>
    </row>
    <row r="930" spans="12:46">
      <c r="L930" s="229"/>
      <c r="M930" s="229"/>
      <c r="N930" s="229"/>
      <c r="AT930" s="140"/>
    </row>
    <row r="931" spans="12:46">
      <c r="L931" s="229"/>
      <c r="M931" s="229"/>
      <c r="N931" s="229"/>
      <c r="AT931" s="140"/>
    </row>
    <row r="932" spans="12:46">
      <c r="L932" s="229"/>
      <c r="M932" s="229"/>
      <c r="N932" s="229"/>
      <c r="AT932" s="140"/>
    </row>
    <row r="933" spans="12:46">
      <c r="L933" s="229"/>
      <c r="M933" s="229"/>
      <c r="N933" s="229"/>
      <c r="AT933" s="140"/>
    </row>
    <row r="934" spans="12:46">
      <c r="L934" s="229"/>
      <c r="M934" s="229"/>
      <c r="N934" s="229"/>
      <c r="AT934" s="140"/>
    </row>
    <row r="935" spans="12:46">
      <c r="L935" s="229"/>
      <c r="M935" s="229"/>
      <c r="N935" s="229"/>
      <c r="AT935" s="140"/>
    </row>
    <row r="936" spans="12:46">
      <c r="L936" s="229"/>
      <c r="M936" s="229"/>
      <c r="N936" s="229"/>
      <c r="AT936" s="140"/>
    </row>
    <row r="937" spans="12:46">
      <c r="L937" s="229"/>
      <c r="M937" s="229"/>
      <c r="N937" s="229"/>
      <c r="AT937" s="140"/>
    </row>
    <row r="938" spans="12:46">
      <c r="L938" s="229"/>
      <c r="M938" s="229"/>
      <c r="N938" s="229"/>
      <c r="AT938" s="140"/>
    </row>
    <row r="939" spans="12:46">
      <c r="L939" s="229"/>
      <c r="M939" s="229"/>
      <c r="N939" s="229"/>
      <c r="AT939" s="140"/>
    </row>
    <row r="940" spans="12:46">
      <c r="L940" s="229"/>
      <c r="M940" s="229"/>
      <c r="N940" s="229"/>
      <c r="AT940" s="140"/>
    </row>
    <row r="941" spans="12:46">
      <c r="L941" s="229"/>
      <c r="M941" s="229"/>
      <c r="N941" s="229"/>
      <c r="AT941" s="140"/>
    </row>
    <row r="942" spans="12:46">
      <c r="L942" s="229"/>
      <c r="M942" s="229"/>
      <c r="N942" s="229"/>
      <c r="AT942" s="140"/>
    </row>
    <row r="943" spans="12:46">
      <c r="L943" s="229"/>
      <c r="M943" s="229"/>
      <c r="N943" s="229"/>
      <c r="AT943" s="140"/>
    </row>
    <row r="944" spans="12:46">
      <c r="L944" s="229"/>
      <c r="M944" s="229"/>
      <c r="N944" s="229"/>
      <c r="AT944" s="140"/>
    </row>
    <row r="945" spans="12:46">
      <c r="L945" s="229"/>
      <c r="M945" s="229"/>
      <c r="N945" s="229"/>
      <c r="AT945" s="140"/>
    </row>
    <row r="946" spans="12:46">
      <c r="L946" s="229"/>
      <c r="M946" s="229"/>
      <c r="N946" s="229"/>
      <c r="AT946" s="140"/>
    </row>
    <row r="947" spans="12:46">
      <c r="L947" s="229"/>
      <c r="M947" s="229"/>
      <c r="N947" s="229"/>
      <c r="AT947" s="140"/>
    </row>
    <row r="948" spans="12:46">
      <c r="L948" s="229"/>
      <c r="M948" s="229"/>
      <c r="N948" s="229"/>
      <c r="AT948" s="140"/>
    </row>
    <row r="949" spans="12:46">
      <c r="L949" s="229"/>
      <c r="M949" s="229"/>
      <c r="N949" s="229"/>
      <c r="AT949" s="140"/>
    </row>
    <row r="950" spans="12:46">
      <c r="L950" s="229"/>
      <c r="M950" s="229"/>
      <c r="N950" s="229"/>
      <c r="AT950" s="140"/>
    </row>
    <row r="951" spans="12:46">
      <c r="L951" s="229"/>
      <c r="M951" s="229"/>
      <c r="N951" s="229"/>
      <c r="AT951" s="140"/>
    </row>
    <row r="952" spans="12:46">
      <c r="L952" s="229"/>
      <c r="M952" s="229"/>
      <c r="N952" s="229"/>
      <c r="AT952" s="140"/>
    </row>
    <row r="953" spans="12:46">
      <c r="L953" s="229"/>
      <c r="M953" s="229"/>
      <c r="N953" s="229"/>
      <c r="AT953" s="140"/>
    </row>
    <row r="954" spans="12:46">
      <c r="L954" s="229"/>
      <c r="M954" s="229"/>
      <c r="N954" s="229"/>
      <c r="AT954" s="140"/>
    </row>
    <row r="955" spans="12:46">
      <c r="L955" s="229"/>
      <c r="M955" s="229"/>
      <c r="N955" s="229"/>
      <c r="AT955" s="140"/>
    </row>
    <row r="956" spans="12:46">
      <c r="L956" s="229"/>
      <c r="M956" s="229"/>
      <c r="N956" s="229"/>
      <c r="AT956" s="140"/>
    </row>
    <row r="957" spans="12:46">
      <c r="L957" s="229"/>
      <c r="M957" s="229"/>
      <c r="N957" s="229"/>
      <c r="AT957" s="140"/>
    </row>
    <row r="958" spans="12:46">
      <c r="L958" s="229"/>
      <c r="M958" s="229"/>
      <c r="N958" s="229"/>
      <c r="AT958" s="140"/>
    </row>
    <row r="959" spans="12:46">
      <c r="L959" s="229"/>
      <c r="M959" s="229"/>
      <c r="N959" s="229"/>
      <c r="AT959" s="140"/>
    </row>
    <row r="960" spans="12:46">
      <c r="L960" s="229"/>
      <c r="M960" s="229"/>
      <c r="N960" s="229"/>
      <c r="AT960" s="140"/>
    </row>
    <row r="961" spans="12:46">
      <c r="L961" s="229"/>
      <c r="M961" s="229"/>
      <c r="N961" s="229"/>
      <c r="AT961" s="140"/>
    </row>
    <row r="962" spans="12:46">
      <c r="L962" s="229"/>
      <c r="M962" s="229"/>
      <c r="N962" s="229"/>
      <c r="AT962" s="140"/>
    </row>
    <row r="963" spans="12:46">
      <c r="L963" s="229"/>
      <c r="M963" s="229"/>
      <c r="N963" s="229"/>
      <c r="AT963" s="140"/>
    </row>
    <row r="964" spans="12:46">
      <c r="L964" s="229"/>
      <c r="M964" s="229"/>
      <c r="N964" s="229"/>
      <c r="AT964" s="140"/>
    </row>
    <row r="965" spans="12:46">
      <c r="L965" s="229"/>
      <c r="M965" s="229"/>
      <c r="N965" s="229"/>
      <c r="AT965" s="140"/>
    </row>
    <row r="966" spans="12:46">
      <c r="L966" s="229"/>
      <c r="M966" s="229"/>
      <c r="N966" s="229"/>
      <c r="AT966" s="140"/>
    </row>
    <row r="967" spans="12:46">
      <c r="L967" s="229"/>
      <c r="M967" s="229"/>
      <c r="N967" s="229"/>
      <c r="AT967" s="140"/>
    </row>
    <row r="968" spans="12:46">
      <c r="L968" s="229"/>
      <c r="M968" s="229"/>
      <c r="N968" s="229"/>
      <c r="AT968" s="140"/>
    </row>
    <row r="969" spans="12:46">
      <c r="L969" s="229"/>
      <c r="M969" s="229"/>
      <c r="N969" s="229"/>
      <c r="AT969" s="140"/>
    </row>
    <row r="970" spans="12:46">
      <c r="L970" s="229"/>
      <c r="M970" s="229"/>
      <c r="N970" s="229"/>
      <c r="AT970" s="140"/>
    </row>
    <row r="971" spans="12:46">
      <c r="L971" s="229"/>
      <c r="M971" s="229"/>
      <c r="N971" s="229"/>
      <c r="AT971" s="140"/>
    </row>
    <row r="972" spans="12:46">
      <c r="L972" s="229"/>
      <c r="M972" s="229"/>
      <c r="N972" s="229"/>
      <c r="AT972" s="140"/>
    </row>
    <row r="973" spans="12:46">
      <c r="L973" s="229"/>
      <c r="M973" s="229"/>
      <c r="N973" s="229"/>
      <c r="AT973" s="140"/>
    </row>
    <row r="974" spans="12:46">
      <c r="L974" s="229"/>
      <c r="M974" s="229"/>
      <c r="N974" s="229"/>
      <c r="AT974" s="140"/>
    </row>
    <row r="975" spans="12:46">
      <c r="L975" s="229"/>
      <c r="M975" s="229"/>
      <c r="N975" s="229"/>
      <c r="AT975" s="140"/>
    </row>
    <row r="976" spans="12:46">
      <c r="L976" s="229"/>
      <c r="M976" s="229"/>
      <c r="N976" s="229"/>
      <c r="AT976" s="140"/>
    </row>
    <row r="977" spans="12:46">
      <c r="L977" s="229"/>
      <c r="M977" s="229"/>
      <c r="N977" s="229"/>
      <c r="AT977" s="140"/>
    </row>
    <row r="978" spans="12:46">
      <c r="L978" s="229"/>
      <c r="M978" s="229"/>
      <c r="N978" s="229"/>
      <c r="AT978" s="140"/>
    </row>
    <row r="979" spans="12:46">
      <c r="L979" s="229"/>
      <c r="M979" s="229"/>
      <c r="N979" s="229"/>
      <c r="AT979" s="140"/>
    </row>
    <row r="980" spans="12:46">
      <c r="L980" s="229"/>
      <c r="M980" s="229"/>
      <c r="N980" s="229"/>
      <c r="AT980" s="140"/>
    </row>
    <row r="981" spans="12:46">
      <c r="L981" s="229"/>
      <c r="M981" s="229"/>
      <c r="N981" s="229"/>
      <c r="AT981" s="140"/>
    </row>
    <row r="982" spans="12:46">
      <c r="L982" s="229"/>
      <c r="M982" s="229"/>
      <c r="N982" s="229"/>
      <c r="AT982" s="140"/>
    </row>
    <row r="983" spans="12:46">
      <c r="L983" s="229"/>
      <c r="M983" s="229"/>
      <c r="N983" s="229"/>
      <c r="AT983" s="140"/>
    </row>
    <row r="984" spans="12:46">
      <c r="L984" s="229"/>
      <c r="M984" s="229"/>
      <c r="N984" s="229"/>
      <c r="AT984" s="140"/>
    </row>
    <row r="985" spans="12:46">
      <c r="L985" s="229"/>
      <c r="M985" s="229"/>
      <c r="N985" s="229"/>
      <c r="AT985" s="140"/>
    </row>
    <row r="986" spans="12:46">
      <c r="L986" s="229"/>
      <c r="M986" s="229"/>
      <c r="N986" s="229"/>
      <c r="AT986" s="140"/>
    </row>
    <row r="987" spans="12:46">
      <c r="L987" s="229"/>
      <c r="M987" s="229"/>
      <c r="N987" s="229"/>
      <c r="AT987" s="140"/>
    </row>
    <row r="988" spans="12:46">
      <c r="L988" s="229"/>
      <c r="M988" s="229"/>
      <c r="N988" s="229"/>
      <c r="AT988" s="140"/>
    </row>
    <row r="989" spans="12:46">
      <c r="L989" s="229"/>
      <c r="M989" s="229"/>
      <c r="N989" s="229"/>
      <c r="AT989" s="140"/>
    </row>
    <row r="990" spans="12:46">
      <c r="L990" s="229"/>
      <c r="M990" s="229"/>
      <c r="N990" s="229"/>
      <c r="AT990" s="140"/>
    </row>
    <row r="991" spans="12:46">
      <c r="L991" s="229"/>
      <c r="M991" s="229"/>
      <c r="N991" s="229"/>
      <c r="AT991" s="140"/>
    </row>
    <row r="992" spans="12:46">
      <c r="L992" s="229"/>
      <c r="M992" s="229"/>
      <c r="N992" s="229"/>
      <c r="AT992" s="140"/>
    </row>
    <row r="993" spans="12:46">
      <c r="L993" s="229"/>
      <c r="M993" s="229"/>
      <c r="N993" s="229"/>
      <c r="AT993" s="140"/>
    </row>
    <row r="994" spans="12:46">
      <c r="L994" s="229"/>
      <c r="M994" s="229"/>
      <c r="N994" s="229"/>
      <c r="AT994" s="140"/>
    </row>
    <row r="995" spans="12:46">
      <c r="L995" s="229"/>
      <c r="M995" s="229"/>
      <c r="N995" s="229"/>
      <c r="AT995" s="140"/>
    </row>
    <row r="996" spans="12:46">
      <c r="L996" s="229"/>
      <c r="M996" s="229"/>
      <c r="N996" s="229"/>
      <c r="AT996" s="140"/>
    </row>
    <row r="997" spans="12:46">
      <c r="L997" s="229"/>
      <c r="M997" s="229"/>
      <c r="N997" s="229"/>
      <c r="AT997" s="140"/>
    </row>
    <row r="998" spans="12:46">
      <c r="L998" s="229"/>
      <c r="M998" s="229"/>
      <c r="N998" s="229"/>
      <c r="AT998" s="140"/>
    </row>
    <row r="999" spans="12:46">
      <c r="L999" s="229"/>
      <c r="M999" s="229"/>
      <c r="N999" s="229"/>
      <c r="AT999" s="140"/>
    </row>
    <row r="1000" spans="12:46">
      <c r="L1000" s="229"/>
      <c r="M1000" s="229"/>
      <c r="N1000" s="229"/>
      <c r="AT1000" s="140"/>
    </row>
    <row r="1001" spans="12:46">
      <c r="L1001" s="229"/>
      <c r="M1001" s="229"/>
      <c r="N1001" s="229"/>
      <c r="AT1001" s="140"/>
    </row>
    <row r="1002" spans="12:46">
      <c r="L1002" s="229"/>
      <c r="M1002" s="229"/>
      <c r="N1002" s="229"/>
      <c r="AT1002" s="140"/>
    </row>
    <row r="1003" spans="12:46">
      <c r="L1003" s="229"/>
      <c r="M1003" s="229"/>
      <c r="N1003" s="229"/>
      <c r="AT1003" s="140"/>
    </row>
    <row r="1004" spans="12:46">
      <c r="L1004" s="229"/>
      <c r="M1004" s="229"/>
      <c r="N1004" s="229"/>
      <c r="AT1004" s="140"/>
    </row>
    <row r="1005" spans="12:46">
      <c r="L1005" s="229"/>
      <c r="M1005" s="229"/>
      <c r="N1005" s="229"/>
      <c r="AT1005" s="140"/>
    </row>
    <row r="1006" spans="12:46">
      <c r="L1006" s="229"/>
      <c r="M1006" s="229"/>
      <c r="N1006" s="229"/>
      <c r="AT1006" s="140"/>
    </row>
    <row r="1007" spans="12:46">
      <c r="L1007" s="229"/>
      <c r="M1007" s="229"/>
      <c r="N1007" s="229"/>
      <c r="AT1007" s="140"/>
    </row>
    <row r="1008" spans="12:46">
      <c r="L1008" s="229"/>
      <c r="M1008" s="229"/>
      <c r="N1008" s="229"/>
      <c r="AT1008" s="140"/>
    </row>
    <row r="1009" spans="12:46">
      <c r="L1009" s="229"/>
      <c r="M1009" s="229"/>
      <c r="N1009" s="229"/>
      <c r="AT1009" s="140"/>
    </row>
    <row r="1010" spans="12:46">
      <c r="L1010" s="229"/>
      <c r="M1010" s="229"/>
      <c r="N1010" s="229"/>
      <c r="AT1010" s="140"/>
    </row>
    <row r="1011" spans="12:46">
      <c r="L1011" s="229"/>
      <c r="M1011" s="229"/>
      <c r="N1011" s="229"/>
      <c r="AT1011" s="140"/>
    </row>
    <row r="1012" spans="12:46">
      <c r="L1012" s="229"/>
      <c r="M1012" s="229"/>
      <c r="N1012" s="229"/>
      <c r="AT1012" s="140"/>
    </row>
    <row r="1013" spans="12:46">
      <c r="L1013" s="229"/>
      <c r="M1013" s="229"/>
      <c r="N1013" s="229"/>
      <c r="AT1013" s="140"/>
    </row>
    <row r="1014" spans="12:46">
      <c r="L1014" s="229"/>
      <c r="M1014" s="229"/>
      <c r="N1014" s="229"/>
      <c r="AT1014" s="140"/>
    </row>
    <row r="1015" spans="12:46">
      <c r="L1015" s="229"/>
      <c r="M1015" s="229"/>
      <c r="N1015" s="229"/>
      <c r="AT1015" s="140"/>
    </row>
    <row r="1016" spans="12:46">
      <c r="L1016" s="229"/>
      <c r="M1016" s="229"/>
      <c r="N1016" s="229"/>
      <c r="AT1016" s="140"/>
    </row>
    <row r="1017" spans="12:46">
      <c r="L1017" s="229"/>
      <c r="M1017" s="229"/>
      <c r="N1017" s="229"/>
      <c r="AT1017" s="140"/>
    </row>
    <row r="1018" spans="12:46">
      <c r="L1018" s="229"/>
      <c r="M1018" s="229"/>
      <c r="N1018" s="229"/>
      <c r="AT1018" s="140"/>
    </row>
    <row r="1019" spans="12:46">
      <c r="L1019" s="229"/>
      <c r="M1019" s="229"/>
      <c r="N1019" s="229"/>
      <c r="AT1019" s="140"/>
    </row>
    <row r="1020" spans="12:46">
      <c r="L1020" s="229"/>
      <c r="M1020" s="229"/>
      <c r="N1020" s="229"/>
      <c r="AT1020" s="140"/>
    </row>
    <row r="1021" spans="12:46">
      <c r="L1021" s="229"/>
      <c r="M1021" s="229"/>
      <c r="N1021" s="229"/>
      <c r="AT1021" s="140"/>
    </row>
    <row r="1022" spans="12:46">
      <c r="L1022" s="229"/>
      <c r="M1022" s="229"/>
      <c r="N1022" s="229"/>
      <c r="AT1022" s="140"/>
    </row>
    <row r="1023" spans="12:46">
      <c r="L1023" s="229"/>
      <c r="M1023" s="229"/>
      <c r="N1023" s="229"/>
      <c r="AT1023" s="140"/>
    </row>
    <row r="1024" spans="12:46">
      <c r="L1024" s="229"/>
      <c r="M1024" s="229"/>
      <c r="N1024" s="229"/>
      <c r="AT1024" s="140"/>
    </row>
    <row r="1025" spans="12:46">
      <c r="L1025" s="229"/>
      <c r="M1025" s="229"/>
      <c r="N1025" s="229"/>
      <c r="AT1025" s="140"/>
    </row>
    <row r="1026" spans="12:46">
      <c r="L1026" s="229"/>
      <c r="M1026" s="229"/>
      <c r="N1026" s="229"/>
      <c r="AT1026" s="140"/>
    </row>
    <row r="1027" spans="12:46">
      <c r="L1027" s="229"/>
      <c r="M1027" s="229"/>
      <c r="N1027" s="229"/>
      <c r="AT1027" s="140"/>
    </row>
    <row r="1028" spans="12:46">
      <c r="L1028" s="229"/>
      <c r="M1028" s="229"/>
      <c r="N1028" s="229"/>
      <c r="AT1028" s="140"/>
    </row>
    <row r="1029" spans="12:46">
      <c r="L1029" s="229"/>
      <c r="M1029" s="229"/>
      <c r="N1029" s="229"/>
      <c r="AT1029" s="140"/>
    </row>
    <row r="1030" spans="12:46">
      <c r="L1030" s="229"/>
      <c r="M1030" s="229"/>
      <c r="N1030" s="229"/>
      <c r="AT1030" s="140"/>
    </row>
    <row r="1031" spans="12:46">
      <c r="L1031" s="229"/>
      <c r="M1031" s="229"/>
      <c r="N1031" s="229"/>
      <c r="AT1031" s="140"/>
    </row>
    <row r="1032" spans="12:46">
      <c r="L1032" s="229"/>
      <c r="M1032" s="229"/>
      <c r="N1032" s="229"/>
      <c r="AT1032" s="140"/>
    </row>
    <row r="1033" spans="12:46">
      <c r="L1033" s="229"/>
      <c r="M1033" s="229"/>
      <c r="N1033" s="229"/>
      <c r="AT1033" s="140"/>
    </row>
    <row r="1034" spans="12:46">
      <c r="L1034" s="229"/>
      <c r="M1034" s="229"/>
      <c r="N1034" s="229"/>
      <c r="AT1034" s="140"/>
    </row>
    <row r="1035" spans="12:46">
      <c r="L1035" s="229"/>
      <c r="M1035" s="229"/>
      <c r="N1035" s="229"/>
      <c r="AT1035" s="140"/>
    </row>
    <row r="1036" spans="12:46">
      <c r="L1036" s="229"/>
      <c r="M1036" s="229"/>
      <c r="N1036" s="229"/>
      <c r="AT1036" s="140"/>
    </row>
    <row r="1037" spans="12:46">
      <c r="L1037" s="229"/>
      <c r="M1037" s="229"/>
      <c r="N1037" s="229"/>
      <c r="AT1037" s="140"/>
    </row>
    <row r="1038" spans="12:46">
      <c r="L1038" s="229"/>
      <c r="M1038" s="229"/>
      <c r="N1038" s="229"/>
      <c r="AT1038" s="140"/>
    </row>
    <row r="1039" spans="12:46">
      <c r="L1039" s="229"/>
      <c r="M1039" s="229"/>
      <c r="N1039" s="229"/>
      <c r="AT1039" s="140"/>
    </row>
    <row r="1040" spans="12:46">
      <c r="L1040" s="229"/>
      <c r="M1040" s="229"/>
      <c r="N1040" s="229"/>
      <c r="AT1040" s="140"/>
    </row>
    <row r="1041" spans="12:46">
      <c r="L1041" s="229"/>
      <c r="M1041" s="229"/>
      <c r="N1041" s="229"/>
      <c r="AT1041" s="140"/>
    </row>
    <row r="1042" spans="12:46">
      <c r="L1042" s="229"/>
      <c r="M1042" s="229"/>
      <c r="N1042" s="229"/>
      <c r="AT1042" s="140"/>
    </row>
    <row r="1043" spans="12:46">
      <c r="L1043" s="229"/>
      <c r="M1043" s="229"/>
      <c r="N1043" s="229"/>
      <c r="AT1043" s="140"/>
    </row>
    <row r="1044" spans="12:46">
      <c r="L1044" s="229"/>
      <c r="M1044" s="229"/>
      <c r="N1044" s="229"/>
      <c r="AT1044" s="140"/>
    </row>
    <row r="1045" spans="12:46">
      <c r="L1045" s="229"/>
      <c r="M1045" s="229"/>
      <c r="N1045" s="229"/>
      <c r="AT1045" s="140"/>
    </row>
    <row r="1046" spans="12:46">
      <c r="L1046" s="229"/>
      <c r="M1046" s="229"/>
      <c r="N1046" s="229"/>
      <c r="AT1046" s="140"/>
    </row>
    <row r="1047" spans="12:46">
      <c r="L1047" s="229"/>
      <c r="M1047" s="229"/>
      <c r="N1047" s="229"/>
      <c r="AT1047" s="140"/>
    </row>
    <row r="1048" spans="12:46">
      <c r="L1048" s="229"/>
      <c r="M1048" s="229"/>
      <c r="N1048" s="229"/>
      <c r="AT1048" s="140"/>
    </row>
    <row r="1049" spans="12:46">
      <c r="L1049" s="229"/>
      <c r="M1049" s="229"/>
      <c r="N1049" s="229"/>
      <c r="AT1049" s="140"/>
    </row>
    <row r="1050" spans="12:46">
      <c r="L1050" s="229"/>
      <c r="M1050" s="229"/>
      <c r="N1050" s="229"/>
      <c r="AT1050" s="140"/>
    </row>
    <row r="1051" spans="12:46">
      <c r="L1051" s="229"/>
      <c r="M1051" s="229"/>
      <c r="N1051" s="229"/>
      <c r="AT1051" s="140"/>
    </row>
    <row r="1052" spans="12:46">
      <c r="L1052" s="229"/>
      <c r="M1052" s="229"/>
      <c r="N1052" s="229"/>
      <c r="AT1052" s="140"/>
    </row>
    <row r="1053" spans="12:46">
      <c r="L1053" s="229"/>
      <c r="M1053" s="229"/>
      <c r="N1053" s="229"/>
      <c r="AT1053" s="140"/>
    </row>
    <row r="1054" spans="12:46">
      <c r="L1054" s="229"/>
      <c r="M1054" s="229"/>
      <c r="N1054" s="229"/>
      <c r="AT1054" s="140"/>
    </row>
    <row r="1055" spans="12:46">
      <c r="L1055" s="229"/>
      <c r="M1055" s="229"/>
      <c r="N1055" s="229"/>
      <c r="AT1055" s="140"/>
    </row>
    <row r="1056" spans="12:46">
      <c r="L1056" s="229"/>
      <c r="M1056" s="229"/>
      <c r="N1056" s="229"/>
      <c r="AT1056" s="140"/>
    </row>
    <row r="1057" spans="12:46">
      <c r="L1057" s="229"/>
      <c r="M1057" s="229"/>
      <c r="N1057" s="229"/>
      <c r="AT1057" s="140"/>
    </row>
    <row r="1058" spans="12:46">
      <c r="L1058" s="229"/>
      <c r="M1058" s="229"/>
      <c r="N1058" s="229"/>
      <c r="AT1058" s="140"/>
    </row>
    <row r="1059" spans="12:46">
      <c r="L1059" s="229"/>
      <c r="M1059" s="229"/>
      <c r="N1059" s="229"/>
      <c r="AT1059" s="140"/>
    </row>
    <row r="1060" spans="12:46">
      <c r="L1060" s="229"/>
      <c r="M1060" s="229"/>
      <c r="N1060" s="229"/>
      <c r="AT1060" s="140"/>
    </row>
    <row r="1061" spans="12:46">
      <c r="L1061" s="229"/>
      <c r="M1061" s="229"/>
      <c r="N1061" s="229"/>
      <c r="AT1061" s="140"/>
    </row>
    <row r="1062" spans="12:46">
      <c r="L1062" s="229"/>
      <c r="M1062" s="229"/>
      <c r="N1062" s="229"/>
      <c r="AT1062" s="140"/>
    </row>
    <row r="1063" spans="12:46">
      <c r="L1063" s="229"/>
      <c r="M1063" s="229"/>
      <c r="N1063" s="229"/>
      <c r="AT1063" s="140"/>
    </row>
    <row r="1064" spans="12:46">
      <c r="L1064" s="229"/>
      <c r="M1064" s="229"/>
      <c r="N1064" s="229"/>
      <c r="AT1064" s="140"/>
    </row>
    <row r="1065" spans="12:46">
      <c r="L1065" s="229"/>
      <c r="M1065" s="229"/>
      <c r="N1065" s="229"/>
      <c r="AT1065" s="140"/>
    </row>
    <row r="1066" spans="12:46">
      <c r="L1066" s="229"/>
      <c r="M1066" s="229"/>
      <c r="N1066" s="229"/>
      <c r="AT1066" s="140"/>
    </row>
    <row r="1067" spans="12:46">
      <c r="L1067" s="229"/>
      <c r="M1067" s="229"/>
      <c r="N1067" s="229"/>
      <c r="AT1067" s="140"/>
    </row>
    <row r="1068" spans="12:46">
      <c r="L1068" s="229"/>
      <c r="M1068" s="229"/>
      <c r="N1068" s="229"/>
      <c r="AT1068" s="140"/>
    </row>
    <row r="1069" spans="12:46">
      <c r="L1069" s="229"/>
      <c r="M1069" s="229"/>
      <c r="N1069" s="229"/>
      <c r="AT1069" s="140"/>
    </row>
    <row r="1070" spans="12:46">
      <c r="L1070" s="229"/>
      <c r="M1070" s="229"/>
      <c r="N1070" s="229"/>
      <c r="AT1070" s="140"/>
    </row>
    <row r="1071" spans="12:46">
      <c r="L1071" s="229"/>
      <c r="M1071" s="229"/>
      <c r="N1071" s="229"/>
      <c r="AT1071" s="140"/>
    </row>
    <row r="1072" spans="12:46">
      <c r="L1072" s="229"/>
      <c r="M1072" s="229"/>
      <c r="N1072" s="229"/>
      <c r="AT1072" s="140"/>
    </row>
    <row r="1073" spans="12:46">
      <c r="L1073" s="229"/>
      <c r="M1073" s="229"/>
      <c r="N1073" s="229"/>
      <c r="AT1073" s="140"/>
    </row>
    <row r="1074" spans="12:46">
      <c r="L1074" s="229"/>
      <c r="M1074" s="229"/>
      <c r="N1074" s="229"/>
      <c r="AT1074" s="140"/>
    </row>
    <row r="1075" spans="12:46">
      <c r="L1075" s="229"/>
      <c r="M1075" s="229"/>
      <c r="N1075" s="229"/>
      <c r="AT1075" s="140"/>
    </row>
    <row r="1076" spans="12:46">
      <c r="L1076" s="229"/>
      <c r="M1076" s="229"/>
      <c r="N1076" s="229"/>
      <c r="AT1076" s="140"/>
    </row>
    <row r="1077" spans="12:46">
      <c r="L1077" s="229"/>
      <c r="M1077" s="229"/>
      <c r="N1077" s="229"/>
      <c r="AT1077" s="140"/>
    </row>
    <row r="1078" spans="12:46">
      <c r="L1078" s="229"/>
      <c r="M1078" s="229"/>
      <c r="N1078" s="229"/>
      <c r="AT1078" s="140"/>
    </row>
    <row r="1079" spans="12:46">
      <c r="L1079" s="229"/>
      <c r="M1079" s="229"/>
      <c r="N1079" s="229"/>
      <c r="AT1079" s="140"/>
    </row>
    <row r="1080" spans="12:46">
      <c r="L1080" s="229"/>
      <c r="M1080" s="229"/>
      <c r="N1080" s="229"/>
      <c r="AT1080" s="140"/>
    </row>
    <row r="1081" spans="12:46">
      <c r="L1081" s="229"/>
      <c r="M1081" s="229"/>
      <c r="N1081" s="229"/>
      <c r="AT1081" s="140"/>
    </row>
    <row r="1082" spans="12:46">
      <c r="L1082" s="229"/>
      <c r="M1082" s="229"/>
      <c r="N1082" s="229"/>
      <c r="AT1082" s="140"/>
    </row>
    <row r="1083" spans="12:46">
      <c r="L1083" s="229"/>
      <c r="M1083" s="229"/>
      <c r="N1083" s="229"/>
      <c r="AT1083" s="140"/>
    </row>
    <row r="1084" spans="12:46">
      <c r="L1084" s="229"/>
      <c r="M1084" s="229"/>
      <c r="N1084" s="229"/>
      <c r="AT1084" s="140"/>
    </row>
    <row r="1085" spans="12:46">
      <c r="L1085" s="229"/>
      <c r="M1085" s="229"/>
      <c r="N1085" s="229"/>
      <c r="AT1085" s="140"/>
    </row>
    <row r="1086" spans="12:46">
      <c r="L1086" s="229"/>
      <c r="M1086" s="229"/>
      <c r="N1086" s="229"/>
      <c r="AT1086" s="140"/>
    </row>
    <row r="1087" spans="12:46">
      <c r="L1087" s="229"/>
      <c r="M1087" s="229"/>
      <c r="N1087" s="229"/>
      <c r="AT1087" s="140"/>
    </row>
    <row r="1088" spans="12:46">
      <c r="L1088" s="229"/>
      <c r="M1088" s="229"/>
      <c r="N1088" s="229"/>
      <c r="AT1088" s="140"/>
    </row>
    <row r="1089" spans="12:46">
      <c r="L1089" s="229"/>
      <c r="M1089" s="229"/>
      <c r="N1089" s="229"/>
      <c r="AT1089" s="140"/>
    </row>
    <row r="1090" spans="12:46">
      <c r="L1090" s="229"/>
      <c r="M1090" s="229"/>
      <c r="N1090" s="229"/>
      <c r="AT1090" s="140"/>
    </row>
    <row r="1091" spans="12:46">
      <c r="L1091" s="229"/>
      <c r="M1091" s="229"/>
      <c r="N1091" s="229"/>
      <c r="AT1091" s="140"/>
    </row>
    <row r="1092" spans="12:46">
      <c r="L1092" s="229"/>
      <c r="M1092" s="229"/>
      <c r="N1092" s="229"/>
      <c r="AT1092" s="140"/>
    </row>
    <row r="1093" spans="12:46">
      <c r="L1093" s="229"/>
      <c r="M1093" s="229"/>
      <c r="N1093" s="229"/>
      <c r="AT1093" s="140"/>
    </row>
    <row r="1094" spans="12:46">
      <c r="L1094" s="229"/>
      <c r="M1094" s="229"/>
      <c r="N1094" s="229"/>
      <c r="AT1094" s="140"/>
    </row>
    <row r="1095" spans="12:46">
      <c r="L1095" s="229"/>
      <c r="M1095" s="229"/>
      <c r="N1095" s="229"/>
      <c r="AT1095" s="140"/>
    </row>
    <row r="1096" spans="12:46">
      <c r="L1096" s="229"/>
      <c r="M1096" s="229"/>
      <c r="N1096" s="229"/>
      <c r="AT1096" s="140"/>
    </row>
    <row r="1097" spans="12:46">
      <c r="L1097" s="229"/>
      <c r="M1097" s="229"/>
      <c r="N1097" s="229"/>
      <c r="AT1097" s="140"/>
    </row>
    <row r="1098" spans="12:46">
      <c r="L1098" s="229"/>
      <c r="M1098" s="229"/>
      <c r="N1098" s="229"/>
      <c r="AT1098" s="140"/>
    </row>
    <row r="1099" spans="12:46">
      <c r="L1099" s="229"/>
      <c r="M1099" s="229"/>
      <c r="N1099" s="229"/>
      <c r="AT1099" s="140"/>
    </row>
    <row r="1100" spans="12:46">
      <c r="L1100" s="229"/>
      <c r="M1100" s="229"/>
      <c r="N1100" s="229"/>
      <c r="AT1100" s="140"/>
    </row>
    <row r="1101" spans="12:46">
      <c r="L1101" s="229"/>
      <c r="M1101" s="229"/>
      <c r="N1101" s="229"/>
      <c r="AT1101" s="140"/>
    </row>
    <row r="1102" spans="12:46">
      <c r="L1102" s="229"/>
      <c r="M1102" s="229"/>
      <c r="N1102" s="229"/>
      <c r="AT1102" s="140"/>
    </row>
    <row r="1103" spans="12:46">
      <c r="L1103" s="229"/>
      <c r="M1103" s="229"/>
      <c r="N1103" s="229"/>
      <c r="AT1103" s="140"/>
    </row>
    <row r="1104" spans="12:46">
      <c r="L1104" s="229"/>
      <c r="M1104" s="229"/>
      <c r="N1104" s="229"/>
      <c r="AT1104" s="140"/>
    </row>
    <row r="1105" spans="12:46">
      <c r="L1105" s="229"/>
      <c r="M1105" s="229"/>
      <c r="N1105" s="229"/>
      <c r="AT1105" s="140"/>
    </row>
    <row r="1106" spans="12:46">
      <c r="L1106" s="229"/>
      <c r="M1106" s="229"/>
      <c r="N1106" s="229"/>
      <c r="AT1106" s="140"/>
    </row>
    <row r="1107" spans="12:46">
      <c r="L1107" s="229"/>
      <c r="M1107" s="229"/>
      <c r="N1107" s="229"/>
      <c r="AT1107" s="140"/>
    </row>
    <row r="1108" spans="12:46">
      <c r="L1108" s="229"/>
      <c r="M1108" s="229"/>
      <c r="N1108" s="229"/>
      <c r="AT1108" s="140"/>
    </row>
    <row r="1109" spans="12:46">
      <c r="L1109" s="229"/>
      <c r="M1109" s="229"/>
      <c r="N1109" s="229"/>
      <c r="AT1109" s="140"/>
    </row>
    <row r="1110" spans="12:46">
      <c r="L1110" s="229"/>
      <c r="M1110" s="229"/>
      <c r="N1110" s="229"/>
      <c r="AT1110" s="140"/>
    </row>
    <row r="1111" spans="12:46">
      <c r="L1111" s="229"/>
      <c r="M1111" s="229"/>
      <c r="N1111" s="229"/>
      <c r="AT1111" s="140"/>
    </row>
    <row r="1112" spans="12:46">
      <c r="L1112" s="229"/>
      <c r="M1112" s="229"/>
      <c r="N1112" s="229"/>
      <c r="AT1112" s="140"/>
    </row>
    <row r="1113" spans="12:46">
      <c r="L1113" s="229"/>
      <c r="M1113" s="229"/>
      <c r="N1113" s="229"/>
      <c r="AT1113" s="140"/>
    </row>
    <row r="1114" spans="12:46">
      <c r="L1114" s="229"/>
      <c r="M1114" s="229"/>
      <c r="N1114" s="229"/>
      <c r="AT1114" s="140"/>
    </row>
    <row r="1115" spans="12:46">
      <c r="L1115" s="229"/>
      <c r="M1115" s="229"/>
      <c r="N1115" s="229"/>
      <c r="AT1115" s="140"/>
    </row>
    <row r="1116" spans="12:46">
      <c r="L1116" s="229"/>
      <c r="M1116" s="229"/>
      <c r="N1116" s="229"/>
      <c r="AT1116" s="140"/>
    </row>
    <row r="1117" spans="12:46">
      <c r="L1117" s="229"/>
      <c r="M1117" s="229"/>
      <c r="N1117" s="229"/>
      <c r="AT1117" s="140"/>
    </row>
    <row r="1118" spans="12:46">
      <c r="L1118" s="229"/>
      <c r="M1118" s="229"/>
      <c r="N1118" s="229"/>
      <c r="AT1118" s="140"/>
    </row>
    <row r="1119" spans="12:46">
      <c r="L1119" s="229"/>
      <c r="M1119" s="229"/>
      <c r="N1119" s="229"/>
      <c r="AT1119" s="140"/>
    </row>
    <row r="1120" spans="12:46">
      <c r="L1120" s="229"/>
      <c r="M1120" s="229"/>
      <c r="N1120" s="229"/>
      <c r="AT1120" s="140"/>
    </row>
    <row r="1121" spans="12:46">
      <c r="L1121" s="229"/>
      <c r="M1121" s="229"/>
      <c r="N1121" s="229"/>
      <c r="AT1121" s="140"/>
    </row>
    <row r="1122" spans="12:46">
      <c r="L1122" s="229"/>
      <c r="M1122" s="229"/>
      <c r="N1122" s="229"/>
      <c r="AT1122" s="140"/>
    </row>
    <row r="1123" spans="12:46">
      <c r="L1123" s="229"/>
      <c r="M1123" s="229"/>
      <c r="N1123" s="229"/>
      <c r="AT1123" s="140"/>
    </row>
    <row r="1124" spans="12:46">
      <c r="L1124" s="229"/>
      <c r="M1124" s="229"/>
      <c r="N1124" s="229"/>
      <c r="AT1124" s="140"/>
    </row>
    <row r="1125" spans="12:46">
      <c r="L1125" s="229"/>
      <c r="M1125" s="229"/>
      <c r="N1125" s="229"/>
      <c r="AT1125" s="140"/>
    </row>
    <row r="1126" spans="12:46">
      <c r="L1126" s="229"/>
      <c r="M1126" s="229"/>
      <c r="N1126" s="229"/>
      <c r="AT1126" s="140"/>
    </row>
    <row r="1127" spans="12:46">
      <c r="L1127" s="229"/>
      <c r="M1127" s="229"/>
      <c r="N1127" s="229"/>
      <c r="AT1127" s="140"/>
    </row>
    <row r="1128" spans="12:46">
      <c r="L1128" s="229"/>
      <c r="M1128" s="229"/>
      <c r="N1128" s="229"/>
      <c r="AT1128" s="140"/>
    </row>
    <row r="1129" spans="12:46">
      <c r="L1129" s="229"/>
      <c r="M1129" s="229"/>
      <c r="N1129" s="229"/>
      <c r="AT1129" s="140"/>
    </row>
    <row r="1130" spans="12:46">
      <c r="L1130" s="229"/>
      <c r="M1130" s="229"/>
      <c r="N1130" s="229"/>
      <c r="AT1130" s="140"/>
    </row>
    <row r="1131" spans="12:46">
      <c r="L1131" s="229"/>
      <c r="M1131" s="229"/>
      <c r="N1131" s="229"/>
      <c r="AT1131" s="140"/>
    </row>
    <row r="1132" spans="12:46">
      <c r="L1132" s="229"/>
      <c r="M1132" s="229"/>
      <c r="N1132" s="229"/>
      <c r="AT1132" s="140"/>
    </row>
    <row r="1133" spans="12:46">
      <c r="L1133" s="229"/>
      <c r="M1133" s="229"/>
      <c r="N1133" s="229"/>
      <c r="AT1133" s="140"/>
    </row>
    <row r="1134" spans="12:46">
      <c r="L1134" s="229"/>
      <c r="M1134" s="229"/>
      <c r="N1134" s="229"/>
      <c r="AT1134" s="140"/>
    </row>
    <row r="1135" spans="12:46">
      <c r="L1135" s="229"/>
      <c r="M1135" s="229"/>
      <c r="N1135" s="229"/>
      <c r="AT1135" s="140"/>
    </row>
    <row r="1136" spans="12:46">
      <c r="L1136" s="229"/>
      <c r="M1136" s="229"/>
      <c r="N1136" s="229"/>
      <c r="AT1136" s="140"/>
    </row>
    <row r="1137" spans="12:46">
      <c r="L1137" s="229"/>
      <c r="M1137" s="229"/>
      <c r="N1137" s="229"/>
      <c r="AT1137" s="140"/>
    </row>
    <row r="1138" spans="12:46">
      <c r="L1138" s="229"/>
      <c r="M1138" s="229"/>
      <c r="N1138" s="229"/>
      <c r="AT1138" s="140"/>
    </row>
    <row r="1139" spans="12:46">
      <c r="L1139" s="229"/>
      <c r="M1139" s="229"/>
      <c r="N1139" s="229"/>
      <c r="AT1139" s="140"/>
    </row>
    <row r="1140" spans="12:46">
      <c r="L1140" s="229"/>
      <c r="M1140" s="229"/>
      <c r="N1140" s="229"/>
      <c r="AT1140" s="140"/>
    </row>
    <row r="1141" spans="12:46">
      <c r="L1141" s="229"/>
      <c r="M1141" s="229"/>
      <c r="N1141" s="229"/>
      <c r="AT1141" s="140"/>
    </row>
    <row r="1142" spans="12:46">
      <c r="L1142" s="229"/>
      <c r="M1142" s="229"/>
      <c r="N1142" s="229"/>
      <c r="AT1142" s="140"/>
    </row>
    <row r="1143" spans="12:46">
      <c r="L1143" s="229"/>
      <c r="M1143" s="229"/>
      <c r="N1143" s="229"/>
      <c r="AT1143" s="140"/>
    </row>
    <row r="1144" spans="12:46">
      <c r="L1144" s="229"/>
      <c r="M1144" s="229"/>
      <c r="N1144" s="229"/>
      <c r="AT1144" s="140"/>
    </row>
    <row r="1145" spans="12:46">
      <c r="L1145" s="229"/>
      <c r="M1145" s="229"/>
      <c r="N1145" s="229"/>
      <c r="AT1145" s="140"/>
    </row>
    <row r="1146" spans="12:46">
      <c r="L1146" s="229"/>
      <c r="M1146" s="229"/>
      <c r="N1146" s="229"/>
      <c r="AT1146" s="140"/>
    </row>
    <row r="1147" spans="12:46">
      <c r="L1147" s="229"/>
      <c r="M1147" s="229"/>
      <c r="N1147" s="229"/>
      <c r="AT1147" s="140"/>
    </row>
    <row r="1148" spans="12:46">
      <c r="L1148" s="229"/>
      <c r="M1148" s="229"/>
      <c r="N1148" s="229"/>
      <c r="AT1148" s="140"/>
    </row>
    <row r="1149" spans="12:46">
      <c r="L1149" s="229"/>
      <c r="M1149" s="229"/>
      <c r="N1149" s="229"/>
      <c r="AT1149" s="140"/>
    </row>
    <row r="1150" spans="12:46">
      <c r="L1150" s="229"/>
      <c r="M1150" s="229"/>
      <c r="N1150" s="229"/>
      <c r="AT1150" s="140"/>
    </row>
    <row r="1151" spans="12:46">
      <c r="L1151" s="229"/>
      <c r="M1151" s="229"/>
      <c r="N1151" s="229"/>
      <c r="AT1151" s="140"/>
    </row>
    <row r="1152" spans="12:46">
      <c r="L1152" s="229"/>
      <c r="M1152" s="229"/>
      <c r="N1152" s="229"/>
      <c r="AT1152" s="140"/>
    </row>
    <row r="1153" spans="12:46">
      <c r="L1153" s="229"/>
      <c r="M1153" s="229"/>
      <c r="N1153" s="229"/>
      <c r="AT1153" s="140"/>
    </row>
    <row r="1154" spans="12:46">
      <c r="L1154" s="229"/>
      <c r="M1154" s="229"/>
      <c r="N1154" s="229"/>
      <c r="AT1154" s="140"/>
    </row>
    <row r="1155" spans="12:46">
      <c r="L1155" s="229"/>
      <c r="M1155" s="229"/>
      <c r="N1155" s="229"/>
      <c r="AT1155" s="140"/>
    </row>
    <row r="1156" spans="12:46">
      <c r="L1156" s="229"/>
      <c r="M1156" s="229"/>
      <c r="N1156" s="229"/>
      <c r="AT1156" s="140"/>
    </row>
    <row r="1157" spans="12:46">
      <c r="L1157" s="229"/>
      <c r="M1157" s="229"/>
      <c r="N1157" s="229"/>
      <c r="AT1157" s="140"/>
    </row>
    <row r="1158" spans="12:46">
      <c r="L1158" s="229"/>
      <c r="M1158" s="229"/>
      <c r="N1158" s="229"/>
      <c r="AT1158" s="140"/>
    </row>
    <row r="1159" spans="12:46">
      <c r="L1159" s="229"/>
      <c r="M1159" s="229"/>
      <c r="N1159" s="229"/>
      <c r="AT1159" s="140"/>
    </row>
    <row r="1160" spans="12:46">
      <c r="L1160" s="229"/>
      <c r="M1160" s="229"/>
      <c r="N1160" s="229"/>
      <c r="AT1160" s="140"/>
    </row>
    <row r="1161" spans="12:46">
      <c r="L1161" s="229"/>
      <c r="M1161" s="229"/>
      <c r="N1161" s="229"/>
      <c r="AT1161" s="140"/>
    </row>
    <row r="1162" spans="12:46">
      <c r="L1162" s="229"/>
      <c r="M1162" s="229"/>
      <c r="N1162" s="229"/>
      <c r="AT1162" s="140"/>
    </row>
    <row r="1163" spans="12:46">
      <c r="L1163" s="229"/>
      <c r="M1163" s="229"/>
      <c r="N1163" s="229"/>
      <c r="AT1163" s="140"/>
    </row>
    <row r="1164" spans="12:46">
      <c r="L1164" s="229"/>
      <c r="M1164" s="229"/>
      <c r="N1164" s="229"/>
      <c r="AT1164" s="140"/>
    </row>
    <row r="1165" spans="12:46">
      <c r="L1165" s="229"/>
      <c r="M1165" s="229"/>
      <c r="N1165" s="229"/>
      <c r="AT1165" s="140"/>
    </row>
    <row r="1166" spans="12:46">
      <c r="L1166" s="229"/>
      <c r="M1166" s="229"/>
      <c r="N1166" s="229"/>
      <c r="AT1166" s="140"/>
    </row>
    <row r="1167" spans="12:46">
      <c r="L1167" s="229"/>
      <c r="M1167" s="229"/>
      <c r="N1167" s="229"/>
      <c r="AT1167" s="140"/>
    </row>
    <row r="1168" spans="12:46">
      <c r="L1168" s="229"/>
      <c r="M1168" s="229"/>
      <c r="N1168" s="229"/>
      <c r="AT1168" s="140"/>
    </row>
    <row r="1169" spans="12:46">
      <c r="L1169" s="229"/>
      <c r="M1169" s="229"/>
      <c r="N1169" s="229"/>
      <c r="AT1169" s="140"/>
    </row>
    <row r="1170" spans="12:46">
      <c r="L1170" s="229"/>
      <c r="M1170" s="229"/>
      <c r="N1170" s="229"/>
      <c r="AT1170" s="140"/>
    </row>
    <row r="1171" spans="12:46">
      <c r="L1171" s="229"/>
      <c r="M1171" s="229"/>
      <c r="N1171" s="229"/>
      <c r="AT1171" s="140"/>
    </row>
    <row r="1172" spans="12:46">
      <c r="L1172" s="229"/>
      <c r="M1172" s="229"/>
      <c r="N1172" s="229"/>
      <c r="AT1172" s="140"/>
    </row>
    <row r="1173" spans="12:46">
      <c r="L1173" s="229"/>
      <c r="M1173" s="229"/>
      <c r="N1173" s="229"/>
      <c r="AT1173" s="140"/>
    </row>
    <row r="1174" spans="12:46">
      <c r="L1174" s="229"/>
      <c r="M1174" s="229"/>
      <c r="N1174" s="229"/>
      <c r="AT1174" s="140"/>
    </row>
    <row r="1175" spans="12:46">
      <c r="L1175" s="229"/>
      <c r="M1175" s="229"/>
      <c r="N1175" s="229"/>
      <c r="AT1175" s="140"/>
    </row>
    <row r="1176" spans="12:46">
      <c r="L1176" s="229"/>
      <c r="M1176" s="229"/>
      <c r="N1176" s="229"/>
      <c r="AT1176" s="140"/>
    </row>
    <row r="1177" spans="12:46">
      <c r="L1177" s="229"/>
      <c r="M1177" s="229"/>
      <c r="N1177" s="229"/>
      <c r="AT1177" s="140"/>
    </row>
    <row r="1178" spans="12:46">
      <c r="L1178" s="229"/>
      <c r="M1178" s="229"/>
      <c r="N1178" s="229"/>
      <c r="AT1178" s="140"/>
    </row>
    <row r="1179" spans="12:46">
      <c r="L1179" s="229"/>
      <c r="M1179" s="229"/>
      <c r="N1179" s="229"/>
      <c r="AT1179" s="140"/>
    </row>
    <row r="1180" spans="12:46">
      <c r="L1180" s="229"/>
      <c r="M1180" s="229"/>
      <c r="N1180" s="229"/>
      <c r="AT1180" s="140"/>
    </row>
    <row r="1181" spans="12:46">
      <c r="L1181" s="229"/>
      <c r="M1181" s="229"/>
      <c r="N1181" s="229"/>
      <c r="AT1181" s="140"/>
    </row>
    <row r="1182" spans="12:46">
      <c r="L1182" s="229"/>
      <c r="M1182" s="229"/>
      <c r="N1182" s="229"/>
      <c r="AT1182" s="140"/>
    </row>
    <row r="1183" spans="12:46">
      <c r="L1183" s="229"/>
      <c r="M1183" s="229"/>
      <c r="N1183" s="229"/>
      <c r="AT1183" s="140"/>
    </row>
    <row r="1184" spans="12:46">
      <c r="L1184" s="229"/>
      <c r="M1184" s="229"/>
      <c r="N1184" s="229"/>
      <c r="AT1184" s="140"/>
    </row>
    <row r="1185" spans="12:46">
      <c r="L1185" s="229"/>
      <c r="M1185" s="229"/>
      <c r="N1185" s="229"/>
      <c r="AT1185" s="140"/>
    </row>
    <row r="1186" spans="12:46">
      <c r="L1186" s="229"/>
      <c r="M1186" s="229"/>
      <c r="N1186" s="229"/>
      <c r="AT1186" s="140"/>
    </row>
    <row r="1187" spans="12:46">
      <c r="L1187" s="229"/>
      <c r="M1187" s="229"/>
      <c r="N1187" s="229"/>
      <c r="AT1187" s="140"/>
    </row>
    <row r="1188" spans="12:46">
      <c r="L1188" s="229"/>
      <c r="M1188" s="229"/>
      <c r="N1188" s="229"/>
      <c r="AT1188" s="140"/>
    </row>
    <row r="1189" spans="12:46">
      <c r="L1189" s="229"/>
      <c r="M1189" s="229"/>
      <c r="N1189" s="229"/>
      <c r="AT1189" s="140"/>
    </row>
    <row r="1190" spans="12:46">
      <c r="L1190" s="229"/>
      <c r="M1190" s="229"/>
      <c r="N1190" s="229"/>
      <c r="AT1190" s="140"/>
    </row>
    <row r="1191" spans="12:46">
      <c r="L1191" s="229"/>
      <c r="M1191" s="229"/>
      <c r="N1191" s="229"/>
      <c r="AT1191" s="140"/>
    </row>
    <row r="1192" spans="12:46">
      <c r="L1192" s="229"/>
      <c r="M1192" s="229"/>
      <c r="N1192" s="229"/>
      <c r="AT1192" s="140"/>
    </row>
    <row r="1193" spans="12:46">
      <c r="L1193" s="229"/>
      <c r="M1193" s="229"/>
      <c r="N1193" s="229"/>
      <c r="AT1193" s="140"/>
    </row>
    <row r="1194" spans="12:46">
      <c r="L1194" s="229"/>
      <c r="M1194" s="229"/>
      <c r="N1194" s="229"/>
      <c r="AT1194" s="140"/>
    </row>
    <row r="1195" spans="12:46">
      <c r="L1195" s="229"/>
      <c r="M1195" s="229"/>
      <c r="N1195" s="229"/>
      <c r="AT1195" s="140"/>
    </row>
    <row r="1196" spans="12:46">
      <c r="L1196" s="229"/>
      <c r="M1196" s="229"/>
      <c r="N1196" s="229"/>
      <c r="AT1196" s="140"/>
    </row>
    <row r="1197" spans="12:46">
      <c r="L1197" s="229"/>
      <c r="M1197" s="229"/>
      <c r="N1197" s="229"/>
      <c r="AT1197" s="140"/>
    </row>
    <row r="1198" spans="12:46">
      <c r="L1198" s="229"/>
      <c r="M1198" s="229"/>
      <c r="N1198" s="229"/>
      <c r="AT1198" s="140"/>
    </row>
    <row r="1199" spans="12:46">
      <c r="L1199" s="229"/>
      <c r="M1199" s="229"/>
      <c r="N1199" s="229"/>
      <c r="AT1199" s="140"/>
    </row>
    <row r="1200" spans="12:46">
      <c r="L1200" s="229"/>
      <c r="M1200" s="229"/>
      <c r="N1200" s="229"/>
      <c r="AT1200" s="140"/>
    </row>
    <row r="1201" spans="46:46">
      <c r="AT1201" s="140"/>
    </row>
    <row r="1202" spans="46:46">
      <c r="AT1202" s="140"/>
    </row>
    <row r="1203" spans="46:46">
      <c r="AT1203" s="140"/>
    </row>
    <row r="1204" spans="46:46">
      <c r="AT1204" s="140"/>
    </row>
    <row r="1205" spans="46:46">
      <c r="AT1205" s="140"/>
    </row>
    <row r="1206" spans="46:46">
      <c r="AT1206" s="140"/>
    </row>
    <row r="1207" spans="46:46">
      <c r="AT1207" s="140"/>
    </row>
    <row r="1208" spans="46:46">
      <c r="AT1208" s="140"/>
    </row>
    <row r="1209" spans="46:46">
      <c r="AT1209" s="140"/>
    </row>
    <row r="1210" spans="46:46">
      <c r="AT1210" s="140"/>
    </row>
    <row r="1211" spans="46:46">
      <c r="AT1211" s="140"/>
    </row>
    <row r="1212" spans="46:46">
      <c r="AT1212" s="140"/>
    </row>
    <row r="1213" spans="46:46">
      <c r="AT1213" s="140"/>
    </row>
    <row r="1214" spans="46:46">
      <c r="AT1214" s="140"/>
    </row>
    <row r="1215" spans="46:46">
      <c r="AT1215" s="140"/>
    </row>
    <row r="1216" spans="46:46">
      <c r="AT1216" s="140"/>
    </row>
    <row r="1217" spans="46:46">
      <c r="AT1217" s="140"/>
    </row>
    <row r="1218" spans="46:46">
      <c r="AT1218" s="140"/>
    </row>
    <row r="1219" spans="46:46">
      <c r="AT1219" s="140"/>
    </row>
    <row r="1220" spans="46:46">
      <c r="AT1220" s="140"/>
    </row>
    <row r="1221" spans="46:46">
      <c r="AT1221" s="140"/>
    </row>
    <row r="1222" spans="46:46">
      <c r="AT1222" s="140"/>
    </row>
    <row r="1223" spans="46:46">
      <c r="AT1223" s="140"/>
    </row>
    <row r="1224" spans="46:46">
      <c r="AT1224" s="140"/>
    </row>
    <row r="1225" spans="46:46">
      <c r="AT1225" s="140"/>
    </row>
    <row r="1226" spans="46:46">
      <c r="AT1226" s="140"/>
    </row>
    <row r="1227" spans="46:46">
      <c r="AT1227" s="140"/>
    </row>
    <row r="1228" spans="46:46">
      <c r="AT1228" s="140"/>
    </row>
    <row r="1229" spans="46:46">
      <c r="AT1229" s="140"/>
    </row>
    <row r="1230" spans="46:46">
      <c r="AT1230" s="140"/>
    </row>
    <row r="1231" spans="46:46">
      <c r="AT1231" s="140"/>
    </row>
    <row r="1232" spans="46:46">
      <c r="AT1232" s="140"/>
    </row>
    <row r="1233" spans="46:46">
      <c r="AT1233" s="140"/>
    </row>
    <row r="1234" spans="46:46">
      <c r="AT1234" s="140"/>
    </row>
    <row r="1235" spans="46:46">
      <c r="AT1235" s="140"/>
    </row>
    <row r="1236" spans="46:46">
      <c r="AT1236" s="140"/>
    </row>
    <row r="1237" spans="46:46">
      <c r="AT1237" s="140"/>
    </row>
    <row r="1238" spans="46:46">
      <c r="AT1238" s="140"/>
    </row>
    <row r="1239" spans="46:46">
      <c r="AT1239" s="140"/>
    </row>
    <row r="1240" spans="46:46">
      <c r="AT1240" s="140"/>
    </row>
    <row r="1241" spans="46:46">
      <c r="AT1241" s="140"/>
    </row>
    <row r="1242" spans="46:46">
      <c r="AT1242" s="140"/>
    </row>
    <row r="1243" spans="46:46">
      <c r="AT1243" s="140"/>
    </row>
    <row r="1244" spans="46:46">
      <c r="AT1244" s="140"/>
    </row>
    <row r="1245" spans="46:46">
      <c r="AT1245" s="140"/>
    </row>
    <row r="1246" spans="46:46">
      <c r="AT1246" s="140"/>
    </row>
    <row r="1247" spans="46:46">
      <c r="AT1247" s="140"/>
    </row>
    <row r="1248" spans="46:46">
      <c r="AT1248" s="140"/>
    </row>
    <row r="1249" spans="46:46">
      <c r="AT1249" s="140"/>
    </row>
    <row r="1250" spans="46:46">
      <c r="AT1250" s="140"/>
    </row>
    <row r="1251" spans="46:46">
      <c r="AT1251" s="140"/>
    </row>
    <row r="1252" spans="46:46">
      <c r="AT1252" s="140"/>
    </row>
    <row r="1253" spans="46:46">
      <c r="AT1253" s="140"/>
    </row>
    <row r="1254" spans="46:46">
      <c r="AT1254" s="140"/>
    </row>
    <row r="1255" spans="46:46">
      <c r="AT1255" s="140"/>
    </row>
    <row r="1256" spans="46:46">
      <c r="AT1256" s="140"/>
    </row>
    <row r="1257" spans="46:46">
      <c r="AT1257" s="140"/>
    </row>
    <row r="1258" spans="46:46">
      <c r="AT1258" s="140"/>
    </row>
    <row r="1259" spans="46:46">
      <c r="AT1259" s="140"/>
    </row>
    <row r="1260" spans="46:46">
      <c r="AT1260" s="140"/>
    </row>
    <row r="1261" spans="46:46">
      <c r="AT1261" s="140"/>
    </row>
    <row r="1262" spans="46:46">
      <c r="AT1262" s="140"/>
    </row>
    <row r="1263" spans="46:46">
      <c r="AT1263" s="140"/>
    </row>
    <row r="1264" spans="46:46">
      <c r="AT1264" s="140"/>
    </row>
    <row r="1265" spans="46:46">
      <c r="AT1265" s="140"/>
    </row>
    <row r="1266" spans="46:46">
      <c r="AT1266" s="140"/>
    </row>
    <row r="1267" spans="46:46">
      <c r="AT1267" s="140"/>
    </row>
    <row r="1268" spans="46:46">
      <c r="AT1268" s="140"/>
    </row>
    <row r="1269" spans="46:46">
      <c r="AT1269" s="140"/>
    </row>
    <row r="1270" spans="46:46">
      <c r="AT1270" s="140"/>
    </row>
    <row r="1271" spans="46:46">
      <c r="AT1271" s="140"/>
    </row>
    <row r="1272" spans="46:46">
      <c r="AT1272" s="140"/>
    </row>
    <row r="1273" spans="46:46">
      <c r="AT1273" s="140"/>
    </row>
    <row r="1274" spans="46:46">
      <c r="AT1274" s="140"/>
    </row>
    <row r="1275" spans="46:46">
      <c r="AT1275" s="140"/>
    </row>
    <row r="1276" spans="46:46">
      <c r="AT1276" s="140"/>
    </row>
    <row r="1277" spans="46:46">
      <c r="AT1277" s="140"/>
    </row>
    <row r="1278" spans="46:46">
      <c r="AT1278" s="140"/>
    </row>
    <row r="1279" spans="46:46">
      <c r="AT1279" s="140"/>
    </row>
    <row r="1280" spans="46:46">
      <c r="AT1280" s="140"/>
    </row>
    <row r="1281" spans="46:46">
      <c r="AT1281" s="140"/>
    </row>
    <row r="1282" spans="46:46">
      <c r="AT1282" s="140"/>
    </row>
    <row r="1283" spans="46:46">
      <c r="AT1283" s="140"/>
    </row>
    <row r="1284" spans="46:46">
      <c r="AT1284" s="140"/>
    </row>
    <row r="1285" spans="46:46">
      <c r="AT1285" s="140"/>
    </row>
    <row r="1286" spans="46:46">
      <c r="AT1286" s="140"/>
    </row>
    <row r="1287" spans="46:46">
      <c r="AT1287" s="140"/>
    </row>
    <row r="1288" spans="46:46">
      <c r="AT1288" s="140"/>
    </row>
    <row r="1289" spans="46:46">
      <c r="AT1289" s="140"/>
    </row>
    <row r="1290" spans="46:46">
      <c r="AT1290" s="140"/>
    </row>
    <row r="1291" spans="46:46">
      <c r="AT1291" s="140"/>
    </row>
    <row r="1292" spans="46:46">
      <c r="AT1292" s="140"/>
    </row>
    <row r="1293" spans="46:46">
      <c r="AT1293" s="140"/>
    </row>
    <row r="1294" spans="46:46">
      <c r="AT1294" s="140"/>
    </row>
    <row r="1295" spans="46:46">
      <c r="AT1295" s="140"/>
    </row>
    <row r="1296" spans="46:46">
      <c r="AT1296" s="140"/>
    </row>
    <row r="1297" spans="46:46">
      <c r="AT1297" s="140"/>
    </row>
    <row r="1298" spans="46:46">
      <c r="AT1298" s="140"/>
    </row>
    <row r="1299" spans="46:46">
      <c r="AT1299" s="140"/>
    </row>
    <row r="1300" spans="46:46">
      <c r="AT1300" s="140"/>
    </row>
    <row r="1301" spans="46:46">
      <c r="AT1301" s="140"/>
    </row>
    <row r="1302" spans="46:46">
      <c r="AT1302" s="140"/>
    </row>
    <row r="1303" spans="46:46">
      <c r="AT1303" s="140"/>
    </row>
    <row r="1304" spans="46:46">
      <c r="AT1304" s="140"/>
    </row>
    <row r="1305" spans="46:46">
      <c r="AT1305" s="140"/>
    </row>
    <row r="1306" spans="46:46">
      <c r="AT1306" s="140"/>
    </row>
    <row r="1307" spans="46:46">
      <c r="AT1307" s="140"/>
    </row>
    <row r="1308" spans="46:46">
      <c r="AT1308" s="140"/>
    </row>
    <row r="1309" spans="46:46">
      <c r="AT1309" s="140"/>
    </row>
    <row r="1310" spans="46:46">
      <c r="AT1310" s="140"/>
    </row>
    <row r="1311" spans="46:46">
      <c r="AT1311" s="140"/>
    </row>
    <row r="1312" spans="46:46">
      <c r="AT1312" s="140"/>
    </row>
    <row r="1313" spans="46:46">
      <c r="AT1313" s="140"/>
    </row>
    <row r="1314" spans="46:46">
      <c r="AT1314" s="140"/>
    </row>
    <row r="1315" spans="46:46">
      <c r="AT1315" s="140"/>
    </row>
    <row r="1316" spans="46:46">
      <c r="AT1316" s="140"/>
    </row>
    <row r="1317" spans="46:46">
      <c r="AT1317" s="140"/>
    </row>
    <row r="1318" spans="46:46">
      <c r="AT1318" s="140"/>
    </row>
    <row r="1319" spans="46:46">
      <c r="AT1319" s="140"/>
    </row>
    <row r="1320" spans="46:46">
      <c r="AT1320" s="140"/>
    </row>
    <row r="1321" spans="46:46">
      <c r="AT1321" s="140"/>
    </row>
    <row r="1322" spans="46:46">
      <c r="AT1322" s="140"/>
    </row>
    <row r="1323" spans="46:46">
      <c r="AT1323" s="140"/>
    </row>
    <row r="1324" spans="46:46">
      <c r="AT1324" s="140"/>
    </row>
    <row r="1325" spans="46:46">
      <c r="AT1325" s="140"/>
    </row>
    <row r="1326" spans="46:46">
      <c r="AT1326" s="140"/>
    </row>
    <row r="1327" spans="46:46">
      <c r="AT1327" s="140"/>
    </row>
    <row r="1328" spans="46:46">
      <c r="AT1328" s="140"/>
    </row>
    <row r="1329" spans="46:46">
      <c r="AT1329" s="140"/>
    </row>
    <row r="1330" spans="46:46">
      <c r="AT1330" s="140"/>
    </row>
    <row r="1331" spans="46:46">
      <c r="AT1331" s="140"/>
    </row>
    <row r="1332" spans="46:46">
      <c r="AT1332" s="140"/>
    </row>
    <row r="1333" spans="46:46">
      <c r="AT1333" s="140"/>
    </row>
    <row r="1334" spans="46:46">
      <c r="AT1334" s="140"/>
    </row>
    <row r="1335" spans="46:46">
      <c r="AT1335" s="140"/>
    </row>
    <row r="1336" spans="46:46">
      <c r="AT1336" s="140"/>
    </row>
    <row r="1337" spans="46:46">
      <c r="AT1337" s="140"/>
    </row>
    <row r="1338" spans="46:46">
      <c r="AT1338" s="140"/>
    </row>
    <row r="1339" spans="46:46">
      <c r="AT1339" s="140"/>
    </row>
    <row r="1340" spans="46:46">
      <c r="AT1340" s="140"/>
    </row>
    <row r="1341" spans="46:46">
      <c r="AT1341" s="140"/>
    </row>
    <row r="1342" spans="46:46">
      <c r="AT1342" s="140"/>
    </row>
    <row r="1343" spans="46:46">
      <c r="AT1343" s="140"/>
    </row>
    <row r="1344" spans="46:46">
      <c r="AT1344" s="140"/>
    </row>
    <row r="1345" spans="46:46">
      <c r="AT1345" s="140"/>
    </row>
    <row r="1346" spans="46:46">
      <c r="AT1346" s="140"/>
    </row>
    <row r="1347" spans="46:46">
      <c r="AT1347" s="140"/>
    </row>
    <row r="1348" spans="46:46">
      <c r="AT1348" s="140"/>
    </row>
    <row r="1349" spans="46:46">
      <c r="AT1349" s="140"/>
    </row>
    <row r="1350" spans="46:46">
      <c r="AT1350" s="140"/>
    </row>
    <row r="1351" spans="46:46">
      <c r="AT1351" s="140"/>
    </row>
    <row r="1352" spans="46:46">
      <c r="AT1352" s="140"/>
    </row>
    <row r="1353" spans="46:46">
      <c r="AT1353" s="140"/>
    </row>
    <row r="1354" spans="46:46">
      <c r="AT1354" s="140"/>
    </row>
    <row r="1355" spans="46:46">
      <c r="AT1355" s="140"/>
    </row>
    <row r="1356" spans="46:46">
      <c r="AT1356" s="140"/>
    </row>
    <row r="1357" spans="46:46">
      <c r="AT1357" s="140"/>
    </row>
    <row r="1358" spans="46:46">
      <c r="AT1358" s="140"/>
    </row>
    <row r="1359" spans="46:46">
      <c r="AT1359" s="140"/>
    </row>
    <row r="1360" spans="46:46">
      <c r="AT1360" s="140"/>
    </row>
    <row r="1361" spans="46:46">
      <c r="AT1361" s="140"/>
    </row>
    <row r="1362" spans="46:46">
      <c r="AT1362" s="140"/>
    </row>
    <row r="1363" spans="46:46">
      <c r="AT1363" s="140"/>
    </row>
    <row r="1364" spans="46:46">
      <c r="AT1364" s="140"/>
    </row>
    <row r="1365" spans="46:46">
      <c r="AT1365" s="140"/>
    </row>
    <row r="1366" spans="46:46">
      <c r="AT1366" s="140"/>
    </row>
    <row r="1367" spans="46:46">
      <c r="AT1367" s="140"/>
    </row>
    <row r="1368" spans="46:46">
      <c r="AT1368" s="140"/>
    </row>
    <row r="1369" spans="46:46">
      <c r="AT1369" s="140"/>
    </row>
    <row r="1370" spans="46:46">
      <c r="AT1370" s="140"/>
    </row>
    <row r="1371" spans="46:46">
      <c r="AT1371" s="140"/>
    </row>
    <row r="1372" spans="46:46">
      <c r="AT1372" s="140"/>
    </row>
    <row r="1373" spans="46:46">
      <c r="AT1373" s="140"/>
    </row>
    <row r="1374" spans="46:46">
      <c r="AT1374" s="140"/>
    </row>
    <row r="1375" spans="46:46">
      <c r="AT1375" s="140"/>
    </row>
    <row r="1376" spans="46:46">
      <c r="AT1376" s="140"/>
    </row>
    <row r="1377" spans="46:46">
      <c r="AT1377" s="140"/>
    </row>
    <row r="1378" spans="46:46">
      <c r="AT1378" s="140"/>
    </row>
    <row r="1379" spans="46:46">
      <c r="AT1379" s="140"/>
    </row>
    <row r="1380" spans="46:46">
      <c r="AT1380" s="140"/>
    </row>
    <row r="1381" spans="46:46">
      <c r="AT1381" s="140"/>
    </row>
    <row r="1382" spans="46:46">
      <c r="AT1382" s="140"/>
    </row>
    <row r="1383" spans="46:46">
      <c r="AT1383" s="140"/>
    </row>
    <row r="1384" spans="46:46">
      <c r="AT1384" s="140"/>
    </row>
    <row r="1385" spans="46:46">
      <c r="AT1385" s="140"/>
    </row>
    <row r="1386" spans="46:46">
      <c r="AT1386" s="140"/>
    </row>
    <row r="1387" spans="46:46">
      <c r="AT1387" s="140"/>
    </row>
    <row r="1388" spans="46:46">
      <c r="AT1388" s="140"/>
    </row>
    <row r="1389" spans="46:46">
      <c r="AT1389" s="140"/>
    </row>
    <row r="1390" spans="46:46">
      <c r="AT1390" s="140"/>
    </row>
    <row r="1391" spans="46:46">
      <c r="AT1391" s="140"/>
    </row>
    <row r="1392" spans="46:46">
      <c r="AT1392" s="140"/>
    </row>
    <row r="1393" spans="46:46">
      <c r="AT1393" s="140"/>
    </row>
    <row r="1394" spans="46:46">
      <c r="AT1394" s="140"/>
    </row>
    <row r="1395" spans="46:46">
      <c r="AT1395" s="140"/>
    </row>
    <row r="1396" spans="46:46">
      <c r="AT1396" s="140"/>
    </row>
    <row r="1397" spans="46:46">
      <c r="AT1397" s="140"/>
    </row>
    <row r="1398" spans="46:46">
      <c r="AT1398" s="140"/>
    </row>
    <row r="1399" spans="46:46">
      <c r="AT1399" s="140"/>
    </row>
    <row r="1400" spans="46:46">
      <c r="AT1400" s="140"/>
    </row>
    <row r="1401" spans="46:46">
      <c r="AT1401" s="140"/>
    </row>
    <row r="1402" spans="46:46">
      <c r="AT1402" s="140"/>
    </row>
    <row r="1403" spans="46:46">
      <c r="AT1403" s="140"/>
    </row>
    <row r="1404" spans="46:46">
      <c r="AT1404" s="140"/>
    </row>
    <row r="1405" spans="46:46">
      <c r="AT1405" s="140"/>
    </row>
    <row r="1406" spans="46:46">
      <c r="AT1406" s="140"/>
    </row>
    <row r="1407" spans="46:46">
      <c r="AT1407" s="140"/>
    </row>
    <row r="1408" spans="46:46">
      <c r="AT1408" s="140"/>
    </row>
    <row r="1409" spans="46:46">
      <c r="AT1409" s="140"/>
    </row>
    <row r="1410" spans="46:46">
      <c r="AT1410" s="140"/>
    </row>
    <row r="1411" spans="46:46">
      <c r="AT1411" s="140"/>
    </row>
    <row r="1412" spans="46:46">
      <c r="AT1412" s="140"/>
    </row>
    <row r="1413" spans="46:46">
      <c r="AT1413" s="140"/>
    </row>
    <row r="1414" spans="46:46">
      <c r="AT1414" s="140"/>
    </row>
    <row r="1415" spans="46:46">
      <c r="AT1415" s="140"/>
    </row>
    <row r="1416" spans="46:46">
      <c r="AT1416" s="140"/>
    </row>
    <row r="1417" spans="46:46">
      <c r="AT1417" s="140"/>
    </row>
    <row r="1418" spans="46:46">
      <c r="AT1418" s="140"/>
    </row>
    <row r="1419" spans="46:46">
      <c r="AT1419" s="140"/>
    </row>
    <row r="1420" spans="46:46">
      <c r="AT1420" s="140"/>
    </row>
    <row r="1421" spans="46:46">
      <c r="AT1421" s="140"/>
    </row>
    <row r="1422" spans="46:46">
      <c r="AT1422" s="140"/>
    </row>
    <row r="1423" spans="46:46">
      <c r="AT1423" s="140"/>
    </row>
    <row r="1424" spans="46:46">
      <c r="AT1424" s="140"/>
    </row>
    <row r="1425" spans="46:46">
      <c r="AT1425" s="140"/>
    </row>
    <row r="1426" spans="46:46">
      <c r="AT1426" s="140"/>
    </row>
    <row r="1427" spans="46:46">
      <c r="AT1427" s="140"/>
    </row>
    <row r="1428" spans="46:46">
      <c r="AT1428" s="140"/>
    </row>
    <row r="1429" spans="46:46">
      <c r="AT1429" s="140"/>
    </row>
    <row r="1430" spans="46:46">
      <c r="AT1430" s="140"/>
    </row>
    <row r="1431" spans="46:46">
      <c r="AT1431" s="140"/>
    </row>
    <row r="1432" spans="46:46">
      <c r="AT1432" s="140"/>
    </row>
    <row r="1433" spans="46:46">
      <c r="AT1433" s="140"/>
    </row>
    <row r="1434" spans="46:46">
      <c r="AT1434" s="140"/>
    </row>
    <row r="1435" spans="46:46">
      <c r="AT1435" s="140"/>
    </row>
    <row r="1436" spans="46:46">
      <c r="AT1436" s="140"/>
    </row>
    <row r="1437" spans="46:46">
      <c r="AT1437" s="140"/>
    </row>
    <row r="1438" spans="46:46">
      <c r="AT1438" s="140"/>
    </row>
    <row r="1439" spans="46:46">
      <c r="AT1439" s="140"/>
    </row>
    <row r="1440" spans="46:46">
      <c r="AT1440" s="140"/>
    </row>
    <row r="1441" spans="46:46">
      <c r="AT1441" s="140"/>
    </row>
    <row r="1442" spans="46:46">
      <c r="AT1442" s="140"/>
    </row>
    <row r="1443" spans="46:46">
      <c r="AT1443" s="140"/>
    </row>
    <row r="1444" spans="46:46">
      <c r="AT1444" s="140"/>
    </row>
    <row r="1445" spans="46:46">
      <c r="AT1445" s="140"/>
    </row>
    <row r="1446" spans="46:46">
      <c r="AT1446" s="140"/>
    </row>
    <row r="1447" spans="46:46">
      <c r="AT1447" s="140"/>
    </row>
    <row r="1448" spans="46:46">
      <c r="AT1448" s="140"/>
    </row>
    <row r="1449" spans="46:46">
      <c r="AT1449" s="140"/>
    </row>
    <row r="1450" spans="46:46">
      <c r="AT1450" s="140"/>
    </row>
    <row r="1451" spans="46:46">
      <c r="AT1451" s="140"/>
    </row>
    <row r="1452" spans="46:46">
      <c r="AT1452" s="140"/>
    </row>
    <row r="1453" spans="46:46">
      <c r="AT1453" s="140"/>
    </row>
    <row r="1454" spans="46:46">
      <c r="AT1454" s="140"/>
    </row>
    <row r="1455" spans="46:46">
      <c r="AT1455" s="140"/>
    </row>
    <row r="1456" spans="46:46">
      <c r="AT1456" s="140"/>
    </row>
    <row r="1457" spans="46:46">
      <c r="AT1457" s="140"/>
    </row>
    <row r="1458" spans="46:46">
      <c r="AT1458" s="140"/>
    </row>
    <row r="1459" spans="46:46">
      <c r="AT1459" s="140"/>
    </row>
    <row r="1460" spans="46:46">
      <c r="AT1460" s="140"/>
    </row>
    <row r="1461" spans="46:46">
      <c r="AT1461" s="140"/>
    </row>
    <row r="1462" spans="46:46">
      <c r="AT1462" s="140"/>
    </row>
    <row r="1463" spans="46:46">
      <c r="AT1463" s="140"/>
    </row>
    <row r="1464" spans="46:46">
      <c r="AT1464" s="140"/>
    </row>
    <row r="1465" spans="46:46">
      <c r="AT1465" s="140"/>
    </row>
    <row r="1466" spans="46:46">
      <c r="AT1466" s="140"/>
    </row>
    <row r="1467" spans="46:46">
      <c r="AT1467" s="140"/>
    </row>
    <row r="1468" spans="46:46">
      <c r="AT1468" s="140"/>
    </row>
    <row r="1469" spans="46:46">
      <c r="AT1469" s="140"/>
    </row>
    <row r="1470" spans="46:46">
      <c r="AT1470" s="140"/>
    </row>
    <row r="1471" spans="46:46">
      <c r="AT1471" s="140"/>
    </row>
    <row r="1472" spans="46:46">
      <c r="AT1472" s="140"/>
    </row>
    <row r="1473" spans="46:46">
      <c r="AT1473" s="140"/>
    </row>
    <row r="1474" spans="46:46">
      <c r="AT1474" s="140"/>
    </row>
    <row r="1475" spans="46:46">
      <c r="AT1475" s="140"/>
    </row>
    <row r="1476" spans="46:46">
      <c r="AT1476" s="140"/>
    </row>
    <row r="1477" spans="46:46">
      <c r="AT1477" s="140"/>
    </row>
    <row r="1478" spans="46:46">
      <c r="AT1478" s="140"/>
    </row>
    <row r="1479" spans="46:46">
      <c r="AT1479" s="140"/>
    </row>
    <row r="1480" spans="46:46">
      <c r="AT1480" s="140"/>
    </row>
    <row r="1481" spans="46:46">
      <c r="AT1481" s="140"/>
    </row>
    <row r="1482" spans="46:46">
      <c r="AT1482" s="140"/>
    </row>
    <row r="1483" spans="46:46">
      <c r="AT1483" s="140"/>
    </row>
    <row r="1484" spans="46:46">
      <c r="AT1484" s="140"/>
    </row>
    <row r="1485" spans="46:46">
      <c r="AT1485" s="140"/>
    </row>
    <row r="1486" spans="46:46">
      <c r="AT1486" s="140"/>
    </row>
    <row r="1487" spans="46:46">
      <c r="AT1487" s="140"/>
    </row>
    <row r="1488" spans="46:46">
      <c r="AT1488" s="140"/>
    </row>
    <row r="1489" spans="46:46">
      <c r="AT1489" s="140"/>
    </row>
    <row r="1490" spans="46:46">
      <c r="AT1490" s="140"/>
    </row>
    <row r="1491" spans="46:46">
      <c r="AT1491" s="140"/>
    </row>
    <row r="1492" spans="46:46">
      <c r="AT1492" s="140"/>
    </row>
    <row r="1493" spans="46:46">
      <c r="AT1493" s="140"/>
    </row>
    <row r="1494" spans="46:46">
      <c r="AT1494" s="140"/>
    </row>
    <row r="1495" spans="46:46">
      <c r="AT1495" s="140"/>
    </row>
    <row r="1496" spans="46:46">
      <c r="AT1496" s="140"/>
    </row>
    <row r="1497" spans="46:46">
      <c r="AT1497" s="140"/>
    </row>
    <row r="1498" spans="46:46">
      <c r="AT1498" s="140"/>
    </row>
    <row r="1499" spans="46:46">
      <c r="AT1499" s="140"/>
    </row>
    <row r="1500" spans="46:46">
      <c r="AT1500" s="140"/>
    </row>
    <row r="1501" spans="46:46">
      <c r="AT1501" s="140"/>
    </row>
    <row r="1502" spans="46:46">
      <c r="AT1502" s="140"/>
    </row>
    <row r="1503" spans="46:46">
      <c r="AT1503" s="140"/>
    </row>
    <row r="1504" spans="46:46">
      <c r="AT1504" s="140"/>
    </row>
    <row r="1505" spans="46:46">
      <c r="AT1505" s="140"/>
    </row>
    <row r="1506" spans="46:46">
      <c r="AT1506" s="140"/>
    </row>
    <row r="1507" spans="46:46">
      <c r="AT1507" s="140"/>
    </row>
    <row r="1508" spans="46:46">
      <c r="AT1508" s="140"/>
    </row>
    <row r="1509" spans="46:46">
      <c r="AT1509" s="140"/>
    </row>
    <row r="1510" spans="46:46">
      <c r="AT1510" s="140"/>
    </row>
    <row r="1511" spans="46:46">
      <c r="AT1511" s="140"/>
    </row>
    <row r="1512" spans="46:46">
      <c r="AT1512" s="140"/>
    </row>
    <row r="1513" spans="46:46">
      <c r="AT1513" s="140"/>
    </row>
    <row r="1514" spans="46:46">
      <c r="AT1514" s="140"/>
    </row>
    <row r="1515" spans="46:46">
      <c r="AT1515" s="140"/>
    </row>
    <row r="1516" spans="46:46">
      <c r="AT1516" s="140"/>
    </row>
    <row r="1517" spans="46:46">
      <c r="AT1517" s="140"/>
    </row>
    <row r="1518" spans="46:46">
      <c r="AT1518" s="140"/>
    </row>
    <row r="1519" spans="46:46">
      <c r="AT1519" s="140"/>
    </row>
    <row r="1520" spans="46:46">
      <c r="AT1520" s="140"/>
    </row>
    <row r="1521" spans="46:46">
      <c r="AT1521" s="140"/>
    </row>
    <row r="1522" spans="46:46">
      <c r="AT1522" s="140"/>
    </row>
    <row r="1523" spans="46:46">
      <c r="AT1523" s="140"/>
    </row>
    <row r="1524" spans="46:46">
      <c r="AT1524" s="140"/>
    </row>
    <row r="1525" spans="46:46">
      <c r="AT1525" s="140"/>
    </row>
    <row r="1526" spans="46:46">
      <c r="AT1526" s="140"/>
    </row>
    <row r="1527" spans="46:46">
      <c r="AT1527" s="140"/>
    </row>
    <row r="1528" spans="46:46">
      <c r="AT1528" s="140"/>
    </row>
    <row r="1529" spans="46:46">
      <c r="AT1529" s="140"/>
    </row>
    <row r="1530" spans="46:46">
      <c r="AT1530" s="140"/>
    </row>
    <row r="1531" spans="46:46">
      <c r="AT1531" s="140"/>
    </row>
    <row r="1532" spans="46:46">
      <c r="AT1532" s="140"/>
    </row>
    <row r="1533" spans="46:46">
      <c r="AT1533" s="140"/>
    </row>
    <row r="1534" spans="46:46">
      <c r="AT1534" s="140"/>
    </row>
    <row r="1535" spans="46:46">
      <c r="AT1535" s="140"/>
    </row>
    <row r="1536" spans="46:46">
      <c r="AT1536" s="140"/>
    </row>
    <row r="1537" spans="46:46">
      <c r="AT1537" s="140"/>
    </row>
    <row r="1538" spans="46:46">
      <c r="AT1538" s="140"/>
    </row>
    <row r="1539" spans="46:46">
      <c r="AT1539" s="140"/>
    </row>
    <row r="1540" spans="46:46">
      <c r="AT1540" s="140"/>
    </row>
    <row r="1541" spans="46:46">
      <c r="AT1541" s="140"/>
    </row>
    <row r="1542" spans="46:46">
      <c r="AT1542" s="140"/>
    </row>
    <row r="1543" spans="46:46">
      <c r="AT1543" s="140"/>
    </row>
    <row r="1544" spans="46:46">
      <c r="AT1544" s="140"/>
    </row>
    <row r="1545" spans="46:46">
      <c r="AT1545" s="140"/>
    </row>
    <row r="1546" spans="46:46">
      <c r="AT1546" s="140"/>
    </row>
    <row r="1547" spans="46:46">
      <c r="AT1547" s="140"/>
    </row>
    <row r="1548" spans="46:46">
      <c r="AT1548" s="140"/>
    </row>
    <row r="1549" spans="46:46">
      <c r="AT1549" s="140"/>
    </row>
    <row r="1550" spans="46:46">
      <c r="AT1550" s="140"/>
    </row>
    <row r="1551" spans="46:46">
      <c r="AT1551" s="140"/>
    </row>
    <row r="1552" spans="46:46">
      <c r="AT1552" s="140"/>
    </row>
    <row r="1553" spans="46:46">
      <c r="AT1553" s="140"/>
    </row>
    <row r="1554" spans="46:46">
      <c r="AT1554" s="140"/>
    </row>
    <row r="1555" spans="46:46">
      <c r="AT1555" s="140"/>
    </row>
    <row r="1556" spans="46:46">
      <c r="AT1556" s="140"/>
    </row>
    <row r="1557" spans="46:46">
      <c r="AT1557" s="140"/>
    </row>
    <row r="1558" spans="46:46">
      <c r="AT1558" s="140"/>
    </row>
    <row r="1559" spans="46:46">
      <c r="AT1559" s="140"/>
    </row>
    <row r="1560" spans="46:46">
      <c r="AT1560" s="140"/>
    </row>
    <row r="1561" spans="46:46">
      <c r="AT1561" s="140"/>
    </row>
    <row r="1562" spans="46:46">
      <c r="AT1562" s="140"/>
    </row>
    <row r="1563" spans="46:46">
      <c r="AT1563" s="140"/>
    </row>
    <row r="1564" spans="46:46">
      <c r="AT1564" s="140"/>
    </row>
    <row r="1565" spans="46:46">
      <c r="AT1565" s="140"/>
    </row>
    <row r="1566" spans="46:46">
      <c r="AT1566" s="140"/>
    </row>
    <row r="1567" spans="46:46">
      <c r="AT1567" s="140"/>
    </row>
    <row r="1568" spans="46:46">
      <c r="AT1568" s="140"/>
    </row>
    <row r="1569" spans="46:46">
      <c r="AT1569" s="140"/>
    </row>
    <row r="1570" spans="46:46">
      <c r="AT1570" s="140"/>
    </row>
    <row r="1571" spans="46:46">
      <c r="AT1571" s="140"/>
    </row>
    <row r="1572" spans="46:46">
      <c r="AT1572" s="140"/>
    </row>
    <row r="1573" spans="46:46">
      <c r="AT1573" s="140"/>
    </row>
    <row r="1574" spans="46:46">
      <c r="AT1574" s="140"/>
    </row>
    <row r="1575" spans="46:46">
      <c r="AT1575" s="140"/>
    </row>
    <row r="1576" spans="46:46">
      <c r="AT1576" s="140"/>
    </row>
    <row r="1577" spans="46:46">
      <c r="AT1577" s="140"/>
    </row>
    <row r="1578" spans="46:46">
      <c r="AT1578" s="140"/>
    </row>
    <row r="1579" spans="46:46">
      <c r="AT1579" s="140"/>
    </row>
    <row r="1580" spans="46:46">
      <c r="AT1580" s="140"/>
    </row>
    <row r="1581" spans="46:46">
      <c r="AT1581" s="140"/>
    </row>
    <row r="1582" spans="46:46">
      <c r="AT1582" s="140"/>
    </row>
    <row r="1583" spans="46:46">
      <c r="AT1583" s="140"/>
    </row>
    <row r="1584" spans="46:46">
      <c r="AT1584" s="140"/>
    </row>
    <row r="1585" spans="46:46">
      <c r="AT1585" s="140"/>
    </row>
    <row r="1586" spans="46:46">
      <c r="AT1586" s="140"/>
    </row>
    <row r="1587" spans="46:46">
      <c r="AT1587" s="140"/>
    </row>
    <row r="1588" spans="46:46">
      <c r="AT1588" s="140"/>
    </row>
    <row r="1589" spans="46:46">
      <c r="AT1589" s="140"/>
    </row>
    <row r="1590" spans="46:46">
      <c r="AT1590" s="140"/>
    </row>
    <row r="1591" spans="46:46">
      <c r="AT1591" s="140"/>
    </row>
    <row r="1592" spans="46:46">
      <c r="AT1592" s="140"/>
    </row>
    <row r="1593" spans="46:46">
      <c r="AT1593" s="140"/>
    </row>
    <row r="1594" spans="46:46">
      <c r="AT1594" s="140"/>
    </row>
    <row r="1595" spans="46:46">
      <c r="AT1595" s="140"/>
    </row>
    <row r="1596" spans="46:46">
      <c r="AT1596" s="140"/>
    </row>
    <row r="1597" spans="46:46">
      <c r="AT1597" s="140"/>
    </row>
    <row r="1598" spans="46:46">
      <c r="AT1598" s="140"/>
    </row>
    <row r="1599" spans="46:46">
      <c r="AT1599" s="140"/>
    </row>
    <row r="1600" spans="46:46">
      <c r="AT1600" s="140"/>
    </row>
    <row r="1601" spans="46:46">
      <c r="AT1601" s="140"/>
    </row>
    <row r="1602" spans="46:46">
      <c r="AT1602" s="140"/>
    </row>
    <row r="1603" spans="46:46">
      <c r="AT1603" s="140"/>
    </row>
    <row r="1604" spans="46:46">
      <c r="AT1604" s="140"/>
    </row>
    <row r="1605" spans="46:46">
      <c r="AT1605" s="140"/>
    </row>
    <row r="1606" spans="46:46">
      <c r="AT1606" s="140"/>
    </row>
    <row r="1607" spans="46:46">
      <c r="AT1607" s="140"/>
    </row>
    <row r="1608" spans="46:46">
      <c r="AT1608" s="140"/>
    </row>
    <row r="1609" spans="46:46">
      <c r="AT1609" s="140"/>
    </row>
    <row r="1610" spans="46:46">
      <c r="AT1610" s="140"/>
    </row>
    <row r="1611" spans="46:46">
      <c r="AT1611" s="140"/>
    </row>
    <row r="1612" spans="46:46">
      <c r="AT1612" s="140"/>
    </row>
    <row r="1613" spans="46:46">
      <c r="AT1613" s="140"/>
    </row>
    <row r="1614" spans="46:46">
      <c r="AT1614" s="140"/>
    </row>
    <row r="1615" spans="46:46">
      <c r="AT1615" s="140"/>
    </row>
    <row r="1616" spans="46:46">
      <c r="AT1616" s="140"/>
    </row>
    <row r="1617" spans="46:46">
      <c r="AT1617" s="140"/>
    </row>
    <row r="1618" spans="46:46">
      <c r="AT1618" s="140"/>
    </row>
    <row r="1619" spans="46:46">
      <c r="AT1619" s="140"/>
    </row>
    <row r="1620" spans="46:46">
      <c r="AT1620" s="140"/>
    </row>
    <row r="1621" spans="46:46">
      <c r="AT1621" s="140"/>
    </row>
    <row r="1622" spans="46:46">
      <c r="AT1622" s="140"/>
    </row>
    <row r="1623" spans="46:46">
      <c r="AT1623" s="140"/>
    </row>
    <row r="1624" spans="46:46">
      <c r="AT1624" s="140"/>
    </row>
    <row r="1625" spans="46:46">
      <c r="AT1625" s="140"/>
    </row>
    <row r="1626" spans="46:46">
      <c r="AT1626" s="140"/>
    </row>
    <row r="1627" spans="46:46">
      <c r="AT1627" s="140"/>
    </row>
    <row r="1628" spans="46:46">
      <c r="AT1628" s="140"/>
    </row>
    <row r="1629" spans="46:46">
      <c r="AT1629" s="140"/>
    </row>
    <row r="1630" spans="46:46">
      <c r="AT1630" s="140"/>
    </row>
    <row r="1631" spans="46:46">
      <c r="AT1631" s="140"/>
    </row>
    <row r="1632" spans="46:46">
      <c r="AT1632" s="140"/>
    </row>
    <row r="1633" spans="46:46">
      <c r="AT1633" s="140"/>
    </row>
    <row r="1634" spans="46:46">
      <c r="AT1634" s="140"/>
    </row>
    <row r="1635" spans="46:46">
      <c r="AT1635" s="140"/>
    </row>
    <row r="1636" spans="46:46">
      <c r="AT1636" s="140"/>
    </row>
    <row r="1637" spans="46:46">
      <c r="AT1637" s="140"/>
    </row>
    <row r="1638" spans="46:46">
      <c r="AT1638" s="140"/>
    </row>
    <row r="1639" spans="46:46">
      <c r="AT1639" s="140"/>
    </row>
    <row r="1640" spans="46:46">
      <c r="AT1640" s="140"/>
    </row>
    <row r="1641" spans="46:46">
      <c r="AT1641" s="140"/>
    </row>
    <row r="1642" spans="46:46">
      <c r="AT1642" s="140"/>
    </row>
    <row r="1643" spans="46:46">
      <c r="AT1643" s="140"/>
    </row>
    <row r="1644" spans="46:46">
      <c r="AT1644" s="140"/>
    </row>
    <row r="1645" spans="46:46">
      <c r="AT1645" s="140"/>
    </row>
    <row r="1646" spans="46:46">
      <c r="AT1646" s="140"/>
    </row>
    <row r="1647" spans="46:46">
      <c r="AT1647" s="140"/>
    </row>
    <row r="1648" spans="46:46">
      <c r="AT1648" s="140"/>
    </row>
    <row r="1649" spans="46:46">
      <c r="AT1649" s="140"/>
    </row>
    <row r="1650" spans="46:46">
      <c r="AT1650" s="140"/>
    </row>
    <row r="1651" spans="46:46">
      <c r="AT1651" s="140"/>
    </row>
    <row r="1652" spans="46:46">
      <c r="AT1652" s="140"/>
    </row>
    <row r="1653" spans="46:46">
      <c r="AT1653" s="140"/>
    </row>
    <row r="1654" spans="46:46">
      <c r="AT1654" s="140"/>
    </row>
    <row r="1655" spans="46:46">
      <c r="AT1655" s="140"/>
    </row>
    <row r="1656" spans="46:46">
      <c r="AT1656" s="140"/>
    </row>
    <row r="1657" spans="46:46">
      <c r="AT1657" s="140"/>
    </row>
    <row r="1658" spans="46:46">
      <c r="AT1658" s="140"/>
    </row>
    <row r="1659" spans="46:46">
      <c r="AT1659" s="140"/>
    </row>
    <row r="1660" spans="46:46">
      <c r="AT1660" s="140"/>
    </row>
    <row r="1661" spans="46:46">
      <c r="AT1661" s="140"/>
    </row>
    <row r="1662" spans="46:46">
      <c r="AT1662" s="140"/>
    </row>
    <row r="1663" spans="46:46">
      <c r="AT1663" s="140"/>
    </row>
    <row r="1664" spans="46:46">
      <c r="AT1664" s="140"/>
    </row>
    <row r="1665" spans="46:46">
      <c r="AT1665" s="140"/>
    </row>
    <row r="1666" spans="46:46">
      <c r="AT1666" s="140"/>
    </row>
    <row r="1667" spans="46:46">
      <c r="AT1667" s="140"/>
    </row>
    <row r="1668" spans="46:46">
      <c r="AT1668" s="140"/>
    </row>
    <row r="1669" spans="46:46">
      <c r="AT1669" s="140"/>
    </row>
    <row r="1670" spans="46:46">
      <c r="AT1670" s="140"/>
    </row>
    <row r="1671" spans="46:46">
      <c r="AT1671" s="140"/>
    </row>
    <row r="1672" spans="46:46">
      <c r="AT1672" s="140"/>
    </row>
    <row r="1673" spans="46:46">
      <c r="AT1673" s="140"/>
    </row>
    <row r="1674" spans="46:46">
      <c r="AT1674" s="140"/>
    </row>
    <row r="1675" spans="46:46">
      <c r="AT1675" s="140"/>
    </row>
    <row r="1676" spans="46:46">
      <c r="AT1676" s="140"/>
    </row>
    <row r="1677" spans="46:46">
      <c r="AT1677" s="140"/>
    </row>
    <row r="1678" spans="46:46">
      <c r="AT1678" s="140"/>
    </row>
    <row r="1679" spans="46:46">
      <c r="AT1679" s="140"/>
    </row>
    <row r="1680" spans="46:46">
      <c r="AT1680" s="140"/>
    </row>
    <row r="1681" spans="46:46">
      <c r="AT1681" s="140"/>
    </row>
    <row r="1682" spans="46:46">
      <c r="AT1682" s="140"/>
    </row>
    <row r="1683" spans="46:46">
      <c r="AT1683" s="140"/>
    </row>
    <row r="1684" spans="46:46">
      <c r="AT1684" s="140"/>
    </row>
    <row r="1685" spans="46:46">
      <c r="AT1685" s="140"/>
    </row>
    <row r="1686" spans="46:46">
      <c r="AT1686" s="140"/>
    </row>
    <row r="1687" spans="46:46">
      <c r="AT1687" s="140"/>
    </row>
    <row r="1688" spans="46:46">
      <c r="AT1688" s="140"/>
    </row>
    <row r="1689" spans="46:46">
      <c r="AT1689" s="140"/>
    </row>
    <row r="1690" spans="46:46">
      <c r="AT1690" s="140"/>
    </row>
    <row r="1691" spans="46:46">
      <c r="AT1691" s="140"/>
    </row>
    <row r="1692" spans="46:46">
      <c r="AT1692" s="140"/>
    </row>
    <row r="1693" spans="46:46">
      <c r="AT1693" s="140"/>
    </row>
    <row r="1694" spans="46:46">
      <c r="AT1694" s="140"/>
    </row>
    <row r="1695" spans="46:46">
      <c r="AT1695" s="140"/>
    </row>
    <row r="1696" spans="46:46">
      <c r="AT1696" s="140"/>
    </row>
    <row r="1697" spans="46:46">
      <c r="AT1697" s="140"/>
    </row>
    <row r="1698" spans="46:46">
      <c r="AT1698" s="140"/>
    </row>
    <row r="1699" spans="46:46">
      <c r="AT1699" s="140"/>
    </row>
    <row r="1700" spans="46:46">
      <c r="AT1700" s="140"/>
    </row>
    <row r="1701" spans="46:46">
      <c r="AT1701" s="140"/>
    </row>
    <row r="1702" spans="46:46">
      <c r="AT1702" s="140"/>
    </row>
    <row r="1703" spans="46:46">
      <c r="AT1703" s="140"/>
    </row>
    <row r="1704" spans="46:46">
      <c r="AT1704" s="140"/>
    </row>
    <row r="1705" spans="46:46">
      <c r="AT1705" s="140"/>
    </row>
    <row r="1706" spans="46:46">
      <c r="AT1706" s="140"/>
    </row>
    <row r="1707" spans="46:46">
      <c r="AT1707" s="140"/>
    </row>
    <row r="1708" spans="46:46">
      <c r="AT1708" s="140"/>
    </row>
    <row r="1709" spans="46:46">
      <c r="AT1709" s="140"/>
    </row>
    <row r="1710" spans="46:46">
      <c r="AT1710" s="140"/>
    </row>
    <row r="1711" spans="46:46">
      <c r="AT1711" s="140"/>
    </row>
    <row r="1712" spans="46:46">
      <c r="AT1712" s="140"/>
    </row>
    <row r="1713" spans="46:46">
      <c r="AT1713" s="140"/>
    </row>
    <row r="1714" spans="46:46">
      <c r="AT1714" s="140"/>
    </row>
    <row r="1715" spans="46:46">
      <c r="AT1715" s="140"/>
    </row>
    <row r="1716" spans="46:46">
      <c r="AT1716" s="140"/>
    </row>
    <row r="1717" spans="46:46">
      <c r="AT1717" s="140"/>
    </row>
    <row r="1718" spans="46:46">
      <c r="AT1718" s="140"/>
    </row>
    <row r="1719" spans="46:46">
      <c r="AT1719" s="140"/>
    </row>
    <row r="1720" spans="46:46">
      <c r="AT1720" s="140"/>
    </row>
    <row r="1721" spans="46:46">
      <c r="AT1721" s="140"/>
    </row>
    <row r="1722" spans="46:46">
      <c r="AT1722" s="140"/>
    </row>
    <row r="1723" spans="46:46">
      <c r="AT1723" s="140"/>
    </row>
    <row r="1724" spans="46:46">
      <c r="AT1724" s="140"/>
    </row>
    <row r="1725" spans="46:46">
      <c r="AT1725" s="140"/>
    </row>
    <row r="1726" spans="46:46">
      <c r="AT1726" s="140"/>
    </row>
    <row r="1727" spans="46:46">
      <c r="AT1727" s="140"/>
    </row>
    <row r="1728" spans="46:46">
      <c r="AT1728" s="140"/>
    </row>
    <row r="1729" spans="46:46">
      <c r="AT1729" s="140"/>
    </row>
    <row r="1730" spans="46:46">
      <c r="AT1730" s="140"/>
    </row>
    <row r="1731" spans="46:46">
      <c r="AT1731" s="140"/>
    </row>
    <row r="1732" spans="46:46">
      <c r="AT1732" s="140"/>
    </row>
    <row r="1733" spans="46:46">
      <c r="AT1733" s="140"/>
    </row>
    <row r="1734" spans="46:46">
      <c r="AT1734" s="140"/>
    </row>
    <row r="1735" spans="46:46">
      <c r="AT1735" s="140"/>
    </row>
    <row r="1736" spans="46:46">
      <c r="AT1736" s="140"/>
    </row>
    <row r="1737" spans="46:46">
      <c r="AT1737" s="140"/>
    </row>
    <row r="1738" spans="46:46">
      <c r="AT1738" s="140"/>
    </row>
    <row r="1739" spans="46:46">
      <c r="AT1739" s="140"/>
    </row>
    <row r="1740" spans="46:46">
      <c r="AT1740" s="140"/>
    </row>
    <row r="65536" spans="6:19">
      <c r="F65536" s="81"/>
      <c r="G65536" s="81"/>
      <c r="H65536" s="81"/>
      <c r="I65536" s="81"/>
      <c r="J65536" s="81"/>
      <c r="K65536" s="81"/>
      <c r="L65536" s="81"/>
      <c r="M65536" s="81"/>
      <c r="N65536" s="81"/>
      <c r="O65536" s="81"/>
      <c r="P65536" s="81"/>
      <c r="Q65536" s="81"/>
      <c r="R65536" s="81"/>
      <c r="S65536" s="81"/>
    </row>
  </sheetData>
  <sheetProtection algorithmName="SHA-512" hashValue="pbDWBX9DaSPziXFjeV1lMKpp5gPWx4UObOZxZWf+RmeltE1zXHGKccwnpNY6n6tb/uSTN7LGtbJ4ZI/9wqpf/Q==" saltValue="KKb6rozz+RKZD3EzmtWPcw==" spinCount="100000" sheet="1" objects="1" scenarios="1"/>
  <mergeCells count="1657">
    <mergeCell ref="D8:F8"/>
    <mergeCell ref="O8:P8"/>
    <mergeCell ref="H41:J41"/>
    <mergeCell ref="L41:N41"/>
    <mergeCell ref="H37:J37"/>
    <mergeCell ref="L37:N37"/>
    <mergeCell ref="H29:J29"/>
    <mergeCell ref="H30:J30"/>
    <mergeCell ref="H38:J38"/>
    <mergeCell ref="L38:N38"/>
    <mergeCell ref="L29:N29"/>
    <mergeCell ref="L30:N30"/>
    <mergeCell ref="H42:J42"/>
    <mergeCell ref="H43:J43"/>
    <mergeCell ref="L43:N43"/>
    <mergeCell ref="L39:N39"/>
    <mergeCell ref="H40:J40"/>
    <mergeCell ref="L40:N40"/>
    <mergeCell ref="H39:J39"/>
    <mergeCell ref="H35:J35"/>
    <mergeCell ref="L35:N35"/>
    <mergeCell ref="H33:J33"/>
    <mergeCell ref="H48:J48"/>
    <mergeCell ref="L48:N48"/>
    <mergeCell ref="H49:J49"/>
    <mergeCell ref="L49:N49"/>
    <mergeCell ref="L33:N33"/>
    <mergeCell ref="H34:J34"/>
    <mergeCell ref="H36:J36"/>
    <mergeCell ref="L36:N36"/>
    <mergeCell ref="R39:S39"/>
    <mergeCell ref="R40:S40"/>
    <mergeCell ref="R37:S37"/>
    <mergeCell ref="R29:S29"/>
    <mergeCell ref="R38:S38"/>
    <mergeCell ref="H31:J31"/>
    <mergeCell ref="L31:N31"/>
    <mergeCell ref="H32:J32"/>
    <mergeCell ref="L32:N32"/>
    <mergeCell ref="L34:N34"/>
    <mergeCell ref="H44:J44"/>
    <mergeCell ref="L44:N44"/>
    <mergeCell ref="R41:S41"/>
    <mergeCell ref="R42:S42"/>
    <mergeCell ref="R43:S43"/>
    <mergeCell ref="R44:S44"/>
    <mergeCell ref="L42:N42"/>
    <mergeCell ref="H47:J47"/>
    <mergeCell ref="L47:N47"/>
    <mergeCell ref="H46:J46"/>
    <mergeCell ref="L46:N46"/>
    <mergeCell ref="H45:J45"/>
    <mergeCell ref="L45:N45"/>
    <mergeCell ref="H58:J58"/>
    <mergeCell ref="L58:N58"/>
    <mergeCell ref="H59:J59"/>
    <mergeCell ref="L59:N59"/>
    <mergeCell ref="H56:J56"/>
    <mergeCell ref="L56:N56"/>
    <mergeCell ref="H57:J57"/>
    <mergeCell ref="L57:N57"/>
    <mergeCell ref="H54:J54"/>
    <mergeCell ref="L54:N54"/>
    <mergeCell ref="H55:J55"/>
    <mergeCell ref="L55:N55"/>
    <mergeCell ref="H52:J52"/>
    <mergeCell ref="L52:N52"/>
    <mergeCell ref="H53:J53"/>
    <mergeCell ref="L53:N53"/>
    <mergeCell ref="H50:J50"/>
    <mergeCell ref="L50:N50"/>
    <mergeCell ref="H51:J51"/>
    <mergeCell ref="L51:N51"/>
    <mergeCell ref="H68:J68"/>
    <mergeCell ref="L68:N68"/>
    <mergeCell ref="H69:J69"/>
    <mergeCell ref="L69:N69"/>
    <mergeCell ref="H66:J66"/>
    <mergeCell ref="L66:N66"/>
    <mergeCell ref="H67:J67"/>
    <mergeCell ref="L67:N67"/>
    <mergeCell ref="H64:J64"/>
    <mergeCell ref="L64:N64"/>
    <mergeCell ref="H65:J65"/>
    <mergeCell ref="L65:N65"/>
    <mergeCell ref="H62:J62"/>
    <mergeCell ref="L62:N62"/>
    <mergeCell ref="H63:J63"/>
    <mergeCell ref="L63:N63"/>
    <mergeCell ref="H60:J60"/>
    <mergeCell ref="L60:N60"/>
    <mergeCell ref="H61:J61"/>
    <mergeCell ref="L61:N61"/>
    <mergeCell ref="H78:J78"/>
    <mergeCell ref="L78:N78"/>
    <mergeCell ref="H79:J79"/>
    <mergeCell ref="L79:N79"/>
    <mergeCell ref="H76:J76"/>
    <mergeCell ref="L76:N76"/>
    <mergeCell ref="H77:J77"/>
    <mergeCell ref="L77:N77"/>
    <mergeCell ref="H74:J74"/>
    <mergeCell ref="L74:N74"/>
    <mergeCell ref="H75:J75"/>
    <mergeCell ref="L75:N75"/>
    <mergeCell ref="H72:J72"/>
    <mergeCell ref="L72:N72"/>
    <mergeCell ref="H73:J73"/>
    <mergeCell ref="L73:N73"/>
    <mergeCell ref="H71:J71"/>
    <mergeCell ref="L71:N71"/>
    <mergeCell ref="H88:J88"/>
    <mergeCell ref="L88:N88"/>
    <mergeCell ref="H89:J89"/>
    <mergeCell ref="L89:N89"/>
    <mergeCell ref="H86:J86"/>
    <mergeCell ref="L86:N86"/>
    <mergeCell ref="H87:J87"/>
    <mergeCell ref="L87:N87"/>
    <mergeCell ref="H84:J84"/>
    <mergeCell ref="L84:N84"/>
    <mergeCell ref="H85:J85"/>
    <mergeCell ref="L85:N85"/>
    <mergeCell ref="H82:J82"/>
    <mergeCell ref="L82:N82"/>
    <mergeCell ref="H83:J83"/>
    <mergeCell ref="L83:N83"/>
    <mergeCell ref="H80:J80"/>
    <mergeCell ref="L80:N80"/>
    <mergeCell ref="H81:J81"/>
    <mergeCell ref="L81:N81"/>
    <mergeCell ref="H98:J98"/>
    <mergeCell ref="L98:N98"/>
    <mergeCell ref="H99:J99"/>
    <mergeCell ref="L99:N99"/>
    <mergeCell ref="H96:J96"/>
    <mergeCell ref="L96:N96"/>
    <mergeCell ref="H97:J97"/>
    <mergeCell ref="L97:N97"/>
    <mergeCell ref="H94:J94"/>
    <mergeCell ref="L94:N94"/>
    <mergeCell ref="H95:J95"/>
    <mergeCell ref="L95:N95"/>
    <mergeCell ref="H92:J92"/>
    <mergeCell ref="L92:N92"/>
    <mergeCell ref="H93:J93"/>
    <mergeCell ref="L93:N93"/>
    <mergeCell ref="H90:J90"/>
    <mergeCell ref="L90:N90"/>
    <mergeCell ref="H91:J91"/>
    <mergeCell ref="L91:N91"/>
    <mergeCell ref="H108:J108"/>
    <mergeCell ref="L108:N108"/>
    <mergeCell ref="H109:J109"/>
    <mergeCell ref="L109:N109"/>
    <mergeCell ref="H106:J106"/>
    <mergeCell ref="L106:N106"/>
    <mergeCell ref="H107:J107"/>
    <mergeCell ref="L107:N107"/>
    <mergeCell ref="H104:J104"/>
    <mergeCell ref="L104:N104"/>
    <mergeCell ref="H105:J105"/>
    <mergeCell ref="L105:N105"/>
    <mergeCell ref="H102:J102"/>
    <mergeCell ref="L102:N102"/>
    <mergeCell ref="H103:J103"/>
    <mergeCell ref="L103:N103"/>
    <mergeCell ref="H100:J100"/>
    <mergeCell ref="L100:N100"/>
    <mergeCell ref="H101:J101"/>
    <mergeCell ref="L101:N101"/>
    <mergeCell ref="H118:J118"/>
    <mergeCell ref="L118:N118"/>
    <mergeCell ref="H119:J119"/>
    <mergeCell ref="L119:N119"/>
    <mergeCell ref="H116:J116"/>
    <mergeCell ref="L116:N116"/>
    <mergeCell ref="H117:J117"/>
    <mergeCell ref="L117:N117"/>
    <mergeCell ref="H114:J114"/>
    <mergeCell ref="L114:N114"/>
    <mergeCell ref="H115:J115"/>
    <mergeCell ref="L115:N115"/>
    <mergeCell ref="H112:J112"/>
    <mergeCell ref="L112:N112"/>
    <mergeCell ref="H113:J113"/>
    <mergeCell ref="L113:N113"/>
    <mergeCell ref="H110:J110"/>
    <mergeCell ref="L110:N110"/>
    <mergeCell ref="H111:J111"/>
    <mergeCell ref="L111:N111"/>
    <mergeCell ref="H128:J128"/>
    <mergeCell ref="L128:N128"/>
    <mergeCell ref="H129:J129"/>
    <mergeCell ref="L129:N129"/>
    <mergeCell ref="H126:J126"/>
    <mergeCell ref="L126:N126"/>
    <mergeCell ref="H127:J127"/>
    <mergeCell ref="L127:N127"/>
    <mergeCell ref="H124:J124"/>
    <mergeCell ref="L124:N124"/>
    <mergeCell ref="H125:J125"/>
    <mergeCell ref="L125:N125"/>
    <mergeCell ref="H122:J122"/>
    <mergeCell ref="L122:N122"/>
    <mergeCell ref="H123:J123"/>
    <mergeCell ref="L123:N123"/>
    <mergeCell ref="H120:J120"/>
    <mergeCell ref="L120:N120"/>
    <mergeCell ref="H121:J121"/>
    <mergeCell ref="L121:N121"/>
    <mergeCell ref="H138:J138"/>
    <mergeCell ref="L138:N138"/>
    <mergeCell ref="H139:J139"/>
    <mergeCell ref="L139:N139"/>
    <mergeCell ref="H136:J136"/>
    <mergeCell ref="L136:N136"/>
    <mergeCell ref="H137:J137"/>
    <mergeCell ref="L137:N137"/>
    <mergeCell ref="H134:J134"/>
    <mergeCell ref="L134:N134"/>
    <mergeCell ref="H135:J135"/>
    <mergeCell ref="L135:N135"/>
    <mergeCell ref="H132:J132"/>
    <mergeCell ref="L132:N132"/>
    <mergeCell ref="H133:J133"/>
    <mergeCell ref="L133:N133"/>
    <mergeCell ref="H130:J130"/>
    <mergeCell ref="L130:N130"/>
    <mergeCell ref="H131:J131"/>
    <mergeCell ref="L131:N131"/>
    <mergeCell ref="H148:J148"/>
    <mergeCell ref="L148:N148"/>
    <mergeCell ref="H149:J149"/>
    <mergeCell ref="L149:N149"/>
    <mergeCell ref="H146:J146"/>
    <mergeCell ref="L146:N146"/>
    <mergeCell ref="H147:J147"/>
    <mergeCell ref="L147:N147"/>
    <mergeCell ref="H144:J144"/>
    <mergeCell ref="L144:N144"/>
    <mergeCell ref="H145:J145"/>
    <mergeCell ref="L145:N145"/>
    <mergeCell ref="H142:J142"/>
    <mergeCell ref="L142:N142"/>
    <mergeCell ref="H143:J143"/>
    <mergeCell ref="L143:N143"/>
    <mergeCell ref="H140:J140"/>
    <mergeCell ref="L140:N140"/>
    <mergeCell ref="H141:J141"/>
    <mergeCell ref="L141:N141"/>
    <mergeCell ref="H158:J158"/>
    <mergeCell ref="L158:N158"/>
    <mergeCell ref="H159:J159"/>
    <mergeCell ref="L159:N159"/>
    <mergeCell ref="H156:J156"/>
    <mergeCell ref="L156:N156"/>
    <mergeCell ref="H157:J157"/>
    <mergeCell ref="L157:N157"/>
    <mergeCell ref="H154:J154"/>
    <mergeCell ref="L154:N154"/>
    <mergeCell ref="H155:J155"/>
    <mergeCell ref="L155:N155"/>
    <mergeCell ref="H152:J152"/>
    <mergeCell ref="L152:N152"/>
    <mergeCell ref="H153:J153"/>
    <mergeCell ref="L153:N153"/>
    <mergeCell ref="H150:J150"/>
    <mergeCell ref="L150:N150"/>
    <mergeCell ref="H151:J151"/>
    <mergeCell ref="L151:N151"/>
    <mergeCell ref="H168:J168"/>
    <mergeCell ref="L168:N168"/>
    <mergeCell ref="H169:J169"/>
    <mergeCell ref="L169:N169"/>
    <mergeCell ref="H166:J166"/>
    <mergeCell ref="L166:N166"/>
    <mergeCell ref="H167:J167"/>
    <mergeCell ref="L167:N167"/>
    <mergeCell ref="H164:J164"/>
    <mergeCell ref="L164:N164"/>
    <mergeCell ref="H165:J165"/>
    <mergeCell ref="L165:N165"/>
    <mergeCell ref="H162:J162"/>
    <mergeCell ref="L162:N162"/>
    <mergeCell ref="H163:J163"/>
    <mergeCell ref="L163:N163"/>
    <mergeCell ref="H160:J160"/>
    <mergeCell ref="L160:N160"/>
    <mergeCell ref="H161:J161"/>
    <mergeCell ref="L161:N161"/>
    <mergeCell ref="H178:J178"/>
    <mergeCell ref="L178:N178"/>
    <mergeCell ref="H179:J179"/>
    <mergeCell ref="L179:N179"/>
    <mergeCell ref="H176:J176"/>
    <mergeCell ref="L176:N176"/>
    <mergeCell ref="H177:J177"/>
    <mergeCell ref="L177:N177"/>
    <mergeCell ref="H174:J174"/>
    <mergeCell ref="L174:N174"/>
    <mergeCell ref="H175:J175"/>
    <mergeCell ref="L175:N175"/>
    <mergeCell ref="H172:J172"/>
    <mergeCell ref="L172:N172"/>
    <mergeCell ref="H173:J173"/>
    <mergeCell ref="L173:N173"/>
    <mergeCell ref="H170:J170"/>
    <mergeCell ref="L170:N170"/>
    <mergeCell ref="H171:J171"/>
    <mergeCell ref="L171:N171"/>
    <mergeCell ref="H188:J188"/>
    <mergeCell ref="L188:N188"/>
    <mergeCell ref="H189:J189"/>
    <mergeCell ref="L189:N189"/>
    <mergeCell ref="H186:J186"/>
    <mergeCell ref="L186:N186"/>
    <mergeCell ref="H187:J187"/>
    <mergeCell ref="L187:N187"/>
    <mergeCell ref="H184:J184"/>
    <mergeCell ref="L184:N184"/>
    <mergeCell ref="H185:J185"/>
    <mergeCell ref="L185:N185"/>
    <mergeCell ref="H182:J182"/>
    <mergeCell ref="L182:N182"/>
    <mergeCell ref="H183:J183"/>
    <mergeCell ref="L183:N183"/>
    <mergeCell ref="H180:J180"/>
    <mergeCell ref="L180:N180"/>
    <mergeCell ref="H181:J181"/>
    <mergeCell ref="L181:N181"/>
    <mergeCell ref="H198:J198"/>
    <mergeCell ref="L198:N198"/>
    <mergeCell ref="H199:J199"/>
    <mergeCell ref="L199:N199"/>
    <mergeCell ref="H196:J196"/>
    <mergeCell ref="L196:N196"/>
    <mergeCell ref="H197:J197"/>
    <mergeCell ref="L197:N197"/>
    <mergeCell ref="H194:J194"/>
    <mergeCell ref="L194:N194"/>
    <mergeCell ref="H195:J195"/>
    <mergeCell ref="L195:N195"/>
    <mergeCell ref="H192:J192"/>
    <mergeCell ref="L192:N192"/>
    <mergeCell ref="H193:J193"/>
    <mergeCell ref="L193:N193"/>
    <mergeCell ref="H190:J190"/>
    <mergeCell ref="L190:N190"/>
    <mergeCell ref="H191:J191"/>
    <mergeCell ref="L191:N191"/>
    <mergeCell ref="H208:J208"/>
    <mergeCell ref="L208:N208"/>
    <mergeCell ref="H209:J209"/>
    <mergeCell ref="L209:N209"/>
    <mergeCell ref="H206:J206"/>
    <mergeCell ref="L206:N206"/>
    <mergeCell ref="H207:J207"/>
    <mergeCell ref="L207:N207"/>
    <mergeCell ref="H204:J204"/>
    <mergeCell ref="L204:N204"/>
    <mergeCell ref="H205:J205"/>
    <mergeCell ref="L205:N205"/>
    <mergeCell ref="H202:J202"/>
    <mergeCell ref="L202:N202"/>
    <mergeCell ref="H203:J203"/>
    <mergeCell ref="L203:N203"/>
    <mergeCell ref="H200:J200"/>
    <mergeCell ref="L200:N200"/>
    <mergeCell ref="H201:J201"/>
    <mergeCell ref="L201:N201"/>
    <mergeCell ref="H218:J218"/>
    <mergeCell ref="L218:N218"/>
    <mergeCell ref="H219:J219"/>
    <mergeCell ref="L219:N219"/>
    <mergeCell ref="H216:J216"/>
    <mergeCell ref="L216:N216"/>
    <mergeCell ref="H217:J217"/>
    <mergeCell ref="L217:N217"/>
    <mergeCell ref="H214:J214"/>
    <mergeCell ref="L214:N214"/>
    <mergeCell ref="H215:J215"/>
    <mergeCell ref="L215:N215"/>
    <mergeCell ref="H212:J212"/>
    <mergeCell ref="L212:N212"/>
    <mergeCell ref="H213:J213"/>
    <mergeCell ref="L213:N213"/>
    <mergeCell ref="H210:J210"/>
    <mergeCell ref="L210:N210"/>
    <mergeCell ref="H211:J211"/>
    <mergeCell ref="L211:N211"/>
    <mergeCell ref="H228:J228"/>
    <mergeCell ref="L228:N228"/>
    <mergeCell ref="H229:J229"/>
    <mergeCell ref="L229:N229"/>
    <mergeCell ref="H226:J226"/>
    <mergeCell ref="L226:N226"/>
    <mergeCell ref="H227:J227"/>
    <mergeCell ref="L227:N227"/>
    <mergeCell ref="H224:J224"/>
    <mergeCell ref="L224:N224"/>
    <mergeCell ref="H225:J225"/>
    <mergeCell ref="L225:N225"/>
    <mergeCell ref="H222:J222"/>
    <mergeCell ref="L222:N222"/>
    <mergeCell ref="H223:J223"/>
    <mergeCell ref="L223:N223"/>
    <mergeCell ref="H220:J220"/>
    <mergeCell ref="L220:N220"/>
    <mergeCell ref="H221:J221"/>
    <mergeCell ref="L221:N221"/>
    <mergeCell ref="H238:J238"/>
    <mergeCell ref="L238:N238"/>
    <mergeCell ref="H239:J239"/>
    <mergeCell ref="L239:N239"/>
    <mergeCell ref="H236:J236"/>
    <mergeCell ref="L236:N236"/>
    <mergeCell ref="H237:J237"/>
    <mergeCell ref="L237:N237"/>
    <mergeCell ref="H234:J234"/>
    <mergeCell ref="L234:N234"/>
    <mergeCell ref="H235:J235"/>
    <mergeCell ref="L235:N235"/>
    <mergeCell ref="H232:J232"/>
    <mergeCell ref="L232:N232"/>
    <mergeCell ref="H233:J233"/>
    <mergeCell ref="L233:N233"/>
    <mergeCell ref="H230:J230"/>
    <mergeCell ref="L230:N230"/>
    <mergeCell ref="H231:J231"/>
    <mergeCell ref="L231:N231"/>
    <mergeCell ref="H248:J248"/>
    <mergeCell ref="L248:N248"/>
    <mergeCell ref="H249:J249"/>
    <mergeCell ref="L249:N249"/>
    <mergeCell ref="H246:J246"/>
    <mergeCell ref="L246:N246"/>
    <mergeCell ref="H247:J247"/>
    <mergeCell ref="L247:N247"/>
    <mergeCell ref="H244:J244"/>
    <mergeCell ref="L244:N244"/>
    <mergeCell ref="H245:J245"/>
    <mergeCell ref="L245:N245"/>
    <mergeCell ref="H242:J242"/>
    <mergeCell ref="L242:N242"/>
    <mergeCell ref="H243:J243"/>
    <mergeCell ref="L243:N243"/>
    <mergeCell ref="H240:J240"/>
    <mergeCell ref="L240:N240"/>
    <mergeCell ref="H241:J241"/>
    <mergeCell ref="L241:N241"/>
    <mergeCell ref="L259:N259"/>
    <mergeCell ref="H256:J256"/>
    <mergeCell ref="L256:N256"/>
    <mergeCell ref="H257:J257"/>
    <mergeCell ref="L257:N257"/>
    <mergeCell ref="H254:J254"/>
    <mergeCell ref="L254:N254"/>
    <mergeCell ref="H255:J255"/>
    <mergeCell ref="L255:N255"/>
    <mergeCell ref="H252:J252"/>
    <mergeCell ref="L252:N252"/>
    <mergeCell ref="H253:J253"/>
    <mergeCell ref="L253:N253"/>
    <mergeCell ref="H250:J250"/>
    <mergeCell ref="L250:N250"/>
    <mergeCell ref="H251:J251"/>
    <mergeCell ref="L251:N251"/>
    <mergeCell ref="H270:J270"/>
    <mergeCell ref="L270:N270"/>
    <mergeCell ref="R30:S30"/>
    <mergeCell ref="R31:S31"/>
    <mergeCell ref="R32:S32"/>
    <mergeCell ref="R33:S33"/>
    <mergeCell ref="R34:S34"/>
    <mergeCell ref="R35:S35"/>
    <mergeCell ref="R36:S36"/>
    <mergeCell ref="H268:J268"/>
    <mergeCell ref="L268:N268"/>
    <mergeCell ref="H269:J269"/>
    <mergeCell ref="L269:N269"/>
    <mergeCell ref="H266:J266"/>
    <mergeCell ref="L266:N266"/>
    <mergeCell ref="H267:J267"/>
    <mergeCell ref="L267:N267"/>
    <mergeCell ref="H264:J264"/>
    <mergeCell ref="L264:N264"/>
    <mergeCell ref="H265:J265"/>
    <mergeCell ref="L265:N265"/>
    <mergeCell ref="H262:J262"/>
    <mergeCell ref="L262:N262"/>
    <mergeCell ref="H263:J263"/>
    <mergeCell ref="L263:N263"/>
    <mergeCell ref="H260:J260"/>
    <mergeCell ref="L260:N260"/>
    <mergeCell ref="H261:J261"/>
    <mergeCell ref="L261:N261"/>
    <mergeCell ref="H258:J258"/>
    <mergeCell ref="L258:N258"/>
    <mergeCell ref="H259:J259"/>
    <mergeCell ref="R53:S53"/>
    <mergeCell ref="R54:S54"/>
    <mergeCell ref="R67:S67"/>
    <mergeCell ref="R68:S68"/>
    <mergeCell ref="R57:S57"/>
    <mergeCell ref="R58:S58"/>
    <mergeCell ref="R59:S59"/>
    <mergeCell ref="R60:S60"/>
    <mergeCell ref="R61:S61"/>
    <mergeCell ref="R62:S62"/>
    <mergeCell ref="R55:S55"/>
    <mergeCell ref="R56:S56"/>
    <mergeCell ref="R45:S45"/>
    <mergeCell ref="R46:S46"/>
    <mergeCell ref="R47:S47"/>
    <mergeCell ref="R48:S48"/>
    <mergeCell ref="R49:S49"/>
    <mergeCell ref="R50:S50"/>
    <mergeCell ref="R51:S51"/>
    <mergeCell ref="R52:S52"/>
    <mergeCell ref="R81:S81"/>
    <mergeCell ref="R82:S82"/>
    <mergeCell ref="R83:S83"/>
    <mergeCell ref="R84:S84"/>
    <mergeCell ref="R85:S85"/>
    <mergeCell ref="R86:S86"/>
    <mergeCell ref="R87:S87"/>
    <mergeCell ref="R88:S88"/>
    <mergeCell ref="R63:S63"/>
    <mergeCell ref="R64:S64"/>
    <mergeCell ref="R65:S65"/>
    <mergeCell ref="R66:S66"/>
    <mergeCell ref="R73:S73"/>
    <mergeCell ref="R74:S74"/>
    <mergeCell ref="R79:S79"/>
    <mergeCell ref="R80:S80"/>
    <mergeCell ref="R69:S69"/>
    <mergeCell ref="R71:S71"/>
    <mergeCell ref="R72:S72"/>
    <mergeCell ref="R77:S77"/>
    <mergeCell ref="R78:S78"/>
    <mergeCell ref="R75:S75"/>
    <mergeCell ref="R76:S76"/>
    <mergeCell ref="R99:S99"/>
    <mergeCell ref="R100:S100"/>
    <mergeCell ref="R101:S101"/>
    <mergeCell ref="R102:S102"/>
    <mergeCell ref="R109:S109"/>
    <mergeCell ref="R110:S110"/>
    <mergeCell ref="R115:S115"/>
    <mergeCell ref="R116:S116"/>
    <mergeCell ref="R105:S105"/>
    <mergeCell ref="R106:S106"/>
    <mergeCell ref="R107:S107"/>
    <mergeCell ref="R108:S108"/>
    <mergeCell ref="R113:S113"/>
    <mergeCell ref="R114:S114"/>
    <mergeCell ref="R111:S111"/>
    <mergeCell ref="R112:S112"/>
    <mergeCell ref="R89:S89"/>
    <mergeCell ref="R90:S90"/>
    <mergeCell ref="R103:S103"/>
    <mergeCell ref="R104:S104"/>
    <mergeCell ref="R93:S93"/>
    <mergeCell ref="R94:S94"/>
    <mergeCell ref="R95:S95"/>
    <mergeCell ref="R96:S96"/>
    <mergeCell ref="R97:S97"/>
    <mergeCell ref="R98:S98"/>
    <mergeCell ref="R91:S91"/>
    <mergeCell ref="R92:S92"/>
    <mergeCell ref="R125:S125"/>
    <mergeCell ref="R126:S126"/>
    <mergeCell ref="R139:S139"/>
    <mergeCell ref="R140:S140"/>
    <mergeCell ref="R129:S129"/>
    <mergeCell ref="R130:S130"/>
    <mergeCell ref="R131:S131"/>
    <mergeCell ref="R132:S132"/>
    <mergeCell ref="R133:S133"/>
    <mergeCell ref="R134:S134"/>
    <mergeCell ref="R127:S127"/>
    <mergeCell ref="R128:S128"/>
    <mergeCell ref="R117:S117"/>
    <mergeCell ref="R118:S118"/>
    <mergeCell ref="R119:S119"/>
    <mergeCell ref="R120:S120"/>
    <mergeCell ref="R121:S121"/>
    <mergeCell ref="R122:S122"/>
    <mergeCell ref="R123:S123"/>
    <mergeCell ref="R124:S124"/>
    <mergeCell ref="R153:S153"/>
    <mergeCell ref="R154:S154"/>
    <mergeCell ref="R155:S155"/>
    <mergeCell ref="R156:S156"/>
    <mergeCell ref="R157:S157"/>
    <mergeCell ref="R158:S158"/>
    <mergeCell ref="R159:S159"/>
    <mergeCell ref="R160:S160"/>
    <mergeCell ref="R135:S135"/>
    <mergeCell ref="R136:S136"/>
    <mergeCell ref="R137:S137"/>
    <mergeCell ref="R138:S138"/>
    <mergeCell ref="R145:S145"/>
    <mergeCell ref="R146:S146"/>
    <mergeCell ref="R151:S151"/>
    <mergeCell ref="R152:S152"/>
    <mergeCell ref="R141:S141"/>
    <mergeCell ref="R142:S142"/>
    <mergeCell ref="R143:S143"/>
    <mergeCell ref="R144:S144"/>
    <mergeCell ref="R149:S149"/>
    <mergeCell ref="R150:S150"/>
    <mergeCell ref="R147:S147"/>
    <mergeCell ref="R148:S148"/>
    <mergeCell ref="R171:S171"/>
    <mergeCell ref="R172:S172"/>
    <mergeCell ref="R173:S173"/>
    <mergeCell ref="R174:S174"/>
    <mergeCell ref="R181:S181"/>
    <mergeCell ref="R182:S182"/>
    <mergeCell ref="R187:S187"/>
    <mergeCell ref="R188:S188"/>
    <mergeCell ref="R177:S177"/>
    <mergeCell ref="R178:S178"/>
    <mergeCell ref="R179:S179"/>
    <mergeCell ref="R180:S180"/>
    <mergeCell ref="R185:S185"/>
    <mergeCell ref="R186:S186"/>
    <mergeCell ref="R183:S183"/>
    <mergeCell ref="R184:S184"/>
    <mergeCell ref="R161:S161"/>
    <mergeCell ref="R162:S162"/>
    <mergeCell ref="R175:S175"/>
    <mergeCell ref="R176:S176"/>
    <mergeCell ref="R165:S165"/>
    <mergeCell ref="R166:S166"/>
    <mergeCell ref="R167:S167"/>
    <mergeCell ref="R168:S168"/>
    <mergeCell ref="R169:S169"/>
    <mergeCell ref="R170:S170"/>
    <mergeCell ref="R163:S163"/>
    <mergeCell ref="R164:S164"/>
    <mergeCell ref="R197:S197"/>
    <mergeCell ref="R198:S198"/>
    <mergeCell ref="R211:S211"/>
    <mergeCell ref="R212:S212"/>
    <mergeCell ref="R201:S201"/>
    <mergeCell ref="R202:S202"/>
    <mergeCell ref="R203:S203"/>
    <mergeCell ref="R204:S204"/>
    <mergeCell ref="R205:S205"/>
    <mergeCell ref="R206:S206"/>
    <mergeCell ref="R199:S199"/>
    <mergeCell ref="R200:S200"/>
    <mergeCell ref="R189:S189"/>
    <mergeCell ref="R190:S190"/>
    <mergeCell ref="R191:S191"/>
    <mergeCell ref="R192:S192"/>
    <mergeCell ref="R193:S193"/>
    <mergeCell ref="R194:S194"/>
    <mergeCell ref="R195:S195"/>
    <mergeCell ref="R196:S196"/>
    <mergeCell ref="R225:S225"/>
    <mergeCell ref="R226:S226"/>
    <mergeCell ref="R227:S227"/>
    <mergeCell ref="R228:S228"/>
    <mergeCell ref="R229:S229"/>
    <mergeCell ref="R230:S230"/>
    <mergeCell ref="R231:S231"/>
    <mergeCell ref="R232:S232"/>
    <mergeCell ref="R207:S207"/>
    <mergeCell ref="R208:S208"/>
    <mergeCell ref="R209:S209"/>
    <mergeCell ref="R210:S210"/>
    <mergeCell ref="R217:S217"/>
    <mergeCell ref="R218:S218"/>
    <mergeCell ref="R223:S223"/>
    <mergeCell ref="R224:S224"/>
    <mergeCell ref="R213:S213"/>
    <mergeCell ref="R214:S214"/>
    <mergeCell ref="R215:S215"/>
    <mergeCell ref="R216:S216"/>
    <mergeCell ref="R221:S221"/>
    <mergeCell ref="R222:S222"/>
    <mergeCell ref="R219:S219"/>
    <mergeCell ref="R220:S220"/>
    <mergeCell ref="R260:S260"/>
    <mergeCell ref="R249:S249"/>
    <mergeCell ref="R250:S250"/>
    <mergeCell ref="R251:S251"/>
    <mergeCell ref="R252:S252"/>
    <mergeCell ref="R257:S257"/>
    <mergeCell ref="R258:S258"/>
    <mergeCell ref="R255:S255"/>
    <mergeCell ref="R256:S256"/>
    <mergeCell ref="R233:S233"/>
    <mergeCell ref="R234:S234"/>
    <mergeCell ref="R247:S247"/>
    <mergeCell ref="R248:S248"/>
    <mergeCell ref="R237:S237"/>
    <mergeCell ref="R238:S238"/>
    <mergeCell ref="R239:S239"/>
    <mergeCell ref="R240:S240"/>
    <mergeCell ref="R241:S241"/>
    <mergeCell ref="R242:S242"/>
    <mergeCell ref="R235:S235"/>
    <mergeCell ref="R236:S236"/>
    <mergeCell ref="L278:N278"/>
    <mergeCell ref="L279:N279"/>
    <mergeCell ref="L280:N280"/>
    <mergeCell ref="L281:N281"/>
    <mergeCell ref="L282:N282"/>
    <mergeCell ref="L283:N283"/>
    <mergeCell ref="L272:N272"/>
    <mergeCell ref="L273:N273"/>
    <mergeCell ref="L274:N274"/>
    <mergeCell ref="L275:N275"/>
    <mergeCell ref="L276:N276"/>
    <mergeCell ref="L277:N277"/>
    <mergeCell ref="H70:J70"/>
    <mergeCell ref="L70:N70"/>
    <mergeCell ref="R70:S70"/>
    <mergeCell ref="R261:S261"/>
    <mergeCell ref="R262:S262"/>
    <mergeCell ref="R263:S263"/>
    <mergeCell ref="R243:S243"/>
    <mergeCell ref="R244:S244"/>
    <mergeCell ref="R245:S245"/>
    <mergeCell ref="R246:S246"/>
    <mergeCell ref="R264:S264"/>
    <mergeCell ref="R269:S269"/>
    <mergeCell ref="R270:S270"/>
    <mergeCell ref="R265:S265"/>
    <mergeCell ref="R266:S266"/>
    <mergeCell ref="R267:S267"/>
    <mergeCell ref="R268:S268"/>
    <mergeCell ref="R253:S253"/>
    <mergeCell ref="R254:S254"/>
    <mergeCell ref="R259:S259"/>
    <mergeCell ref="L296:N296"/>
    <mergeCell ref="L297:N297"/>
    <mergeCell ref="L298:N298"/>
    <mergeCell ref="L299:N299"/>
    <mergeCell ref="L300:N300"/>
    <mergeCell ref="L301:N301"/>
    <mergeCell ref="L290:N290"/>
    <mergeCell ref="L291:N291"/>
    <mergeCell ref="L292:N292"/>
    <mergeCell ref="L293:N293"/>
    <mergeCell ref="L294:N294"/>
    <mergeCell ref="L295:N295"/>
    <mergeCell ref="L284:N284"/>
    <mergeCell ref="L285:N285"/>
    <mergeCell ref="L286:N286"/>
    <mergeCell ref="L287:N287"/>
    <mergeCell ref="L288:N288"/>
    <mergeCell ref="L289:N289"/>
    <mergeCell ref="L314:N314"/>
    <mergeCell ref="L315:N315"/>
    <mergeCell ref="L316:N316"/>
    <mergeCell ref="L317:N317"/>
    <mergeCell ref="L318:N318"/>
    <mergeCell ref="L319:N319"/>
    <mergeCell ref="L308:N308"/>
    <mergeCell ref="L309:N309"/>
    <mergeCell ref="L310:N310"/>
    <mergeCell ref="L311:N311"/>
    <mergeCell ref="L312:N312"/>
    <mergeCell ref="L313:N313"/>
    <mergeCell ref="L302:N302"/>
    <mergeCell ref="L303:N303"/>
    <mergeCell ref="L304:N304"/>
    <mergeCell ref="L305:N305"/>
    <mergeCell ref="L306:N306"/>
    <mergeCell ref="L307:N307"/>
    <mergeCell ref="L332:N332"/>
    <mergeCell ref="L333:N333"/>
    <mergeCell ref="L334:N334"/>
    <mergeCell ref="L335:N335"/>
    <mergeCell ref="L336:N336"/>
    <mergeCell ref="L337:N337"/>
    <mergeCell ref="L326:N326"/>
    <mergeCell ref="L327:N327"/>
    <mergeCell ref="L328:N328"/>
    <mergeCell ref="L329:N329"/>
    <mergeCell ref="L330:N330"/>
    <mergeCell ref="L331:N331"/>
    <mergeCell ref="L320:N320"/>
    <mergeCell ref="L321:N321"/>
    <mergeCell ref="L322:N322"/>
    <mergeCell ref="L323:N323"/>
    <mergeCell ref="L324:N324"/>
    <mergeCell ref="L325:N325"/>
    <mergeCell ref="L350:N350"/>
    <mergeCell ref="L351:N351"/>
    <mergeCell ref="L352:N352"/>
    <mergeCell ref="L353:N353"/>
    <mergeCell ref="L354:N354"/>
    <mergeCell ref="L355:N355"/>
    <mergeCell ref="L344:N344"/>
    <mergeCell ref="L345:N345"/>
    <mergeCell ref="L346:N346"/>
    <mergeCell ref="L347:N347"/>
    <mergeCell ref="L348:N348"/>
    <mergeCell ref="L349:N349"/>
    <mergeCell ref="L338:N338"/>
    <mergeCell ref="L339:N339"/>
    <mergeCell ref="L340:N340"/>
    <mergeCell ref="L341:N341"/>
    <mergeCell ref="L342:N342"/>
    <mergeCell ref="L343:N343"/>
    <mergeCell ref="L368:N368"/>
    <mergeCell ref="L369:N369"/>
    <mergeCell ref="L370:N370"/>
    <mergeCell ref="L371:N371"/>
    <mergeCell ref="L372:N372"/>
    <mergeCell ref="L373:N373"/>
    <mergeCell ref="L362:N362"/>
    <mergeCell ref="L363:N363"/>
    <mergeCell ref="L364:N364"/>
    <mergeCell ref="L365:N365"/>
    <mergeCell ref="L366:N366"/>
    <mergeCell ref="L367:N367"/>
    <mergeCell ref="L356:N356"/>
    <mergeCell ref="L357:N357"/>
    <mergeCell ref="L358:N358"/>
    <mergeCell ref="L359:N359"/>
    <mergeCell ref="L360:N360"/>
    <mergeCell ref="L361:N361"/>
    <mergeCell ref="L386:N386"/>
    <mergeCell ref="L387:N387"/>
    <mergeCell ref="L388:N388"/>
    <mergeCell ref="L389:N389"/>
    <mergeCell ref="L390:N390"/>
    <mergeCell ref="L391:N391"/>
    <mergeCell ref="L380:N380"/>
    <mergeCell ref="L381:N381"/>
    <mergeCell ref="L382:N382"/>
    <mergeCell ref="L383:N383"/>
    <mergeCell ref="L384:N384"/>
    <mergeCell ref="L385:N385"/>
    <mergeCell ref="L374:N374"/>
    <mergeCell ref="L375:N375"/>
    <mergeCell ref="L376:N376"/>
    <mergeCell ref="L377:N377"/>
    <mergeCell ref="L378:N378"/>
    <mergeCell ref="L379:N379"/>
    <mergeCell ref="L404:N404"/>
    <mergeCell ref="L405:N405"/>
    <mergeCell ref="L406:N406"/>
    <mergeCell ref="L407:N407"/>
    <mergeCell ref="L408:N408"/>
    <mergeCell ref="L409:N409"/>
    <mergeCell ref="L398:N398"/>
    <mergeCell ref="L399:N399"/>
    <mergeCell ref="L400:N400"/>
    <mergeCell ref="L401:N401"/>
    <mergeCell ref="L402:N402"/>
    <mergeCell ref="L403:N403"/>
    <mergeCell ref="L392:N392"/>
    <mergeCell ref="L393:N393"/>
    <mergeCell ref="L394:N394"/>
    <mergeCell ref="L395:N395"/>
    <mergeCell ref="L396:N396"/>
    <mergeCell ref="L397:N397"/>
    <mergeCell ref="L422:N422"/>
    <mergeCell ref="L423:N423"/>
    <mergeCell ref="L424:N424"/>
    <mergeCell ref="L425:N425"/>
    <mergeCell ref="L426:N426"/>
    <mergeCell ref="L427:N427"/>
    <mergeCell ref="L416:N416"/>
    <mergeCell ref="L417:N417"/>
    <mergeCell ref="L418:N418"/>
    <mergeCell ref="L419:N419"/>
    <mergeCell ref="L420:N420"/>
    <mergeCell ref="L421:N421"/>
    <mergeCell ref="L410:N410"/>
    <mergeCell ref="L411:N411"/>
    <mergeCell ref="L412:N412"/>
    <mergeCell ref="L413:N413"/>
    <mergeCell ref="L414:N414"/>
    <mergeCell ref="L415:N415"/>
    <mergeCell ref="L440:N440"/>
    <mergeCell ref="L441:N441"/>
    <mergeCell ref="L442:N442"/>
    <mergeCell ref="L443:N443"/>
    <mergeCell ref="L444:N444"/>
    <mergeCell ref="L445:N445"/>
    <mergeCell ref="L434:N434"/>
    <mergeCell ref="L435:N435"/>
    <mergeCell ref="L436:N436"/>
    <mergeCell ref="L437:N437"/>
    <mergeCell ref="L438:N438"/>
    <mergeCell ref="L439:N439"/>
    <mergeCell ref="L428:N428"/>
    <mergeCell ref="L429:N429"/>
    <mergeCell ref="L430:N430"/>
    <mergeCell ref="L431:N431"/>
    <mergeCell ref="L432:N432"/>
    <mergeCell ref="L433:N433"/>
    <mergeCell ref="L458:N458"/>
    <mergeCell ref="L459:N459"/>
    <mergeCell ref="L460:N460"/>
    <mergeCell ref="L461:N461"/>
    <mergeCell ref="L462:N462"/>
    <mergeCell ref="L463:N463"/>
    <mergeCell ref="L452:N452"/>
    <mergeCell ref="L453:N453"/>
    <mergeCell ref="L454:N454"/>
    <mergeCell ref="L455:N455"/>
    <mergeCell ref="L456:N456"/>
    <mergeCell ref="L457:N457"/>
    <mergeCell ref="L446:N446"/>
    <mergeCell ref="L447:N447"/>
    <mergeCell ref="L448:N448"/>
    <mergeCell ref="L449:N449"/>
    <mergeCell ref="L450:N450"/>
    <mergeCell ref="L451:N451"/>
    <mergeCell ref="L476:N476"/>
    <mergeCell ref="L477:N477"/>
    <mergeCell ref="L478:N478"/>
    <mergeCell ref="L479:N479"/>
    <mergeCell ref="L480:N480"/>
    <mergeCell ref="L481:N481"/>
    <mergeCell ref="L470:N470"/>
    <mergeCell ref="L471:N471"/>
    <mergeCell ref="L472:N472"/>
    <mergeCell ref="L473:N473"/>
    <mergeCell ref="L474:N474"/>
    <mergeCell ref="L475:N475"/>
    <mergeCell ref="L464:N464"/>
    <mergeCell ref="L465:N465"/>
    <mergeCell ref="L466:N466"/>
    <mergeCell ref="L467:N467"/>
    <mergeCell ref="L468:N468"/>
    <mergeCell ref="L469:N469"/>
    <mergeCell ref="L494:N494"/>
    <mergeCell ref="L495:N495"/>
    <mergeCell ref="L496:N496"/>
    <mergeCell ref="L497:N497"/>
    <mergeCell ref="L498:N498"/>
    <mergeCell ref="L499:N499"/>
    <mergeCell ref="L488:N488"/>
    <mergeCell ref="L489:N489"/>
    <mergeCell ref="L490:N490"/>
    <mergeCell ref="L491:N491"/>
    <mergeCell ref="L492:N492"/>
    <mergeCell ref="L493:N493"/>
    <mergeCell ref="L482:N482"/>
    <mergeCell ref="L483:N483"/>
    <mergeCell ref="L484:N484"/>
    <mergeCell ref="L485:N485"/>
    <mergeCell ref="L486:N486"/>
    <mergeCell ref="L487:N487"/>
    <mergeCell ref="L512:N512"/>
    <mergeCell ref="L513:N513"/>
    <mergeCell ref="L514:N514"/>
    <mergeCell ref="L515:N515"/>
    <mergeCell ref="L516:N516"/>
    <mergeCell ref="L517:N517"/>
    <mergeCell ref="L506:N506"/>
    <mergeCell ref="L507:N507"/>
    <mergeCell ref="L508:N508"/>
    <mergeCell ref="L509:N509"/>
    <mergeCell ref="L510:N510"/>
    <mergeCell ref="L511:N511"/>
    <mergeCell ref="L500:N500"/>
    <mergeCell ref="L501:N501"/>
    <mergeCell ref="L502:N502"/>
    <mergeCell ref="L503:N503"/>
    <mergeCell ref="L504:N504"/>
    <mergeCell ref="L505:N505"/>
    <mergeCell ref="L530:N530"/>
    <mergeCell ref="L531:N531"/>
    <mergeCell ref="L532:N532"/>
    <mergeCell ref="L533:N533"/>
    <mergeCell ref="L534:N534"/>
    <mergeCell ref="L535:N535"/>
    <mergeCell ref="L524:N524"/>
    <mergeCell ref="L525:N525"/>
    <mergeCell ref="L526:N526"/>
    <mergeCell ref="L527:N527"/>
    <mergeCell ref="L528:N528"/>
    <mergeCell ref="L529:N529"/>
    <mergeCell ref="L518:N518"/>
    <mergeCell ref="L519:N519"/>
    <mergeCell ref="L520:N520"/>
    <mergeCell ref="L521:N521"/>
    <mergeCell ref="L522:N522"/>
    <mergeCell ref="L523:N523"/>
    <mergeCell ref="L548:N548"/>
    <mergeCell ref="L549:N549"/>
    <mergeCell ref="L550:N550"/>
    <mergeCell ref="L551:N551"/>
    <mergeCell ref="L552:N552"/>
    <mergeCell ref="L553:N553"/>
    <mergeCell ref="L542:N542"/>
    <mergeCell ref="L543:N543"/>
    <mergeCell ref="L544:N544"/>
    <mergeCell ref="L545:N545"/>
    <mergeCell ref="L546:N546"/>
    <mergeCell ref="L547:N547"/>
    <mergeCell ref="L536:N536"/>
    <mergeCell ref="L537:N537"/>
    <mergeCell ref="L538:N538"/>
    <mergeCell ref="L539:N539"/>
    <mergeCell ref="L540:N540"/>
    <mergeCell ref="L541:N541"/>
    <mergeCell ref="L566:N566"/>
    <mergeCell ref="L567:N567"/>
    <mergeCell ref="L568:N568"/>
    <mergeCell ref="L569:N569"/>
    <mergeCell ref="L570:N570"/>
    <mergeCell ref="L571:N571"/>
    <mergeCell ref="L560:N560"/>
    <mergeCell ref="L561:N561"/>
    <mergeCell ref="L562:N562"/>
    <mergeCell ref="L563:N563"/>
    <mergeCell ref="L564:N564"/>
    <mergeCell ref="L565:N565"/>
    <mergeCell ref="L554:N554"/>
    <mergeCell ref="L555:N555"/>
    <mergeCell ref="L556:N556"/>
    <mergeCell ref="L557:N557"/>
    <mergeCell ref="L558:N558"/>
    <mergeCell ref="L559:N559"/>
    <mergeCell ref="L584:N584"/>
    <mergeCell ref="L585:N585"/>
    <mergeCell ref="L586:N586"/>
    <mergeCell ref="L587:N587"/>
    <mergeCell ref="L588:N588"/>
    <mergeCell ref="L589:N589"/>
    <mergeCell ref="L578:N578"/>
    <mergeCell ref="L579:N579"/>
    <mergeCell ref="L580:N580"/>
    <mergeCell ref="L581:N581"/>
    <mergeCell ref="L582:N582"/>
    <mergeCell ref="L583:N583"/>
    <mergeCell ref="L572:N572"/>
    <mergeCell ref="L573:N573"/>
    <mergeCell ref="L574:N574"/>
    <mergeCell ref="L575:N575"/>
    <mergeCell ref="L576:N576"/>
    <mergeCell ref="L577:N577"/>
    <mergeCell ref="L602:N602"/>
    <mergeCell ref="L603:N603"/>
    <mergeCell ref="L604:N604"/>
    <mergeCell ref="L605:N605"/>
    <mergeCell ref="L606:N606"/>
    <mergeCell ref="L607:N607"/>
    <mergeCell ref="L596:N596"/>
    <mergeCell ref="L597:N597"/>
    <mergeCell ref="L598:N598"/>
    <mergeCell ref="L599:N599"/>
    <mergeCell ref="L600:N600"/>
    <mergeCell ref="L601:N601"/>
    <mergeCell ref="L590:N590"/>
    <mergeCell ref="L591:N591"/>
    <mergeCell ref="L592:N592"/>
    <mergeCell ref="L593:N593"/>
    <mergeCell ref="L594:N594"/>
    <mergeCell ref="L595:N595"/>
    <mergeCell ref="L620:N620"/>
    <mergeCell ref="L621:N621"/>
    <mergeCell ref="L622:N622"/>
    <mergeCell ref="L623:N623"/>
    <mergeCell ref="L624:N624"/>
    <mergeCell ref="L625:N625"/>
    <mergeCell ref="L614:N614"/>
    <mergeCell ref="L615:N615"/>
    <mergeCell ref="L616:N616"/>
    <mergeCell ref="L617:N617"/>
    <mergeCell ref="L618:N618"/>
    <mergeCell ref="L619:N619"/>
    <mergeCell ref="L608:N608"/>
    <mergeCell ref="L609:N609"/>
    <mergeCell ref="L610:N610"/>
    <mergeCell ref="L611:N611"/>
    <mergeCell ref="L612:N612"/>
    <mergeCell ref="L613:N613"/>
    <mergeCell ref="L638:N638"/>
    <mergeCell ref="L639:N639"/>
    <mergeCell ref="L640:N640"/>
    <mergeCell ref="L641:N641"/>
    <mergeCell ref="L642:N642"/>
    <mergeCell ref="L643:N643"/>
    <mergeCell ref="L632:N632"/>
    <mergeCell ref="L633:N633"/>
    <mergeCell ref="L634:N634"/>
    <mergeCell ref="L635:N635"/>
    <mergeCell ref="L636:N636"/>
    <mergeCell ref="L637:N637"/>
    <mergeCell ref="L626:N626"/>
    <mergeCell ref="L627:N627"/>
    <mergeCell ref="L628:N628"/>
    <mergeCell ref="L629:N629"/>
    <mergeCell ref="L630:N630"/>
    <mergeCell ref="L631:N631"/>
    <mergeCell ref="L656:N656"/>
    <mergeCell ref="L657:N657"/>
    <mergeCell ref="L658:N658"/>
    <mergeCell ref="L659:N659"/>
    <mergeCell ref="L660:N660"/>
    <mergeCell ref="L661:N661"/>
    <mergeCell ref="L650:N650"/>
    <mergeCell ref="L651:N651"/>
    <mergeCell ref="L652:N652"/>
    <mergeCell ref="L653:N653"/>
    <mergeCell ref="L654:N654"/>
    <mergeCell ref="L655:N655"/>
    <mergeCell ref="L644:N644"/>
    <mergeCell ref="L645:N645"/>
    <mergeCell ref="L646:N646"/>
    <mergeCell ref="L647:N647"/>
    <mergeCell ref="L648:N648"/>
    <mergeCell ref="L649:N649"/>
    <mergeCell ref="L674:N674"/>
    <mergeCell ref="L675:N675"/>
    <mergeCell ref="L676:N676"/>
    <mergeCell ref="L677:N677"/>
    <mergeCell ref="L678:N678"/>
    <mergeCell ref="L679:N679"/>
    <mergeCell ref="L668:N668"/>
    <mergeCell ref="L669:N669"/>
    <mergeCell ref="L670:N670"/>
    <mergeCell ref="L671:N671"/>
    <mergeCell ref="L672:N672"/>
    <mergeCell ref="L673:N673"/>
    <mergeCell ref="L662:N662"/>
    <mergeCell ref="L663:N663"/>
    <mergeCell ref="L664:N664"/>
    <mergeCell ref="L665:N665"/>
    <mergeCell ref="L666:N666"/>
    <mergeCell ref="L667:N667"/>
    <mergeCell ref="L692:N692"/>
    <mergeCell ref="L693:N693"/>
    <mergeCell ref="L694:N694"/>
    <mergeCell ref="L695:N695"/>
    <mergeCell ref="L696:N696"/>
    <mergeCell ref="L697:N697"/>
    <mergeCell ref="L686:N686"/>
    <mergeCell ref="L687:N687"/>
    <mergeCell ref="L688:N688"/>
    <mergeCell ref="L689:N689"/>
    <mergeCell ref="L690:N690"/>
    <mergeCell ref="L691:N691"/>
    <mergeCell ref="L680:N680"/>
    <mergeCell ref="L681:N681"/>
    <mergeCell ref="L682:N682"/>
    <mergeCell ref="L683:N683"/>
    <mergeCell ref="L684:N684"/>
    <mergeCell ref="L685:N685"/>
    <mergeCell ref="L710:N710"/>
    <mergeCell ref="L711:N711"/>
    <mergeCell ref="L712:N712"/>
    <mergeCell ref="L713:N713"/>
    <mergeCell ref="L714:N714"/>
    <mergeCell ref="L715:N715"/>
    <mergeCell ref="L704:N704"/>
    <mergeCell ref="L705:N705"/>
    <mergeCell ref="L706:N706"/>
    <mergeCell ref="L707:N707"/>
    <mergeCell ref="L708:N708"/>
    <mergeCell ref="L709:N709"/>
    <mergeCell ref="L698:N698"/>
    <mergeCell ref="L699:N699"/>
    <mergeCell ref="L700:N700"/>
    <mergeCell ref="L701:N701"/>
    <mergeCell ref="L702:N702"/>
    <mergeCell ref="L703:N703"/>
    <mergeCell ref="L728:N728"/>
    <mergeCell ref="L729:N729"/>
    <mergeCell ref="L730:N730"/>
    <mergeCell ref="L731:N731"/>
    <mergeCell ref="L732:N732"/>
    <mergeCell ref="L733:N733"/>
    <mergeCell ref="L722:N722"/>
    <mergeCell ref="L723:N723"/>
    <mergeCell ref="L724:N724"/>
    <mergeCell ref="L725:N725"/>
    <mergeCell ref="L726:N726"/>
    <mergeCell ref="L727:N727"/>
    <mergeCell ref="L716:N716"/>
    <mergeCell ref="L717:N717"/>
    <mergeCell ref="L718:N718"/>
    <mergeCell ref="L719:N719"/>
    <mergeCell ref="L720:N720"/>
    <mergeCell ref="L721:N721"/>
    <mergeCell ref="L746:N746"/>
    <mergeCell ref="L747:N747"/>
    <mergeCell ref="L748:N748"/>
    <mergeCell ref="L749:N749"/>
    <mergeCell ref="L750:N750"/>
    <mergeCell ref="L751:N751"/>
    <mergeCell ref="L740:N740"/>
    <mergeCell ref="L741:N741"/>
    <mergeCell ref="L742:N742"/>
    <mergeCell ref="L743:N743"/>
    <mergeCell ref="L744:N744"/>
    <mergeCell ref="L745:N745"/>
    <mergeCell ref="L734:N734"/>
    <mergeCell ref="L735:N735"/>
    <mergeCell ref="L736:N736"/>
    <mergeCell ref="L737:N737"/>
    <mergeCell ref="L738:N738"/>
    <mergeCell ref="L739:N739"/>
    <mergeCell ref="L764:N764"/>
    <mergeCell ref="L765:N765"/>
    <mergeCell ref="L766:N766"/>
    <mergeCell ref="L767:N767"/>
    <mergeCell ref="L768:N768"/>
    <mergeCell ref="L769:N769"/>
    <mergeCell ref="L758:N758"/>
    <mergeCell ref="L759:N759"/>
    <mergeCell ref="L760:N760"/>
    <mergeCell ref="L761:N761"/>
    <mergeCell ref="L762:N762"/>
    <mergeCell ref="L763:N763"/>
    <mergeCell ref="L752:N752"/>
    <mergeCell ref="L753:N753"/>
    <mergeCell ref="L754:N754"/>
    <mergeCell ref="L755:N755"/>
    <mergeCell ref="L756:N756"/>
    <mergeCell ref="L757:N757"/>
    <mergeCell ref="L782:N782"/>
    <mergeCell ref="L783:N783"/>
    <mergeCell ref="L784:N784"/>
    <mergeCell ref="L785:N785"/>
    <mergeCell ref="L786:N786"/>
    <mergeCell ref="L787:N787"/>
    <mergeCell ref="L776:N776"/>
    <mergeCell ref="L777:N777"/>
    <mergeCell ref="L778:N778"/>
    <mergeCell ref="L779:N779"/>
    <mergeCell ref="L780:N780"/>
    <mergeCell ref="L781:N781"/>
    <mergeCell ref="L770:N770"/>
    <mergeCell ref="L771:N771"/>
    <mergeCell ref="L772:N772"/>
    <mergeCell ref="L773:N773"/>
    <mergeCell ref="L774:N774"/>
    <mergeCell ref="L775:N775"/>
    <mergeCell ref="L800:N800"/>
    <mergeCell ref="L801:N801"/>
    <mergeCell ref="L802:N802"/>
    <mergeCell ref="L803:N803"/>
    <mergeCell ref="L804:N804"/>
    <mergeCell ref="L805:N805"/>
    <mergeCell ref="L794:N794"/>
    <mergeCell ref="L795:N795"/>
    <mergeCell ref="L796:N796"/>
    <mergeCell ref="L797:N797"/>
    <mergeCell ref="L798:N798"/>
    <mergeCell ref="L799:N799"/>
    <mergeCell ref="L788:N788"/>
    <mergeCell ref="L789:N789"/>
    <mergeCell ref="L790:N790"/>
    <mergeCell ref="L791:N791"/>
    <mergeCell ref="L792:N792"/>
    <mergeCell ref="L793:N793"/>
    <mergeCell ref="L818:N818"/>
    <mergeCell ref="L819:N819"/>
    <mergeCell ref="L820:N820"/>
    <mergeCell ref="L821:N821"/>
    <mergeCell ref="L822:N822"/>
    <mergeCell ref="L823:N823"/>
    <mergeCell ref="L812:N812"/>
    <mergeCell ref="L813:N813"/>
    <mergeCell ref="L814:N814"/>
    <mergeCell ref="L815:N815"/>
    <mergeCell ref="L816:N816"/>
    <mergeCell ref="L817:N817"/>
    <mergeCell ref="L806:N806"/>
    <mergeCell ref="L807:N807"/>
    <mergeCell ref="L808:N808"/>
    <mergeCell ref="L809:N809"/>
    <mergeCell ref="L810:N810"/>
    <mergeCell ref="L811:N811"/>
    <mergeCell ref="L836:N836"/>
    <mergeCell ref="L837:N837"/>
    <mergeCell ref="L838:N838"/>
    <mergeCell ref="L839:N839"/>
    <mergeCell ref="L840:N840"/>
    <mergeCell ref="L841:N841"/>
    <mergeCell ref="L830:N830"/>
    <mergeCell ref="L831:N831"/>
    <mergeCell ref="L832:N832"/>
    <mergeCell ref="L833:N833"/>
    <mergeCell ref="L834:N834"/>
    <mergeCell ref="L835:N835"/>
    <mergeCell ref="L824:N824"/>
    <mergeCell ref="L825:N825"/>
    <mergeCell ref="L826:N826"/>
    <mergeCell ref="L827:N827"/>
    <mergeCell ref="L828:N828"/>
    <mergeCell ref="L829:N829"/>
    <mergeCell ref="L854:N854"/>
    <mergeCell ref="L855:N855"/>
    <mergeCell ref="L856:N856"/>
    <mergeCell ref="L857:N857"/>
    <mergeCell ref="L858:N858"/>
    <mergeCell ref="L859:N859"/>
    <mergeCell ref="L848:N848"/>
    <mergeCell ref="L849:N849"/>
    <mergeCell ref="L850:N850"/>
    <mergeCell ref="L851:N851"/>
    <mergeCell ref="L852:N852"/>
    <mergeCell ref="L853:N853"/>
    <mergeCell ref="L842:N842"/>
    <mergeCell ref="L843:N843"/>
    <mergeCell ref="L844:N844"/>
    <mergeCell ref="L845:N845"/>
    <mergeCell ref="L846:N846"/>
    <mergeCell ref="L847:N847"/>
    <mergeCell ref="L872:N872"/>
    <mergeCell ref="L873:N873"/>
    <mergeCell ref="L874:N874"/>
    <mergeCell ref="L875:N875"/>
    <mergeCell ref="L876:N876"/>
    <mergeCell ref="L877:N877"/>
    <mergeCell ref="L866:N866"/>
    <mergeCell ref="L867:N867"/>
    <mergeCell ref="L868:N868"/>
    <mergeCell ref="L869:N869"/>
    <mergeCell ref="L870:N870"/>
    <mergeCell ref="L871:N871"/>
    <mergeCell ref="L860:N860"/>
    <mergeCell ref="L861:N861"/>
    <mergeCell ref="L862:N862"/>
    <mergeCell ref="L863:N863"/>
    <mergeCell ref="L864:N864"/>
    <mergeCell ref="L865:N865"/>
    <mergeCell ref="L890:N890"/>
    <mergeCell ref="L891:N891"/>
    <mergeCell ref="L892:N892"/>
    <mergeCell ref="L893:N893"/>
    <mergeCell ref="L894:N894"/>
    <mergeCell ref="L895:N895"/>
    <mergeCell ref="L884:N884"/>
    <mergeCell ref="L885:N885"/>
    <mergeCell ref="L886:N886"/>
    <mergeCell ref="L887:N887"/>
    <mergeCell ref="L888:N888"/>
    <mergeCell ref="L889:N889"/>
    <mergeCell ref="L878:N878"/>
    <mergeCell ref="L879:N879"/>
    <mergeCell ref="L880:N880"/>
    <mergeCell ref="L881:N881"/>
    <mergeCell ref="L882:N882"/>
    <mergeCell ref="L883:N883"/>
    <mergeCell ref="L908:N908"/>
    <mergeCell ref="L909:N909"/>
    <mergeCell ref="L910:N910"/>
    <mergeCell ref="L911:N911"/>
    <mergeCell ref="L912:N912"/>
    <mergeCell ref="L913:N913"/>
    <mergeCell ref="L902:N902"/>
    <mergeCell ref="L903:N903"/>
    <mergeCell ref="L904:N904"/>
    <mergeCell ref="L905:N905"/>
    <mergeCell ref="L906:N906"/>
    <mergeCell ref="L907:N907"/>
    <mergeCell ref="L896:N896"/>
    <mergeCell ref="L897:N897"/>
    <mergeCell ref="L898:N898"/>
    <mergeCell ref="L899:N899"/>
    <mergeCell ref="L900:N900"/>
    <mergeCell ref="L901:N901"/>
    <mergeCell ref="L926:N926"/>
    <mergeCell ref="L927:N927"/>
    <mergeCell ref="L928:N928"/>
    <mergeCell ref="L929:N929"/>
    <mergeCell ref="L930:N930"/>
    <mergeCell ref="L931:N931"/>
    <mergeCell ref="L920:N920"/>
    <mergeCell ref="L921:N921"/>
    <mergeCell ref="L922:N922"/>
    <mergeCell ref="L923:N923"/>
    <mergeCell ref="L924:N924"/>
    <mergeCell ref="L925:N925"/>
    <mergeCell ref="L914:N914"/>
    <mergeCell ref="L915:N915"/>
    <mergeCell ref="L916:N916"/>
    <mergeCell ref="L917:N917"/>
    <mergeCell ref="L918:N918"/>
    <mergeCell ref="L919:N919"/>
    <mergeCell ref="L944:N944"/>
    <mergeCell ref="L945:N945"/>
    <mergeCell ref="L946:N946"/>
    <mergeCell ref="L947:N947"/>
    <mergeCell ref="L948:N948"/>
    <mergeCell ref="L949:N949"/>
    <mergeCell ref="L938:N938"/>
    <mergeCell ref="L939:N939"/>
    <mergeCell ref="L940:N940"/>
    <mergeCell ref="L941:N941"/>
    <mergeCell ref="L942:N942"/>
    <mergeCell ref="L943:N943"/>
    <mergeCell ref="L932:N932"/>
    <mergeCell ref="L933:N933"/>
    <mergeCell ref="L934:N934"/>
    <mergeCell ref="L935:N935"/>
    <mergeCell ref="L936:N936"/>
    <mergeCell ref="L937:N937"/>
    <mergeCell ref="L962:N962"/>
    <mergeCell ref="L963:N963"/>
    <mergeCell ref="L964:N964"/>
    <mergeCell ref="L965:N965"/>
    <mergeCell ref="L966:N966"/>
    <mergeCell ref="L967:N967"/>
    <mergeCell ref="L956:N956"/>
    <mergeCell ref="L957:N957"/>
    <mergeCell ref="L958:N958"/>
    <mergeCell ref="L959:N959"/>
    <mergeCell ref="L960:N960"/>
    <mergeCell ref="L961:N961"/>
    <mergeCell ref="L950:N950"/>
    <mergeCell ref="L951:N951"/>
    <mergeCell ref="L952:N952"/>
    <mergeCell ref="L953:N953"/>
    <mergeCell ref="L954:N954"/>
    <mergeCell ref="L955:N955"/>
    <mergeCell ref="L980:N980"/>
    <mergeCell ref="L981:N981"/>
    <mergeCell ref="L982:N982"/>
    <mergeCell ref="L983:N983"/>
    <mergeCell ref="L984:N984"/>
    <mergeCell ref="L985:N985"/>
    <mergeCell ref="L974:N974"/>
    <mergeCell ref="L975:N975"/>
    <mergeCell ref="L976:N976"/>
    <mergeCell ref="L977:N977"/>
    <mergeCell ref="L978:N978"/>
    <mergeCell ref="L979:N979"/>
    <mergeCell ref="L968:N968"/>
    <mergeCell ref="L969:N969"/>
    <mergeCell ref="L970:N970"/>
    <mergeCell ref="L971:N971"/>
    <mergeCell ref="L972:N972"/>
    <mergeCell ref="L973:N973"/>
    <mergeCell ref="L998:N998"/>
    <mergeCell ref="L999:N999"/>
    <mergeCell ref="L1000:N1000"/>
    <mergeCell ref="L1001:N1001"/>
    <mergeCell ref="L1002:N1002"/>
    <mergeCell ref="L1003:N1003"/>
    <mergeCell ref="L992:N992"/>
    <mergeCell ref="L993:N993"/>
    <mergeCell ref="L994:N994"/>
    <mergeCell ref="L995:N995"/>
    <mergeCell ref="L996:N996"/>
    <mergeCell ref="L997:N997"/>
    <mergeCell ref="L986:N986"/>
    <mergeCell ref="L987:N987"/>
    <mergeCell ref="L988:N988"/>
    <mergeCell ref="L989:N989"/>
    <mergeCell ref="L990:N990"/>
    <mergeCell ref="L991:N991"/>
    <mergeCell ref="L1016:N1016"/>
    <mergeCell ref="L1017:N1017"/>
    <mergeCell ref="L1018:N1018"/>
    <mergeCell ref="L1019:N1019"/>
    <mergeCell ref="L1020:N1020"/>
    <mergeCell ref="L1021:N1021"/>
    <mergeCell ref="L1010:N1010"/>
    <mergeCell ref="L1011:N1011"/>
    <mergeCell ref="L1012:N1012"/>
    <mergeCell ref="L1013:N1013"/>
    <mergeCell ref="L1014:N1014"/>
    <mergeCell ref="L1015:N1015"/>
    <mergeCell ref="L1004:N1004"/>
    <mergeCell ref="L1005:N1005"/>
    <mergeCell ref="L1006:N1006"/>
    <mergeCell ref="L1007:N1007"/>
    <mergeCell ref="L1008:N1008"/>
    <mergeCell ref="L1009:N1009"/>
    <mergeCell ref="L1034:N1034"/>
    <mergeCell ref="L1035:N1035"/>
    <mergeCell ref="L1036:N1036"/>
    <mergeCell ref="L1037:N1037"/>
    <mergeCell ref="L1038:N1038"/>
    <mergeCell ref="L1039:N1039"/>
    <mergeCell ref="L1028:N1028"/>
    <mergeCell ref="L1029:N1029"/>
    <mergeCell ref="L1030:N1030"/>
    <mergeCell ref="L1031:N1031"/>
    <mergeCell ref="L1032:N1032"/>
    <mergeCell ref="L1033:N1033"/>
    <mergeCell ref="L1022:N1022"/>
    <mergeCell ref="L1023:N1023"/>
    <mergeCell ref="L1024:N1024"/>
    <mergeCell ref="L1025:N1025"/>
    <mergeCell ref="L1026:N1026"/>
    <mergeCell ref="L1027:N1027"/>
    <mergeCell ref="L1052:N1052"/>
    <mergeCell ref="L1053:N1053"/>
    <mergeCell ref="L1054:N1054"/>
    <mergeCell ref="L1055:N1055"/>
    <mergeCell ref="L1056:N1056"/>
    <mergeCell ref="L1057:N1057"/>
    <mergeCell ref="L1046:N1046"/>
    <mergeCell ref="L1047:N1047"/>
    <mergeCell ref="L1048:N1048"/>
    <mergeCell ref="L1049:N1049"/>
    <mergeCell ref="L1050:N1050"/>
    <mergeCell ref="L1051:N1051"/>
    <mergeCell ref="L1040:N1040"/>
    <mergeCell ref="L1041:N1041"/>
    <mergeCell ref="L1042:N1042"/>
    <mergeCell ref="L1043:N1043"/>
    <mergeCell ref="L1044:N1044"/>
    <mergeCell ref="L1045:N1045"/>
    <mergeCell ref="L1070:N1070"/>
    <mergeCell ref="L1071:N1071"/>
    <mergeCell ref="L1072:N1072"/>
    <mergeCell ref="L1073:N1073"/>
    <mergeCell ref="L1074:N1074"/>
    <mergeCell ref="L1075:N1075"/>
    <mergeCell ref="L1064:N1064"/>
    <mergeCell ref="L1065:N1065"/>
    <mergeCell ref="L1066:N1066"/>
    <mergeCell ref="L1067:N1067"/>
    <mergeCell ref="L1068:N1068"/>
    <mergeCell ref="L1069:N1069"/>
    <mergeCell ref="L1058:N1058"/>
    <mergeCell ref="L1059:N1059"/>
    <mergeCell ref="L1060:N1060"/>
    <mergeCell ref="L1061:N1061"/>
    <mergeCell ref="L1062:N1062"/>
    <mergeCell ref="L1063:N1063"/>
    <mergeCell ref="L1088:N1088"/>
    <mergeCell ref="L1089:N1089"/>
    <mergeCell ref="L1090:N1090"/>
    <mergeCell ref="L1091:N1091"/>
    <mergeCell ref="L1092:N1092"/>
    <mergeCell ref="L1093:N1093"/>
    <mergeCell ref="L1082:N1082"/>
    <mergeCell ref="L1083:N1083"/>
    <mergeCell ref="L1084:N1084"/>
    <mergeCell ref="L1085:N1085"/>
    <mergeCell ref="L1086:N1086"/>
    <mergeCell ref="L1087:N1087"/>
    <mergeCell ref="L1076:N1076"/>
    <mergeCell ref="L1077:N1077"/>
    <mergeCell ref="L1078:N1078"/>
    <mergeCell ref="L1079:N1079"/>
    <mergeCell ref="L1080:N1080"/>
    <mergeCell ref="L1081:N1081"/>
    <mergeCell ref="L1106:N1106"/>
    <mergeCell ref="L1107:N1107"/>
    <mergeCell ref="L1108:N1108"/>
    <mergeCell ref="L1109:N1109"/>
    <mergeCell ref="L1110:N1110"/>
    <mergeCell ref="L1111:N1111"/>
    <mergeCell ref="L1100:N1100"/>
    <mergeCell ref="L1101:N1101"/>
    <mergeCell ref="L1102:N1102"/>
    <mergeCell ref="L1103:N1103"/>
    <mergeCell ref="L1104:N1104"/>
    <mergeCell ref="L1105:N1105"/>
    <mergeCell ref="L1094:N1094"/>
    <mergeCell ref="L1095:N1095"/>
    <mergeCell ref="L1096:N1096"/>
    <mergeCell ref="L1097:N1097"/>
    <mergeCell ref="L1098:N1098"/>
    <mergeCell ref="L1099:N1099"/>
    <mergeCell ref="L1124:N1124"/>
    <mergeCell ref="L1125:N1125"/>
    <mergeCell ref="L1126:N1126"/>
    <mergeCell ref="L1127:N1127"/>
    <mergeCell ref="L1128:N1128"/>
    <mergeCell ref="L1129:N1129"/>
    <mergeCell ref="L1118:N1118"/>
    <mergeCell ref="L1119:N1119"/>
    <mergeCell ref="L1120:N1120"/>
    <mergeCell ref="L1121:N1121"/>
    <mergeCell ref="L1122:N1122"/>
    <mergeCell ref="L1123:N1123"/>
    <mergeCell ref="L1112:N1112"/>
    <mergeCell ref="L1113:N1113"/>
    <mergeCell ref="L1114:N1114"/>
    <mergeCell ref="L1115:N1115"/>
    <mergeCell ref="L1116:N1116"/>
    <mergeCell ref="L1117:N1117"/>
    <mergeCell ref="L1142:N1142"/>
    <mergeCell ref="L1143:N1143"/>
    <mergeCell ref="L1144:N1144"/>
    <mergeCell ref="L1145:N1145"/>
    <mergeCell ref="L1146:N1146"/>
    <mergeCell ref="L1147:N1147"/>
    <mergeCell ref="L1136:N1136"/>
    <mergeCell ref="L1137:N1137"/>
    <mergeCell ref="L1138:N1138"/>
    <mergeCell ref="L1139:N1139"/>
    <mergeCell ref="L1140:N1140"/>
    <mergeCell ref="L1141:N1141"/>
    <mergeCell ref="L1130:N1130"/>
    <mergeCell ref="L1131:N1131"/>
    <mergeCell ref="L1132:N1132"/>
    <mergeCell ref="L1133:N1133"/>
    <mergeCell ref="L1134:N1134"/>
    <mergeCell ref="L1135:N1135"/>
    <mergeCell ref="L1160:N1160"/>
    <mergeCell ref="L1161:N1161"/>
    <mergeCell ref="L1162:N1162"/>
    <mergeCell ref="L1163:N1163"/>
    <mergeCell ref="L1164:N1164"/>
    <mergeCell ref="L1165:N1165"/>
    <mergeCell ref="L1154:N1154"/>
    <mergeCell ref="L1155:N1155"/>
    <mergeCell ref="L1156:N1156"/>
    <mergeCell ref="L1157:N1157"/>
    <mergeCell ref="L1158:N1158"/>
    <mergeCell ref="L1159:N1159"/>
    <mergeCell ref="L1148:N1148"/>
    <mergeCell ref="L1149:N1149"/>
    <mergeCell ref="L1150:N1150"/>
    <mergeCell ref="L1151:N1151"/>
    <mergeCell ref="L1152:N1152"/>
    <mergeCell ref="L1153:N1153"/>
    <mergeCell ref="L1178:N1178"/>
    <mergeCell ref="L1179:N1179"/>
    <mergeCell ref="L1180:N1180"/>
    <mergeCell ref="L1181:N1181"/>
    <mergeCell ref="L1182:N1182"/>
    <mergeCell ref="L1183:N1183"/>
    <mergeCell ref="L1172:N1172"/>
    <mergeCell ref="L1173:N1173"/>
    <mergeCell ref="L1174:N1174"/>
    <mergeCell ref="L1175:N1175"/>
    <mergeCell ref="L1176:N1176"/>
    <mergeCell ref="L1177:N1177"/>
    <mergeCell ref="L1166:N1166"/>
    <mergeCell ref="L1167:N1167"/>
    <mergeCell ref="L1168:N1168"/>
    <mergeCell ref="L1169:N1169"/>
    <mergeCell ref="L1170:N1170"/>
    <mergeCell ref="L1171:N1171"/>
    <mergeCell ref="L1196:N1196"/>
    <mergeCell ref="L1197:N1197"/>
    <mergeCell ref="L1198:N1198"/>
    <mergeCell ref="L1199:N1199"/>
    <mergeCell ref="L1200:N1200"/>
    <mergeCell ref="L1190:N1190"/>
    <mergeCell ref="L1191:N1191"/>
    <mergeCell ref="L1192:N1192"/>
    <mergeCell ref="L1193:N1193"/>
    <mergeCell ref="L1194:N1194"/>
    <mergeCell ref="L1195:N1195"/>
    <mergeCell ref="L1184:N1184"/>
    <mergeCell ref="L1185:N1185"/>
    <mergeCell ref="L1186:N1186"/>
    <mergeCell ref="L1187:N1187"/>
    <mergeCell ref="L1188:N1188"/>
    <mergeCell ref="L1189:N1189"/>
  </mergeCells>
  <phoneticPr fontId="0" type="noConversion"/>
  <conditionalFormatting sqref="O10 M10">
    <cfRule type="expression" dxfId="2" priority="9" stopIfTrue="1">
      <formula>$O$8="Sin Gracia"</formula>
    </cfRule>
  </conditionalFormatting>
  <conditionalFormatting sqref="G14">
    <cfRule type="expression" dxfId="1" priority="7" stopIfTrue="1">
      <formula>$S$8="Fecha Variable"</formula>
    </cfRule>
  </conditionalFormatting>
  <conditionalFormatting sqref="F14">
    <cfRule type="expression" dxfId="0" priority="6" stopIfTrue="1">
      <formula>$S$8="Fecha Variable"</formula>
    </cfRule>
  </conditionalFormatting>
  <dataValidations count="11">
    <dataValidation type="whole" operator="lessThanOrEqual" allowBlank="1" showInputMessage="1" showErrorMessage="1" errorTitle="Importante" error="No puede ser igual o mayor que el Plazo del Prestamo." sqref="O10" xr:uid="{00000000-0002-0000-0000-000000000000}">
      <formula1>G10-1</formula1>
    </dataValidation>
    <dataValidation type="list" allowBlank="1" showInputMessage="1" showErrorMessage="1" sqref="D8:F8" xr:uid="{00000000-0002-0000-0000-000001000000}">
      <formula1>"Tasa Efectiva Mensual Fija,Tasa Efectiva Anual Fija"</formula1>
    </dataValidation>
    <dataValidation type="list" allowBlank="1" showInputMessage="1" showErrorMessage="1" sqref="H6" xr:uid="{00000000-0002-0000-0000-000002000000}">
      <formula1>"Soles,Dolares"</formula1>
    </dataValidation>
    <dataValidation type="list" showInputMessage="1" showErrorMessage="1" sqref="K8" xr:uid="{00000000-0002-0000-0000-000003000000}">
      <formula1>"Quincenal,Mensual,Trimestral"</formula1>
    </dataValidation>
    <dataValidation type="list" allowBlank="1" showInputMessage="1" showErrorMessage="1" sqref="M16" xr:uid="{00000000-0002-0000-0000-000004000000}">
      <formula1>"Si,No"</formula1>
    </dataValidation>
    <dataValidation type="list" allowBlank="1" showInputMessage="1" showErrorMessage="1" sqref="S8" xr:uid="{00000000-0002-0000-0000-000005000000}">
      <formula1>"Fecha Fija,Fecha Variable"</formula1>
    </dataValidation>
    <dataValidation type="list" allowBlank="1" showInputMessage="1" showErrorMessage="1" sqref="O8" xr:uid="{00000000-0002-0000-0000-000006000000}">
      <formula1>"Sin Gracia,Gracia Relativa,Gracia Absoluta"</formula1>
    </dataValidation>
    <dataValidation type="whole" allowBlank="1" showErrorMessage="1" errorTitle="Importante" error="Solo Ingresar valores entre 1 y 240" sqref="G10" xr:uid="{00000000-0002-0000-0000-000007000000}">
      <formula1>1</formula1>
      <formula2>240</formula2>
    </dataValidation>
    <dataValidation type="list" allowBlank="1" showDropDown="1" showInputMessage="1" showErrorMessage="1" errorTitle="Importante" error="No ingresar los siguientes valores:_x000a_15,16,28,29,30,31" sqref="G14" xr:uid="{00000000-0002-0000-0000-000008000000}">
      <formula1>"1,2,3,4,5,6,7,8,9,10,11,12,13,14,17,18,19,20,21,22,23,24,25,26,27"</formula1>
    </dataValidation>
    <dataValidation operator="equal" allowBlank="1" showInputMessage="1" showErrorMessage="1" errorTitle="Valor No permitido" error="Los plazos mayores a 120 meses solo esta permitido para Cred. Hipotecarios." sqref="CF16" xr:uid="{00000000-0002-0000-0000-000009000000}"/>
    <dataValidation type="custom" allowBlank="1" showDropDown="1" showInputMessage="1" showErrorMessage="1" errorTitle="Valor No permitido" error="Los plazos mayores a 120 meses, solo aplican para Cred. Hipotecarios." sqref="CF14" xr:uid="{00000000-0002-0000-0000-00000A000000}">
      <formula1>CF16=0</formula1>
    </dataValidation>
  </dataValidations>
  <pageMargins left="0.75" right="0.75" top="1" bottom="1" header="0" footer="0"/>
  <pageSetup paperSize="9" orientation="portrait" r:id="rId1"/>
  <headerFooter alignWithMargins="0"/>
  <ignoredErrors>
    <ignoredError sqref="O14:O16 V22:V25 U22:U25 P14:P16 P23:P25 W14:AA15 S17:T20 Q14:Q16 U17:U19 Q23:Q25 U14:U15 R14:R25 S14:T15 V14:V15 T25 AX31:BF32 AZ29 AV28:BE28 AV29:AY29 BA29:BE29 AJ23 AI25 AK25 AJ29:AK29 AN29:AO29 AQ29:AS29 W17:AA19 Z16:AA16 O23:O25 Q18 Q20:Q22 P17 O17:O18 M18:N18 P19:Q19 Q17 P18 V16:V20 N17 S22:T24 S21 W22:AA25 W20:Z20 W21:Z21 M22:N22 O22 P2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Check Box 34">
              <controlPr defaultSize="0" autoFill="0" autoLine="0" autoPict="0">
                <anchor moveWithCells="1">
                  <from>
                    <xdr:col>17</xdr:col>
                    <xdr:colOff>28575</xdr:colOff>
                    <xdr:row>15</xdr:row>
                    <xdr:rowOff>190500</xdr:rowOff>
                  </from>
                  <to>
                    <xdr:col>19</xdr:col>
                    <xdr:colOff>266700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Check Box 35">
              <controlPr defaultSize="0" autoFill="0" autoLine="0" autoPict="0">
                <anchor moveWithCells="1">
                  <from>
                    <xdr:col>17</xdr:col>
                    <xdr:colOff>28575</xdr:colOff>
                    <xdr:row>16</xdr:row>
                    <xdr:rowOff>200025</xdr:rowOff>
                  </from>
                  <to>
                    <xdr:col>19</xdr:col>
                    <xdr:colOff>266700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Check Box 36">
              <controlPr defaultSize="0" autoFill="0" autoLine="0" autoPict="0">
                <anchor moveWithCells="1">
                  <from>
                    <xdr:col>17</xdr:col>
                    <xdr:colOff>28575</xdr:colOff>
                    <xdr:row>18</xdr:row>
                    <xdr:rowOff>0</xdr:rowOff>
                  </from>
                  <to>
                    <xdr:col>19</xdr:col>
                    <xdr:colOff>266700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7" name="Check Box 723">
              <controlPr defaultSize="0" autoFill="0" autoLine="0" autoPict="0">
                <anchor moveWithCells="1">
                  <from>
                    <xdr:col>17</xdr:col>
                    <xdr:colOff>28575</xdr:colOff>
                    <xdr:row>14</xdr:row>
                    <xdr:rowOff>66675</xdr:rowOff>
                  </from>
                  <to>
                    <xdr:col>20</xdr:col>
                    <xdr:colOff>28575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8" name="Check Box 1071">
              <controlPr defaultSize="0" autoFill="0" autoLine="0" autoPict="0">
                <anchor moveWithCells="1">
                  <from>
                    <xdr:col>17</xdr:col>
                    <xdr:colOff>28575</xdr:colOff>
                    <xdr:row>20</xdr:row>
                    <xdr:rowOff>9525</xdr:rowOff>
                  </from>
                  <to>
                    <xdr:col>18</xdr:col>
                    <xdr:colOff>923925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9" name="Option Button 1212">
              <controlPr defaultSize="0" autoFill="0" autoLine="0" autoPict="0" macro="[0]!MULTI_RIESGO">
                <anchor moveWithCells="1">
                  <from>
                    <xdr:col>10</xdr:col>
                    <xdr:colOff>57150</xdr:colOff>
                    <xdr:row>17</xdr:row>
                    <xdr:rowOff>190500</xdr:rowOff>
                  </from>
                  <to>
                    <xdr:col>11</xdr:col>
                    <xdr:colOff>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0" name="Option Button 1213">
              <controlPr defaultSize="0" autoFill="0" autoLine="0" autoPict="0" macro="[0]!no_multi">
                <anchor moveWithCells="1">
                  <from>
                    <xdr:col>10</xdr:col>
                    <xdr:colOff>57150</xdr:colOff>
                    <xdr:row>20</xdr:row>
                    <xdr:rowOff>9525</xdr:rowOff>
                  </from>
                  <to>
                    <xdr:col>11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1254"/>
  <sheetViews>
    <sheetView topLeftCell="I1" zoomScale="95" zoomScaleNormal="95" workbookViewId="0">
      <selection activeCell="U7" sqref="U7"/>
    </sheetView>
  </sheetViews>
  <sheetFormatPr baseColWidth="10" defaultColWidth="11.42578125" defaultRowHeight="11.25"/>
  <cols>
    <col min="1" max="1" width="11.42578125" style="7"/>
    <col min="2" max="2" width="29.85546875" style="7" bestFit="1" customWidth="1"/>
    <col min="3" max="3" width="13.140625" style="8" customWidth="1"/>
    <col min="4" max="4" width="8.42578125" style="8" customWidth="1"/>
    <col min="5" max="5" width="11.42578125" style="8"/>
    <col min="6" max="6" width="7.42578125" style="8" customWidth="1"/>
    <col min="7" max="7" width="11.5703125" style="8" bestFit="1" customWidth="1"/>
    <col min="8" max="8" width="11.42578125" style="11"/>
    <col min="9" max="9" width="11.42578125" style="8"/>
    <col min="10" max="10" width="7.42578125" style="28" customWidth="1"/>
    <col min="11" max="11" width="16" style="22" customWidth="1"/>
    <col min="12" max="12" width="11.5703125" style="8" customWidth="1"/>
    <col min="13" max="13" width="17.140625" style="8" customWidth="1"/>
    <col min="14" max="15" width="11.42578125" style="8"/>
    <col min="16" max="16" width="8.42578125" style="8" customWidth="1"/>
    <col min="17" max="17" width="7.42578125" style="8" customWidth="1"/>
    <col min="18" max="18" width="8.140625" style="8" customWidth="1"/>
    <col min="19" max="19" width="11.42578125" style="8"/>
    <col min="20" max="20" width="12" style="8" bestFit="1" customWidth="1"/>
    <col min="21" max="21" width="15.42578125" style="8" customWidth="1"/>
    <col min="22" max="16384" width="11.42578125" style="8"/>
  </cols>
  <sheetData>
    <row r="1" spans="1:26">
      <c r="A1" s="13" t="s">
        <v>67</v>
      </c>
      <c r="B1" s="4"/>
      <c r="C1" s="14" t="s">
        <v>28</v>
      </c>
      <c r="F1" s="14" t="s">
        <v>28</v>
      </c>
      <c r="H1" s="8"/>
      <c r="J1" s="13"/>
      <c r="L1" s="14" t="s">
        <v>70</v>
      </c>
      <c r="P1" s="14" t="s">
        <v>70</v>
      </c>
      <c r="T1" s="14" t="s">
        <v>70</v>
      </c>
      <c r="X1" s="14" t="s">
        <v>70</v>
      </c>
      <c r="Y1" s="7"/>
      <c r="Z1" s="7"/>
    </row>
    <row r="2" spans="1:26">
      <c r="A2" s="5"/>
      <c r="B2" s="6"/>
      <c r="H2" s="8"/>
      <c r="L2" s="15" t="s">
        <v>72</v>
      </c>
      <c r="P2" s="15" t="s">
        <v>71</v>
      </c>
      <c r="T2" s="15" t="s">
        <v>72</v>
      </c>
      <c r="X2" s="15" t="s">
        <v>104</v>
      </c>
      <c r="Y2" s="7"/>
      <c r="Z2" s="7"/>
    </row>
    <row r="3" spans="1:26" ht="20.25" customHeight="1">
      <c r="A3" s="4" t="s">
        <v>48</v>
      </c>
      <c r="B3" s="4" t="s">
        <v>49</v>
      </c>
      <c r="C3" s="160" t="s">
        <v>99</v>
      </c>
      <c r="F3" s="4" t="s">
        <v>68</v>
      </c>
      <c r="G3" s="4" t="s">
        <v>69</v>
      </c>
      <c r="H3" s="4" t="s">
        <v>23</v>
      </c>
      <c r="J3" s="4"/>
      <c r="L3" s="4" t="s">
        <v>68</v>
      </c>
      <c r="M3" s="4" t="s">
        <v>69</v>
      </c>
      <c r="N3" s="4" t="s">
        <v>23</v>
      </c>
      <c r="P3" s="4" t="s">
        <v>68</v>
      </c>
      <c r="Q3" s="4" t="s">
        <v>69</v>
      </c>
      <c r="R3" s="4" t="s">
        <v>23</v>
      </c>
      <c r="T3" s="4" t="s">
        <v>68</v>
      </c>
      <c r="U3" s="4" t="s">
        <v>69</v>
      </c>
      <c r="V3" s="4" t="s">
        <v>23</v>
      </c>
      <c r="X3" s="4" t="s">
        <v>100</v>
      </c>
      <c r="Y3" s="4" t="s">
        <v>105</v>
      </c>
      <c r="Z3" s="4" t="s">
        <v>106</v>
      </c>
    </row>
    <row r="4" spans="1:26">
      <c r="A4" s="5">
        <v>35796</v>
      </c>
      <c r="B4" s="6" t="s">
        <v>50</v>
      </c>
      <c r="C4" s="10">
        <v>4.3478000000000001E-4</v>
      </c>
      <c r="D4" s="9">
        <v>1.25</v>
      </c>
      <c r="F4" s="16">
        <v>6</v>
      </c>
      <c r="G4" s="17">
        <v>0</v>
      </c>
      <c r="H4" s="10">
        <v>2.9328008041029871E-3</v>
      </c>
      <c r="I4" s="10"/>
      <c r="L4" s="16">
        <v>0</v>
      </c>
      <c r="M4" s="16">
        <v>1000</v>
      </c>
      <c r="N4" s="12">
        <v>1.58E-3</v>
      </c>
      <c r="P4" s="16">
        <v>0</v>
      </c>
      <c r="Q4" s="16">
        <v>6</v>
      </c>
      <c r="R4" s="12">
        <v>6.1419999999999999E-3</v>
      </c>
      <c r="S4" s="12"/>
      <c r="T4" s="16">
        <v>0</v>
      </c>
      <c r="U4" s="16">
        <v>3000</v>
      </c>
      <c r="V4" s="157">
        <v>1.289E-3</v>
      </c>
      <c r="X4" s="16" t="s">
        <v>107</v>
      </c>
      <c r="Y4" s="16">
        <v>6</v>
      </c>
      <c r="Z4" s="16">
        <v>4</v>
      </c>
    </row>
    <row r="5" spans="1:26">
      <c r="A5" s="5">
        <v>35894</v>
      </c>
      <c r="B5" s="6" t="s">
        <v>51</v>
      </c>
      <c r="C5" s="156"/>
      <c r="D5" s="9">
        <f>MAX($I$4:$I$23)</f>
        <v>0</v>
      </c>
      <c r="F5" s="16">
        <v>12</v>
      </c>
      <c r="G5" s="17">
        <v>6.0000010000000001</v>
      </c>
      <c r="H5" s="10">
        <v>6.3460611839901027E-3</v>
      </c>
      <c r="I5" s="10"/>
      <c r="J5" s="29"/>
      <c r="L5" s="16">
        <v>1000.001</v>
      </c>
      <c r="M5" s="16">
        <v>3000</v>
      </c>
      <c r="N5" s="12">
        <v>1.0399999999999999E-3</v>
      </c>
      <c r="P5" s="16">
        <v>7</v>
      </c>
      <c r="Q5" s="16">
        <v>12</v>
      </c>
      <c r="R5" s="12">
        <v>1.2319999999999999E-2</v>
      </c>
      <c r="S5" s="12"/>
      <c r="T5" s="16">
        <v>3000.0010000000002</v>
      </c>
      <c r="U5" s="16">
        <v>10000</v>
      </c>
      <c r="V5" s="157">
        <v>1.289E-3</v>
      </c>
      <c r="X5" s="16" t="s">
        <v>108</v>
      </c>
      <c r="Y5" s="16">
        <v>10</v>
      </c>
      <c r="Z5" s="16">
        <v>7</v>
      </c>
    </row>
    <row r="6" spans="1:26">
      <c r="A6" s="5">
        <v>35895</v>
      </c>
      <c r="B6" s="6" t="s">
        <v>52</v>
      </c>
      <c r="D6" s="9">
        <f>MIN($I$4:$I$23)</f>
        <v>0</v>
      </c>
      <c r="F6" s="16">
        <v>18</v>
      </c>
      <c r="G6" s="17">
        <v>12.000000999999999</v>
      </c>
      <c r="H6" s="10">
        <v>9.4908677611401787E-3</v>
      </c>
      <c r="I6" s="10"/>
      <c r="J6" s="29"/>
      <c r="L6" s="16"/>
      <c r="M6" s="16"/>
      <c r="N6" s="12"/>
      <c r="P6" s="16">
        <v>13</v>
      </c>
      <c r="Q6" s="16">
        <v>18</v>
      </c>
      <c r="R6" s="12">
        <v>1.6367E-2</v>
      </c>
      <c r="S6" s="12"/>
      <c r="T6" s="16">
        <v>10001</v>
      </c>
      <c r="U6" s="16">
        <v>24000</v>
      </c>
      <c r="V6" s="157">
        <v>9.3800000000000003E-4</v>
      </c>
    </row>
    <row r="7" spans="1:26">
      <c r="A7" s="5">
        <v>35916</v>
      </c>
      <c r="B7" s="6" t="s">
        <v>53</v>
      </c>
      <c r="F7" s="16">
        <v>24</v>
      </c>
      <c r="G7" s="17">
        <v>18.000001000000001</v>
      </c>
      <c r="H7" s="10">
        <v>1.2617220174737768E-2</v>
      </c>
      <c r="I7" s="10"/>
      <c r="J7" s="29"/>
      <c r="L7" s="16"/>
      <c r="M7" s="16"/>
      <c r="N7" s="12"/>
      <c r="P7" s="16">
        <v>19</v>
      </c>
      <c r="Q7" s="16">
        <v>24</v>
      </c>
      <c r="R7" s="12">
        <v>2.1492000000000001E-2</v>
      </c>
      <c r="S7" s="12"/>
      <c r="T7" s="16">
        <v>24001</v>
      </c>
      <c r="U7" s="16">
        <v>150000</v>
      </c>
      <c r="V7" s="157">
        <v>9.3800000000000003E-4</v>
      </c>
    </row>
    <row r="8" spans="1:26">
      <c r="A8" s="5">
        <v>35975</v>
      </c>
      <c r="B8" s="6" t="s">
        <v>54</v>
      </c>
      <c r="F8" s="16">
        <v>30</v>
      </c>
      <c r="G8" s="17">
        <v>24.000001000000001</v>
      </c>
      <c r="H8" s="10">
        <v>1.5726203963815365E-2</v>
      </c>
      <c r="I8" s="10"/>
      <c r="J8" s="29"/>
      <c r="P8" s="16">
        <v>25</v>
      </c>
      <c r="Q8" s="16">
        <v>30</v>
      </c>
      <c r="R8" s="12">
        <v>2.3304999999999999E-2</v>
      </c>
      <c r="S8" s="12"/>
      <c r="T8" s="16">
        <v>150001</v>
      </c>
      <c r="U8" s="16">
        <v>200000</v>
      </c>
      <c r="V8" s="157">
        <v>7.7399999999999995E-4</v>
      </c>
    </row>
    <row r="9" spans="1:26">
      <c r="A9" s="5">
        <v>36004</v>
      </c>
      <c r="B9" s="6" t="s">
        <v>55</v>
      </c>
      <c r="F9" s="16">
        <v>36</v>
      </c>
      <c r="G9" s="17">
        <v>30.000001000000001</v>
      </c>
      <c r="H9" s="10">
        <v>1.8816733589340478E-2</v>
      </c>
      <c r="I9" s="10"/>
      <c r="J9" s="29"/>
      <c r="P9" s="16">
        <v>31</v>
      </c>
      <c r="Q9" s="16">
        <v>36</v>
      </c>
      <c r="R9" s="12">
        <v>2.555E-2</v>
      </c>
      <c r="S9" s="12"/>
      <c r="T9" s="16">
        <v>200001</v>
      </c>
      <c r="U9" s="16">
        <v>21000000</v>
      </c>
      <c r="V9" s="157">
        <v>7.7399999999999995E-4</v>
      </c>
    </row>
    <row r="10" spans="1:26">
      <c r="A10" s="5">
        <v>36005</v>
      </c>
      <c r="B10" s="6" t="s">
        <v>55</v>
      </c>
      <c r="F10" s="16">
        <v>42</v>
      </c>
      <c r="G10" s="17">
        <v>36.000000999999997</v>
      </c>
      <c r="H10" s="10">
        <v>2.1889894590345613E-2</v>
      </c>
      <c r="I10" s="10"/>
      <c r="J10" s="29"/>
      <c r="K10" s="8"/>
      <c r="P10" s="16">
        <v>37</v>
      </c>
      <c r="Q10" s="16">
        <v>42</v>
      </c>
      <c r="R10" s="12">
        <v>2.7702000000000001E-2</v>
      </c>
      <c r="S10" s="12"/>
      <c r="T10" s="16">
        <v>2100000001</v>
      </c>
      <c r="U10" s="16">
        <v>1000000000000</v>
      </c>
      <c r="V10" s="157">
        <v>7.7399999999999995E-4</v>
      </c>
    </row>
    <row r="11" spans="1:26">
      <c r="A11" s="5">
        <v>36037</v>
      </c>
      <c r="B11" s="6" t="s">
        <v>56</v>
      </c>
      <c r="F11" s="16">
        <v>48</v>
      </c>
      <c r="G11" s="17">
        <v>42.000000999999997</v>
      </c>
      <c r="H11" s="10">
        <v>2.4945686966830753E-2</v>
      </c>
      <c r="I11" s="10"/>
      <c r="J11" s="29"/>
      <c r="K11" s="22" t="s">
        <v>79</v>
      </c>
      <c r="L11" s="26">
        <f>Cronograma!O14</f>
        <v>-0.85</v>
      </c>
      <c r="P11" s="16">
        <v>43</v>
      </c>
      <c r="Q11" s="16">
        <v>48</v>
      </c>
      <c r="R11" s="12">
        <v>3.1913999999999998E-2</v>
      </c>
      <c r="S11" s="12"/>
      <c r="T11" s="156"/>
    </row>
    <row r="12" spans="1:26">
      <c r="A12" s="5">
        <v>36076</v>
      </c>
      <c r="B12" s="6" t="s">
        <v>57</v>
      </c>
      <c r="F12" s="16">
        <v>54</v>
      </c>
      <c r="G12" s="17">
        <v>48.000000999999997</v>
      </c>
      <c r="H12" s="10">
        <v>2.7983025179763407E-2</v>
      </c>
      <c r="I12" s="10"/>
      <c r="J12" s="29"/>
      <c r="K12" s="22" t="s">
        <v>73</v>
      </c>
      <c r="L12" s="21">
        <f>Cronograma!G6</f>
        <v>-18000.003333333334</v>
      </c>
      <c r="P12" s="16">
        <v>49</v>
      </c>
      <c r="Q12" s="16">
        <v>54</v>
      </c>
      <c r="R12" s="12">
        <v>3.4620999999999999E-2</v>
      </c>
      <c r="S12" s="12"/>
      <c r="T12" s="156"/>
    </row>
    <row r="13" spans="1:26">
      <c r="A13" s="5">
        <v>36100</v>
      </c>
      <c r="B13" s="6" t="s">
        <v>58</v>
      </c>
      <c r="F13" s="16">
        <v>60</v>
      </c>
      <c r="G13" s="17">
        <v>54.000000999999997</v>
      </c>
      <c r="H13" s="10">
        <v>3.1002994768176077E-2</v>
      </c>
      <c r="I13" s="10"/>
      <c r="J13" s="29"/>
      <c r="K13" s="8" t="s">
        <v>80</v>
      </c>
      <c r="L13" s="27">
        <f>IF(Cronograma!M16="No",0,Cronograma!CE31)</f>
        <v>0</v>
      </c>
      <c r="P13" s="16">
        <v>55</v>
      </c>
      <c r="Q13" s="16">
        <v>60</v>
      </c>
      <c r="R13" s="12">
        <v>3.8656999999999997E-2</v>
      </c>
      <c r="S13" s="12"/>
      <c r="T13" s="156"/>
    </row>
    <row r="14" spans="1:26">
      <c r="A14" s="5">
        <v>36137</v>
      </c>
      <c r="B14" s="6" t="s">
        <v>59</v>
      </c>
      <c r="F14" s="16">
        <v>66</v>
      </c>
      <c r="G14" s="17">
        <v>60.000000999999997</v>
      </c>
      <c r="H14" s="10">
        <v>3.4006681271101263E-2</v>
      </c>
      <c r="I14" s="10"/>
      <c r="J14" s="29"/>
      <c r="L14" s="20" t="e">
        <f>IF(L12="",0,VLOOKUP(L12,$T$4:$V$11,3,1))</f>
        <v>#N/A</v>
      </c>
      <c r="P14" s="16">
        <v>61</v>
      </c>
      <c r="Q14" s="16">
        <v>66</v>
      </c>
      <c r="R14" s="12">
        <v>4.0962999999999999E-2</v>
      </c>
      <c r="S14" s="12"/>
      <c r="T14" s="156"/>
    </row>
    <row r="15" spans="1:26">
      <c r="A15" s="5">
        <v>36153</v>
      </c>
      <c r="B15" s="6" t="s">
        <v>60</v>
      </c>
      <c r="F15" s="16">
        <v>72</v>
      </c>
      <c r="G15" s="17">
        <v>66.000000999999997</v>
      </c>
      <c r="H15" s="10">
        <v>3.6992999149506454E-2</v>
      </c>
      <c r="I15" s="10"/>
      <c r="J15" s="29"/>
      <c r="K15" s="22" t="s">
        <v>74</v>
      </c>
      <c r="L15" s="21">
        <f>Cronograma!G10</f>
        <v>36</v>
      </c>
      <c r="P15" s="16">
        <v>67</v>
      </c>
      <c r="Q15" s="16">
        <v>72</v>
      </c>
      <c r="R15" s="12">
        <v>4.1399999999999999E-2</v>
      </c>
      <c r="S15" s="12"/>
      <c r="T15" s="156"/>
    </row>
    <row r="16" spans="1:26">
      <c r="A16" s="5">
        <v>36154</v>
      </c>
      <c r="B16" s="6" t="s">
        <v>60</v>
      </c>
      <c r="F16" s="16">
        <v>78</v>
      </c>
      <c r="G16" s="17">
        <v>72.000000999999997</v>
      </c>
      <c r="H16" s="10">
        <v>3.9961948403391664E-2</v>
      </c>
      <c r="I16" s="10"/>
      <c r="J16" s="29" t="s">
        <v>81</v>
      </c>
      <c r="K16" s="25" t="s">
        <v>77</v>
      </c>
      <c r="L16" s="169" t="e">
        <f>L12*L14*L15</f>
        <v>#N/A</v>
      </c>
      <c r="M16" s="8" t="b">
        <v>0</v>
      </c>
      <c r="N16" s="173" t="e">
        <f>L16</f>
        <v>#N/A</v>
      </c>
      <c r="P16" s="16">
        <v>73</v>
      </c>
      <c r="Q16" s="16">
        <v>78</v>
      </c>
      <c r="R16" s="12">
        <v>4.2363999999999999E-2</v>
      </c>
      <c r="S16" s="12"/>
      <c r="T16" s="156"/>
    </row>
    <row r="17" spans="1:19">
      <c r="A17" s="5">
        <v>36161</v>
      </c>
      <c r="B17" s="6" t="s">
        <v>50</v>
      </c>
      <c r="F17" s="16">
        <v>84</v>
      </c>
      <c r="G17" s="17">
        <v>78.000000999999997</v>
      </c>
      <c r="H17" s="10">
        <v>4.291461457178939E-2</v>
      </c>
      <c r="I17" s="10"/>
      <c r="J17" s="29"/>
      <c r="K17" s="8"/>
      <c r="P17" s="16">
        <v>79</v>
      </c>
      <c r="Q17" s="16">
        <v>84</v>
      </c>
      <c r="R17" s="12">
        <v>4.2382999999999997E-2</v>
      </c>
      <c r="S17" s="12"/>
    </row>
    <row r="18" spans="1:19">
      <c r="A18" s="5">
        <v>36251</v>
      </c>
      <c r="B18" s="6" t="s">
        <v>51</v>
      </c>
      <c r="F18" s="16">
        <v>90</v>
      </c>
      <c r="G18" s="17">
        <v>84.000000999999997</v>
      </c>
      <c r="H18" s="10">
        <v>4.5849912115667121E-2</v>
      </c>
      <c r="I18" s="10"/>
      <c r="J18" s="29"/>
      <c r="P18" s="16">
        <v>85</v>
      </c>
      <c r="Q18" s="16">
        <v>90</v>
      </c>
      <c r="R18" s="12">
        <v>4.3354999999999998E-2</v>
      </c>
      <c r="S18" s="12"/>
    </row>
    <row r="19" spans="1:19">
      <c r="A19" s="5">
        <v>36252</v>
      </c>
      <c r="B19" s="6" t="s">
        <v>52</v>
      </c>
      <c r="F19" s="16">
        <v>96</v>
      </c>
      <c r="G19" s="17">
        <v>90.000000999999997</v>
      </c>
      <c r="H19" s="10">
        <v>4.8770012113089872E-2</v>
      </c>
      <c r="I19" s="10"/>
      <c r="J19" s="29"/>
      <c r="K19" s="22" t="s">
        <v>76</v>
      </c>
      <c r="L19" s="23">
        <v>4</v>
      </c>
      <c r="P19" s="16">
        <v>91</v>
      </c>
      <c r="Q19" s="16">
        <v>96</v>
      </c>
      <c r="R19" s="12">
        <v>4.6344999999999997E-2</v>
      </c>
      <c r="S19" s="12"/>
    </row>
    <row r="20" spans="1:19">
      <c r="A20" s="5">
        <v>36281</v>
      </c>
      <c r="B20" s="6" t="s">
        <v>53</v>
      </c>
      <c r="F20" s="16">
        <v>120</v>
      </c>
      <c r="G20" s="17">
        <v>96.000000999999997</v>
      </c>
      <c r="H20" s="10">
        <v>6.0285410169840986E-2</v>
      </c>
      <c r="I20" s="10"/>
      <c r="J20" s="29" t="s">
        <v>82</v>
      </c>
      <c r="K20" s="25" t="s">
        <v>78</v>
      </c>
      <c r="L20" s="24">
        <f>L15*L19*(Cronograma!CH23-1)</f>
        <v>144</v>
      </c>
      <c r="M20" s="8" t="b">
        <v>0</v>
      </c>
      <c r="N20" s="173">
        <f>L20</f>
        <v>144</v>
      </c>
      <c r="P20" s="16">
        <v>97</v>
      </c>
      <c r="Q20" s="16">
        <v>102</v>
      </c>
      <c r="R20" s="12">
        <v>4.9334999999999997E-2</v>
      </c>
      <c r="S20" s="12"/>
    </row>
    <row r="21" spans="1:19">
      <c r="A21" s="5">
        <v>36340</v>
      </c>
      <c r="B21" s="6" t="s">
        <v>54</v>
      </c>
      <c r="F21" s="16">
        <v>144</v>
      </c>
      <c r="G21" s="17">
        <v>120.000001</v>
      </c>
      <c r="H21" s="10">
        <v>7.154679209298731E-2</v>
      </c>
      <c r="I21" s="10"/>
      <c r="J21" s="29"/>
      <c r="K21" s="8"/>
      <c r="P21" s="16">
        <v>103</v>
      </c>
      <c r="Q21" s="16">
        <v>108</v>
      </c>
      <c r="R21" s="12">
        <v>5.2209999999999999E-2</v>
      </c>
      <c r="S21" s="12"/>
    </row>
    <row r="22" spans="1:19">
      <c r="A22" s="5">
        <v>36369</v>
      </c>
      <c r="B22" s="6" t="s">
        <v>55</v>
      </c>
      <c r="F22" s="16">
        <v>168</v>
      </c>
      <c r="G22" s="17">
        <v>144.000001</v>
      </c>
      <c r="H22" s="10">
        <v>8.2565013272853788E-2</v>
      </c>
      <c r="I22" s="10"/>
      <c r="J22" s="29"/>
      <c r="K22" s="8"/>
      <c r="P22" s="16">
        <v>109</v>
      </c>
      <c r="Q22" s="16">
        <v>114</v>
      </c>
      <c r="R22" s="12">
        <v>5.5199999999999999E-2</v>
      </c>
      <c r="S22" s="12"/>
    </row>
    <row r="23" spans="1:19">
      <c r="A23" s="5">
        <v>36370</v>
      </c>
      <c r="B23" s="6" t="s">
        <v>55</v>
      </c>
      <c r="F23" s="16">
        <v>180</v>
      </c>
      <c r="G23" s="17">
        <v>168.000001</v>
      </c>
      <c r="H23" s="10">
        <v>8.7984024123089616E-2</v>
      </c>
      <c r="I23" s="10"/>
      <c r="K23" s="25" t="s">
        <v>93</v>
      </c>
      <c r="L23" s="23">
        <v>5.5</v>
      </c>
      <c r="P23" s="16">
        <v>115</v>
      </c>
      <c r="Q23" s="16">
        <v>120</v>
      </c>
      <c r="R23" s="12">
        <v>5.8189999999999999E-2</v>
      </c>
      <c r="S23" s="12"/>
    </row>
    <row r="24" spans="1:19">
      <c r="A24" s="5">
        <v>36402</v>
      </c>
      <c r="B24" s="6" t="s">
        <v>56</v>
      </c>
      <c r="F24" s="16">
        <v>190</v>
      </c>
      <c r="G24" s="17">
        <v>180.000001</v>
      </c>
      <c r="H24" s="11">
        <v>9.2999999999999999E-2</v>
      </c>
      <c r="J24" s="28" t="s">
        <v>92</v>
      </c>
      <c r="K24" s="25" t="s">
        <v>78</v>
      </c>
      <c r="L24" s="24">
        <f>L15*L23</f>
        <v>198</v>
      </c>
      <c r="M24" s="8" t="b">
        <v>0</v>
      </c>
      <c r="N24" s="173">
        <f>L24</f>
        <v>198</v>
      </c>
      <c r="P24" s="18"/>
      <c r="Q24" s="18"/>
      <c r="R24" s="18"/>
    </row>
    <row r="25" spans="1:19">
      <c r="A25" s="5">
        <v>36441</v>
      </c>
      <c r="B25" s="6" t="s">
        <v>57</v>
      </c>
      <c r="F25" s="16">
        <v>196</v>
      </c>
      <c r="G25" s="17">
        <v>190.000001</v>
      </c>
      <c r="H25" s="11">
        <v>0.1</v>
      </c>
      <c r="J25" s="29"/>
      <c r="K25" s="8"/>
      <c r="P25" s="18"/>
      <c r="Q25" s="18"/>
      <c r="R25" s="18"/>
    </row>
    <row r="26" spans="1:19">
      <c r="A26" s="5">
        <v>36465</v>
      </c>
      <c r="B26" s="6" t="s">
        <v>58</v>
      </c>
      <c r="F26" s="16">
        <v>216</v>
      </c>
      <c r="G26" s="17">
        <v>196.000001</v>
      </c>
      <c r="H26" s="11">
        <v>0.106</v>
      </c>
      <c r="J26" s="29"/>
      <c r="K26" s="8"/>
      <c r="P26" s="18"/>
      <c r="Q26" s="18"/>
      <c r="R26" s="18"/>
    </row>
    <row r="27" spans="1:19">
      <c r="A27" s="5">
        <v>36502</v>
      </c>
      <c r="B27" s="6" t="s">
        <v>59</v>
      </c>
      <c r="F27" s="16">
        <v>228</v>
      </c>
      <c r="G27" s="17">
        <v>216.000001</v>
      </c>
      <c r="H27" s="11">
        <v>0.111</v>
      </c>
      <c r="J27" s="170"/>
      <c r="K27" s="25" t="s">
        <v>100</v>
      </c>
      <c r="L27" s="30" t="str">
        <f>Cronograma!T21</f>
        <v>P1</v>
      </c>
      <c r="M27" s="7"/>
      <c r="N27" s="7"/>
      <c r="P27" s="18"/>
      <c r="Q27" s="18"/>
      <c r="R27" s="18"/>
    </row>
    <row r="28" spans="1:19">
      <c r="A28" s="5">
        <v>36519</v>
      </c>
      <c r="B28" s="6" t="s">
        <v>60</v>
      </c>
      <c r="F28" s="16">
        <v>240</v>
      </c>
      <c r="G28" s="17">
        <v>228.000001</v>
      </c>
      <c r="H28" s="11">
        <v>0.11700000000000001</v>
      </c>
      <c r="J28" s="170"/>
      <c r="K28" s="171" t="s">
        <v>101</v>
      </c>
      <c r="L28" s="172">
        <f>Cronograma!U21</f>
        <v>0</v>
      </c>
      <c r="M28" s="7"/>
      <c r="N28" s="7"/>
      <c r="P28" s="18"/>
      <c r="Q28" s="18"/>
      <c r="R28" s="18"/>
    </row>
    <row r="29" spans="1:19">
      <c r="A29" s="5">
        <v>36526</v>
      </c>
      <c r="B29" s="6" t="s">
        <v>50</v>
      </c>
      <c r="F29" s="16">
        <v>240</v>
      </c>
      <c r="G29" s="17">
        <v>240</v>
      </c>
      <c r="H29" s="11">
        <v>0.11700000000000001</v>
      </c>
      <c r="J29" s="170" t="s">
        <v>102</v>
      </c>
      <c r="K29" s="25" t="s">
        <v>103</v>
      </c>
      <c r="L29" s="169">
        <f>(VLOOKUP(L27,$X$4:$Z$5,2,0)+L28*VLOOKUP(L27,$X$4:$Z$5,3,0))*L15</f>
        <v>216</v>
      </c>
      <c r="M29" s="7" t="b">
        <v>0</v>
      </c>
      <c r="N29" s="173">
        <f>L29</f>
        <v>216</v>
      </c>
      <c r="P29" s="18"/>
      <c r="Q29" s="18"/>
      <c r="R29" s="18"/>
    </row>
    <row r="30" spans="1:19">
      <c r="A30" s="5">
        <v>36636</v>
      </c>
      <c r="B30" s="6" t="s">
        <v>51</v>
      </c>
      <c r="F30" s="16"/>
      <c r="G30" s="17"/>
      <c r="P30" s="18"/>
      <c r="Q30" s="18"/>
      <c r="R30" s="18"/>
    </row>
    <row r="31" spans="1:19">
      <c r="A31" s="5">
        <v>36637</v>
      </c>
      <c r="B31" s="6" t="s">
        <v>52</v>
      </c>
      <c r="F31" s="16"/>
      <c r="G31" s="17"/>
      <c r="P31" s="18"/>
      <c r="Q31" s="18"/>
      <c r="R31" s="18"/>
    </row>
    <row r="32" spans="1:19">
      <c r="A32" s="5">
        <v>36647</v>
      </c>
      <c r="B32" s="6" t="s">
        <v>53</v>
      </c>
      <c r="F32" s="16"/>
      <c r="G32" s="17"/>
      <c r="J32" s="29"/>
      <c r="L32" s="20">
        <f>IF(L15="",0,VLOOKUP(L15,$P$1:$R$72,3,1))</f>
        <v>2.555E-2</v>
      </c>
      <c r="P32" s="18"/>
      <c r="Q32" s="18"/>
      <c r="R32" s="18"/>
    </row>
    <row r="33" spans="1:18">
      <c r="A33" s="5">
        <v>36706</v>
      </c>
      <c r="B33" s="6" t="s">
        <v>54</v>
      </c>
      <c r="F33" s="16"/>
      <c r="G33" s="17"/>
      <c r="J33" s="28" t="s">
        <v>83</v>
      </c>
      <c r="K33" s="25" t="s">
        <v>75</v>
      </c>
      <c r="L33" s="143">
        <f>ROUND((L11+L12+L36)*L32/(1-L32-L13),2)</f>
        <v>-471.98</v>
      </c>
      <c r="M33" s="8" t="b">
        <v>0</v>
      </c>
      <c r="P33" s="18"/>
      <c r="Q33" s="18"/>
      <c r="R33" s="18"/>
    </row>
    <row r="34" spans="1:18">
      <c r="A34" s="5">
        <v>36735</v>
      </c>
      <c r="B34" s="6" t="s">
        <v>55</v>
      </c>
      <c r="F34" s="19"/>
      <c r="G34" s="17"/>
      <c r="P34" s="18"/>
      <c r="Q34" s="18"/>
      <c r="R34" s="18"/>
    </row>
    <row r="35" spans="1:18">
      <c r="A35" s="5">
        <v>36736</v>
      </c>
      <c r="B35" s="6" t="s">
        <v>55</v>
      </c>
      <c r="P35" s="18"/>
      <c r="Q35" s="18"/>
      <c r="R35" s="18"/>
    </row>
    <row r="36" spans="1:18">
      <c r="A36" s="5">
        <v>36768</v>
      </c>
      <c r="B36" s="6" t="s">
        <v>56</v>
      </c>
      <c r="K36" s="30"/>
      <c r="L36" s="174">
        <f>SUMIF(M16:M29,L37,N16:N29)</f>
        <v>0</v>
      </c>
      <c r="P36" s="18"/>
      <c r="Q36" s="18"/>
      <c r="R36" s="18"/>
    </row>
    <row r="37" spans="1:18">
      <c r="A37" s="5">
        <v>36807</v>
      </c>
      <c r="B37" s="6" t="s">
        <v>57</v>
      </c>
      <c r="L37" s="8" t="b">
        <v>1</v>
      </c>
      <c r="P37" s="18"/>
      <c r="Q37" s="18"/>
      <c r="R37" s="18"/>
    </row>
    <row r="38" spans="1:18">
      <c r="A38" s="5">
        <v>36831</v>
      </c>
      <c r="B38" s="6" t="s">
        <v>58</v>
      </c>
      <c r="P38" s="18"/>
      <c r="Q38" s="18"/>
      <c r="R38" s="18"/>
    </row>
    <row r="39" spans="1:18">
      <c r="A39" s="5">
        <v>36868</v>
      </c>
      <c r="B39" s="6" t="s">
        <v>59</v>
      </c>
      <c r="P39" s="18"/>
      <c r="Q39" s="18"/>
      <c r="R39" s="18"/>
    </row>
    <row r="40" spans="1:18">
      <c r="A40" s="5">
        <v>36885</v>
      </c>
      <c r="B40" s="6" t="s">
        <v>60</v>
      </c>
      <c r="P40" s="18"/>
      <c r="Q40" s="18"/>
      <c r="R40" s="18"/>
    </row>
    <row r="41" spans="1:18">
      <c r="A41" s="5">
        <v>36892</v>
      </c>
      <c r="B41" s="6" t="s">
        <v>50</v>
      </c>
      <c r="P41" s="18"/>
      <c r="Q41" s="18"/>
      <c r="R41" s="18"/>
    </row>
    <row r="42" spans="1:18">
      <c r="A42" s="5">
        <v>36993</v>
      </c>
      <c r="B42" s="6" t="s">
        <v>51</v>
      </c>
      <c r="P42" s="18"/>
      <c r="Q42" s="18"/>
      <c r="R42" s="18"/>
    </row>
    <row r="43" spans="1:18">
      <c r="A43" s="5">
        <v>36994</v>
      </c>
      <c r="B43" s="6" t="s">
        <v>52</v>
      </c>
      <c r="P43" s="18"/>
      <c r="Q43" s="18"/>
      <c r="R43" s="18"/>
    </row>
    <row r="44" spans="1:18">
      <c r="A44" s="5">
        <v>36995</v>
      </c>
      <c r="B44" s="6" t="s">
        <v>61</v>
      </c>
      <c r="P44" s="18"/>
      <c r="Q44" s="18"/>
      <c r="R44" s="18"/>
    </row>
    <row r="45" spans="1:18">
      <c r="A45" s="5">
        <v>37012</v>
      </c>
      <c r="B45" s="6" t="s">
        <v>53</v>
      </c>
      <c r="P45" s="18"/>
      <c r="Q45" s="18"/>
      <c r="R45" s="18"/>
    </row>
    <row r="46" spans="1:18">
      <c r="A46" s="5">
        <v>37071</v>
      </c>
      <c r="B46" s="6" t="s">
        <v>54</v>
      </c>
      <c r="P46" s="18"/>
      <c r="Q46" s="18"/>
      <c r="R46" s="18"/>
    </row>
    <row r="47" spans="1:18">
      <c r="A47" s="5">
        <v>37100</v>
      </c>
      <c r="B47" s="6" t="s">
        <v>55</v>
      </c>
      <c r="P47" s="18"/>
      <c r="Q47" s="18"/>
      <c r="R47" s="18"/>
    </row>
    <row r="48" spans="1:18">
      <c r="A48" s="5">
        <v>37101</v>
      </c>
      <c r="B48" s="6" t="s">
        <v>55</v>
      </c>
      <c r="P48" s="18"/>
      <c r="Q48" s="18"/>
      <c r="R48" s="18"/>
    </row>
    <row r="49" spans="1:2">
      <c r="A49" s="5">
        <v>37133</v>
      </c>
      <c r="B49" s="6" t="s">
        <v>56</v>
      </c>
    </row>
    <row r="50" spans="1:2">
      <c r="A50" s="5">
        <v>37172</v>
      </c>
      <c r="B50" s="6" t="s">
        <v>57</v>
      </c>
    </row>
    <row r="51" spans="1:2">
      <c r="A51" s="5">
        <v>37196</v>
      </c>
      <c r="B51" s="6" t="s">
        <v>58</v>
      </c>
    </row>
    <row r="52" spans="1:2">
      <c r="A52" s="5">
        <v>37233</v>
      </c>
      <c r="B52" s="6" t="s">
        <v>59</v>
      </c>
    </row>
    <row r="53" spans="1:2">
      <c r="A53" s="5">
        <v>37250</v>
      </c>
      <c r="B53" s="6" t="s">
        <v>60</v>
      </c>
    </row>
    <row r="54" spans="1:2">
      <c r="A54" s="5">
        <v>37257</v>
      </c>
      <c r="B54" s="6" t="s">
        <v>50</v>
      </c>
    </row>
    <row r="55" spans="1:2">
      <c r="A55" s="5">
        <v>37343</v>
      </c>
      <c r="B55" s="6" t="s">
        <v>51</v>
      </c>
    </row>
    <row r="56" spans="1:2">
      <c r="A56" s="5">
        <v>37344</v>
      </c>
      <c r="B56" s="6" t="s">
        <v>52</v>
      </c>
    </row>
    <row r="57" spans="1:2">
      <c r="A57" s="5">
        <v>37377</v>
      </c>
      <c r="B57" s="6" t="s">
        <v>53</v>
      </c>
    </row>
    <row r="58" spans="1:2">
      <c r="A58" s="5">
        <v>37436</v>
      </c>
      <c r="B58" s="6" t="s">
        <v>54</v>
      </c>
    </row>
    <row r="59" spans="1:2">
      <c r="A59" s="5">
        <v>37465</v>
      </c>
      <c r="B59" s="6" t="s">
        <v>55</v>
      </c>
    </row>
    <row r="60" spans="1:2">
      <c r="A60" s="5">
        <v>37466</v>
      </c>
      <c r="B60" s="6" t="s">
        <v>55</v>
      </c>
    </row>
    <row r="61" spans="1:2">
      <c r="A61" s="5">
        <v>37498</v>
      </c>
      <c r="B61" s="6" t="s">
        <v>56</v>
      </c>
    </row>
    <row r="62" spans="1:2">
      <c r="A62" s="5">
        <v>37537</v>
      </c>
      <c r="B62" s="6" t="s">
        <v>57</v>
      </c>
    </row>
    <row r="63" spans="1:2">
      <c r="A63" s="5">
        <v>37561</v>
      </c>
      <c r="B63" s="6" t="s">
        <v>58</v>
      </c>
    </row>
    <row r="64" spans="1:2">
      <c r="A64" s="5">
        <v>37598</v>
      </c>
      <c r="B64" s="6" t="s">
        <v>59</v>
      </c>
    </row>
    <row r="65" spans="1:2">
      <c r="A65" s="5">
        <v>37615</v>
      </c>
      <c r="B65" s="6" t="s">
        <v>60</v>
      </c>
    </row>
    <row r="66" spans="1:2">
      <c r="A66" s="5">
        <v>37622</v>
      </c>
      <c r="B66" s="6" t="s">
        <v>50</v>
      </c>
    </row>
    <row r="67" spans="1:2">
      <c r="A67" s="5">
        <v>37728</v>
      </c>
      <c r="B67" s="6" t="s">
        <v>51</v>
      </c>
    </row>
    <row r="68" spans="1:2">
      <c r="A68" s="5">
        <v>37729</v>
      </c>
      <c r="B68" s="6" t="s">
        <v>52</v>
      </c>
    </row>
    <row r="69" spans="1:2">
      <c r="A69" s="5">
        <v>37742</v>
      </c>
      <c r="B69" s="6" t="s">
        <v>53</v>
      </c>
    </row>
    <row r="70" spans="1:2">
      <c r="A70" s="5">
        <v>37801</v>
      </c>
      <c r="B70" s="6" t="s">
        <v>54</v>
      </c>
    </row>
    <row r="71" spans="1:2">
      <c r="A71" s="5">
        <v>37830</v>
      </c>
      <c r="B71" s="6" t="s">
        <v>55</v>
      </c>
    </row>
    <row r="72" spans="1:2">
      <c r="A72" s="5">
        <v>37831</v>
      </c>
      <c r="B72" s="6" t="s">
        <v>55</v>
      </c>
    </row>
    <row r="73" spans="1:2">
      <c r="A73" s="5">
        <v>37863</v>
      </c>
      <c r="B73" s="6" t="s">
        <v>56</v>
      </c>
    </row>
    <row r="74" spans="1:2">
      <c r="A74" s="5">
        <v>37902</v>
      </c>
      <c r="B74" s="6" t="s">
        <v>57</v>
      </c>
    </row>
    <row r="75" spans="1:2">
      <c r="A75" s="5">
        <v>37926</v>
      </c>
      <c r="B75" s="6" t="s">
        <v>58</v>
      </c>
    </row>
    <row r="76" spans="1:2">
      <c r="A76" s="5">
        <v>37963</v>
      </c>
      <c r="B76" s="6" t="s">
        <v>59</v>
      </c>
    </row>
    <row r="77" spans="1:2">
      <c r="A77" s="5">
        <v>37980</v>
      </c>
      <c r="B77" s="6" t="s">
        <v>60</v>
      </c>
    </row>
    <row r="78" spans="1:2">
      <c r="A78" s="5">
        <v>37987</v>
      </c>
      <c r="B78" s="6" t="s">
        <v>50</v>
      </c>
    </row>
    <row r="79" spans="1:2">
      <c r="A79" s="5">
        <v>38085</v>
      </c>
      <c r="B79" s="6" t="s">
        <v>51</v>
      </c>
    </row>
    <row r="80" spans="1:2">
      <c r="A80" s="5">
        <v>38086</v>
      </c>
      <c r="B80" s="6" t="s">
        <v>52</v>
      </c>
    </row>
    <row r="81" spans="1:2">
      <c r="A81" s="5">
        <v>38108</v>
      </c>
      <c r="B81" s="6" t="s">
        <v>53</v>
      </c>
    </row>
    <row r="82" spans="1:2">
      <c r="A82" s="5">
        <v>38167</v>
      </c>
      <c r="B82" s="6" t="s">
        <v>54</v>
      </c>
    </row>
    <row r="83" spans="1:2">
      <c r="A83" s="5">
        <v>38196</v>
      </c>
      <c r="B83" s="6" t="s">
        <v>55</v>
      </c>
    </row>
    <row r="84" spans="1:2">
      <c r="A84" s="5">
        <v>38197</v>
      </c>
      <c r="B84" s="6" t="s">
        <v>55</v>
      </c>
    </row>
    <row r="85" spans="1:2">
      <c r="A85" s="5">
        <v>38229</v>
      </c>
      <c r="B85" s="6" t="s">
        <v>56</v>
      </c>
    </row>
    <row r="86" spans="1:2">
      <c r="A86" s="5">
        <v>38268</v>
      </c>
      <c r="B86" s="6" t="s">
        <v>57</v>
      </c>
    </row>
    <row r="87" spans="1:2">
      <c r="A87" s="5">
        <v>38292</v>
      </c>
      <c r="B87" s="6" t="s">
        <v>58</v>
      </c>
    </row>
    <row r="88" spans="1:2">
      <c r="A88" s="5">
        <v>38329</v>
      </c>
      <c r="B88" s="6" t="s">
        <v>59</v>
      </c>
    </row>
    <row r="89" spans="1:2">
      <c r="A89" s="5">
        <v>38346</v>
      </c>
      <c r="B89" s="6" t="s">
        <v>60</v>
      </c>
    </row>
    <row r="90" spans="1:2">
      <c r="A90" s="5">
        <v>38353</v>
      </c>
      <c r="B90" s="6" t="s">
        <v>50</v>
      </c>
    </row>
    <row r="91" spans="1:2">
      <c r="A91" s="5">
        <v>38435</v>
      </c>
      <c r="B91" s="6" t="s">
        <v>51</v>
      </c>
    </row>
    <row r="92" spans="1:2">
      <c r="A92" s="5">
        <v>38436</v>
      </c>
      <c r="B92" s="6" t="s">
        <v>52</v>
      </c>
    </row>
    <row r="93" spans="1:2">
      <c r="A93" s="5">
        <v>38473</v>
      </c>
      <c r="B93" s="6" t="s">
        <v>53</v>
      </c>
    </row>
    <row r="94" spans="1:2">
      <c r="A94" s="5">
        <v>38474</v>
      </c>
      <c r="B94" s="6" t="s">
        <v>53</v>
      </c>
    </row>
    <row r="95" spans="1:2">
      <c r="A95" s="5">
        <v>38532</v>
      </c>
      <c r="B95" s="6" t="s">
        <v>54</v>
      </c>
    </row>
    <row r="96" spans="1:2">
      <c r="A96" s="5">
        <v>38561</v>
      </c>
      <c r="B96" s="6" t="s">
        <v>55</v>
      </c>
    </row>
    <row r="97" spans="1:2">
      <c r="A97" s="5">
        <v>38562</v>
      </c>
      <c r="B97" s="6" t="s">
        <v>55</v>
      </c>
    </row>
    <row r="98" spans="1:2">
      <c r="A98" s="5">
        <v>38594</v>
      </c>
      <c r="B98" s="6" t="s">
        <v>56</v>
      </c>
    </row>
    <row r="99" spans="1:2">
      <c r="A99" s="5">
        <v>38633</v>
      </c>
      <c r="B99" s="6" t="s">
        <v>57</v>
      </c>
    </row>
    <row r="100" spans="1:2">
      <c r="A100" s="5">
        <v>38657</v>
      </c>
      <c r="B100" s="6" t="s">
        <v>58</v>
      </c>
    </row>
    <row r="101" spans="1:2">
      <c r="A101" s="5">
        <v>38694</v>
      </c>
      <c r="B101" s="6" t="s">
        <v>59</v>
      </c>
    </row>
    <row r="102" spans="1:2">
      <c r="A102" s="5">
        <v>38711</v>
      </c>
      <c r="B102" s="6" t="s">
        <v>60</v>
      </c>
    </row>
    <row r="103" spans="1:2">
      <c r="A103" s="5">
        <v>38718</v>
      </c>
      <c r="B103" s="6" t="s">
        <v>62</v>
      </c>
    </row>
    <row r="104" spans="1:2">
      <c r="A104" s="5">
        <v>38820</v>
      </c>
      <c r="B104" s="6" t="s">
        <v>51</v>
      </c>
    </row>
    <row r="105" spans="1:2">
      <c r="A105" s="5">
        <v>38821</v>
      </c>
      <c r="B105" s="6" t="s">
        <v>52</v>
      </c>
    </row>
    <row r="106" spans="1:2">
      <c r="A106" s="5">
        <v>38838</v>
      </c>
      <c r="B106" s="6" t="s">
        <v>53</v>
      </c>
    </row>
    <row r="107" spans="1:2">
      <c r="A107" s="5">
        <v>38897</v>
      </c>
      <c r="B107" s="6" t="s">
        <v>54</v>
      </c>
    </row>
    <row r="108" spans="1:2">
      <c r="A108" s="5">
        <v>38926</v>
      </c>
      <c r="B108" s="6" t="s">
        <v>55</v>
      </c>
    </row>
    <row r="109" spans="1:2">
      <c r="A109" s="5">
        <v>38927</v>
      </c>
      <c r="B109" s="6" t="s">
        <v>55</v>
      </c>
    </row>
    <row r="110" spans="1:2">
      <c r="A110" s="5">
        <v>38959</v>
      </c>
      <c r="B110" s="6" t="s">
        <v>56</v>
      </c>
    </row>
    <row r="111" spans="1:2">
      <c r="A111" s="5">
        <v>38998</v>
      </c>
      <c r="B111" s="6" t="s">
        <v>57</v>
      </c>
    </row>
    <row r="112" spans="1:2">
      <c r="A112" s="5">
        <v>39022</v>
      </c>
      <c r="B112" s="6" t="s">
        <v>58</v>
      </c>
    </row>
    <row r="113" spans="1:2">
      <c r="A113" s="5">
        <v>39059</v>
      </c>
      <c r="B113" s="6" t="s">
        <v>59</v>
      </c>
    </row>
    <row r="114" spans="1:2">
      <c r="A114" s="5">
        <v>39076</v>
      </c>
      <c r="B114" s="6" t="s">
        <v>60</v>
      </c>
    </row>
    <row r="115" spans="1:2">
      <c r="A115" s="5">
        <v>39083</v>
      </c>
      <c r="B115" s="6" t="s">
        <v>50</v>
      </c>
    </row>
    <row r="116" spans="1:2">
      <c r="A116" s="5">
        <v>39177</v>
      </c>
      <c r="B116" s="6" t="s">
        <v>51</v>
      </c>
    </row>
    <row r="117" spans="1:2">
      <c r="A117" s="5">
        <v>39178</v>
      </c>
      <c r="B117" s="6" t="s">
        <v>52</v>
      </c>
    </row>
    <row r="118" spans="1:2">
      <c r="A118" s="5">
        <v>39203</v>
      </c>
      <c r="B118" s="6" t="s">
        <v>53</v>
      </c>
    </row>
    <row r="119" spans="1:2">
      <c r="A119" s="5">
        <v>39262</v>
      </c>
      <c r="B119" s="6" t="s">
        <v>54</v>
      </c>
    </row>
    <row r="120" spans="1:2">
      <c r="A120" s="5">
        <v>39291</v>
      </c>
      <c r="B120" s="6" t="s">
        <v>55</v>
      </c>
    </row>
    <row r="121" spans="1:2">
      <c r="A121" s="5">
        <v>39292</v>
      </c>
      <c r="B121" s="6" t="s">
        <v>55</v>
      </c>
    </row>
    <row r="122" spans="1:2">
      <c r="A122" s="5">
        <v>39324</v>
      </c>
      <c r="B122" s="6" t="s">
        <v>56</v>
      </c>
    </row>
    <row r="123" spans="1:2">
      <c r="A123" s="5">
        <v>39363</v>
      </c>
      <c r="B123" s="6" t="s">
        <v>57</v>
      </c>
    </row>
    <row r="124" spans="1:2">
      <c r="A124" s="5">
        <v>39387</v>
      </c>
      <c r="B124" s="6" t="s">
        <v>58</v>
      </c>
    </row>
    <row r="125" spans="1:2">
      <c r="A125" s="5">
        <v>39424</v>
      </c>
      <c r="B125" s="6" t="s">
        <v>59</v>
      </c>
    </row>
    <row r="126" spans="1:2">
      <c r="A126" s="5">
        <v>39440</v>
      </c>
      <c r="B126" s="6" t="s">
        <v>63</v>
      </c>
    </row>
    <row r="127" spans="1:2">
      <c r="A127" s="5">
        <v>39441</v>
      </c>
      <c r="B127" s="6" t="s">
        <v>60</v>
      </c>
    </row>
    <row r="128" spans="1:2">
      <c r="A128" s="5">
        <v>39448</v>
      </c>
      <c r="B128" s="6" t="s">
        <v>50</v>
      </c>
    </row>
    <row r="129" spans="1:2">
      <c r="A129" s="5">
        <v>39527</v>
      </c>
      <c r="B129" s="6" t="s">
        <v>51</v>
      </c>
    </row>
    <row r="130" spans="1:2">
      <c r="A130" s="5">
        <v>39528</v>
      </c>
      <c r="B130" s="6" t="s">
        <v>52</v>
      </c>
    </row>
    <row r="131" spans="1:2">
      <c r="A131" s="5">
        <v>39569</v>
      </c>
      <c r="B131" s="6" t="s">
        <v>53</v>
      </c>
    </row>
    <row r="132" spans="1:2">
      <c r="A132" s="5">
        <v>39628</v>
      </c>
      <c r="B132" s="6" t="s">
        <v>54</v>
      </c>
    </row>
    <row r="133" spans="1:2">
      <c r="A133" s="5">
        <v>39657</v>
      </c>
      <c r="B133" s="6" t="s">
        <v>55</v>
      </c>
    </row>
    <row r="134" spans="1:2">
      <c r="A134" s="5">
        <v>39658</v>
      </c>
      <c r="B134" s="6" t="s">
        <v>55</v>
      </c>
    </row>
    <row r="135" spans="1:2">
      <c r="A135" s="5">
        <v>39690</v>
      </c>
      <c r="B135" s="6" t="s">
        <v>56</v>
      </c>
    </row>
    <row r="136" spans="1:2">
      <c r="A136" s="5">
        <v>39729</v>
      </c>
      <c r="B136" s="6" t="s">
        <v>57</v>
      </c>
    </row>
    <row r="137" spans="1:2">
      <c r="A137" s="5">
        <v>39753</v>
      </c>
      <c r="B137" s="6" t="s">
        <v>58</v>
      </c>
    </row>
    <row r="138" spans="1:2">
      <c r="A138" s="5">
        <v>39790</v>
      </c>
      <c r="B138" s="6" t="s">
        <v>59</v>
      </c>
    </row>
    <row r="139" spans="1:2">
      <c r="A139" s="5">
        <v>39807</v>
      </c>
      <c r="B139" s="6" t="s">
        <v>60</v>
      </c>
    </row>
    <row r="140" spans="1:2">
      <c r="A140" s="5">
        <v>39814</v>
      </c>
      <c r="B140" s="6" t="s">
        <v>50</v>
      </c>
    </row>
    <row r="141" spans="1:2">
      <c r="A141" s="5">
        <v>39912</v>
      </c>
      <c r="B141" s="6" t="s">
        <v>51</v>
      </c>
    </row>
    <row r="142" spans="1:2">
      <c r="A142" s="5">
        <v>39913</v>
      </c>
      <c r="B142" s="6" t="s">
        <v>52</v>
      </c>
    </row>
    <row r="143" spans="1:2">
      <c r="A143" s="5">
        <v>39934</v>
      </c>
      <c r="B143" s="6" t="s">
        <v>53</v>
      </c>
    </row>
    <row r="144" spans="1:2">
      <c r="A144" s="5">
        <v>39993</v>
      </c>
      <c r="B144" s="6" t="s">
        <v>54</v>
      </c>
    </row>
    <row r="145" spans="1:2">
      <c r="A145" s="5">
        <v>40022</v>
      </c>
      <c r="B145" s="6" t="s">
        <v>55</v>
      </c>
    </row>
    <row r="146" spans="1:2">
      <c r="A146" s="5">
        <v>40023</v>
      </c>
      <c r="B146" s="6" t="s">
        <v>55</v>
      </c>
    </row>
    <row r="147" spans="1:2">
      <c r="A147" s="5">
        <v>40055</v>
      </c>
      <c r="B147" s="6" t="s">
        <v>56</v>
      </c>
    </row>
    <row r="148" spans="1:2">
      <c r="A148" s="5">
        <v>40094</v>
      </c>
      <c r="B148" s="6" t="s">
        <v>57</v>
      </c>
    </row>
    <row r="149" spans="1:2">
      <c r="A149" s="5">
        <v>40118</v>
      </c>
      <c r="B149" s="6" t="s">
        <v>58</v>
      </c>
    </row>
    <row r="150" spans="1:2">
      <c r="A150" s="5">
        <v>40155</v>
      </c>
      <c r="B150" s="6" t="s">
        <v>59</v>
      </c>
    </row>
    <row r="151" spans="1:2">
      <c r="A151" s="5">
        <v>40172</v>
      </c>
      <c r="B151" s="6" t="s">
        <v>60</v>
      </c>
    </row>
    <row r="152" spans="1:2">
      <c r="A152" s="5">
        <v>40179</v>
      </c>
      <c r="B152" s="6" t="s">
        <v>50</v>
      </c>
    </row>
    <row r="153" spans="1:2">
      <c r="A153" s="5">
        <v>40269</v>
      </c>
      <c r="B153" s="6" t="s">
        <v>51</v>
      </c>
    </row>
    <row r="154" spans="1:2">
      <c r="A154" s="5">
        <v>40270</v>
      </c>
      <c r="B154" s="6" t="s">
        <v>52</v>
      </c>
    </row>
    <row r="155" spans="1:2">
      <c r="A155" s="5">
        <v>40299</v>
      </c>
      <c r="B155" s="6" t="s">
        <v>53</v>
      </c>
    </row>
    <row r="156" spans="1:2">
      <c r="A156" s="5">
        <v>40358</v>
      </c>
      <c r="B156" s="6" t="s">
        <v>54</v>
      </c>
    </row>
    <row r="157" spans="1:2">
      <c r="A157" s="5">
        <v>40387</v>
      </c>
      <c r="B157" s="6" t="s">
        <v>55</v>
      </c>
    </row>
    <row r="158" spans="1:2">
      <c r="A158" s="5">
        <v>40388</v>
      </c>
      <c r="B158" s="6" t="s">
        <v>55</v>
      </c>
    </row>
    <row r="159" spans="1:2">
      <c r="A159" s="5">
        <v>40420</v>
      </c>
      <c r="B159" s="6" t="s">
        <v>56</v>
      </c>
    </row>
    <row r="160" spans="1:2">
      <c r="A160" s="5">
        <v>40459</v>
      </c>
      <c r="B160" s="6" t="s">
        <v>57</v>
      </c>
    </row>
    <row r="161" spans="1:2">
      <c r="A161" s="5">
        <v>40483</v>
      </c>
      <c r="B161" s="6" t="s">
        <v>58</v>
      </c>
    </row>
    <row r="162" spans="1:2">
      <c r="A162" s="5">
        <v>40520</v>
      </c>
      <c r="B162" s="6" t="s">
        <v>59</v>
      </c>
    </row>
    <row r="163" spans="1:2">
      <c r="A163" s="5">
        <v>40537</v>
      </c>
      <c r="B163" s="6" t="s">
        <v>60</v>
      </c>
    </row>
    <row r="164" spans="1:2">
      <c r="A164" s="5">
        <v>40544</v>
      </c>
      <c r="B164" s="6" t="s">
        <v>50</v>
      </c>
    </row>
    <row r="165" spans="1:2">
      <c r="A165" s="5">
        <v>40654</v>
      </c>
      <c r="B165" s="6" t="s">
        <v>51</v>
      </c>
    </row>
    <row r="166" spans="1:2">
      <c r="A166" s="5">
        <v>40655</v>
      </c>
      <c r="B166" s="6" t="s">
        <v>52</v>
      </c>
    </row>
    <row r="167" spans="1:2">
      <c r="A167" s="5">
        <v>40664</v>
      </c>
      <c r="B167" s="6" t="s">
        <v>53</v>
      </c>
    </row>
    <row r="168" spans="1:2">
      <c r="A168" s="5">
        <v>40723</v>
      </c>
      <c r="B168" s="6" t="s">
        <v>54</v>
      </c>
    </row>
    <row r="169" spans="1:2">
      <c r="A169" s="5">
        <v>40752</v>
      </c>
      <c r="B169" s="6" t="s">
        <v>55</v>
      </c>
    </row>
    <row r="170" spans="1:2">
      <c r="A170" s="5">
        <v>40753</v>
      </c>
      <c r="B170" s="6" t="s">
        <v>55</v>
      </c>
    </row>
    <row r="171" spans="1:2">
      <c r="A171" s="5">
        <v>40785</v>
      </c>
      <c r="B171" s="6" t="s">
        <v>56</v>
      </c>
    </row>
    <row r="172" spans="1:2">
      <c r="A172" s="5">
        <v>40824</v>
      </c>
      <c r="B172" s="6" t="s">
        <v>57</v>
      </c>
    </row>
    <row r="173" spans="1:2">
      <c r="A173" s="5">
        <v>40848</v>
      </c>
      <c r="B173" s="6" t="s">
        <v>58</v>
      </c>
    </row>
    <row r="174" spans="1:2">
      <c r="A174" s="5">
        <v>40885</v>
      </c>
      <c r="B174" s="6" t="s">
        <v>59</v>
      </c>
    </row>
    <row r="175" spans="1:2">
      <c r="A175" s="5">
        <v>40902</v>
      </c>
      <c r="B175" s="6" t="s">
        <v>60</v>
      </c>
    </row>
    <row r="176" spans="1:2">
      <c r="A176" s="5">
        <v>40909</v>
      </c>
      <c r="B176" s="6" t="s">
        <v>64</v>
      </c>
    </row>
    <row r="177" spans="1:2">
      <c r="A177" s="5">
        <v>41004</v>
      </c>
      <c r="B177" s="6" t="s">
        <v>51</v>
      </c>
    </row>
    <row r="178" spans="1:2">
      <c r="A178" s="5">
        <v>41005</v>
      </c>
      <c r="B178" s="6" t="s">
        <v>52</v>
      </c>
    </row>
    <row r="179" spans="1:2">
      <c r="A179" s="5">
        <v>41030</v>
      </c>
      <c r="B179" s="6" t="s">
        <v>53</v>
      </c>
    </row>
    <row r="180" spans="1:2">
      <c r="A180" s="5">
        <v>41089</v>
      </c>
      <c r="B180" s="6" t="s">
        <v>54</v>
      </c>
    </row>
    <row r="181" spans="1:2">
      <c r="A181" s="5">
        <v>41118</v>
      </c>
      <c r="B181" s="6" t="s">
        <v>55</v>
      </c>
    </row>
    <row r="182" spans="1:2">
      <c r="A182" s="5">
        <v>41119</v>
      </c>
      <c r="B182" s="6" t="s">
        <v>55</v>
      </c>
    </row>
    <row r="183" spans="1:2">
      <c r="A183" s="5">
        <v>41151</v>
      </c>
      <c r="B183" s="6" t="s">
        <v>56</v>
      </c>
    </row>
    <row r="184" spans="1:2">
      <c r="A184" s="5">
        <v>41190</v>
      </c>
      <c r="B184" s="6" t="s">
        <v>57</v>
      </c>
    </row>
    <row r="185" spans="1:2">
      <c r="A185" s="5">
        <v>41214</v>
      </c>
      <c r="B185" s="6" t="s">
        <v>58</v>
      </c>
    </row>
    <row r="186" spans="1:2">
      <c r="A186" s="5">
        <v>41251</v>
      </c>
      <c r="B186" s="6" t="s">
        <v>59</v>
      </c>
    </row>
    <row r="187" spans="1:2">
      <c r="A187" s="5">
        <v>41268</v>
      </c>
      <c r="B187" s="6" t="s">
        <v>60</v>
      </c>
    </row>
    <row r="188" spans="1:2">
      <c r="A188" s="5">
        <v>41275</v>
      </c>
      <c r="B188" s="6" t="s">
        <v>50</v>
      </c>
    </row>
    <row r="189" spans="1:2">
      <c r="A189" s="5">
        <v>41361</v>
      </c>
      <c r="B189" s="6" t="s">
        <v>51</v>
      </c>
    </row>
    <row r="190" spans="1:2">
      <c r="A190" s="5">
        <v>41362</v>
      </c>
      <c r="B190" s="6" t="s">
        <v>52</v>
      </c>
    </row>
    <row r="191" spans="1:2">
      <c r="A191" s="5">
        <v>41395</v>
      </c>
      <c r="B191" s="6" t="s">
        <v>53</v>
      </c>
    </row>
    <row r="192" spans="1:2">
      <c r="A192" s="5">
        <v>41454</v>
      </c>
      <c r="B192" s="6" t="s">
        <v>54</v>
      </c>
    </row>
    <row r="193" spans="1:2">
      <c r="A193" s="5">
        <v>41483</v>
      </c>
      <c r="B193" s="6" t="s">
        <v>55</v>
      </c>
    </row>
    <row r="194" spans="1:2">
      <c r="A194" s="5">
        <v>41484</v>
      </c>
      <c r="B194" s="6" t="s">
        <v>55</v>
      </c>
    </row>
    <row r="195" spans="1:2">
      <c r="A195" s="5">
        <v>41516</v>
      </c>
      <c r="B195" s="6" t="s">
        <v>56</v>
      </c>
    </row>
    <row r="196" spans="1:2">
      <c r="A196" s="5">
        <v>41555</v>
      </c>
      <c r="B196" s="6" t="s">
        <v>57</v>
      </c>
    </row>
    <row r="197" spans="1:2">
      <c r="A197" s="5">
        <v>41579</v>
      </c>
      <c r="B197" s="6" t="s">
        <v>58</v>
      </c>
    </row>
    <row r="198" spans="1:2">
      <c r="A198" s="5">
        <v>41616</v>
      </c>
      <c r="B198" s="6" t="s">
        <v>59</v>
      </c>
    </row>
    <row r="199" spans="1:2">
      <c r="A199" s="5">
        <v>41633</v>
      </c>
      <c r="B199" s="6" t="s">
        <v>60</v>
      </c>
    </row>
    <row r="200" spans="1:2">
      <c r="A200" s="5">
        <v>41640</v>
      </c>
      <c r="B200" s="6" t="s">
        <v>50</v>
      </c>
    </row>
    <row r="201" spans="1:2">
      <c r="A201" s="5">
        <v>41746</v>
      </c>
      <c r="B201" s="6" t="s">
        <v>51</v>
      </c>
    </row>
    <row r="202" spans="1:2">
      <c r="A202" s="5">
        <v>41747</v>
      </c>
      <c r="B202" s="6" t="s">
        <v>52</v>
      </c>
    </row>
    <row r="203" spans="1:2">
      <c r="A203" s="5">
        <v>41760</v>
      </c>
      <c r="B203" s="6" t="s">
        <v>53</v>
      </c>
    </row>
    <row r="204" spans="1:2">
      <c r="A204" s="5">
        <v>41819</v>
      </c>
      <c r="B204" s="6" t="s">
        <v>54</v>
      </c>
    </row>
    <row r="205" spans="1:2">
      <c r="A205" s="5">
        <v>41848</v>
      </c>
      <c r="B205" s="6" t="s">
        <v>55</v>
      </c>
    </row>
    <row r="206" spans="1:2">
      <c r="A206" s="5">
        <v>41849</v>
      </c>
      <c r="B206" s="6" t="s">
        <v>55</v>
      </c>
    </row>
    <row r="207" spans="1:2">
      <c r="A207" s="5">
        <v>41881</v>
      </c>
      <c r="B207" s="6" t="s">
        <v>56</v>
      </c>
    </row>
    <row r="208" spans="1:2">
      <c r="A208" s="5">
        <v>41920</v>
      </c>
      <c r="B208" s="6" t="s">
        <v>57</v>
      </c>
    </row>
    <row r="209" spans="1:2">
      <c r="A209" s="5">
        <v>41944</v>
      </c>
      <c r="B209" s="6" t="s">
        <v>58</v>
      </c>
    </row>
    <row r="210" spans="1:2">
      <c r="A210" s="5">
        <v>41981</v>
      </c>
      <c r="B210" s="6" t="s">
        <v>59</v>
      </c>
    </row>
    <row r="211" spans="1:2">
      <c r="A211" s="5">
        <v>41998</v>
      </c>
      <c r="B211" s="6" t="s">
        <v>60</v>
      </c>
    </row>
    <row r="212" spans="1:2">
      <c r="A212" s="5">
        <v>42005</v>
      </c>
      <c r="B212" s="6" t="s">
        <v>50</v>
      </c>
    </row>
    <row r="213" spans="1:2">
      <c r="A213" s="5">
        <v>42096</v>
      </c>
      <c r="B213" s="6" t="s">
        <v>51</v>
      </c>
    </row>
    <row r="214" spans="1:2">
      <c r="A214" s="5">
        <v>42097</v>
      </c>
      <c r="B214" s="6" t="s">
        <v>52</v>
      </c>
    </row>
    <row r="215" spans="1:2">
      <c r="A215" s="5">
        <v>42125</v>
      </c>
      <c r="B215" s="6" t="s">
        <v>53</v>
      </c>
    </row>
    <row r="216" spans="1:2">
      <c r="A216" s="5">
        <v>42184</v>
      </c>
      <c r="B216" s="6" t="s">
        <v>54</v>
      </c>
    </row>
    <row r="217" spans="1:2">
      <c r="A217" s="5">
        <v>42213</v>
      </c>
      <c r="B217" s="6" t="s">
        <v>55</v>
      </c>
    </row>
    <row r="218" spans="1:2">
      <c r="A218" s="5">
        <v>42214</v>
      </c>
      <c r="B218" s="6" t="s">
        <v>55</v>
      </c>
    </row>
    <row r="219" spans="1:2">
      <c r="A219" s="5">
        <v>42246</v>
      </c>
      <c r="B219" s="6" t="s">
        <v>56</v>
      </c>
    </row>
    <row r="220" spans="1:2">
      <c r="A220" s="5">
        <v>42285</v>
      </c>
      <c r="B220" s="6" t="s">
        <v>57</v>
      </c>
    </row>
    <row r="221" spans="1:2">
      <c r="A221" s="5">
        <v>42309</v>
      </c>
      <c r="B221" s="6" t="s">
        <v>58</v>
      </c>
    </row>
    <row r="222" spans="1:2">
      <c r="A222" s="5">
        <v>42346</v>
      </c>
      <c r="B222" s="6" t="s">
        <v>59</v>
      </c>
    </row>
    <row r="223" spans="1:2">
      <c r="A223" s="5">
        <v>42363</v>
      </c>
      <c r="B223" s="6" t="s">
        <v>60</v>
      </c>
    </row>
    <row r="224" spans="1:2">
      <c r="A224" s="5">
        <v>42370</v>
      </c>
      <c r="B224" s="6" t="s">
        <v>50</v>
      </c>
    </row>
    <row r="225" spans="1:2">
      <c r="A225" s="5">
        <v>42453</v>
      </c>
      <c r="B225" s="6" t="s">
        <v>51</v>
      </c>
    </row>
    <row r="226" spans="1:2">
      <c r="A226" s="5">
        <v>42454</v>
      </c>
      <c r="B226" s="6" t="s">
        <v>52</v>
      </c>
    </row>
    <row r="227" spans="1:2">
      <c r="A227" s="5">
        <v>42491</v>
      </c>
      <c r="B227" s="6" t="s">
        <v>53</v>
      </c>
    </row>
    <row r="228" spans="1:2">
      <c r="A228" s="5">
        <v>42550</v>
      </c>
      <c r="B228" s="6" t="s">
        <v>54</v>
      </c>
    </row>
    <row r="229" spans="1:2">
      <c r="A229" s="5">
        <v>42579</v>
      </c>
      <c r="B229" s="6" t="s">
        <v>55</v>
      </c>
    </row>
    <row r="230" spans="1:2">
      <c r="A230" s="5">
        <v>42580</v>
      </c>
      <c r="B230" s="6" t="s">
        <v>55</v>
      </c>
    </row>
    <row r="231" spans="1:2">
      <c r="A231" s="5">
        <v>42612</v>
      </c>
      <c r="B231" s="6" t="s">
        <v>56</v>
      </c>
    </row>
    <row r="232" spans="1:2">
      <c r="A232" s="5">
        <v>42651</v>
      </c>
      <c r="B232" s="6" t="s">
        <v>57</v>
      </c>
    </row>
    <row r="233" spans="1:2">
      <c r="A233" s="5">
        <v>42675</v>
      </c>
      <c r="B233" s="6" t="s">
        <v>58</v>
      </c>
    </row>
    <row r="234" spans="1:2">
      <c r="A234" s="5">
        <v>42712</v>
      </c>
      <c r="B234" s="6" t="s">
        <v>59</v>
      </c>
    </row>
    <row r="235" spans="1:2">
      <c r="A235" s="5">
        <v>42729</v>
      </c>
      <c r="B235" s="6" t="s">
        <v>60</v>
      </c>
    </row>
    <row r="236" spans="1:2">
      <c r="A236" s="5">
        <v>42736</v>
      </c>
      <c r="B236" s="6" t="s">
        <v>64</v>
      </c>
    </row>
    <row r="237" spans="1:2">
      <c r="A237" s="5">
        <v>42838</v>
      </c>
      <c r="B237" s="6" t="s">
        <v>51</v>
      </c>
    </row>
    <row r="238" spans="1:2">
      <c r="A238" s="5">
        <v>42839</v>
      </c>
      <c r="B238" s="6" t="s">
        <v>52</v>
      </c>
    </row>
    <row r="239" spans="1:2">
      <c r="A239" s="5">
        <v>42856</v>
      </c>
      <c r="B239" s="6" t="s">
        <v>53</v>
      </c>
    </row>
    <row r="240" spans="1:2">
      <c r="A240" s="5">
        <v>42915</v>
      </c>
      <c r="B240" s="6" t="s">
        <v>54</v>
      </c>
    </row>
    <row r="241" spans="1:2">
      <c r="A241" s="5">
        <v>42944</v>
      </c>
      <c r="B241" s="6" t="s">
        <v>55</v>
      </c>
    </row>
    <row r="242" spans="1:2">
      <c r="A242" s="5">
        <v>42945</v>
      </c>
      <c r="B242" s="6" t="s">
        <v>55</v>
      </c>
    </row>
    <row r="243" spans="1:2">
      <c r="A243" s="5">
        <v>42977</v>
      </c>
      <c r="B243" s="6" t="s">
        <v>56</v>
      </c>
    </row>
    <row r="244" spans="1:2">
      <c r="A244" s="5">
        <v>43016</v>
      </c>
      <c r="B244" s="6" t="s">
        <v>57</v>
      </c>
    </row>
    <row r="245" spans="1:2">
      <c r="A245" s="5">
        <v>43040</v>
      </c>
      <c r="B245" s="6" t="s">
        <v>58</v>
      </c>
    </row>
    <row r="246" spans="1:2">
      <c r="A246" s="5">
        <v>43077</v>
      </c>
      <c r="B246" s="6" t="s">
        <v>59</v>
      </c>
    </row>
    <row r="247" spans="1:2">
      <c r="A247" s="5">
        <v>43094</v>
      </c>
      <c r="B247" s="6" t="s">
        <v>60</v>
      </c>
    </row>
    <row r="248" spans="1:2">
      <c r="A248" s="5">
        <v>43101</v>
      </c>
      <c r="B248" s="6" t="s">
        <v>50</v>
      </c>
    </row>
    <row r="249" spans="1:2">
      <c r="A249" s="5">
        <v>43188</v>
      </c>
      <c r="B249" s="6" t="s">
        <v>51</v>
      </c>
    </row>
    <row r="250" spans="1:2">
      <c r="A250" s="5">
        <v>43189</v>
      </c>
      <c r="B250" s="6" t="s">
        <v>52</v>
      </c>
    </row>
    <row r="251" spans="1:2">
      <c r="A251" s="5">
        <v>43221</v>
      </c>
      <c r="B251" s="6" t="s">
        <v>53</v>
      </c>
    </row>
    <row r="252" spans="1:2">
      <c r="A252" s="5">
        <v>43280</v>
      </c>
      <c r="B252" s="6" t="s">
        <v>54</v>
      </c>
    </row>
    <row r="253" spans="1:2">
      <c r="A253" s="5">
        <v>43309</v>
      </c>
      <c r="B253" s="6" t="s">
        <v>55</v>
      </c>
    </row>
    <row r="254" spans="1:2">
      <c r="A254" s="5">
        <v>43310</v>
      </c>
      <c r="B254" s="6" t="s">
        <v>55</v>
      </c>
    </row>
    <row r="255" spans="1:2">
      <c r="A255" s="5">
        <v>43342</v>
      </c>
      <c r="B255" s="6" t="s">
        <v>56</v>
      </c>
    </row>
    <row r="256" spans="1:2">
      <c r="A256" s="5">
        <v>43381</v>
      </c>
      <c r="B256" s="6" t="s">
        <v>57</v>
      </c>
    </row>
    <row r="257" spans="1:2">
      <c r="A257" s="5">
        <v>43405</v>
      </c>
      <c r="B257" s="6" t="s">
        <v>58</v>
      </c>
    </row>
    <row r="258" spans="1:2">
      <c r="A258" s="5">
        <v>43442</v>
      </c>
      <c r="B258" s="6" t="s">
        <v>59</v>
      </c>
    </row>
    <row r="259" spans="1:2">
      <c r="A259" s="5">
        <v>43459</v>
      </c>
      <c r="B259" s="6" t="s">
        <v>60</v>
      </c>
    </row>
    <row r="260" spans="1:2">
      <c r="A260" s="5">
        <v>43466</v>
      </c>
      <c r="B260" s="6" t="s">
        <v>50</v>
      </c>
    </row>
    <row r="261" spans="1:2">
      <c r="A261" s="5">
        <v>43573</v>
      </c>
      <c r="B261" s="6" t="s">
        <v>51</v>
      </c>
    </row>
    <row r="262" spans="1:2">
      <c r="A262" s="5">
        <v>43574</v>
      </c>
      <c r="B262" s="6" t="s">
        <v>52</v>
      </c>
    </row>
    <row r="263" spans="1:2">
      <c r="A263" s="5">
        <v>43586</v>
      </c>
      <c r="B263" s="6" t="s">
        <v>53</v>
      </c>
    </row>
    <row r="264" spans="1:2">
      <c r="A264" s="5">
        <v>43645</v>
      </c>
      <c r="B264" s="6" t="s">
        <v>54</v>
      </c>
    </row>
    <row r="265" spans="1:2">
      <c r="A265" s="5">
        <v>43674</v>
      </c>
      <c r="B265" s="6" t="s">
        <v>55</v>
      </c>
    </row>
    <row r="266" spans="1:2">
      <c r="A266" s="5">
        <v>43675</v>
      </c>
      <c r="B266" s="6" t="s">
        <v>55</v>
      </c>
    </row>
    <row r="267" spans="1:2">
      <c r="A267" s="5">
        <v>43707</v>
      </c>
      <c r="B267" s="6" t="s">
        <v>56</v>
      </c>
    </row>
    <row r="268" spans="1:2">
      <c r="A268" s="5">
        <v>43746</v>
      </c>
      <c r="B268" s="6" t="s">
        <v>57</v>
      </c>
    </row>
    <row r="269" spans="1:2">
      <c r="A269" s="5">
        <v>43770</v>
      </c>
      <c r="B269" s="6" t="s">
        <v>58</v>
      </c>
    </row>
    <row r="270" spans="1:2">
      <c r="A270" s="5">
        <v>43807</v>
      </c>
      <c r="B270" s="6" t="s">
        <v>59</v>
      </c>
    </row>
    <row r="271" spans="1:2">
      <c r="A271" s="5">
        <v>43824</v>
      </c>
      <c r="B271" s="6" t="s">
        <v>60</v>
      </c>
    </row>
    <row r="272" spans="1:2">
      <c r="A272" s="5">
        <v>43831</v>
      </c>
      <c r="B272" s="6" t="s">
        <v>50</v>
      </c>
    </row>
    <row r="273" spans="1:2">
      <c r="A273" s="5">
        <v>43930</v>
      </c>
      <c r="B273" s="6" t="s">
        <v>51</v>
      </c>
    </row>
    <row r="274" spans="1:2">
      <c r="A274" s="5">
        <v>43931</v>
      </c>
      <c r="B274" s="6" t="s">
        <v>52</v>
      </c>
    </row>
    <row r="275" spans="1:2">
      <c r="A275" s="5">
        <v>43952</v>
      </c>
      <c r="B275" s="6" t="s">
        <v>53</v>
      </c>
    </row>
    <row r="276" spans="1:2">
      <c r="A276" s="5">
        <v>44011</v>
      </c>
      <c r="B276" s="6" t="s">
        <v>54</v>
      </c>
    </row>
    <row r="277" spans="1:2">
      <c r="A277" s="5">
        <v>44040</v>
      </c>
      <c r="B277" s="6" t="s">
        <v>55</v>
      </c>
    </row>
    <row r="278" spans="1:2">
      <c r="A278" s="5">
        <v>44041</v>
      </c>
      <c r="B278" s="6" t="s">
        <v>55</v>
      </c>
    </row>
    <row r="279" spans="1:2">
      <c r="A279" s="5">
        <v>44073</v>
      </c>
      <c r="B279" s="6" t="s">
        <v>56</v>
      </c>
    </row>
    <row r="280" spans="1:2">
      <c r="A280" s="5">
        <v>44112</v>
      </c>
      <c r="B280" s="6" t="s">
        <v>57</v>
      </c>
    </row>
    <row r="281" spans="1:2">
      <c r="A281" s="5">
        <v>44136</v>
      </c>
      <c r="B281" s="6" t="s">
        <v>58</v>
      </c>
    </row>
    <row r="282" spans="1:2">
      <c r="A282" s="5">
        <v>44173</v>
      </c>
      <c r="B282" s="6" t="s">
        <v>59</v>
      </c>
    </row>
    <row r="283" spans="1:2">
      <c r="A283" s="5">
        <v>44190</v>
      </c>
      <c r="B283" s="6" t="s">
        <v>60</v>
      </c>
    </row>
    <row r="284" spans="1:2">
      <c r="A284" s="5">
        <v>44197</v>
      </c>
      <c r="B284" s="6" t="s">
        <v>50</v>
      </c>
    </row>
    <row r="285" spans="1:2">
      <c r="A285" s="5">
        <v>44287</v>
      </c>
      <c r="B285" s="6" t="s">
        <v>51</v>
      </c>
    </row>
    <row r="286" spans="1:2">
      <c r="A286" s="5">
        <v>44288</v>
      </c>
      <c r="B286" s="6" t="s">
        <v>52</v>
      </c>
    </row>
    <row r="287" spans="1:2">
      <c r="A287" s="5">
        <v>44317</v>
      </c>
      <c r="B287" s="6" t="s">
        <v>53</v>
      </c>
    </row>
    <row r="288" spans="1:2">
      <c r="A288" s="5">
        <v>44376</v>
      </c>
      <c r="B288" s="6" t="s">
        <v>54</v>
      </c>
    </row>
    <row r="289" spans="1:2">
      <c r="A289" s="5">
        <v>44405</v>
      </c>
      <c r="B289" s="6" t="s">
        <v>55</v>
      </c>
    </row>
    <row r="290" spans="1:2">
      <c r="A290" s="5">
        <v>44406</v>
      </c>
      <c r="B290" s="6" t="s">
        <v>55</v>
      </c>
    </row>
    <row r="291" spans="1:2">
      <c r="A291" s="5">
        <v>44438</v>
      </c>
      <c r="B291" s="6" t="s">
        <v>56</v>
      </c>
    </row>
    <row r="292" spans="1:2">
      <c r="A292" s="5">
        <v>44477</v>
      </c>
      <c r="B292" s="6" t="s">
        <v>57</v>
      </c>
    </row>
    <row r="293" spans="1:2">
      <c r="A293" s="5">
        <v>44501</v>
      </c>
      <c r="B293" s="6" t="s">
        <v>58</v>
      </c>
    </row>
    <row r="294" spans="1:2">
      <c r="A294" s="5">
        <v>44538</v>
      </c>
      <c r="B294" s="6" t="s">
        <v>59</v>
      </c>
    </row>
    <row r="295" spans="1:2">
      <c r="A295" s="5">
        <v>44555</v>
      </c>
      <c r="B295" s="6" t="s">
        <v>60</v>
      </c>
    </row>
    <row r="296" spans="1:2">
      <c r="A296" s="5">
        <v>44562</v>
      </c>
      <c r="B296" s="6" t="s">
        <v>50</v>
      </c>
    </row>
    <row r="297" spans="1:2">
      <c r="A297" s="5">
        <v>44665</v>
      </c>
      <c r="B297" s="6" t="s">
        <v>51</v>
      </c>
    </row>
    <row r="298" spans="1:2">
      <c r="A298" s="5">
        <v>44666</v>
      </c>
      <c r="B298" s="6" t="s">
        <v>52</v>
      </c>
    </row>
    <row r="299" spans="1:2">
      <c r="A299" s="5">
        <v>44682</v>
      </c>
      <c r="B299" s="6" t="s">
        <v>53</v>
      </c>
    </row>
    <row r="300" spans="1:2">
      <c r="A300" s="5">
        <v>44741</v>
      </c>
      <c r="B300" s="6" t="s">
        <v>54</v>
      </c>
    </row>
    <row r="301" spans="1:2">
      <c r="A301" s="5">
        <v>44770</v>
      </c>
      <c r="B301" s="6" t="s">
        <v>55</v>
      </c>
    </row>
    <row r="302" spans="1:2">
      <c r="A302" s="5">
        <v>44771</v>
      </c>
      <c r="B302" s="6" t="s">
        <v>55</v>
      </c>
    </row>
    <row r="303" spans="1:2">
      <c r="A303" s="5">
        <v>44803</v>
      </c>
      <c r="B303" s="6" t="s">
        <v>56</v>
      </c>
    </row>
    <row r="304" spans="1:2">
      <c r="A304" s="5">
        <v>44842</v>
      </c>
      <c r="B304" s="6" t="s">
        <v>57</v>
      </c>
    </row>
    <row r="305" spans="1:2">
      <c r="A305" s="5">
        <v>44866</v>
      </c>
      <c r="B305" s="6" t="s">
        <v>58</v>
      </c>
    </row>
    <row r="306" spans="1:2">
      <c r="A306" s="5">
        <v>44903</v>
      </c>
      <c r="B306" s="6" t="s">
        <v>59</v>
      </c>
    </row>
    <row r="307" spans="1:2">
      <c r="A307" s="5">
        <v>44920</v>
      </c>
      <c r="B307" s="6" t="s">
        <v>60</v>
      </c>
    </row>
    <row r="308" spans="1:2">
      <c r="A308" s="5">
        <v>44927</v>
      </c>
      <c r="B308" s="6" t="s">
        <v>64</v>
      </c>
    </row>
    <row r="309" spans="1:2">
      <c r="A309" s="5">
        <v>45022</v>
      </c>
      <c r="B309" s="6" t="s">
        <v>51</v>
      </c>
    </row>
    <row r="310" spans="1:2">
      <c r="A310" s="5">
        <v>45023</v>
      </c>
      <c r="B310" s="6" t="s">
        <v>52</v>
      </c>
    </row>
    <row r="311" spans="1:2">
      <c r="A311" s="5">
        <v>45047</v>
      </c>
      <c r="B311" s="6" t="s">
        <v>53</v>
      </c>
    </row>
    <row r="312" spans="1:2">
      <c r="A312" s="5">
        <v>45106</v>
      </c>
      <c r="B312" s="6" t="s">
        <v>54</v>
      </c>
    </row>
    <row r="313" spans="1:2">
      <c r="A313" s="5">
        <v>45135</v>
      </c>
      <c r="B313" s="6" t="s">
        <v>55</v>
      </c>
    </row>
    <row r="314" spans="1:2">
      <c r="A314" s="5">
        <v>45136</v>
      </c>
      <c r="B314" s="6" t="s">
        <v>55</v>
      </c>
    </row>
    <row r="315" spans="1:2">
      <c r="A315" s="5">
        <v>45168</v>
      </c>
      <c r="B315" s="6" t="s">
        <v>56</v>
      </c>
    </row>
    <row r="316" spans="1:2">
      <c r="A316" s="5">
        <v>45207</v>
      </c>
      <c r="B316" s="6" t="s">
        <v>57</v>
      </c>
    </row>
    <row r="317" spans="1:2">
      <c r="A317" s="5">
        <v>45231</v>
      </c>
      <c r="B317" s="6" t="s">
        <v>58</v>
      </c>
    </row>
    <row r="318" spans="1:2">
      <c r="A318" s="5">
        <v>45268</v>
      </c>
      <c r="B318" s="6" t="s">
        <v>59</v>
      </c>
    </row>
    <row r="319" spans="1:2">
      <c r="A319" s="5">
        <v>45285</v>
      </c>
      <c r="B319" s="6" t="s">
        <v>60</v>
      </c>
    </row>
    <row r="320" spans="1:2">
      <c r="A320" s="5">
        <v>45292</v>
      </c>
      <c r="B320" s="6" t="s">
        <v>50</v>
      </c>
    </row>
    <row r="321" spans="1:2">
      <c r="A321" s="5">
        <v>45379</v>
      </c>
      <c r="B321" s="6" t="s">
        <v>51</v>
      </c>
    </row>
    <row r="322" spans="1:2">
      <c r="A322" s="5">
        <v>45380</v>
      </c>
      <c r="B322" s="6" t="s">
        <v>52</v>
      </c>
    </row>
    <row r="323" spans="1:2">
      <c r="A323" s="5">
        <v>45413</v>
      </c>
      <c r="B323" s="6" t="s">
        <v>53</v>
      </c>
    </row>
    <row r="324" spans="1:2">
      <c r="A324" s="5">
        <v>45472</v>
      </c>
      <c r="B324" s="6" t="s">
        <v>54</v>
      </c>
    </row>
    <row r="325" spans="1:2">
      <c r="A325" s="5">
        <v>45501</v>
      </c>
      <c r="B325" s="6" t="s">
        <v>55</v>
      </c>
    </row>
    <row r="326" spans="1:2">
      <c r="A326" s="5">
        <v>45502</v>
      </c>
      <c r="B326" s="6" t="s">
        <v>55</v>
      </c>
    </row>
    <row r="327" spans="1:2">
      <c r="A327" s="5">
        <v>45534</v>
      </c>
      <c r="B327" s="6" t="s">
        <v>56</v>
      </c>
    </row>
    <row r="328" spans="1:2">
      <c r="A328" s="5">
        <v>45573</v>
      </c>
      <c r="B328" s="6" t="s">
        <v>57</v>
      </c>
    </row>
    <row r="329" spans="1:2">
      <c r="A329" s="5">
        <v>45597</v>
      </c>
      <c r="B329" s="6" t="s">
        <v>58</v>
      </c>
    </row>
    <row r="330" spans="1:2">
      <c r="A330" s="5">
        <v>45634</v>
      </c>
      <c r="B330" s="6" t="s">
        <v>59</v>
      </c>
    </row>
    <row r="331" spans="1:2">
      <c r="A331" s="5">
        <v>45651</v>
      </c>
      <c r="B331" s="6" t="s">
        <v>60</v>
      </c>
    </row>
    <row r="332" spans="1:2">
      <c r="A332" s="5">
        <v>45658</v>
      </c>
      <c r="B332" s="6" t="s">
        <v>50</v>
      </c>
    </row>
    <row r="333" spans="1:2">
      <c r="A333" s="5">
        <v>45764</v>
      </c>
      <c r="B333" s="6" t="s">
        <v>51</v>
      </c>
    </row>
    <row r="334" spans="1:2">
      <c r="A334" s="5">
        <v>45765</v>
      </c>
      <c r="B334" s="6" t="s">
        <v>52</v>
      </c>
    </row>
    <row r="335" spans="1:2">
      <c r="A335" s="5">
        <v>45778</v>
      </c>
      <c r="B335" s="6" t="s">
        <v>53</v>
      </c>
    </row>
    <row r="336" spans="1:2">
      <c r="A336" s="5">
        <v>45837</v>
      </c>
      <c r="B336" s="6" t="s">
        <v>54</v>
      </c>
    </row>
    <row r="337" spans="1:2">
      <c r="A337" s="5">
        <v>45866</v>
      </c>
      <c r="B337" s="6" t="s">
        <v>55</v>
      </c>
    </row>
    <row r="338" spans="1:2">
      <c r="A338" s="5">
        <v>45867</v>
      </c>
      <c r="B338" s="6" t="s">
        <v>55</v>
      </c>
    </row>
    <row r="339" spans="1:2">
      <c r="A339" s="5">
        <v>45899</v>
      </c>
      <c r="B339" s="6" t="s">
        <v>56</v>
      </c>
    </row>
    <row r="340" spans="1:2">
      <c r="A340" s="5">
        <v>45938</v>
      </c>
      <c r="B340" s="6" t="s">
        <v>57</v>
      </c>
    </row>
    <row r="341" spans="1:2">
      <c r="A341" s="5">
        <v>45962</v>
      </c>
      <c r="B341" s="6" t="s">
        <v>58</v>
      </c>
    </row>
    <row r="342" spans="1:2">
      <c r="A342" s="5">
        <v>45999</v>
      </c>
      <c r="B342" s="6" t="s">
        <v>59</v>
      </c>
    </row>
    <row r="343" spans="1:2">
      <c r="A343" s="5">
        <v>46016</v>
      </c>
      <c r="B343" s="6" t="s">
        <v>60</v>
      </c>
    </row>
    <row r="344" spans="1:2">
      <c r="A344" s="5">
        <v>46023</v>
      </c>
      <c r="B344" s="6" t="s">
        <v>50</v>
      </c>
    </row>
    <row r="345" spans="1:2">
      <c r="A345" s="5">
        <v>46114</v>
      </c>
      <c r="B345" s="6" t="s">
        <v>51</v>
      </c>
    </row>
    <row r="346" spans="1:2">
      <c r="A346" s="5">
        <v>46115</v>
      </c>
      <c r="B346" s="6" t="s">
        <v>52</v>
      </c>
    </row>
    <row r="347" spans="1:2">
      <c r="A347" s="5">
        <v>46143</v>
      </c>
      <c r="B347" s="6" t="s">
        <v>53</v>
      </c>
    </row>
    <row r="348" spans="1:2">
      <c r="A348" s="5">
        <v>46202</v>
      </c>
      <c r="B348" s="6" t="s">
        <v>54</v>
      </c>
    </row>
    <row r="349" spans="1:2">
      <c r="A349" s="5">
        <v>46231</v>
      </c>
      <c r="B349" s="6" t="s">
        <v>55</v>
      </c>
    </row>
    <row r="350" spans="1:2">
      <c r="A350" s="5">
        <v>46232</v>
      </c>
      <c r="B350" s="6" t="s">
        <v>55</v>
      </c>
    </row>
    <row r="351" spans="1:2">
      <c r="A351" s="5">
        <v>46264</v>
      </c>
      <c r="B351" s="6" t="s">
        <v>56</v>
      </c>
    </row>
    <row r="352" spans="1:2">
      <c r="A352" s="5">
        <v>46303</v>
      </c>
      <c r="B352" s="6" t="s">
        <v>57</v>
      </c>
    </row>
    <row r="353" spans="1:2">
      <c r="A353" s="5">
        <v>46327</v>
      </c>
      <c r="B353" s="6" t="s">
        <v>58</v>
      </c>
    </row>
    <row r="354" spans="1:2">
      <c r="A354" s="5">
        <v>46364</v>
      </c>
      <c r="B354" s="6" t="s">
        <v>59</v>
      </c>
    </row>
    <row r="355" spans="1:2">
      <c r="A355" s="5">
        <v>46381</v>
      </c>
      <c r="B355" s="6" t="s">
        <v>60</v>
      </c>
    </row>
    <row r="356" spans="1:2">
      <c r="A356" s="5">
        <v>46388</v>
      </c>
      <c r="B356" s="6" t="s">
        <v>50</v>
      </c>
    </row>
    <row r="357" spans="1:2">
      <c r="A357" s="5">
        <v>46471</v>
      </c>
      <c r="B357" s="6" t="s">
        <v>51</v>
      </c>
    </row>
    <row r="358" spans="1:2">
      <c r="A358" s="5">
        <v>46472</v>
      </c>
      <c r="B358" s="6" t="s">
        <v>52</v>
      </c>
    </row>
    <row r="359" spans="1:2">
      <c r="A359" s="5">
        <v>46508</v>
      </c>
      <c r="B359" s="6" t="s">
        <v>53</v>
      </c>
    </row>
    <row r="360" spans="1:2">
      <c r="A360" s="5">
        <v>46567</v>
      </c>
      <c r="B360" s="6" t="s">
        <v>54</v>
      </c>
    </row>
    <row r="361" spans="1:2">
      <c r="A361" s="5">
        <v>46596</v>
      </c>
      <c r="B361" s="6" t="s">
        <v>55</v>
      </c>
    </row>
    <row r="362" spans="1:2">
      <c r="A362" s="5">
        <v>46597</v>
      </c>
      <c r="B362" s="6" t="s">
        <v>55</v>
      </c>
    </row>
    <row r="363" spans="1:2">
      <c r="A363" s="5">
        <v>46629</v>
      </c>
      <c r="B363" s="6" t="s">
        <v>56</v>
      </c>
    </row>
    <row r="364" spans="1:2">
      <c r="A364" s="5">
        <v>46668</v>
      </c>
      <c r="B364" s="6" t="s">
        <v>57</v>
      </c>
    </row>
    <row r="365" spans="1:2">
      <c r="A365" s="5">
        <v>46692</v>
      </c>
      <c r="B365" s="6" t="s">
        <v>58</v>
      </c>
    </row>
    <row r="366" spans="1:2">
      <c r="A366" s="5">
        <v>46729</v>
      </c>
      <c r="B366" s="6" t="s">
        <v>59</v>
      </c>
    </row>
    <row r="367" spans="1:2">
      <c r="A367" s="5">
        <v>46746</v>
      </c>
      <c r="B367" s="6" t="s">
        <v>60</v>
      </c>
    </row>
    <row r="368" spans="1:2">
      <c r="A368" s="5">
        <v>46753</v>
      </c>
      <c r="B368" s="6" t="s">
        <v>50</v>
      </c>
    </row>
    <row r="369" spans="1:2">
      <c r="A369" s="5">
        <v>46856</v>
      </c>
      <c r="B369" s="6" t="s">
        <v>51</v>
      </c>
    </row>
    <row r="370" spans="1:2">
      <c r="A370" s="5">
        <v>46857</v>
      </c>
      <c r="B370" s="6" t="s">
        <v>52</v>
      </c>
    </row>
    <row r="371" spans="1:2">
      <c r="A371" s="5">
        <v>46874</v>
      </c>
      <c r="B371" s="6" t="s">
        <v>53</v>
      </c>
    </row>
    <row r="372" spans="1:2">
      <c r="A372" s="5">
        <v>46933</v>
      </c>
      <c r="B372" s="6" t="s">
        <v>54</v>
      </c>
    </row>
    <row r="373" spans="1:2">
      <c r="A373" s="5">
        <v>46962</v>
      </c>
      <c r="B373" s="6" t="s">
        <v>55</v>
      </c>
    </row>
    <row r="374" spans="1:2">
      <c r="A374" s="5">
        <v>46963</v>
      </c>
      <c r="B374" s="6" t="s">
        <v>55</v>
      </c>
    </row>
    <row r="375" spans="1:2">
      <c r="A375" s="5">
        <v>46995</v>
      </c>
      <c r="B375" s="6" t="s">
        <v>56</v>
      </c>
    </row>
    <row r="376" spans="1:2">
      <c r="A376" s="5">
        <v>47034</v>
      </c>
      <c r="B376" s="6" t="s">
        <v>57</v>
      </c>
    </row>
    <row r="377" spans="1:2">
      <c r="A377" s="5">
        <v>47058</v>
      </c>
      <c r="B377" s="6" t="s">
        <v>58</v>
      </c>
    </row>
    <row r="378" spans="1:2">
      <c r="A378" s="5">
        <v>47095</v>
      </c>
      <c r="B378" s="6" t="s">
        <v>59</v>
      </c>
    </row>
    <row r="379" spans="1:2">
      <c r="A379" s="5">
        <v>47112</v>
      </c>
      <c r="B379" s="6" t="s">
        <v>60</v>
      </c>
    </row>
    <row r="380" spans="1:2">
      <c r="A380" s="5">
        <v>47119</v>
      </c>
      <c r="B380" s="6" t="s">
        <v>50</v>
      </c>
    </row>
    <row r="381" spans="1:2">
      <c r="A381" s="5">
        <v>47206</v>
      </c>
      <c r="B381" s="6" t="s">
        <v>51</v>
      </c>
    </row>
    <row r="382" spans="1:2">
      <c r="A382" s="5">
        <v>47207</v>
      </c>
      <c r="B382" s="6" t="s">
        <v>52</v>
      </c>
    </row>
    <row r="383" spans="1:2">
      <c r="A383" s="5">
        <v>47239</v>
      </c>
      <c r="B383" s="6" t="s">
        <v>53</v>
      </c>
    </row>
    <row r="384" spans="1:2">
      <c r="A384" s="5">
        <v>47298</v>
      </c>
      <c r="B384" s="6" t="s">
        <v>54</v>
      </c>
    </row>
    <row r="385" spans="1:2">
      <c r="A385" s="5">
        <v>47327</v>
      </c>
      <c r="B385" s="6" t="s">
        <v>55</v>
      </c>
    </row>
    <row r="386" spans="1:2">
      <c r="A386" s="5">
        <v>47328</v>
      </c>
      <c r="B386" s="6" t="s">
        <v>55</v>
      </c>
    </row>
    <row r="387" spans="1:2">
      <c r="A387" s="5">
        <v>47360</v>
      </c>
      <c r="B387" s="6" t="s">
        <v>56</v>
      </c>
    </row>
    <row r="388" spans="1:2">
      <c r="A388" s="5">
        <v>47399</v>
      </c>
      <c r="B388" s="6" t="s">
        <v>57</v>
      </c>
    </row>
    <row r="389" spans="1:2">
      <c r="A389" s="5">
        <v>47423</v>
      </c>
      <c r="B389" s="6" t="s">
        <v>58</v>
      </c>
    </row>
    <row r="390" spans="1:2">
      <c r="A390" s="5">
        <v>47460</v>
      </c>
      <c r="B390" s="6" t="s">
        <v>59</v>
      </c>
    </row>
    <row r="391" spans="1:2">
      <c r="A391" s="5">
        <v>47477</v>
      </c>
      <c r="B391" s="6" t="s">
        <v>60</v>
      </c>
    </row>
    <row r="392" spans="1:2">
      <c r="A392" s="5">
        <v>47484</v>
      </c>
      <c r="B392" s="6" t="s">
        <v>50</v>
      </c>
    </row>
    <row r="393" spans="1:2">
      <c r="A393" s="5">
        <v>47591</v>
      </c>
      <c r="B393" s="6" t="s">
        <v>51</v>
      </c>
    </row>
    <row r="394" spans="1:2">
      <c r="A394" s="5">
        <v>47592</v>
      </c>
      <c r="B394" s="6" t="s">
        <v>52</v>
      </c>
    </row>
    <row r="395" spans="1:2">
      <c r="A395" s="5">
        <v>47604</v>
      </c>
      <c r="B395" s="6" t="s">
        <v>53</v>
      </c>
    </row>
    <row r="396" spans="1:2">
      <c r="A396" s="5">
        <v>47663</v>
      </c>
      <c r="B396" s="6" t="s">
        <v>54</v>
      </c>
    </row>
    <row r="397" spans="1:2">
      <c r="A397" s="5">
        <v>47692</v>
      </c>
      <c r="B397" s="6" t="s">
        <v>55</v>
      </c>
    </row>
    <row r="398" spans="1:2">
      <c r="A398" s="5">
        <v>47693</v>
      </c>
      <c r="B398" s="6" t="s">
        <v>55</v>
      </c>
    </row>
    <row r="399" spans="1:2">
      <c r="A399" s="5">
        <v>47725</v>
      </c>
      <c r="B399" s="6" t="s">
        <v>56</v>
      </c>
    </row>
    <row r="400" spans="1:2">
      <c r="A400" s="5">
        <v>47764</v>
      </c>
      <c r="B400" s="6" t="s">
        <v>57</v>
      </c>
    </row>
    <row r="401" spans="1:2">
      <c r="A401" s="5">
        <v>47788</v>
      </c>
      <c r="B401" s="6" t="s">
        <v>58</v>
      </c>
    </row>
    <row r="402" spans="1:2">
      <c r="A402" s="5">
        <v>47825</v>
      </c>
      <c r="B402" s="6" t="s">
        <v>59</v>
      </c>
    </row>
    <row r="403" spans="1:2">
      <c r="A403" s="5">
        <v>47842</v>
      </c>
      <c r="B403" s="6" t="s">
        <v>60</v>
      </c>
    </row>
    <row r="404" spans="1:2">
      <c r="A404" s="5">
        <v>47849</v>
      </c>
      <c r="B404" s="6" t="s">
        <v>50</v>
      </c>
    </row>
    <row r="405" spans="1:2">
      <c r="A405" s="5">
        <v>47948</v>
      </c>
      <c r="B405" s="6" t="s">
        <v>51</v>
      </c>
    </row>
    <row r="406" spans="1:2">
      <c r="A406" s="5">
        <v>47949</v>
      </c>
      <c r="B406" s="6" t="s">
        <v>52</v>
      </c>
    </row>
    <row r="407" spans="1:2">
      <c r="A407" s="5">
        <v>47969</v>
      </c>
      <c r="B407" s="6" t="s">
        <v>53</v>
      </c>
    </row>
    <row r="408" spans="1:2">
      <c r="A408" s="5">
        <v>48028</v>
      </c>
      <c r="B408" s="6" t="s">
        <v>54</v>
      </c>
    </row>
    <row r="409" spans="1:2">
      <c r="A409" s="5">
        <v>48057</v>
      </c>
      <c r="B409" s="6" t="s">
        <v>55</v>
      </c>
    </row>
    <row r="410" spans="1:2">
      <c r="A410" s="5">
        <v>48058</v>
      </c>
      <c r="B410" s="6" t="s">
        <v>55</v>
      </c>
    </row>
    <row r="411" spans="1:2">
      <c r="A411" s="5">
        <v>48090</v>
      </c>
      <c r="B411" s="6" t="s">
        <v>56</v>
      </c>
    </row>
    <row r="412" spans="1:2">
      <c r="A412" s="5">
        <v>48129</v>
      </c>
      <c r="B412" s="6" t="s">
        <v>57</v>
      </c>
    </row>
    <row r="413" spans="1:2">
      <c r="A413" s="5">
        <v>48153</v>
      </c>
      <c r="B413" s="6" t="s">
        <v>58</v>
      </c>
    </row>
    <row r="414" spans="1:2">
      <c r="A414" s="5">
        <v>48190</v>
      </c>
      <c r="B414" s="6" t="s">
        <v>59</v>
      </c>
    </row>
    <row r="415" spans="1:2">
      <c r="A415" s="5">
        <v>48207</v>
      </c>
      <c r="B415" s="6" t="s">
        <v>60</v>
      </c>
    </row>
    <row r="416" spans="1:2">
      <c r="A416" s="5">
        <v>48214</v>
      </c>
      <c r="B416" s="6" t="s">
        <v>50</v>
      </c>
    </row>
    <row r="417" spans="1:2">
      <c r="A417" s="5">
        <v>48298</v>
      </c>
      <c r="B417" s="6" t="s">
        <v>51</v>
      </c>
    </row>
    <row r="418" spans="1:2">
      <c r="A418" s="5">
        <v>48299</v>
      </c>
      <c r="B418" s="6" t="s">
        <v>52</v>
      </c>
    </row>
    <row r="419" spans="1:2">
      <c r="A419" s="5">
        <v>48335</v>
      </c>
      <c r="B419" s="6" t="s">
        <v>53</v>
      </c>
    </row>
    <row r="420" spans="1:2">
      <c r="A420" s="5">
        <v>48394</v>
      </c>
      <c r="B420" s="6" t="s">
        <v>54</v>
      </c>
    </row>
    <row r="421" spans="1:2">
      <c r="A421" s="5">
        <v>48423</v>
      </c>
      <c r="B421" s="6" t="s">
        <v>55</v>
      </c>
    </row>
    <row r="422" spans="1:2">
      <c r="A422" s="5">
        <v>48424</v>
      </c>
      <c r="B422" s="6" t="s">
        <v>55</v>
      </c>
    </row>
    <row r="423" spans="1:2">
      <c r="A423" s="5">
        <v>48456</v>
      </c>
      <c r="B423" s="6" t="s">
        <v>56</v>
      </c>
    </row>
    <row r="424" spans="1:2">
      <c r="A424" s="5">
        <v>48495</v>
      </c>
      <c r="B424" s="6" t="s">
        <v>57</v>
      </c>
    </row>
    <row r="425" spans="1:2">
      <c r="A425" s="5">
        <v>48519</v>
      </c>
      <c r="B425" s="6" t="s">
        <v>58</v>
      </c>
    </row>
    <row r="426" spans="1:2">
      <c r="A426" s="5">
        <v>48556</v>
      </c>
      <c r="B426" s="6" t="s">
        <v>59</v>
      </c>
    </row>
    <row r="427" spans="1:2">
      <c r="A427" s="5">
        <v>48573</v>
      </c>
      <c r="B427" s="6" t="s">
        <v>60</v>
      </c>
    </row>
    <row r="428" spans="1:2">
      <c r="A428" s="5">
        <v>48580</v>
      </c>
      <c r="B428" s="6" t="s">
        <v>50</v>
      </c>
    </row>
    <row r="429" spans="1:2">
      <c r="A429" s="5">
        <v>48683</v>
      </c>
      <c r="B429" s="6" t="s">
        <v>51</v>
      </c>
    </row>
    <row r="430" spans="1:2">
      <c r="A430" s="5">
        <v>48684</v>
      </c>
      <c r="B430" s="6" t="s">
        <v>52</v>
      </c>
    </row>
    <row r="431" spans="1:2">
      <c r="A431" s="5">
        <v>48700</v>
      </c>
      <c r="B431" s="6" t="s">
        <v>53</v>
      </c>
    </row>
    <row r="432" spans="1:2">
      <c r="A432" s="5">
        <v>48759</v>
      </c>
      <c r="B432" s="6" t="s">
        <v>54</v>
      </c>
    </row>
    <row r="433" spans="1:2">
      <c r="A433" s="5">
        <v>48788</v>
      </c>
      <c r="B433" s="6" t="s">
        <v>55</v>
      </c>
    </row>
    <row r="434" spans="1:2">
      <c r="A434" s="5">
        <v>48789</v>
      </c>
      <c r="B434" s="6" t="s">
        <v>55</v>
      </c>
    </row>
    <row r="435" spans="1:2">
      <c r="A435" s="5">
        <v>48821</v>
      </c>
      <c r="B435" s="6" t="s">
        <v>56</v>
      </c>
    </row>
    <row r="436" spans="1:2">
      <c r="A436" s="5">
        <v>48860</v>
      </c>
      <c r="B436" s="6" t="s">
        <v>57</v>
      </c>
    </row>
    <row r="437" spans="1:2">
      <c r="A437" s="5">
        <v>48884</v>
      </c>
      <c r="B437" s="6" t="s">
        <v>58</v>
      </c>
    </row>
    <row r="438" spans="1:2">
      <c r="A438" s="5">
        <v>48921</v>
      </c>
      <c r="B438" s="6" t="s">
        <v>59</v>
      </c>
    </row>
    <row r="439" spans="1:2">
      <c r="A439" s="5">
        <v>48938</v>
      </c>
      <c r="B439" s="6" t="s">
        <v>60</v>
      </c>
    </row>
    <row r="440" spans="1:2">
      <c r="A440" s="5">
        <v>48945</v>
      </c>
      <c r="B440" s="6" t="s">
        <v>64</v>
      </c>
    </row>
    <row r="441" spans="1:2">
      <c r="A441" s="5">
        <v>49040</v>
      </c>
      <c r="B441" s="6" t="s">
        <v>51</v>
      </c>
    </row>
    <row r="442" spans="1:2">
      <c r="A442" s="5">
        <v>49041</v>
      </c>
      <c r="B442" s="6" t="s">
        <v>52</v>
      </c>
    </row>
    <row r="443" spans="1:2">
      <c r="A443" s="5">
        <v>49065</v>
      </c>
      <c r="B443" s="6" t="s">
        <v>53</v>
      </c>
    </row>
    <row r="444" spans="1:2">
      <c r="A444" s="5">
        <v>49124</v>
      </c>
      <c r="B444" s="6" t="s">
        <v>54</v>
      </c>
    </row>
    <row r="445" spans="1:2">
      <c r="A445" s="5">
        <v>49153</v>
      </c>
      <c r="B445" s="6" t="s">
        <v>55</v>
      </c>
    </row>
    <row r="446" spans="1:2">
      <c r="A446" s="5">
        <v>49154</v>
      </c>
      <c r="B446" s="6" t="s">
        <v>55</v>
      </c>
    </row>
    <row r="447" spans="1:2">
      <c r="A447" s="5">
        <v>49186</v>
      </c>
      <c r="B447" s="6" t="s">
        <v>56</v>
      </c>
    </row>
    <row r="448" spans="1:2">
      <c r="A448" s="5">
        <v>49225</v>
      </c>
      <c r="B448" s="6" t="s">
        <v>57</v>
      </c>
    </row>
    <row r="449" spans="1:2">
      <c r="A449" s="5">
        <v>49249</v>
      </c>
      <c r="B449" s="6" t="s">
        <v>58</v>
      </c>
    </row>
    <row r="450" spans="1:2">
      <c r="A450" s="5">
        <v>49286</v>
      </c>
      <c r="B450" s="6" t="s">
        <v>59</v>
      </c>
    </row>
    <row r="451" spans="1:2">
      <c r="A451" s="5">
        <v>49303</v>
      </c>
      <c r="B451" s="6" t="s">
        <v>60</v>
      </c>
    </row>
    <row r="452" spans="1:2">
      <c r="A452" s="5">
        <v>49310</v>
      </c>
      <c r="B452" s="6" t="s">
        <v>50</v>
      </c>
    </row>
    <row r="453" spans="1:2">
      <c r="A453" s="5">
        <v>49390</v>
      </c>
      <c r="B453" s="6" t="s">
        <v>51</v>
      </c>
    </row>
    <row r="454" spans="1:2">
      <c r="A454" s="5">
        <v>49391</v>
      </c>
      <c r="B454" s="6" t="s">
        <v>52</v>
      </c>
    </row>
    <row r="455" spans="1:2">
      <c r="A455" s="5">
        <v>49430</v>
      </c>
      <c r="B455" s="6" t="s">
        <v>53</v>
      </c>
    </row>
    <row r="456" spans="1:2">
      <c r="A456" s="5">
        <v>49489</v>
      </c>
      <c r="B456" s="6" t="s">
        <v>54</v>
      </c>
    </row>
    <row r="457" spans="1:2">
      <c r="A457" s="5">
        <v>49518</v>
      </c>
      <c r="B457" s="6" t="s">
        <v>55</v>
      </c>
    </row>
    <row r="458" spans="1:2">
      <c r="A458" s="5">
        <v>49519</v>
      </c>
      <c r="B458" s="6" t="s">
        <v>55</v>
      </c>
    </row>
    <row r="459" spans="1:2">
      <c r="A459" s="5">
        <v>49551</v>
      </c>
      <c r="B459" s="6" t="s">
        <v>56</v>
      </c>
    </row>
    <row r="460" spans="1:2">
      <c r="A460" s="5">
        <v>49590</v>
      </c>
      <c r="B460" s="6" t="s">
        <v>57</v>
      </c>
    </row>
    <row r="461" spans="1:2">
      <c r="A461" s="5">
        <v>49614</v>
      </c>
      <c r="B461" s="6" t="s">
        <v>58</v>
      </c>
    </row>
    <row r="462" spans="1:2">
      <c r="A462" s="5">
        <v>49651</v>
      </c>
      <c r="B462" s="6" t="s">
        <v>59</v>
      </c>
    </row>
    <row r="463" spans="1:2">
      <c r="A463" s="5">
        <v>49668</v>
      </c>
      <c r="B463" s="6" t="s">
        <v>60</v>
      </c>
    </row>
    <row r="464" spans="1:2">
      <c r="A464" s="5">
        <v>49675</v>
      </c>
      <c r="B464" s="6" t="s">
        <v>50</v>
      </c>
    </row>
    <row r="465" spans="1:2">
      <c r="A465" s="5">
        <v>49775</v>
      </c>
      <c r="B465" s="6" t="s">
        <v>51</v>
      </c>
    </row>
    <row r="466" spans="1:2">
      <c r="A466" s="5">
        <v>49776</v>
      </c>
      <c r="B466" s="6" t="s">
        <v>52</v>
      </c>
    </row>
    <row r="467" spans="1:2">
      <c r="A467" s="5">
        <v>49796</v>
      </c>
      <c r="B467" s="6" t="s">
        <v>53</v>
      </c>
    </row>
    <row r="468" spans="1:2">
      <c r="A468" s="5">
        <v>49855</v>
      </c>
      <c r="B468" s="6" t="s">
        <v>54</v>
      </c>
    </row>
    <row r="469" spans="1:2">
      <c r="A469" s="5">
        <v>49884</v>
      </c>
      <c r="B469" s="6" t="s">
        <v>55</v>
      </c>
    </row>
    <row r="470" spans="1:2">
      <c r="A470" s="5">
        <v>49885</v>
      </c>
      <c r="B470" s="6" t="s">
        <v>55</v>
      </c>
    </row>
    <row r="471" spans="1:2">
      <c r="A471" s="5">
        <v>49917</v>
      </c>
      <c r="B471" s="6" t="s">
        <v>56</v>
      </c>
    </row>
    <row r="472" spans="1:2">
      <c r="A472" s="5">
        <v>49956</v>
      </c>
      <c r="B472" s="6" t="s">
        <v>57</v>
      </c>
    </row>
    <row r="473" spans="1:2">
      <c r="A473" s="5">
        <v>49980</v>
      </c>
      <c r="B473" s="6" t="s">
        <v>58</v>
      </c>
    </row>
    <row r="474" spans="1:2">
      <c r="A474" s="5">
        <v>50017</v>
      </c>
      <c r="B474" s="6" t="s">
        <v>59</v>
      </c>
    </row>
    <row r="475" spans="1:2">
      <c r="A475" s="5">
        <v>50034</v>
      </c>
      <c r="B475" s="6" t="s">
        <v>60</v>
      </c>
    </row>
    <row r="476" spans="1:2">
      <c r="A476" s="5">
        <v>50041</v>
      </c>
      <c r="B476" s="6" t="s">
        <v>50</v>
      </c>
    </row>
    <row r="477" spans="1:2">
      <c r="A477" s="5">
        <v>50132</v>
      </c>
      <c r="B477" s="6" t="s">
        <v>51</v>
      </c>
    </row>
    <row r="478" spans="1:2">
      <c r="A478" s="5">
        <v>50133</v>
      </c>
      <c r="B478" s="6" t="s">
        <v>52</v>
      </c>
    </row>
    <row r="479" spans="1:2">
      <c r="A479" s="5">
        <v>50161</v>
      </c>
      <c r="B479" s="6" t="s">
        <v>53</v>
      </c>
    </row>
    <row r="480" spans="1:2">
      <c r="A480" s="5">
        <v>50220</v>
      </c>
      <c r="B480" s="6" t="s">
        <v>54</v>
      </c>
    </row>
    <row r="481" spans="1:2">
      <c r="A481" s="5">
        <v>50249</v>
      </c>
      <c r="B481" s="6" t="s">
        <v>55</v>
      </c>
    </row>
    <row r="482" spans="1:2">
      <c r="A482" s="5">
        <v>50250</v>
      </c>
      <c r="B482" s="6" t="s">
        <v>55</v>
      </c>
    </row>
    <row r="483" spans="1:2">
      <c r="A483" s="5">
        <v>50282</v>
      </c>
      <c r="B483" s="6" t="s">
        <v>56</v>
      </c>
    </row>
    <row r="484" spans="1:2">
      <c r="A484" s="5">
        <v>50321</v>
      </c>
      <c r="B484" s="6" t="s">
        <v>57</v>
      </c>
    </row>
    <row r="485" spans="1:2">
      <c r="A485" s="5">
        <v>50345</v>
      </c>
      <c r="B485" s="6" t="s">
        <v>58</v>
      </c>
    </row>
    <row r="486" spans="1:2">
      <c r="A486" s="5">
        <v>50382</v>
      </c>
      <c r="B486" s="6" t="s">
        <v>59</v>
      </c>
    </row>
    <row r="487" spans="1:2">
      <c r="A487" s="5">
        <v>50399</v>
      </c>
      <c r="B487" s="6" t="s">
        <v>60</v>
      </c>
    </row>
    <row r="488" spans="1:2">
      <c r="A488" s="5">
        <v>50406</v>
      </c>
      <c r="B488" s="6" t="s">
        <v>50</v>
      </c>
    </row>
    <row r="489" spans="1:2">
      <c r="A489" s="5">
        <v>50517</v>
      </c>
      <c r="B489" s="6" t="s">
        <v>51</v>
      </c>
    </row>
    <row r="490" spans="1:2">
      <c r="A490" s="5">
        <v>50518</v>
      </c>
      <c r="B490" s="6" t="s">
        <v>52</v>
      </c>
    </row>
    <row r="491" spans="1:2">
      <c r="A491" s="5">
        <v>50526</v>
      </c>
      <c r="B491" s="6" t="s">
        <v>53</v>
      </c>
    </row>
    <row r="492" spans="1:2">
      <c r="A492" s="5">
        <v>50585</v>
      </c>
      <c r="B492" s="6" t="s">
        <v>54</v>
      </c>
    </row>
    <row r="493" spans="1:2">
      <c r="A493" s="5">
        <v>50614</v>
      </c>
      <c r="B493" s="6" t="s">
        <v>55</v>
      </c>
    </row>
    <row r="494" spans="1:2">
      <c r="A494" s="5">
        <v>50615</v>
      </c>
      <c r="B494" s="6" t="s">
        <v>55</v>
      </c>
    </row>
    <row r="495" spans="1:2">
      <c r="A495" s="5">
        <v>50647</v>
      </c>
      <c r="B495" s="6" t="s">
        <v>56</v>
      </c>
    </row>
    <row r="496" spans="1:2">
      <c r="A496" s="5">
        <v>50686</v>
      </c>
      <c r="B496" s="6" t="s">
        <v>57</v>
      </c>
    </row>
    <row r="497" spans="1:2">
      <c r="A497" s="5">
        <v>50710</v>
      </c>
      <c r="B497" s="6" t="s">
        <v>58</v>
      </c>
    </row>
    <row r="498" spans="1:2">
      <c r="A498" s="5">
        <v>50747</v>
      </c>
      <c r="B498" s="6" t="s">
        <v>59</v>
      </c>
    </row>
    <row r="499" spans="1:2">
      <c r="A499" s="5">
        <v>50764</v>
      </c>
      <c r="B499" s="6" t="s">
        <v>60</v>
      </c>
    </row>
    <row r="500" spans="1:2">
      <c r="A500" s="5">
        <v>50771</v>
      </c>
      <c r="B500" s="6" t="s">
        <v>50</v>
      </c>
    </row>
    <row r="501" spans="1:2">
      <c r="A501" s="5">
        <v>50867</v>
      </c>
      <c r="B501" s="6" t="s">
        <v>51</v>
      </c>
    </row>
    <row r="502" spans="1:2">
      <c r="A502" s="5">
        <v>50868</v>
      </c>
      <c r="B502" s="6" t="s">
        <v>52</v>
      </c>
    </row>
    <row r="503" spans="1:2">
      <c r="A503" s="5">
        <v>50891</v>
      </c>
      <c r="B503" s="6" t="s">
        <v>53</v>
      </c>
    </row>
    <row r="504" spans="1:2">
      <c r="A504" s="5">
        <v>50950</v>
      </c>
      <c r="B504" s="6" t="s">
        <v>54</v>
      </c>
    </row>
    <row r="505" spans="1:2">
      <c r="A505" s="5">
        <v>50979</v>
      </c>
      <c r="B505" s="6" t="s">
        <v>55</v>
      </c>
    </row>
    <row r="506" spans="1:2">
      <c r="A506" s="5">
        <v>50980</v>
      </c>
      <c r="B506" s="6" t="s">
        <v>55</v>
      </c>
    </row>
    <row r="507" spans="1:2">
      <c r="A507" s="5">
        <v>51012</v>
      </c>
      <c r="B507" s="6" t="s">
        <v>56</v>
      </c>
    </row>
    <row r="508" spans="1:2">
      <c r="A508" s="5">
        <v>51051</v>
      </c>
      <c r="B508" s="6" t="s">
        <v>57</v>
      </c>
    </row>
    <row r="509" spans="1:2">
      <c r="A509" s="5">
        <v>51075</v>
      </c>
      <c r="B509" s="6" t="s">
        <v>58</v>
      </c>
    </row>
    <row r="510" spans="1:2">
      <c r="A510" s="5">
        <v>51112</v>
      </c>
      <c r="B510" s="6" t="s">
        <v>59</v>
      </c>
    </row>
    <row r="511" spans="1:2">
      <c r="A511" s="5">
        <v>51129</v>
      </c>
      <c r="B511" s="6" t="s">
        <v>60</v>
      </c>
    </row>
    <row r="512" spans="1:2">
      <c r="A512" s="5">
        <v>51136</v>
      </c>
      <c r="B512" s="6" t="s">
        <v>64</v>
      </c>
    </row>
    <row r="513" spans="1:2">
      <c r="A513" s="5">
        <v>51224</v>
      </c>
      <c r="B513" s="6" t="s">
        <v>51</v>
      </c>
    </row>
    <row r="514" spans="1:2">
      <c r="A514" s="5">
        <v>51225</v>
      </c>
      <c r="B514" s="6" t="s">
        <v>52</v>
      </c>
    </row>
    <row r="515" spans="1:2">
      <c r="A515" s="5">
        <v>51257</v>
      </c>
      <c r="B515" s="6" t="s">
        <v>53</v>
      </c>
    </row>
    <row r="516" spans="1:2">
      <c r="A516" s="5">
        <v>51316</v>
      </c>
      <c r="B516" s="6" t="s">
        <v>54</v>
      </c>
    </row>
    <row r="517" spans="1:2">
      <c r="A517" s="5">
        <v>51345</v>
      </c>
      <c r="B517" s="6" t="s">
        <v>55</v>
      </c>
    </row>
    <row r="518" spans="1:2">
      <c r="A518" s="5">
        <v>51346</v>
      </c>
      <c r="B518" s="6" t="s">
        <v>55</v>
      </c>
    </row>
    <row r="519" spans="1:2">
      <c r="A519" s="5">
        <v>51378</v>
      </c>
      <c r="B519" s="6" t="s">
        <v>56</v>
      </c>
    </row>
    <row r="520" spans="1:2">
      <c r="A520" s="5">
        <v>51417</v>
      </c>
      <c r="B520" s="6" t="s">
        <v>57</v>
      </c>
    </row>
    <row r="521" spans="1:2">
      <c r="A521" s="5">
        <v>51441</v>
      </c>
      <c r="B521" s="6" t="s">
        <v>58</v>
      </c>
    </row>
    <row r="522" spans="1:2">
      <c r="A522" s="5">
        <v>51478</v>
      </c>
      <c r="B522" s="6" t="s">
        <v>59</v>
      </c>
    </row>
    <row r="523" spans="1:2">
      <c r="A523" s="5">
        <v>51495</v>
      </c>
      <c r="B523" s="6" t="s">
        <v>60</v>
      </c>
    </row>
    <row r="524" spans="1:2">
      <c r="A524" s="5">
        <v>51502</v>
      </c>
      <c r="B524" s="6" t="s">
        <v>50</v>
      </c>
    </row>
    <row r="525" spans="1:2">
      <c r="A525" s="5">
        <v>51609</v>
      </c>
      <c r="B525" s="6" t="s">
        <v>51</v>
      </c>
    </row>
    <row r="526" spans="1:2">
      <c r="A526" s="5">
        <v>51610</v>
      </c>
      <c r="B526" s="6" t="s">
        <v>52</v>
      </c>
    </row>
    <row r="527" spans="1:2">
      <c r="A527" s="5">
        <v>51622</v>
      </c>
      <c r="B527" s="6" t="s">
        <v>53</v>
      </c>
    </row>
    <row r="528" spans="1:2">
      <c r="A528" s="5">
        <v>51681</v>
      </c>
      <c r="B528" s="6" t="s">
        <v>54</v>
      </c>
    </row>
    <row r="529" spans="1:2">
      <c r="A529" s="5">
        <v>51710</v>
      </c>
      <c r="B529" s="6" t="s">
        <v>55</v>
      </c>
    </row>
    <row r="530" spans="1:2">
      <c r="A530" s="5">
        <v>51711</v>
      </c>
      <c r="B530" s="6" t="s">
        <v>55</v>
      </c>
    </row>
    <row r="531" spans="1:2">
      <c r="A531" s="5">
        <v>51743</v>
      </c>
      <c r="B531" s="6" t="s">
        <v>56</v>
      </c>
    </row>
    <row r="532" spans="1:2">
      <c r="A532" s="5">
        <v>51782</v>
      </c>
      <c r="B532" s="6" t="s">
        <v>57</v>
      </c>
    </row>
    <row r="533" spans="1:2">
      <c r="A533" s="5">
        <v>51806</v>
      </c>
      <c r="B533" s="6" t="s">
        <v>58</v>
      </c>
    </row>
    <row r="534" spans="1:2">
      <c r="A534" s="5">
        <v>51843</v>
      </c>
      <c r="B534" s="6" t="s">
        <v>59</v>
      </c>
    </row>
    <row r="535" spans="1:2">
      <c r="A535" s="5">
        <v>51860</v>
      </c>
      <c r="B535" s="6" t="s">
        <v>60</v>
      </c>
    </row>
    <row r="536" spans="1:2">
      <c r="A536" s="5">
        <v>51867</v>
      </c>
      <c r="B536" s="6" t="s">
        <v>50</v>
      </c>
    </row>
    <row r="537" spans="1:2">
      <c r="A537" s="5">
        <v>51959</v>
      </c>
      <c r="B537" s="6" t="s">
        <v>51</v>
      </c>
    </row>
    <row r="538" spans="1:2">
      <c r="A538" s="5">
        <v>51960</v>
      </c>
      <c r="B538" s="6" t="s">
        <v>52</v>
      </c>
    </row>
    <row r="539" spans="1:2">
      <c r="A539" s="5">
        <v>51987</v>
      </c>
      <c r="B539" s="6" t="s">
        <v>53</v>
      </c>
    </row>
    <row r="540" spans="1:2">
      <c r="A540" s="5">
        <v>52046</v>
      </c>
      <c r="B540" s="6" t="s">
        <v>54</v>
      </c>
    </row>
    <row r="541" spans="1:2">
      <c r="A541" s="5">
        <v>52075</v>
      </c>
      <c r="B541" s="6" t="s">
        <v>55</v>
      </c>
    </row>
    <row r="542" spans="1:2">
      <c r="A542" s="5">
        <v>52076</v>
      </c>
      <c r="B542" s="6" t="s">
        <v>55</v>
      </c>
    </row>
    <row r="543" spans="1:2">
      <c r="A543" s="5">
        <v>52108</v>
      </c>
      <c r="B543" s="6" t="s">
        <v>56</v>
      </c>
    </row>
    <row r="544" spans="1:2">
      <c r="A544" s="5">
        <v>52147</v>
      </c>
      <c r="B544" s="6" t="s">
        <v>57</v>
      </c>
    </row>
    <row r="545" spans="1:2">
      <c r="A545" s="5">
        <v>52171</v>
      </c>
      <c r="B545" s="6" t="s">
        <v>58</v>
      </c>
    </row>
    <row r="546" spans="1:2">
      <c r="A546" s="5">
        <v>52208</v>
      </c>
      <c r="B546" s="6" t="s">
        <v>59</v>
      </c>
    </row>
    <row r="547" spans="1:2">
      <c r="A547" s="5">
        <v>52225</v>
      </c>
      <c r="B547" s="6" t="s">
        <v>60</v>
      </c>
    </row>
    <row r="548" spans="1:2">
      <c r="A548" s="5">
        <v>52232</v>
      </c>
      <c r="B548" s="6" t="s">
        <v>50</v>
      </c>
    </row>
    <row r="549" spans="1:2">
      <c r="A549" s="5">
        <v>52316</v>
      </c>
      <c r="B549" s="6" t="s">
        <v>51</v>
      </c>
    </row>
    <row r="550" spans="1:2">
      <c r="A550" s="5">
        <v>52317</v>
      </c>
      <c r="B550" s="6" t="s">
        <v>52</v>
      </c>
    </row>
    <row r="551" spans="1:2">
      <c r="A551" s="5">
        <v>52352</v>
      </c>
      <c r="B551" s="6" t="s">
        <v>53</v>
      </c>
    </row>
    <row r="552" spans="1:2">
      <c r="A552" s="5">
        <v>52411</v>
      </c>
      <c r="B552" s="6" t="s">
        <v>54</v>
      </c>
    </row>
    <row r="553" spans="1:2">
      <c r="A553" s="5">
        <v>52440</v>
      </c>
      <c r="B553" s="6" t="s">
        <v>55</v>
      </c>
    </row>
    <row r="554" spans="1:2">
      <c r="A554" s="5">
        <v>52441</v>
      </c>
      <c r="B554" s="6" t="s">
        <v>55</v>
      </c>
    </row>
    <row r="555" spans="1:2">
      <c r="A555" s="5">
        <v>52473</v>
      </c>
      <c r="B555" s="6" t="s">
        <v>56</v>
      </c>
    </row>
    <row r="556" spans="1:2">
      <c r="A556" s="5">
        <v>52512</v>
      </c>
      <c r="B556" s="6" t="s">
        <v>57</v>
      </c>
    </row>
    <row r="557" spans="1:2">
      <c r="A557" s="5">
        <v>52536</v>
      </c>
      <c r="B557" s="6" t="s">
        <v>58</v>
      </c>
    </row>
    <row r="558" spans="1:2">
      <c r="A558" s="5">
        <v>52573</v>
      </c>
      <c r="B558" s="6" t="s">
        <v>59</v>
      </c>
    </row>
    <row r="559" spans="1:2">
      <c r="A559" s="5">
        <v>52590</v>
      </c>
      <c r="B559" s="6" t="s">
        <v>60</v>
      </c>
    </row>
    <row r="560" spans="1:2">
      <c r="A560" s="5">
        <v>52597</v>
      </c>
      <c r="B560" s="6" t="s">
        <v>50</v>
      </c>
    </row>
    <row r="561" spans="1:2">
      <c r="A561" s="5">
        <v>52701</v>
      </c>
      <c r="B561" s="6" t="s">
        <v>51</v>
      </c>
    </row>
    <row r="562" spans="1:2">
      <c r="A562" s="5">
        <v>52702</v>
      </c>
      <c r="B562" s="6" t="s">
        <v>52</v>
      </c>
    </row>
    <row r="563" spans="1:2">
      <c r="A563" s="5">
        <v>52718</v>
      </c>
      <c r="B563" s="6" t="s">
        <v>53</v>
      </c>
    </row>
    <row r="564" spans="1:2">
      <c r="A564" s="5">
        <v>52777</v>
      </c>
      <c r="B564" s="6" t="s">
        <v>54</v>
      </c>
    </row>
    <row r="565" spans="1:2">
      <c r="A565" s="5">
        <v>52806</v>
      </c>
      <c r="B565" s="6" t="s">
        <v>55</v>
      </c>
    </row>
    <row r="566" spans="1:2">
      <c r="A566" s="5">
        <v>52807</v>
      </c>
      <c r="B566" s="6" t="s">
        <v>55</v>
      </c>
    </row>
    <row r="567" spans="1:2">
      <c r="A567" s="5">
        <v>52839</v>
      </c>
      <c r="B567" s="6" t="s">
        <v>56</v>
      </c>
    </row>
    <row r="568" spans="1:2">
      <c r="A568" s="5">
        <v>52878</v>
      </c>
      <c r="B568" s="6" t="s">
        <v>57</v>
      </c>
    </row>
    <row r="569" spans="1:2">
      <c r="A569" s="5">
        <v>52902</v>
      </c>
      <c r="B569" s="6" t="s">
        <v>58</v>
      </c>
    </row>
    <row r="570" spans="1:2">
      <c r="A570" s="5">
        <v>52939</v>
      </c>
      <c r="B570" s="6" t="s">
        <v>59</v>
      </c>
    </row>
    <row r="571" spans="1:2">
      <c r="A571" s="5">
        <v>52956</v>
      </c>
      <c r="B571" s="6" t="s">
        <v>60</v>
      </c>
    </row>
    <row r="572" spans="1:2">
      <c r="A572" s="5">
        <v>52963</v>
      </c>
      <c r="B572" s="6" t="s">
        <v>64</v>
      </c>
    </row>
    <row r="573" spans="1:2">
      <c r="A573" s="5">
        <v>53058</v>
      </c>
      <c r="B573" s="6" t="s">
        <v>51</v>
      </c>
    </row>
    <row r="574" spans="1:2">
      <c r="A574" s="5">
        <v>53059</v>
      </c>
      <c r="B574" s="6" t="s">
        <v>52</v>
      </c>
    </row>
    <row r="575" spans="1:2">
      <c r="A575" s="5">
        <v>53083</v>
      </c>
      <c r="B575" s="6" t="s">
        <v>53</v>
      </c>
    </row>
    <row r="576" spans="1:2">
      <c r="A576" s="5">
        <v>53142</v>
      </c>
      <c r="B576" s="6" t="s">
        <v>54</v>
      </c>
    </row>
    <row r="577" spans="1:2">
      <c r="A577" s="5">
        <v>53171</v>
      </c>
      <c r="B577" s="6" t="s">
        <v>55</v>
      </c>
    </row>
    <row r="578" spans="1:2">
      <c r="A578" s="5">
        <v>53172</v>
      </c>
      <c r="B578" s="6" t="s">
        <v>55</v>
      </c>
    </row>
    <row r="579" spans="1:2">
      <c r="A579" s="5">
        <v>53204</v>
      </c>
      <c r="B579" s="6" t="s">
        <v>56</v>
      </c>
    </row>
    <row r="580" spans="1:2">
      <c r="A580" s="5">
        <v>53243</v>
      </c>
      <c r="B580" s="6" t="s">
        <v>57</v>
      </c>
    </row>
    <row r="581" spans="1:2">
      <c r="A581" s="5">
        <v>53267</v>
      </c>
      <c r="B581" s="6" t="s">
        <v>58</v>
      </c>
    </row>
    <row r="582" spans="1:2">
      <c r="A582" s="5">
        <v>53304</v>
      </c>
      <c r="B582" s="6" t="s">
        <v>59</v>
      </c>
    </row>
    <row r="583" spans="1:2">
      <c r="A583" s="5">
        <v>53321</v>
      </c>
      <c r="B583" s="6" t="s">
        <v>60</v>
      </c>
    </row>
    <row r="584" spans="1:2">
      <c r="A584" s="5">
        <v>53328</v>
      </c>
      <c r="B584" s="6" t="s">
        <v>50</v>
      </c>
    </row>
    <row r="585" spans="1:2">
      <c r="A585" s="5">
        <v>53408</v>
      </c>
      <c r="B585" s="6" t="s">
        <v>51</v>
      </c>
    </row>
    <row r="586" spans="1:2">
      <c r="A586" s="5">
        <v>53409</v>
      </c>
      <c r="B586" s="6" t="s">
        <v>52</v>
      </c>
    </row>
    <row r="587" spans="1:2">
      <c r="A587" s="5">
        <v>53448</v>
      </c>
      <c r="B587" s="6" t="s">
        <v>53</v>
      </c>
    </row>
    <row r="588" spans="1:2">
      <c r="A588" s="5">
        <v>53507</v>
      </c>
      <c r="B588" s="6" t="s">
        <v>54</v>
      </c>
    </row>
    <row r="589" spans="1:2">
      <c r="A589" s="5">
        <v>53536</v>
      </c>
      <c r="B589" s="6" t="s">
        <v>55</v>
      </c>
    </row>
    <row r="590" spans="1:2">
      <c r="A590" s="5">
        <v>53537</v>
      </c>
      <c r="B590" s="6" t="s">
        <v>55</v>
      </c>
    </row>
    <row r="591" spans="1:2">
      <c r="A591" s="5">
        <v>53569</v>
      </c>
      <c r="B591" s="6" t="s">
        <v>56</v>
      </c>
    </row>
    <row r="592" spans="1:2">
      <c r="A592" s="5">
        <v>53608</v>
      </c>
      <c r="B592" s="6" t="s">
        <v>57</v>
      </c>
    </row>
    <row r="593" spans="1:2">
      <c r="A593" s="5">
        <v>53632</v>
      </c>
      <c r="B593" s="6" t="s">
        <v>58</v>
      </c>
    </row>
    <row r="594" spans="1:2">
      <c r="A594" s="5">
        <v>53669</v>
      </c>
      <c r="B594" s="6" t="s">
        <v>59</v>
      </c>
    </row>
    <row r="595" spans="1:2">
      <c r="A595" s="5">
        <v>53686</v>
      </c>
      <c r="B595" s="6" t="s">
        <v>60</v>
      </c>
    </row>
    <row r="596" spans="1:2">
      <c r="A596" s="5">
        <v>53693</v>
      </c>
      <c r="B596" s="6" t="s">
        <v>50</v>
      </c>
    </row>
    <row r="597" spans="1:2">
      <c r="A597" s="5">
        <v>53793</v>
      </c>
      <c r="B597" s="6" t="s">
        <v>51</v>
      </c>
    </row>
    <row r="598" spans="1:2">
      <c r="A598" s="5">
        <v>53794</v>
      </c>
      <c r="B598" s="6" t="s">
        <v>52</v>
      </c>
    </row>
    <row r="599" spans="1:2">
      <c r="A599" s="5">
        <v>53813</v>
      </c>
      <c r="B599" s="6" t="s">
        <v>53</v>
      </c>
    </row>
    <row r="600" spans="1:2">
      <c r="A600" s="5">
        <v>53872</v>
      </c>
      <c r="B600" s="6" t="s">
        <v>54</v>
      </c>
    </row>
    <row r="601" spans="1:2">
      <c r="A601" s="5">
        <v>53901</v>
      </c>
      <c r="B601" s="6" t="s">
        <v>55</v>
      </c>
    </row>
    <row r="602" spans="1:2">
      <c r="A602" s="5">
        <v>53902</v>
      </c>
      <c r="B602" s="6" t="s">
        <v>55</v>
      </c>
    </row>
    <row r="603" spans="1:2">
      <c r="A603" s="5">
        <v>53934</v>
      </c>
      <c r="B603" s="6" t="s">
        <v>56</v>
      </c>
    </row>
    <row r="604" spans="1:2">
      <c r="A604" s="5">
        <v>53973</v>
      </c>
      <c r="B604" s="6" t="s">
        <v>57</v>
      </c>
    </row>
    <row r="605" spans="1:2">
      <c r="A605" s="5">
        <v>53997</v>
      </c>
      <c r="B605" s="6" t="s">
        <v>58</v>
      </c>
    </row>
    <row r="606" spans="1:2">
      <c r="A606" s="5">
        <v>54034</v>
      </c>
      <c r="B606" s="6" t="s">
        <v>59</v>
      </c>
    </row>
    <row r="607" spans="1:2">
      <c r="A607" s="5">
        <v>54051</v>
      </c>
      <c r="B607" s="6" t="s">
        <v>60</v>
      </c>
    </row>
    <row r="608" spans="1:2">
      <c r="A608" s="5">
        <v>54058</v>
      </c>
      <c r="B608" s="6" t="s">
        <v>50</v>
      </c>
    </row>
    <row r="609" spans="1:2">
      <c r="A609" s="5">
        <v>54150</v>
      </c>
      <c r="B609" s="6" t="s">
        <v>51</v>
      </c>
    </row>
    <row r="610" spans="1:2">
      <c r="A610" s="5">
        <v>54151</v>
      </c>
      <c r="B610" s="6" t="s">
        <v>52</v>
      </c>
    </row>
    <row r="611" spans="1:2">
      <c r="A611" s="5">
        <v>54179</v>
      </c>
      <c r="B611" s="6" t="s">
        <v>53</v>
      </c>
    </row>
    <row r="612" spans="1:2">
      <c r="A612" s="5">
        <v>54238</v>
      </c>
      <c r="B612" s="6" t="s">
        <v>54</v>
      </c>
    </row>
    <row r="613" spans="1:2">
      <c r="A613" s="5">
        <v>54267</v>
      </c>
      <c r="B613" s="6" t="s">
        <v>55</v>
      </c>
    </row>
    <row r="614" spans="1:2">
      <c r="A614" s="5">
        <v>54268</v>
      </c>
      <c r="B614" s="6" t="s">
        <v>55</v>
      </c>
    </row>
    <row r="615" spans="1:2">
      <c r="A615" s="5">
        <v>54300</v>
      </c>
      <c r="B615" s="6" t="s">
        <v>56</v>
      </c>
    </row>
    <row r="616" spans="1:2">
      <c r="A616" s="5">
        <v>54339</v>
      </c>
      <c r="B616" s="6" t="s">
        <v>57</v>
      </c>
    </row>
    <row r="617" spans="1:2">
      <c r="A617" s="5">
        <v>54363</v>
      </c>
      <c r="B617" s="6" t="s">
        <v>58</v>
      </c>
    </row>
    <row r="618" spans="1:2">
      <c r="A618" s="5">
        <v>54400</v>
      </c>
      <c r="B618" s="6" t="s">
        <v>59</v>
      </c>
    </row>
    <row r="619" spans="1:2">
      <c r="A619" s="5">
        <v>54417</v>
      </c>
      <c r="B619" s="6" t="s">
        <v>60</v>
      </c>
    </row>
    <row r="620" spans="1:2">
      <c r="A620" s="5">
        <v>54424</v>
      </c>
      <c r="B620" s="6" t="s">
        <v>50</v>
      </c>
    </row>
    <row r="621" spans="1:2">
      <c r="A621" s="5">
        <v>54528</v>
      </c>
      <c r="B621" s="6" t="s">
        <v>51</v>
      </c>
    </row>
    <row r="622" spans="1:2">
      <c r="A622" s="5">
        <v>54529</v>
      </c>
      <c r="B622" s="6" t="s">
        <v>52</v>
      </c>
    </row>
    <row r="623" spans="1:2">
      <c r="A623" s="5">
        <v>54544</v>
      </c>
      <c r="B623" s="6" t="s">
        <v>53</v>
      </c>
    </row>
    <row r="624" spans="1:2">
      <c r="A624" s="5">
        <v>54603</v>
      </c>
      <c r="B624" s="6" t="s">
        <v>54</v>
      </c>
    </row>
    <row r="625" spans="1:2">
      <c r="A625" s="5">
        <v>54632</v>
      </c>
      <c r="B625" s="6" t="s">
        <v>55</v>
      </c>
    </row>
    <row r="626" spans="1:2">
      <c r="A626" s="5">
        <v>54633</v>
      </c>
      <c r="B626" s="6" t="s">
        <v>55</v>
      </c>
    </row>
    <row r="627" spans="1:2">
      <c r="A627" s="5">
        <v>54665</v>
      </c>
      <c r="B627" s="6" t="s">
        <v>56</v>
      </c>
    </row>
    <row r="628" spans="1:2">
      <c r="A628" s="5">
        <v>54704</v>
      </c>
      <c r="B628" s="6" t="s">
        <v>57</v>
      </c>
    </row>
    <row r="629" spans="1:2">
      <c r="A629" s="5">
        <v>54728</v>
      </c>
      <c r="B629" s="6" t="s">
        <v>58</v>
      </c>
    </row>
    <row r="630" spans="1:2">
      <c r="A630" s="5">
        <v>54765</v>
      </c>
      <c r="B630" s="6" t="s">
        <v>59</v>
      </c>
    </row>
    <row r="631" spans="1:2">
      <c r="A631" s="5">
        <v>54782</v>
      </c>
      <c r="B631" s="6" t="s">
        <v>60</v>
      </c>
    </row>
    <row r="632" spans="1:2">
      <c r="A632" s="5">
        <v>54789</v>
      </c>
      <c r="B632" s="6" t="s">
        <v>50</v>
      </c>
    </row>
    <row r="633" spans="1:2">
      <c r="A633" s="5">
        <v>54885</v>
      </c>
      <c r="B633" s="6" t="s">
        <v>51</v>
      </c>
    </row>
    <row r="634" spans="1:2">
      <c r="A634" s="5">
        <v>54886</v>
      </c>
      <c r="B634" s="6" t="s">
        <v>52</v>
      </c>
    </row>
    <row r="635" spans="1:2">
      <c r="A635" s="5">
        <v>54909</v>
      </c>
      <c r="B635" s="6" t="s">
        <v>53</v>
      </c>
    </row>
    <row r="636" spans="1:2">
      <c r="A636" s="5">
        <v>54968</v>
      </c>
      <c r="B636" s="6" t="s">
        <v>54</v>
      </c>
    </row>
    <row r="637" spans="1:2">
      <c r="A637" s="5">
        <v>54997</v>
      </c>
      <c r="B637" s="6" t="s">
        <v>55</v>
      </c>
    </row>
    <row r="638" spans="1:2">
      <c r="A638" s="5">
        <v>54998</v>
      </c>
      <c r="B638" s="6" t="s">
        <v>55</v>
      </c>
    </row>
    <row r="639" spans="1:2">
      <c r="A639" s="5">
        <v>55030</v>
      </c>
      <c r="B639" s="6" t="s">
        <v>56</v>
      </c>
    </row>
    <row r="640" spans="1:2">
      <c r="A640" s="5">
        <v>55069</v>
      </c>
      <c r="B640" s="6" t="s">
        <v>57</v>
      </c>
    </row>
    <row r="641" spans="1:2">
      <c r="A641" s="5">
        <v>55093</v>
      </c>
      <c r="B641" s="6" t="s">
        <v>58</v>
      </c>
    </row>
    <row r="642" spans="1:2">
      <c r="A642" s="5">
        <v>55130</v>
      </c>
      <c r="B642" s="6" t="s">
        <v>59</v>
      </c>
    </row>
    <row r="643" spans="1:2">
      <c r="A643" s="5">
        <v>55147</v>
      </c>
      <c r="B643" s="6" t="s">
        <v>60</v>
      </c>
    </row>
    <row r="644" spans="1:2">
      <c r="A644" s="5">
        <v>55154</v>
      </c>
      <c r="B644" s="6" t="s">
        <v>64</v>
      </c>
    </row>
    <row r="645" spans="1:2">
      <c r="A645" s="5">
        <v>55242</v>
      </c>
      <c r="B645" s="6" t="s">
        <v>51</v>
      </c>
    </row>
    <row r="646" spans="1:2">
      <c r="A646" s="5">
        <v>55243</v>
      </c>
      <c r="B646" s="6" t="s">
        <v>52</v>
      </c>
    </row>
    <row r="647" spans="1:2">
      <c r="A647" s="5">
        <v>55274</v>
      </c>
      <c r="B647" s="6" t="s">
        <v>53</v>
      </c>
    </row>
    <row r="648" spans="1:2">
      <c r="A648" s="5">
        <v>55333</v>
      </c>
      <c r="B648" s="6" t="s">
        <v>54</v>
      </c>
    </row>
    <row r="649" spans="1:2">
      <c r="A649" s="5">
        <v>55362</v>
      </c>
      <c r="B649" s="6" t="s">
        <v>55</v>
      </c>
    </row>
    <row r="650" spans="1:2">
      <c r="A650" s="5">
        <v>55363</v>
      </c>
      <c r="B650" s="6" t="s">
        <v>55</v>
      </c>
    </row>
    <row r="651" spans="1:2">
      <c r="A651" s="5">
        <v>55395</v>
      </c>
      <c r="B651" s="6" t="s">
        <v>56</v>
      </c>
    </row>
    <row r="652" spans="1:2">
      <c r="A652" s="5">
        <v>55434</v>
      </c>
      <c r="B652" s="6" t="s">
        <v>57</v>
      </c>
    </row>
    <row r="653" spans="1:2">
      <c r="A653" s="5">
        <v>55458</v>
      </c>
      <c r="B653" s="6" t="s">
        <v>58</v>
      </c>
    </row>
    <row r="654" spans="1:2">
      <c r="A654" s="5">
        <v>55495</v>
      </c>
      <c r="B654" s="6" t="s">
        <v>59</v>
      </c>
    </row>
    <row r="655" spans="1:2">
      <c r="A655" s="5">
        <v>55512</v>
      </c>
      <c r="B655" s="6" t="s">
        <v>60</v>
      </c>
    </row>
    <row r="656" spans="1:2">
      <c r="A656" s="5">
        <v>55519</v>
      </c>
      <c r="B656" s="6" t="s">
        <v>50</v>
      </c>
    </row>
    <row r="657" spans="1:2">
      <c r="A657" s="5">
        <v>55627</v>
      </c>
      <c r="B657" s="6" t="s">
        <v>51</v>
      </c>
    </row>
    <row r="658" spans="1:2">
      <c r="A658" s="5">
        <v>55628</v>
      </c>
      <c r="B658" s="6" t="s">
        <v>52</v>
      </c>
    </row>
    <row r="659" spans="1:2">
      <c r="A659" s="5">
        <v>55640</v>
      </c>
      <c r="B659" s="6" t="s">
        <v>53</v>
      </c>
    </row>
    <row r="660" spans="1:2">
      <c r="A660" s="5">
        <v>55699</v>
      </c>
      <c r="B660" s="6" t="s">
        <v>54</v>
      </c>
    </row>
    <row r="661" spans="1:2">
      <c r="A661" s="5">
        <v>55728</v>
      </c>
      <c r="B661" s="6" t="s">
        <v>55</v>
      </c>
    </row>
    <row r="662" spans="1:2">
      <c r="A662" s="5">
        <v>55729</v>
      </c>
      <c r="B662" s="6" t="s">
        <v>55</v>
      </c>
    </row>
    <row r="663" spans="1:2">
      <c r="A663" s="5">
        <v>55761</v>
      </c>
      <c r="B663" s="6" t="s">
        <v>56</v>
      </c>
    </row>
    <row r="664" spans="1:2">
      <c r="A664" s="5">
        <v>55800</v>
      </c>
      <c r="B664" s="6" t="s">
        <v>57</v>
      </c>
    </row>
    <row r="665" spans="1:2">
      <c r="A665" s="5">
        <v>55824</v>
      </c>
      <c r="B665" s="6" t="s">
        <v>58</v>
      </c>
    </row>
    <row r="666" spans="1:2">
      <c r="A666" s="5">
        <v>55861</v>
      </c>
      <c r="B666" s="6" t="s">
        <v>59</v>
      </c>
    </row>
    <row r="667" spans="1:2">
      <c r="A667" s="5">
        <v>55878</v>
      </c>
      <c r="B667" s="6" t="s">
        <v>60</v>
      </c>
    </row>
    <row r="668" spans="1:2">
      <c r="A668" s="5">
        <v>55885</v>
      </c>
      <c r="B668" s="6" t="s">
        <v>50</v>
      </c>
    </row>
    <row r="669" spans="1:2">
      <c r="A669" s="5">
        <v>55977</v>
      </c>
      <c r="B669" s="6" t="s">
        <v>51</v>
      </c>
    </row>
    <row r="670" spans="1:2">
      <c r="A670" s="5">
        <v>55978</v>
      </c>
      <c r="B670" s="6" t="s">
        <v>52</v>
      </c>
    </row>
    <row r="671" spans="1:2">
      <c r="A671" s="5">
        <v>56005</v>
      </c>
      <c r="B671" s="6" t="s">
        <v>53</v>
      </c>
    </row>
    <row r="672" spans="1:2">
      <c r="A672" s="5">
        <v>56064</v>
      </c>
      <c r="B672" s="6" t="s">
        <v>54</v>
      </c>
    </row>
    <row r="673" spans="1:2">
      <c r="A673" s="5">
        <v>56093</v>
      </c>
      <c r="B673" s="6" t="s">
        <v>55</v>
      </c>
    </row>
    <row r="674" spans="1:2">
      <c r="A674" s="5">
        <v>56094</v>
      </c>
      <c r="B674" s="6" t="s">
        <v>55</v>
      </c>
    </row>
    <row r="675" spans="1:2">
      <c r="A675" s="5">
        <v>56126</v>
      </c>
      <c r="B675" s="6" t="s">
        <v>56</v>
      </c>
    </row>
    <row r="676" spans="1:2">
      <c r="A676" s="5">
        <v>56165</v>
      </c>
      <c r="B676" s="6" t="s">
        <v>57</v>
      </c>
    </row>
    <row r="677" spans="1:2">
      <c r="A677" s="5">
        <v>56189</v>
      </c>
      <c r="B677" s="6" t="s">
        <v>58</v>
      </c>
    </row>
    <row r="678" spans="1:2">
      <c r="A678" s="5">
        <v>56226</v>
      </c>
      <c r="B678" s="6" t="s">
        <v>59</v>
      </c>
    </row>
    <row r="679" spans="1:2">
      <c r="A679" s="5">
        <v>56243</v>
      </c>
      <c r="B679" s="6" t="s">
        <v>60</v>
      </c>
    </row>
    <row r="680" spans="1:2">
      <c r="A680" s="5">
        <v>56250</v>
      </c>
      <c r="B680" s="6" t="s">
        <v>50</v>
      </c>
    </row>
    <row r="681" spans="1:2">
      <c r="A681" s="5">
        <v>56334</v>
      </c>
      <c r="B681" s="6" t="s">
        <v>51</v>
      </c>
    </row>
    <row r="682" spans="1:2">
      <c r="A682" s="5">
        <v>56335</v>
      </c>
      <c r="B682" s="6" t="s">
        <v>52</v>
      </c>
    </row>
    <row r="683" spans="1:2">
      <c r="A683" s="5">
        <v>56370</v>
      </c>
      <c r="B683" s="6" t="s">
        <v>53</v>
      </c>
    </row>
    <row r="684" spans="1:2">
      <c r="A684" s="5">
        <v>56429</v>
      </c>
      <c r="B684" s="6" t="s">
        <v>54</v>
      </c>
    </row>
    <row r="685" spans="1:2">
      <c r="A685" s="5">
        <v>56458</v>
      </c>
      <c r="B685" s="6" t="s">
        <v>55</v>
      </c>
    </row>
    <row r="686" spans="1:2">
      <c r="A686" s="5">
        <v>56459</v>
      </c>
      <c r="B686" s="6" t="s">
        <v>55</v>
      </c>
    </row>
    <row r="687" spans="1:2">
      <c r="A687" s="5">
        <v>56491</v>
      </c>
      <c r="B687" s="6" t="s">
        <v>56</v>
      </c>
    </row>
    <row r="688" spans="1:2">
      <c r="A688" s="5">
        <v>56530</v>
      </c>
      <c r="B688" s="6" t="s">
        <v>57</v>
      </c>
    </row>
    <row r="689" spans="1:2">
      <c r="A689" s="5">
        <v>56554</v>
      </c>
      <c r="B689" s="6" t="s">
        <v>58</v>
      </c>
    </row>
    <row r="690" spans="1:2">
      <c r="A690" s="5">
        <v>56591</v>
      </c>
      <c r="B690" s="6" t="s">
        <v>59</v>
      </c>
    </row>
    <row r="691" spans="1:2">
      <c r="A691" s="5">
        <v>56608</v>
      </c>
      <c r="B691" s="6" t="s">
        <v>60</v>
      </c>
    </row>
    <row r="692" spans="1:2">
      <c r="A692" s="5">
        <v>56615</v>
      </c>
      <c r="B692" s="6" t="s">
        <v>50</v>
      </c>
    </row>
    <row r="693" spans="1:2">
      <c r="A693" s="5">
        <v>56719</v>
      </c>
      <c r="B693" s="6" t="s">
        <v>51</v>
      </c>
    </row>
    <row r="694" spans="1:2">
      <c r="A694" s="5">
        <v>56720</v>
      </c>
      <c r="B694" s="6" t="s">
        <v>52</v>
      </c>
    </row>
    <row r="695" spans="1:2">
      <c r="A695" s="5">
        <v>56735</v>
      </c>
      <c r="B695" s="6" t="s">
        <v>53</v>
      </c>
    </row>
    <row r="696" spans="1:2">
      <c r="A696" s="5">
        <v>56794</v>
      </c>
      <c r="B696" s="6" t="s">
        <v>54</v>
      </c>
    </row>
    <row r="697" spans="1:2">
      <c r="A697" s="5">
        <v>56823</v>
      </c>
      <c r="B697" s="6" t="s">
        <v>55</v>
      </c>
    </row>
    <row r="698" spans="1:2">
      <c r="A698" s="5">
        <v>56824</v>
      </c>
      <c r="B698" s="6" t="s">
        <v>55</v>
      </c>
    </row>
    <row r="699" spans="1:2">
      <c r="A699" s="5">
        <v>56856</v>
      </c>
      <c r="B699" s="6" t="s">
        <v>56</v>
      </c>
    </row>
    <row r="700" spans="1:2">
      <c r="A700" s="5">
        <v>56895</v>
      </c>
      <c r="B700" s="6" t="s">
        <v>57</v>
      </c>
    </row>
    <row r="701" spans="1:2">
      <c r="A701" s="5">
        <v>56919</v>
      </c>
      <c r="B701" s="6" t="s">
        <v>58</v>
      </c>
    </row>
    <row r="702" spans="1:2">
      <c r="A702" s="5">
        <v>56956</v>
      </c>
      <c r="B702" s="6" t="s">
        <v>59</v>
      </c>
    </row>
    <row r="703" spans="1:2">
      <c r="A703" s="5">
        <v>56973</v>
      </c>
      <c r="B703" s="6" t="s">
        <v>60</v>
      </c>
    </row>
    <row r="704" spans="1:2">
      <c r="A704" s="5">
        <v>56980</v>
      </c>
      <c r="B704" s="6" t="s">
        <v>50</v>
      </c>
    </row>
    <row r="705" spans="1:2">
      <c r="A705" s="5">
        <v>57069</v>
      </c>
      <c r="B705" s="6" t="s">
        <v>51</v>
      </c>
    </row>
    <row r="706" spans="1:2">
      <c r="A706" s="5">
        <v>57070</v>
      </c>
      <c r="B706" s="6" t="s">
        <v>52</v>
      </c>
    </row>
    <row r="707" spans="1:2">
      <c r="A707" s="5">
        <v>57101</v>
      </c>
      <c r="B707" s="6" t="s">
        <v>53</v>
      </c>
    </row>
    <row r="708" spans="1:2">
      <c r="A708" s="5">
        <v>57160</v>
      </c>
      <c r="B708" s="6" t="s">
        <v>54</v>
      </c>
    </row>
    <row r="709" spans="1:2">
      <c r="A709" s="5">
        <v>57189</v>
      </c>
      <c r="B709" s="6" t="s">
        <v>55</v>
      </c>
    </row>
    <row r="710" spans="1:2">
      <c r="A710" s="5">
        <v>57190</v>
      </c>
      <c r="B710" s="6" t="s">
        <v>55</v>
      </c>
    </row>
    <row r="711" spans="1:2">
      <c r="A711" s="5">
        <v>57222</v>
      </c>
      <c r="B711" s="6" t="s">
        <v>56</v>
      </c>
    </row>
    <row r="712" spans="1:2">
      <c r="A712" s="5">
        <v>57261</v>
      </c>
      <c r="B712" s="6" t="s">
        <v>57</v>
      </c>
    </row>
    <row r="713" spans="1:2">
      <c r="A713" s="5">
        <v>57285</v>
      </c>
      <c r="B713" s="6" t="s">
        <v>58</v>
      </c>
    </row>
    <row r="714" spans="1:2">
      <c r="A714" s="5">
        <v>57322</v>
      </c>
      <c r="B714" s="6" t="s">
        <v>59</v>
      </c>
    </row>
    <row r="715" spans="1:2">
      <c r="A715" s="5">
        <v>57339</v>
      </c>
      <c r="B715" s="6" t="s">
        <v>60</v>
      </c>
    </row>
    <row r="716" spans="1:2">
      <c r="A716" s="5">
        <v>57346</v>
      </c>
      <c r="B716" s="6" t="s">
        <v>50</v>
      </c>
    </row>
    <row r="717" spans="1:2">
      <c r="A717" s="5">
        <v>57454</v>
      </c>
      <c r="B717" s="6" t="s">
        <v>51</v>
      </c>
    </row>
    <row r="718" spans="1:2">
      <c r="A718" s="5">
        <v>57455</v>
      </c>
      <c r="B718" s="6" t="s">
        <v>52</v>
      </c>
    </row>
    <row r="719" spans="1:2">
      <c r="A719" s="5">
        <v>57466</v>
      </c>
      <c r="B719" s="6" t="s">
        <v>53</v>
      </c>
    </row>
    <row r="720" spans="1:2">
      <c r="A720" s="5">
        <v>57525</v>
      </c>
      <c r="B720" s="6" t="s">
        <v>54</v>
      </c>
    </row>
    <row r="721" spans="1:2">
      <c r="A721" s="5">
        <v>57554</v>
      </c>
      <c r="B721" s="6" t="s">
        <v>55</v>
      </c>
    </row>
    <row r="722" spans="1:2">
      <c r="A722" s="5">
        <v>57555</v>
      </c>
      <c r="B722" s="6" t="s">
        <v>55</v>
      </c>
    </row>
    <row r="723" spans="1:2">
      <c r="A723" s="5">
        <v>57587</v>
      </c>
      <c r="B723" s="6" t="s">
        <v>56</v>
      </c>
    </row>
    <row r="724" spans="1:2">
      <c r="A724" s="5">
        <v>57626</v>
      </c>
      <c r="B724" s="6" t="s">
        <v>57</v>
      </c>
    </row>
    <row r="725" spans="1:2">
      <c r="A725" s="5">
        <v>57650</v>
      </c>
      <c r="B725" s="6" t="s">
        <v>58</v>
      </c>
    </row>
    <row r="726" spans="1:2">
      <c r="A726" s="5">
        <v>57687</v>
      </c>
      <c r="B726" s="6" t="s">
        <v>59</v>
      </c>
    </row>
    <row r="727" spans="1:2">
      <c r="A727" s="5">
        <v>57704</v>
      </c>
      <c r="B727" s="6" t="s">
        <v>60</v>
      </c>
    </row>
    <row r="728" spans="1:2">
      <c r="A728" s="5">
        <v>57711</v>
      </c>
      <c r="B728" s="6" t="s">
        <v>50</v>
      </c>
    </row>
    <row r="729" spans="1:2">
      <c r="A729" s="5">
        <v>57811</v>
      </c>
      <c r="B729" s="6" t="s">
        <v>51</v>
      </c>
    </row>
    <row r="730" spans="1:2">
      <c r="A730" s="5">
        <v>57812</v>
      </c>
      <c r="B730" s="6" t="s">
        <v>52</v>
      </c>
    </row>
    <row r="731" spans="1:2">
      <c r="A731" s="5">
        <v>57831</v>
      </c>
      <c r="B731" s="6" t="s">
        <v>53</v>
      </c>
    </row>
    <row r="732" spans="1:2">
      <c r="A732" s="5">
        <v>57890</v>
      </c>
      <c r="B732" s="6" t="s">
        <v>54</v>
      </c>
    </row>
    <row r="733" spans="1:2">
      <c r="A733" s="5">
        <v>57919</v>
      </c>
      <c r="B733" s="6" t="s">
        <v>55</v>
      </c>
    </row>
    <row r="734" spans="1:2">
      <c r="A734" s="5">
        <v>57920</v>
      </c>
      <c r="B734" s="6" t="s">
        <v>55</v>
      </c>
    </row>
    <row r="735" spans="1:2">
      <c r="A735" s="5">
        <v>57952</v>
      </c>
      <c r="B735" s="6" t="s">
        <v>56</v>
      </c>
    </row>
    <row r="736" spans="1:2">
      <c r="A736" s="5">
        <v>57991</v>
      </c>
      <c r="B736" s="6" t="s">
        <v>57</v>
      </c>
    </row>
    <row r="737" spans="1:2">
      <c r="A737" s="5">
        <v>58015</v>
      </c>
      <c r="B737" s="6" t="s">
        <v>58</v>
      </c>
    </row>
    <row r="738" spans="1:2">
      <c r="A738" s="5">
        <v>58052</v>
      </c>
      <c r="B738" s="6" t="s">
        <v>59</v>
      </c>
    </row>
    <row r="739" spans="1:2">
      <c r="A739" s="5">
        <v>58069</v>
      </c>
      <c r="B739" s="6" t="s">
        <v>60</v>
      </c>
    </row>
    <row r="740" spans="1:2">
      <c r="A740" s="5">
        <v>58076</v>
      </c>
      <c r="B740" s="6" t="s">
        <v>50</v>
      </c>
    </row>
    <row r="741" spans="1:2">
      <c r="A741" s="5">
        <v>58161</v>
      </c>
      <c r="B741" s="6" t="s">
        <v>51</v>
      </c>
    </row>
    <row r="742" spans="1:2">
      <c r="A742" s="5">
        <v>58162</v>
      </c>
      <c r="B742" s="6" t="s">
        <v>52</v>
      </c>
    </row>
    <row r="743" spans="1:2">
      <c r="A743" s="5">
        <v>58196</v>
      </c>
      <c r="B743" s="6" t="s">
        <v>53</v>
      </c>
    </row>
    <row r="744" spans="1:2">
      <c r="A744" s="5">
        <v>58255</v>
      </c>
      <c r="B744" s="6" t="s">
        <v>54</v>
      </c>
    </row>
    <row r="745" spans="1:2">
      <c r="A745" s="5">
        <v>58284</v>
      </c>
      <c r="B745" s="6" t="s">
        <v>55</v>
      </c>
    </row>
    <row r="746" spans="1:2">
      <c r="A746" s="5">
        <v>58285</v>
      </c>
      <c r="B746" s="6" t="s">
        <v>55</v>
      </c>
    </row>
    <row r="747" spans="1:2">
      <c r="A747" s="5">
        <v>58317</v>
      </c>
      <c r="B747" s="6" t="s">
        <v>56</v>
      </c>
    </row>
    <row r="748" spans="1:2">
      <c r="A748" s="5">
        <v>58356</v>
      </c>
      <c r="B748" s="6" t="s">
        <v>57</v>
      </c>
    </row>
    <row r="749" spans="1:2">
      <c r="A749" s="5">
        <v>58380</v>
      </c>
      <c r="B749" s="6" t="s">
        <v>58</v>
      </c>
    </row>
    <row r="750" spans="1:2">
      <c r="A750" s="5">
        <v>58417</v>
      </c>
      <c r="B750" s="6" t="s">
        <v>59</v>
      </c>
    </row>
    <row r="751" spans="1:2">
      <c r="A751" s="5">
        <v>58434</v>
      </c>
      <c r="B751" s="6" t="s">
        <v>60</v>
      </c>
    </row>
    <row r="752" spans="1:2">
      <c r="A752" s="5">
        <v>58441</v>
      </c>
      <c r="B752" s="6" t="s">
        <v>50</v>
      </c>
    </row>
    <row r="753" spans="1:2">
      <c r="A753" s="5">
        <v>58546</v>
      </c>
      <c r="B753" s="6" t="s">
        <v>51</v>
      </c>
    </row>
    <row r="754" spans="1:2">
      <c r="A754" s="5">
        <v>58547</v>
      </c>
      <c r="B754" s="6" t="s">
        <v>52</v>
      </c>
    </row>
    <row r="755" spans="1:2">
      <c r="A755" s="5">
        <v>58562</v>
      </c>
      <c r="B755" s="6" t="s">
        <v>53</v>
      </c>
    </row>
    <row r="756" spans="1:2">
      <c r="A756" s="5">
        <v>58621</v>
      </c>
      <c r="B756" s="6" t="s">
        <v>54</v>
      </c>
    </row>
    <row r="757" spans="1:2">
      <c r="A757" s="5">
        <v>58650</v>
      </c>
      <c r="B757" s="6" t="s">
        <v>55</v>
      </c>
    </row>
    <row r="758" spans="1:2">
      <c r="A758" s="5">
        <v>58651</v>
      </c>
      <c r="B758" s="6" t="s">
        <v>55</v>
      </c>
    </row>
    <row r="759" spans="1:2">
      <c r="A759" s="5">
        <v>58683</v>
      </c>
      <c r="B759" s="6" t="s">
        <v>56</v>
      </c>
    </row>
    <row r="760" spans="1:2">
      <c r="A760" s="5">
        <v>58722</v>
      </c>
      <c r="B760" s="6" t="s">
        <v>57</v>
      </c>
    </row>
    <row r="761" spans="1:2">
      <c r="A761" s="5">
        <v>58746</v>
      </c>
      <c r="B761" s="6" t="s">
        <v>58</v>
      </c>
    </row>
    <row r="762" spans="1:2">
      <c r="A762" s="5">
        <v>58783</v>
      </c>
      <c r="B762" s="6" t="s">
        <v>59</v>
      </c>
    </row>
    <row r="763" spans="1:2">
      <c r="A763" s="5">
        <v>58800</v>
      </c>
      <c r="B763" s="6" t="s">
        <v>60</v>
      </c>
    </row>
    <row r="764" spans="1:2">
      <c r="A764" s="5">
        <v>58807</v>
      </c>
      <c r="B764" s="6" t="s">
        <v>50</v>
      </c>
    </row>
    <row r="765" spans="1:2">
      <c r="A765" s="5">
        <v>58903</v>
      </c>
      <c r="B765" s="6" t="s">
        <v>51</v>
      </c>
    </row>
    <row r="766" spans="1:2">
      <c r="A766" s="5">
        <v>58904</v>
      </c>
      <c r="B766" s="6" t="s">
        <v>52</v>
      </c>
    </row>
    <row r="767" spans="1:2">
      <c r="A767" s="5">
        <v>58927</v>
      </c>
      <c r="B767" s="6" t="s">
        <v>53</v>
      </c>
    </row>
    <row r="768" spans="1:2">
      <c r="A768" s="5">
        <v>58986</v>
      </c>
      <c r="B768" s="6" t="s">
        <v>54</v>
      </c>
    </row>
    <row r="769" spans="1:2">
      <c r="A769" s="5">
        <v>59015</v>
      </c>
      <c r="B769" s="6" t="s">
        <v>55</v>
      </c>
    </row>
    <row r="770" spans="1:2">
      <c r="A770" s="5">
        <v>59016</v>
      </c>
      <c r="B770" s="6" t="s">
        <v>55</v>
      </c>
    </row>
    <row r="771" spans="1:2">
      <c r="A771" s="5">
        <v>59048</v>
      </c>
      <c r="B771" s="6" t="s">
        <v>56</v>
      </c>
    </row>
    <row r="772" spans="1:2">
      <c r="A772" s="5">
        <v>59087</v>
      </c>
      <c r="B772" s="6" t="s">
        <v>57</v>
      </c>
    </row>
    <row r="773" spans="1:2">
      <c r="A773" s="5">
        <v>59111</v>
      </c>
      <c r="B773" s="6" t="s">
        <v>58</v>
      </c>
    </row>
    <row r="774" spans="1:2">
      <c r="A774" s="5">
        <v>59148</v>
      </c>
      <c r="B774" s="6" t="s">
        <v>59</v>
      </c>
    </row>
    <row r="775" spans="1:2">
      <c r="A775" s="5">
        <v>59165</v>
      </c>
      <c r="B775" s="6" t="s">
        <v>60</v>
      </c>
    </row>
    <row r="776" spans="1:2">
      <c r="A776" s="5">
        <v>59172</v>
      </c>
      <c r="B776" s="6" t="s">
        <v>64</v>
      </c>
    </row>
    <row r="777" spans="1:2">
      <c r="A777" s="5">
        <v>59253</v>
      </c>
      <c r="B777" s="6" t="s">
        <v>51</v>
      </c>
    </row>
    <row r="778" spans="1:2">
      <c r="A778" s="5">
        <v>59254</v>
      </c>
      <c r="B778" s="6" t="s">
        <v>52</v>
      </c>
    </row>
    <row r="779" spans="1:2">
      <c r="A779" s="5">
        <v>59292</v>
      </c>
      <c r="B779" s="6" t="s">
        <v>53</v>
      </c>
    </row>
    <row r="780" spans="1:2">
      <c r="A780" s="5">
        <v>59351</v>
      </c>
      <c r="B780" s="6" t="s">
        <v>54</v>
      </c>
    </row>
    <row r="781" spans="1:2">
      <c r="A781" s="5">
        <v>59380</v>
      </c>
      <c r="B781" s="6" t="s">
        <v>55</v>
      </c>
    </row>
    <row r="782" spans="1:2">
      <c r="A782" s="5">
        <v>59381</v>
      </c>
      <c r="B782" s="6" t="s">
        <v>55</v>
      </c>
    </row>
    <row r="783" spans="1:2">
      <c r="A783" s="5">
        <v>59413</v>
      </c>
      <c r="B783" s="6" t="s">
        <v>56</v>
      </c>
    </row>
    <row r="784" spans="1:2">
      <c r="A784" s="5">
        <v>59452</v>
      </c>
      <c r="B784" s="6" t="s">
        <v>57</v>
      </c>
    </row>
    <row r="785" spans="1:2">
      <c r="A785" s="5">
        <v>59476</v>
      </c>
      <c r="B785" s="6" t="s">
        <v>58</v>
      </c>
    </row>
    <row r="786" spans="1:2">
      <c r="A786" s="5">
        <v>59513</v>
      </c>
      <c r="B786" s="6" t="s">
        <v>59</v>
      </c>
    </row>
    <row r="787" spans="1:2">
      <c r="A787" s="5">
        <v>59530</v>
      </c>
      <c r="B787" s="6" t="s">
        <v>60</v>
      </c>
    </row>
    <row r="788" spans="1:2">
      <c r="A788" s="5">
        <v>59537</v>
      </c>
      <c r="B788" s="6" t="s">
        <v>50</v>
      </c>
    </row>
    <row r="789" spans="1:2">
      <c r="A789" s="5">
        <v>59638</v>
      </c>
      <c r="B789" s="6" t="s">
        <v>51</v>
      </c>
    </row>
    <row r="790" spans="1:2">
      <c r="A790" s="5">
        <v>59639</v>
      </c>
      <c r="B790" s="6" t="s">
        <v>52</v>
      </c>
    </row>
    <row r="791" spans="1:2">
      <c r="A791" s="5">
        <v>59657</v>
      </c>
      <c r="B791" s="6" t="s">
        <v>53</v>
      </c>
    </row>
    <row r="792" spans="1:2">
      <c r="A792" s="5">
        <v>59716</v>
      </c>
      <c r="B792" s="6" t="s">
        <v>54</v>
      </c>
    </row>
    <row r="793" spans="1:2">
      <c r="A793" s="5">
        <v>59745</v>
      </c>
      <c r="B793" s="6" t="s">
        <v>55</v>
      </c>
    </row>
    <row r="794" spans="1:2">
      <c r="A794" s="5">
        <v>59746</v>
      </c>
      <c r="B794" s="6" t="s">
        <v>55</v>
      </c>
    </row>
    <row r="795" spans="1:2">
      <c r="A795" s="5">
        <v>59778</v>
      </c>
      <c r="B795" s="6" t="s">
        <v>56</v>
      </c>
    </row>
    <row r="796" spans="1:2">
      <c r="A796" s="5">
        <v>59817</v>
      </c>
      <c r="B796" s="6" t="s">
        <v>57</v>
      </c>
    </row>
    <row r="797" spans="1:2">
      <c r="A797" s="5">
        <v>59841</v>
      </c>
      <c r="B797" s="6" t="s">
        <v>58</v>
      </c>
    </row>
    <row r="798" spans="1:2">
      <c r="A798" s="5">
        <v>59878</v>
      </c>
      <c r="B798" s="6" t="s">
        <v>59</v>
      </c>
    </row>
    <row r="799" spans="1:2">
      <c r="A799" s="5">
        <v>59895</v>
      </c>
      <c r="B799" s="6" t="s">
        <v>60</v>
      </c>
    </row>
    <row r="800" spans="1:2">
      <c r="A800" s="5">
        <v>59902</v>
      </c>
      <c r="B800" s="6" t="s">
        <v>50</v>
      </c>
    </row>
    <row r="801" spans="1:2">
      <c r="A801" s="5">
        <v>59995</v>
      </c>
      <c r="B801" s="6" t="s">
        <v>51</v>
      </c>
    </row>
    <row r="802" spans="1:2">
      <c r="A802" s="5">
        <v>59996</v>
      </c>
      <c r="B802" s="6" t="s">
        <v>52</v>
      </c>
    </row>
    <row r="803" spans="1:2">
      <c r="A803" s="5">
        <v>60023</v>
      </c>
      <c r="B803" s="6" t="s">
        <v>53</v>
      </c>
    </row>
    <row r="804" spans="1:2">
      <c r="A804" s="5">
        <v>60082</v>
      </c>
      <c r="B804" s="6" t="s">
        <v>54</v>
      </c>
    </row>
    <row r="805" spans="1:2">
      <c r="A805" s="5">
        <v>60111</v>
      </c>
      <c r="B805" s="6" t="s">
        <v>55</v>
      </c>
    </row>
    <row r="806" spans="1:2">
      <c r="A806" s="5">
        <v>60112</v>
      </c>
      <c r="B806" s="6" t="s">
        <v>55</v>
      </c>
    </row>
    <row r="807" spans="1:2">
      <c r="A807" s="5">
        <v>60144</v>
      </c>
      <c r="B807" s="6" t="s">
        <v>56</v>
      </c>
    </row>
    <row r="808" spans="1:2">
      <c r="A808" s="5">
        <v>60183</v>
      </c>
      <c r="B808" s="6" t="s">
        <v>57</v>
      </c>
    </row>
    <row r="809" spans="1:2">
      <c r="A809" s="5">
        <v>60207</v>
      </c>
      <c r="B809" s="6" t="s">
        <v>58</v>
      </c>
    </row>
    <row r="810" spans="1:2">
      <c r="A810" s="5">
        <v>60244</v>
      </c>
      <c r="B810" s="6" t="s">
        <v>59</v>
      </c>
    </row>
    <row r="811" spans="1:2">
      <c r="A811" s="5">
        <v>60261</v>
      </c>
      <c r="B811" s="6" t="s">
        <v>60</v>
      </c>
    </row>
    <row r="812" spans="1:2">
      <c r="A812" s="5">
        <v>60268</v>
      </c>
      <c r="B812" s="6" t="s">
        <v>50</v>
      </c>
    </row>
    <row r="813" spans="1:2">
      <c r="A813" s="5">
        <v>60352</v>
      </c>
      <c r="B813" s="6" t="s">
        <v>51</v>
      </c>
    </row>
    <row r="814" spans="1:2">
      <c r="A814" s="5">
        <v>60353</v>
      </c>
      <c r="B814" s="6" t="s">
        <v>52</v>
      </c>
    </row>
    <row r="815" spans="1:2">
      <c r="A815" s="5">
        <v>60388</v>
      </c>
      <c r="B815" s="6" t="s">
        <v>53</v>
      </c>
    </row>
    <row r="816" spans="1:2">
      <c r="A816" s="5">
        <v>60447</v>
      </c>
      <c r="B816" s="6" t="s">
        <v>54</v>
      </c>
    </row>
    <row r="817" spans="1:2">
      <c r="A817" s="5">
        <v>60476</v>
      </c>
      <c r="B817" s="6" t="s">
        <v>55</v>
      </c>
    </row>
    <row r="818" spans="1:2">
      <c r="A818" s="5">
        <v>60477</v>
      </c>
      <c r="B818" s="6" t="s">
        <v>55</v>
      </c>
    </row>
    <row r="819" spans="1:2">
      <c r="A819" s="5">
        <v>60509</v>
      </c>
      <c r="B819" s="6" t="s">
        <v>56</v>
      </c>
    </row>
    <row r="820" spans="1:2">
      <c r="A820" s="5">
        <v>60548</v>
      </c>
      <c r="B820" s="6" t="s">
        <v>57</v>
      </c>
    </row>
    <row r="821" spans="1:2">
      <c r="A821" s="5">
        <v>60572</v>
      </c>
      <c r="B821" s="6" t="s">
        <v>58</v>
      </c>
    </row>
    <row r="822" spans="1:2">
      <c r="A822" s="5">
        <v>60609</v>
      </c>
      <c r="B822" s="6" t="s">
        <v>59</v>
      </c>
    </row>
    <row r="823" spans="1:2">
      <c r="A823" s="5">
        <v>60626</v>
      </c>
      <c r="B823" s="6" t="s">
        <v>60</v>
      </c>
    </row>
    <row r="824" spans="1:2">
      <c r="A824" s="5">
        <v>60633</v>
      </c>
      <c r="B824" s="6" t="s">
        <v>50</v>
      </c>
    </row>
    <row r="825" spans="1:2">
      <c r="A825" s="5">
        <v>60730</v>
      </c>
      <c r="B825" s="6" t="s">
        <v>51</v>
      </c>
    </row>
    <row r="826" spans="1:2">
      <c r="A826" s="5">
        <v>60731</v>
      </c>
      <c r="B826" s="6" t="s">
        <v>52</v>
      </c>
    </row>
    <row r="827" spans="1:2">
      <c r="A827" s="5">
        <v>60753</v>
      </c>
      <c r="B827" s="6" t="s">
        <v>53</v>
      </c>
    </row>
    <row r="828" spans="1:2">
      <c r="A828" s="5">
        <v>60812</v>
      </c>
      <c r="B828" s="6" t="s">
        <v>54</v>
      </c>
    </row>
    <row r="829" spans="1:2">
      <c r="A829" s="5">
        <v>60841</v>
      </c>
      <c r="B829" s="6" t="s">
        <v>55</v>
      </c>
    </row>
    <row r="830" spans="1:2">
      <c r="A830" s="5">
        <v>60842</v>
      </c>
      <c r="B830" s="6" t="s">
        <v>55</v>
      </c>
    </row>
    <row r="831" spans="1:2">
      <c r="A831" s="5">
        <v>60874</v>
      </c>
      <c r="B831" s="6" t="s">
        <v>56</v>
      </c>
    </row>
    <row r="832" spans="1:2">
      <c r="A832" s="5">
        <v>60913</v>
      </c>
      <c r="B832" s="6" t="s">
        <v>57</v>
      </c>
    </row>
    <row r="833" spans="1:2">
      <c r="A833" s="5">
        <v>60937</v>
      </c>
      <c r="B833" s="6" t="s">
        <v>58</v>
      </c>
    </row>
    <row r="834" spans="1:2">
      <c r="A834" s="5">
        <v>60974</v>
      </c>
      <c r="B834" s="6" t="s">
        <v>59</v>
      </c>
    </row>
    <row r="835" spans="1:2">
      <c r="A835" s="5">
        <v>60991</v>
      </c>
      <c r="B835" s="6" t="s">
        <v>60</v>
      </c>
    </row>
    <row r="836" spans="1:2">
      <c r="A836" s="5">
        <v>60998</v>
      </c>
      <c r="B836" s="6" t="s">
        <v>50</v>
      </c>
    </row>
    <row r="837" spans="1:2">
      <c r="A837" s="5">
        <v>61087</v>
      </c>
      <c r="B837" s="6" t="s">
        <v>51</v>
      </c>
    </row>
    <row r="838" spans="1:2">
      <c r="A838" s="5">
        <v>61088</v>
      </c>
      <c r="B838" s="6" t="s">
        <v>52</v>
      </c>
    </row>
    <row r="839" spans="1:2">
      <c r="A839" s="5">
        <v>61118</v>
      </c>
      <c r="B839" s="6" t="s">
        <v>53</v>
      </c>
    </row>
    <row r="840" spans="1:2">
      <c r="A840" s="5">
        <v>61177</v>
      </c>
      <c r="B840" s="6" t="s">
        <v>54</v>
      </c>
    </row>
    <row r="841" spans="1:2">
      <c r="A841" s="5">
        <v>61206</v>
      </c>
      <c r="B841" s="6" t="s">
        <v>55</v>
      </c>
    </row>
    <row r="842" spans="1:2">
      <c r="A842" s="5">
        <v>61207</v>
      </c>
      <c r="B842" s="6" t="s">
        <v>55</v>
      </c>
    </row>
    <row r="843" spans="1:2">
      <c r="A843" s="5">
        <v>61239</v>
      </c>
      <c r="B843" s="6" t="s">
        <v>56</v>
      </c>
    </row>
    <row r="844" spans="1:2">
      <c r="A844" s="5">
        <v>61278</v>
      </c>
      <c r="B844" s="6" t="s">
        <v>57</v>
      </c>
    </row>
    <row r="845" spans="1:2">
      <c r="A845" s="5">
        <v>61302</v>
      </c>
      <c r="B845" s="6" t="s">
        <v>58</v>
      </c>
    </row>
    <row r="846" spans="1:2">
      <c r="A846" s="5">
        <v>61339</v>
      </c>
      <c r="B846" s="6" t="s">
        <v>59</v>
      </c>
    </row>
    <row r="847" spans="1:2">
      <c r="A847" s="5">
        <v>61356</v>
      </c>
      <c r="B847" s="6" t="s">
        <v>60</v>
      </c>
    </row>
    <row r="848" spans="1:2">
      <c r="A848" s="5">
        <v>61363</v>
      </c>
      <c r="B848" s="6" t="s">
        <v>64</v>
      </c>
    </row>
    <row r="849" spans="1:2">
      <c r="A849" s="5">
        <v>61472</v>
      </c>
      <c r="B849" s="6" t="s">
        <v>51</v>
      </c>
    </row>
    <row r="850" spans="1:2">
      <c r="A850" s="5">
        <v>61473</v>
      </c>
      <c r="B850" s="6" t="s">
        <v>52</v>
      </c>
    </row>
    <row r="851" spans="1:2">
      <c r="A851" s="5">
        <v>61484</v>
      </c>
      <c r="B851" s="6" t="s">
        <v>53</v>
      </c>
    </row>
    <row r="852" spans="1:2">
      <c r="A852" s="5">
        <v>61543</v>
      </c>
      <c r="B852" s="6" t="s">
        <v>54</v>
      </c>
    </row>
    <row r="853" spans="1:2">
      <c r="A853" s="5">
        <v>61572</v>
      </c>
      <c r="B853" s="6" t="s">
        <v>55</v>
      </c>
    </row>
    <row r="854" spans="1:2">
      <c r="A854" s="5">
        <v>61573</v>
      </c>
      <c r="B854" s="6" t="s">
        <v>55</v>
      </c>
    </row>
    <row r="855" spans="1:2">
      <c r="A855" s="5">
        <v>61605</v>
      </c>
      <c r="B855" s="6" t="s">
        <v>56</v>
      </c>
    </row>
    <row r="856" spans="1:2">
      <c r="A856" s="5">
        <v>61644</v>
      </c>
      <c r="B856" s="6" t="s">
        <v>57</v>
      </c>
    </row>
    <row r="857" spans="1:2">
      <c r="A857" s="5">
        <v>61668</v>
      </c>
      <c r="B857" s="6" t="s">
        <v>58</v>
      </c>
    </row>
    <row r="858" spans="1:2">
      <c r="A858" s="5">
        <v>61705</v>
      </c>
      <c r="B858" s="6" t="s">
        <v>59</v>
      </c>
    </row>
    <row r="859" spans="1:2">
      <c r="A859" s="5">
        <v>61722</v>
      </c>
      <c r="B859" s="6" t="s">
        <v>60</v>
      </c>
    </row>
    <row r="860" spans="1:2">
      <c r="A860" s="5">
        <v>61729</v>
      </c>
      <c r="B860" s="6" t="s">
        <v>50</v>
      </c>
    </row>
    <row r="861" spans="1:2">
      <c r="A861" s="5">
        <v>61829</v>
      </c>
      <c r="B861" s="6" t="s">
        <v>51</v>
      </c>
    </row>
    <row r="862" spans="1:2">
      <c r="A862" s="5">
        <v>61830</v>
      </c>
      <c r="B862" s="6" t="s">
        <v>52</v>
      </c>
    </row>
    <row r="863" spans="1:2">
      <c r="A863" s="5">
        <v>61849</v>
      </c>
      <c r="B863" s="6" t="s">
        <v>53</v>
      </c>
    </row>
    <row r="864" spans="1:2">
      <c r="A864" s="5">
        <v>61908</v>
      </c>
      <c r="B864" s="6" t="s">
        <v>54</v>
      </c>
    </row>
    <row r="865" spans="1:2">
      <c r="A865" s="5">
        <v>61937</v>
      </c>
      <c r="B865" s="6" t="s">
        <v>55</v>
      </c>
    </row>
    <row r="866" spans="1:2">
      <c r="A866" s="5">
        <v>61938</v>
      </c>
      <c r="B866" s="6" t="s">
        <v>55</v>
      </c>
    </row>
    <row r="867" spans="1:2">
      <c r="A867" s="5">
        <v>61970</v>
      </c>
      <c r="B867" s="6" t="s">
        <v>56</v>
      </c>
    </row>
    <row r="868" spans="1:2">
      <c r="A868" s="5">
        <v>62009</v>
      </c>
      <c r="B868" s="6" t="s">
        <v>57</v>
      </c>
    </row>
    <row r="869" spans="1:2">
      <c r="A869" s="5">
        <v>62033</v>
      </c>
      <c r="B869" s="6" t="s">
        <v>58</v>
      </c>
    </row>
    <row r="870" spans="1:2">
      <c r="A870" s="5">
        <v>62070</v>
      </c>
      <c r="B870" s="6" t="s">
        <v>59</v>
      </c>
    </row>
    <row r="871" spans="1:2">
      <c r="A871" s="5">
        <v>62087</v>
      </c>
      <c r="B871" s="6" t="s">
        <v>60</v>
      </c>
    </row>
    <row r="872" spans="1:2">
      <c r="A872" s="5">
        <v>62094</v>
      </c>
      <c r="B872" s="6" t="s">
        <v>50</v>
      </c>
    </row>
    <row r="873" spans="1:2">
      <c r="A873" s="5">
        <v>62179</v>
      </c>
      <c r="B873" s="6" t="s">
        <v>51</v>
      </c>
    </row>
    <row r="874" spans="1:2">
      <c r="A874" s="5">
        <v>62180</v>
      </c>
      <c r="B874" s="6" t="s">
        <v>52</v>
      </c>
    </row>
    <row r="875" spans="1:2">
      <c r="A875" s="5">
        <v>62214</v>
      </c>
      <c r="B875" s="6" t="s">
        <v>53</v>
      </c>
    </row>
    <row r="876" spans="1:2">
      <c r="A876" s="5">
        <v>62273</v>
      </c>
      <c r="B876" s="6" t="s">
        <v>54</v>
      </c>
    </row>
    <row r="877" spans="1:2">
      <c r="A877" s="5">
        <v>62302</v>
      </c>
      <c r="B877" s="6" t="s">
        <v>55</v>
      </c>
    </row>
    <row r="878" spans="1:2">
      <c r="A878" s="5">
        <v>62303</v>
      </c>
      <c r="B878" s="6" t="s">
        <v>55</v>
      </c>
    </row>
    <row r="879" spans="1:2">
      <c r="A879" s="5">
        <v>62335</v>
      </c>
      <c r="B879" s="6" t="s">
        <v>56</v>
      </c>
    </row>
    <row r="880" spans="1:2">
      <c r="A880" s="5">
        <v>62374</v>
      </c>
      <c r="B880" s="6" t="s">
        <v>57</v>
      </c>
    </row>
    <row r="881" spans="1:2">
      <c r="A881" s="5">
        <v>62398</v>
      </c>
      <c r="B881" s="6" t="s">
        <v>58</v>
      </c>
    </row>
    <row r="882" spans="1:2">
      <c r="A882" s="5">
        <v>62435</v>
      </c>
      <c r="B882" s="6" t="s">
        <v>59</v>
      </c>
    </row>
    <row r="883" spans="1:2">
      <c r="A883" s="5">
        <v>62452</v>
      </c>
      <c r="B883" s="6" t="s">
        <v>60</v>
      </c>
    </row>
    <row r="884" spans="1:2">
      <c r="A884" s="5">
        <v>62459</v>
      </c>
      <c r="B884" s="6" t="s">
        <v>50</v>
      </c>
    </row>
    <row r="885" spans="1:2">
      <c r="A885" s="5">
        <v>62564</v>
      </c>
      <c r="B885" s="6" t="s">
        <v>51</v>
      </c>
    </row>
    <row r="886" spans="1:2">
      <c r="A886" s="5">
        <v>62565</v>
      </c>
      <c r="B886" s="6" t="s">
        <v>52</v>
      </c>
    </row>
    <row r="887" spans="1:2">
      <c r="A887" s="5">
        <v>62579</v>
      </c>
      <c r="B887" s="6" t="s">
        <v>53</v>
      </c>
    </row>
    <row r="888" spans="1:2">
      <c r="A888" s="5">
        <v>62638</v>
      </c>
      <c r="B888" s="6" t="s">
        <v>54</v>
      </c>
    </row>
    <row r="889" spans="1:2">
      <c r="A889" s="5">
        <v>62667</v>
      </c>
      <c r="B889" s="6" t="s">
        <v>55</v>
      </c>
    </row>
    <row r="890" spans="1:2">
      <c r="A890" s="5">
        <v>62668</v>
      </c>
      <c r="B890" s="6" t="s">
        <v>55</v>
      </c>
    </row>
    <row r="891" spans="1:2">
      <c r="A891" s="5">
        <v>62700</v>
      </c>
      <c r="B891" s="6" t="s">
        <v>56</v>
      </c>
    </row>
    <row r="892" spans="1:2">
      <c r="A892" s="5">
        <v>62739</v>
      </c>
      <c r="B892" s="6" t="s">
        <v>57</v>
      </c>
    </row>
    <row r="893" spans="1:2">
      <c r="A893" s="5">
        <v>62763</v>
      </c>
      <c r="B893" s="6" t="s">
        <v>58</v>
      </c>
    </row>
    <row r="894" spans="1:2">
      <c r="A894" s="5">
        <v>62800</v>
      </c>
      <c r="B894" s="6" t="s">
        <v>59</v>
      </c>
    </row>
    <row r="895" spans="1:2">
      <c r="A895" s="5">
        <v>62817</v>
      </c>
      <c r="B895" s="6" t="s">
        <v>60</v>
      </c>
    </row>
    <row r="896" spans="1:2">
      <c r="A896" s="5">
        <v>62824</v>
      </c>
      <c r="B896" s="6" t="s">
        <v>50</v>
      </c>
    </row>
    <row r="897" spans="1:2">
      <c r="A897" s="5">
        <v>62921</v>
      </c>
      <c r="B897" s="6" t="s">
        <v>51</v>
      </c>
    </row>
    <row r="898" spans="1:2">
      <c r="A898" s="5">
        <v>62922</v>
      </c>
      <c r="B898" s="6" t="s">
        <v>52</v>
      </c>
    </row>
    <row r="899" spans="1:2">
      <c r="A899" s="5">
        <v>62945</v>
      </c>
      <c r="B899" s="6" t="s">
        <v>53</v>
      </c>
    </row>
    <row r="900" spans="1:2">
      <c r="A900" s="5">
        <v>63004</v>
      </c>
      <c r="B900" s="6" t="s">
        <v>54</v>
      </c>
    </row>
    <row r="901" spans="1:2">
      <c r="A901" s="5">
        <v>63033</v>
      </c>
      <c r="B901" s="6" t="s">
        <v>55</v>
      </c>
    </row>
    <row r="902" spans="1:2">
      <c r="A902" s="5">
        <v>63034</v>
      </c>
      <c r="B902" s="6" t="s">
        <v>55</v>
      </c>
    </row>
    <row r="903" spans="1:2">
      <c r="A903" s="5">
        <v>63066</v>
      </c>
      <c r="B903" s="6" t="s">
        <v>56</v>
      </c>
    </row>
    <row r="904" spans="1:2">
      <c r="A904" s="5">
        <v>63105</v>
      </c>
      <c r="B904" s="6" t="s">
        <v>57</v>
      </c>
    </row>
    <row r="905" spans="1:2">
      <c r="A905" s="5">
        <v>63129</v>
      </c>
      <c r="B905" s="6" t="s">
        <v>58</v>
      </c>
    </row>
    <row r="906" spans="1:2">
      <c r="A906" s="5">
        <v>63166</v>
      </c>
      <c r="B906" s="6" t="s">
        <v>59</v>
      </c>
    </row>
    <row r="907" spans="1:2">
      <c r="A907" s="5">
        <v>63183</v>
      </c>
      <c r="B907" s="6" t="s">
        <v>60</v>
      </c>
    </row>
    <row r="908" spans="1:2">
      <c r="A908" s="5">
        <v>63190</v>
      </c>
      <c r="B908" s="6" t="s">
        <v>64</v>
      </c>
    </row>
    <row r="909" spans="1:2">
      <c r="A909" s="5">
        <v>63271</v>
      </c>
      <c r="B909" s="6" t="s">
        <v>51</v>
      </c>
    </row>
    <row r="910" spans="1:2">
      <c r="A910" s="5">
        <v>63272</v>
      </c>
      <c r="B910" s="6" t="s">
        <v>52</v>
      </c>
    </row>
    <row r="911" spans="1:2">
      <c r="A911" s="5">
        <v>63310</v>
      </c>
      <c r="B911" s="6" t="s">
        <v>53</v>
      </c>
    </row>
    <row r="912" spans="1:2">
      <c r="A912" s="5">
        <v>63369</v>
      </c>
      <c r="B912" s="6" t="s">
        <v>54</v>
      </c>
    </row>
    <row r="913" spans="1:2">
      <c r="A913" s="5">
        <v>63398</v>
      </c>
      <c r="B913" s="6" t="s">
        <v>55</v>
      </c>
    </row>
    <row r="914" spans="1:2">
      <c r="A914" s="5">
        <v>63399</v>
      </c>
      <c r="B914" s="6" t="s">
        <v>55</v>
      </c>
    </row>
    <row r="915" spans="1:2">
      <c r="A915" s="5">
        <v>63431</v>
      </c>
      <c r="B915" s="6" t="s">
        <v>56</v>
      </c>
    </row>
    <row r="916" spans="1:2">
      <c r="A916" s="5">
        <v>63470</v>
      </c>
      <c r="B916" s="6" t="s">
        <v>57</v>
      </c>
    </row>
    <row r="917" spans="1:2">
      <c r="A917" s="5">
        <v>63494</v>
      </c>
      <c r="B917" s="6" t="s">
        <v>58</v>
      </c>
    </row>
    <row r="918" spans="1:2">
      <c r="A918" s="5">
        <v>63531</v>
      </c>
      <c r="B918" s="6" t="s">
        <v>59</v>
      </c>
    </row>
    <row r="919" spans="1:2">
      <c r="A919" s="5">
        <v>63548</v>
      </c>
      <c r="B919" s="6" t="s">
        <v>60</v>
      </c>
    </row>
    <row r="920" spans="1:2">
      <c r="A920" s="5">
        <v>63555</v>
      </c>
      <c r="B920" s="6" t="s">
        <v>50</v>
      </c>
    </row>
    <row r="921" spans="1:2">
      <c r="A921" s="5">
        <v>63656</v>
      </c>
      <c r="B921" s="6" t="s">
        <v>51</v>
      </c>
    </row>
    <row r="922" spans="1:2">
      <c r="A922" s="5">
        <v>63657</v>
      </c>
      <c r="B922" s="6" t="s">
        <v>52</v>
      </c>
    </row>
    <row r="923" spans="1:2">
      <c r="A923" s="5">
        <v>63675</v>
      </c>
      <c r="B923" s="6" t="s">
        <v>53</v>
      </c>
    </row>
    <row r="924" spans="1:2">
      <c r="A924" s="5">
        <v>63734</v>
      </c>
      <c r="B924" s="6" t="s">
        <v>54</v>
      </c>
    </row>
    <row r="925" spans="1:2">
      <c r="A925" s="5">
        <v>63763</v>
      </c>
      <c r="B925" s="6" t="s">
        <v>55</v>
      </c>
    </row>
    <row r="926" spans="1:2">
      <c r="A926" s="5">
        <v>63764</v>
      </c>
      <c r="B926" s="6" t="s">
        <v>55</v>
      </c>
    </row>
    <row r="927" spans="1:2">
      <c r="A927" s="5">
        <v>63796</v>
      </c>
      <c r="B927" s="6" t="s">
        <v>56</v>
      </c>
    </row>
    <row r="928" spans="1:2">
      <c r="A928" s="5">
        <v>63835</v>
      </c>
      <c r="B928" s="6" t="s">
        <v>57</v>
      </c>
    </row>
    <row r="929" spans="1:2">
      <c r="A929" s="5">
        <v>63859</v>
      </c>
      <c r="B929" s="6" t="s">
        <v>58</v>
      </c>
    </row>
    <row r="930" spans="1:2">
      <c r="A930" s="5">
        <v>63896</v>
      </c>
      <c r="B930" s="6" t="s">
        <v>59</v>
      </c>
    </row>
    <row r="931" spans="1:2">
      <c r="A931" s="5">
        <v>63913</v>
      </c>
      <c r="B931" s="6" t="s">
        <v>60</v>
      </c>
    </row>
    <row r="932" spans="1:2">
      <c r="A932" s="5">
        <v>63920</v>
      </c>
      <c r="B932" s="6" t="s">
        <v>50</v>
      </c>
    </row>
    <row r="933" spans="1:2">
      <c r="A933" s="5">
        <v>64013</v>
      </c>
      <c r="B933" s="6" t="s">
        <v>51</v>
      </c>
    </row>
    <row r="934" spans="1:2">
      <c r="A934" s="5">
        <v>64014</v>
      </c>
      <c r="B934" s="6" t="s">
        <v>52</v>
      </c>
    </row>
    <row r="935" spans="1:2">
      <c r="A935" s="5">
        <v>64040</v>
      </c>
      <c r="B935" s="6" t="s">
        <v>53</v>
      </c>
    </row>
    <row r="936" spans="1:2">
      <c r="A936" s="5">
        <v>64099</v>
      </c>
      <c r="B936" s="6" t="s">
        <v>54</v>
      </c>
    </row>
    <row r="937" spans="1:2">
      <c r="A937" s="5">
        <v>64128</v>
      </c>
      <c r="B937" s="6" t="s">
        <v>55</v>
      </c>
    </row>
    <row r="938" spans="1:2">
      <c r="A938" s="5">
        <v>64129</v>
      </c>
      <c r="B938" s="6" t="s">
        <v>55</v>
      </c>
    </row>
    <row r="939" spans="1:2">
      <c r="A939" s="5">
        <v>64161</v>
      </c>
      <c r="B939" s="6" t="s">
        <v>56</v>
      </c>
    </row>
    <row r="940" spans="1:2">
      <c r="A940" s="5">
        <v>64200</v>
      </c>
      <c r="B940" s="6" t="s">
        <v>57</v>
      </c>
    </row>
    <row r="941" spans="1:2">
      <c r="A941" s="5">
        <v>64224</v>
      </c>
      <c r="B941" s="6" t="s">
        <v>58</v>
      </c>
    </row>
    <row r="942" spans="1:2">
      <c r="A942" s="5">
        <v>64261</v>
      </c>
      <c r="B942" s="6" t="s">
        <v>59</v>
      </c>
    </row>
    <row r="943" spans="1:2">
      <c r="A943" s="5">
        <v>64278</v>
      </c>
      <c r="B943" s="6" t="s">
        <v>60</v>
      </c>
    </row>
    <row r="944" spans="1:2">
      <c r="A944" s="5">
        <v>64285</v>
      </c>
      <c r="B944" s="6" t="s">
        <v>50</v>
      </c>
    </row>
    <row r="945" spans="1:2">
      <c r="A945" s="5">
        <v>64391</v>
      </c>
      <c r="B945" s="6" t="s">
        <v>51</v>
      </c>
    </row>
    <row r="946" spans="1:2">
      <c r="A946" s="5">
        <v>64392</v>
      </c>
      <c r="B946" s="6" t="s">
        <v>52</v>
      </c>
    </row>
    <row r="947" spans="1:2">
      <c r="A947" s="5">
        <v>64406</v>
      </c>
      <c r="B947" s="6" t="s">
        <v>53</v>
      </c>
    </row>
    <row r="948" spans="1:2">
      <c r="A948" s="5">
        <v>64465</v>
      </c>
      <c r="B948" s="6" t="s">
        <v>54</v>
      </c>
    </row>
    <row r="949" spans="1:2">
      <c r="A949" s="5">
        <v>64494</v>
      </c>
      <c r="B949" s="6" t="s">
        <v>55</v>
      </c>
    </row>
    <row r="950" spans="1:2">
      <c r="A950" s="5">
        <v>64495</v>
      </c>
      <c r="B950" s="6" t="s">
        <v>55</v>
      </c>
    </row>
    <row r="951" spans="1:2">
      <c r="A951" s="5">
        <v>64527</v>
      </c>
      <c r="B951" s="6" t="s">
        <v>56</v>
      </c>
    </row>
    <row r="952" spans="1:2">
      <c r="A952" s="5">
        <v>64566</v>
      </c>
      <c r="B952" s="6" t="s">
        <v>57</v>
      </c>
    </row>
    <row r="953" spans="1:2">
      <c r="A953" s="5">
        <v>64590</v>
      </c>
      <c r="B953" s="6" t="s">
        <v>58</v>
      </c>
    </row>
    <row r="954" spans="1:2">
      <c r="A954" s="5">
        <v>64627</v>
      </c>
      <c r="B954" s="6" t="s">
        <v>59</v>
      </c>
    </row>
    <row r="955" spans="1:2">
      <c r="A955" s="5">
        <v>64644</v>
      </c>
      <c r="B955" s="6" t="s">
        <v>60</v>
      </c>
    </row>
    <row r="956" spans="1:2">
      <c r="A956" s="5">
        <v>64651</v>
      </c>
      <c r="B956" s="6" t="s">
        <v>50</v>
      </c>
    </row>
    <row r="957" spans="1:2">
      <c r="A957" s="5">
        <v>64748</v>
      </c>
      <c r="B957" s="6" t="s">
        <v>51</v>
      </c>
    </row>
    <row r="958" spans="1:2">
      <c r="A958" s="5">
        <v>64749</v>
      </c>
      <c r="B958" s="6" t="s">
        <v>52</v>
      </c>
    </row>
    <row r="959" spans="1:2">
      <c r="A959" s="5">
        <v>64771</v>
      </c>
      <c r="B959" s="6" t="s">
        <v>53</v>
      </c>
    </row>
    <row r="960" spans="1:2">
      <c r="A960" s="5">
        <v>64830</v>
      </c>
      <c r="B960" s="6" t="s">
        <v>54</v>
      </c>
    </row>
    <row r="961" spans="1:2">
      <c r="A961" s="5">
        <v>64859</v>
      </c>
      <c r="B961" s="6" t="s">
        <v>55</v>
      </c>
    </row>
    <row r="962" spans="1:2">
      <c r="A962" s="5">
        <v>64860</v>
      </c>
      <c r="B962" s="6" t="s">
        <v>55</v>
      </c>
    </row>
    <row r="963" spans="1:2">
      <c r="A963" s="5">
        <v>64892</v>
      </c>
      <c r="B963" s="6" t="s">
        <v>56</v>
      </c>
    </row>
    <row r="964" spans="1:2">
      <c r="A964" s="5">
        <v>64931</v>
      </c>
      <c r="B964" s="6" t="s">
        <v>57</v>
      </c>
    </row>
    <row r="965" spans="1:2">
      <c r="A965" s="5">
        <v>64955</v>
      </c>
      <c r="B965" s="6" t="s">
        <v>58</v>
      </c>
    </row>
    <row r="966" spans="1:2">
      <c r="A966" s="5">
        <v>64992</v>
      </c>
      <c r="B966" s="6" t="s">
        <v>59</v>
      </c>
    </row>
    <row r="967" spans="1:2">
      <c r="A967" s="5">
        <v>65009</v>
      </c>
      <c r="B967" s="6" t="s">
        <v>60</v>
      </c>
    </row>
    <row r="968" spans="1:2">
      <c r="A968" s="5">
        <v>65016</v>
      </c>
      <c r="B968" s="6" t="s">
        <v>50</v>
      </c>
    </row>
    <row r="969" spans="1:2">
      <c r="A969" s="5">
        <v>65105</v>
      </c>
      <c r="B969" s="6" t="s">
        <v>51</v>
      </c>
    </row>
    <row r="970" spans="1:2">
      <c r="A970" s="5">
        <v>65106</v>
      </c>
      <c r="B970" s="6" t="s">
        <v>52</v>
      </c>
    </row>
    <row r="971" spans="1:2">
      <c r="A971" s="5">
        <v>65136</v>
      </c>
      <c r="B971" s="6" t="s">
        <v>53</v>
      </c>
    </row>
    <row r="972" spans="1:2">
      <c r="A972" s="5">
        <v>65195</v>
      </c>
      <c r="B972" s="6" t="s">
        <v>54</v>
      </c>
    </row>
    <row r="973" spans="1:2">
      <c r="A973" s="5">
        <v>65224</v>
      </c>
      <c r="B973" s="6" t="s">
        <v>55</v>
      </c>
    </row>
    <row r="974" spans="1:2">
      <c r="A974" s="5">
        <v>65225</v>
      </c>
      <c r="B974" s="6" t="s">
        <v>55</v>
      </c>
    </row>
    <row r="975" spans="1:2">
      <c r="A975" s="5">
        <v>65257</v>
      </c>
      <c r="B975" s="6" t="s">
        <v>56</v>
      </c>
    </row>
    <row r="976" spans="1:2">
      <c r="A976" s="5">
        <v>65296</v>
      </c>
      <c r="B976" s="6" t="s">
        <v>57</v>
      </c>
    </row>
    <row r="977" spans="1:2">
      <c r="A977" s="5">
        <v>65320</v>
      </c>
      <c r="B977" s="6" t="s">
        <v>58</v>
      </c>
    </row>
    <row r="978" spans="1:2">
      <c r="A978" s="5">
        <v>65357</v>
      </c>
      <c r="B978" s="6" t="s">
        <v>59</v>
      </c>
    </row>
    <row r="979" spans="1:2">
      <c r="A979" s="5">
        <v>65374</v>
      </c>
      <c r="B979" s="6" t="s">
        <v>60</v>
      </c>
    </row>
    <row r="980" spans="1:2">
      <c r="A980" s="5">
        <v>65381</v>
      </c>
      <c r="B980" s="6" t="s">
        <v>64</v>
      </c>
    </row>
    <row r="981" spans="1:2">
      <c r="A981" s="5">
        <v>65490</v>
      </c>
      <c r="B981" s="6" t="s">
        <v>51</v>
      </c>
    </row>
    <row r="982" spans="1:2">
      <c r="A982" s="5">
        <v>65491</v>
      </c>
      <c r="B982" s="6" t="s">
        <v>52</v>
      </c>
    </row>
    <row r="983" spans="1:2">
      <c r="A983" s="5">
        <v>65501</v>
      </c>
      <c r="B983" s="6" t="s">
        <v>53</v>
      </c>
    </row>
    <row r="984" spans="1:2">
      <c r="A984" s="5">
        <v>65560</v>
      </c>
      <c r="B984" s="6" t="s">
        <v>54</v>
      </c>
    </row>
    <row r="985" spans="1:2">
      <c r="A985" s="5">
        <v>65589</v>
      </c>
      <c r="B985" s="6" t="s">
        <v>55</v>
      </c>
    </row>
    <row r="986" spans="1:2">
      <c r="A986" s="5">
        <v>65590</v>
      </c>
      <c r="B986" s="6" t="s">
        <v>55</v>
      </c>
    </row>
    <row r="987" spans="1:2">
      <c r="A987" s="5">
        <v>65622</v>
      </c>
      <c r="B987" s="6" t="s">
        <v>56</v>
      </c>
    </row>
    <row r="988" spans="1:2">
      <c r="A988" s="5">
        <v>65661</v>
      </c>
      <c r="B988" s="6" t="s">
        <v>57</v>
      </c>
    </row>
    <row r="989" spans="1:2">
      <c r="A989" s="5">
        <v>65685</v>
      </c>
      <c r="B989" s="6" t="s">
        <v>58</v>
      </c>
    </row>
    <row r="990" spans="1:2">
      <c r="A990" s="5">
        <v>65722</v>
      </c>
      <c r="B990" s="6" t="s">
        <v>59</v>
      </c>
    </row>
    <row r="991" spans="1:2">
      <c r="A991" s="5">
        <v>65739</v>
      </c>
      <c r="B991" s="6" t="s">
        <v>60</v>
      </c>
    </row>
    <row r="992" spans="1:2">
      <c r="A992" s="5">
        <v>65746</v>
      </c>
      <c r="B992" s="6" t="s">
        <v>50</v>
      </c>
    </row>
    <row r="993" spans="1:2">
      <c r="A993" s="5">
        <v>65840</v>
      </c>
      <c r="B993" s="6" t="s">
        <v>51</v>
      </c>
    </row>
    <row r="994" spans="1:2">
      <c r="A994" s="5">
        <v>65841</v>
      </c>
      <c r="B994" s="6" t="s">
        <v>52</v>
      </c>
    </row>
    <row r="995" spans="1:2">
      <c r="A995" s="5">
        <v>65867</v>
      </c>
      <c r="B995" s="6" t="s">
        <v>53</v>
      </c>
    </row>
    <row r="996" spans="1:2">
      <c r="A996" s="5">
        <v>65926</v>
      </c>
      <c r="B996" s="6" t="s">
        <v>54</v>
      </c>
    </row>
    <row r="997" spans="1:2">
      <c r="A997" s="5">
        <v>65955</v>
      </c>
      <c r="B997" s="6" t="s">
        <v>55</v>
      </c>
    </row>
    <row r="998" spans="1:2">
      <c r="A998" s="5">
        <v>65956</v>
      </c>
      <c r="B998" s="6" t="s">
        <v>55</v>
      </c>
    </row>
    <row r="999" spans="1:2">
      <c r="A999" s="5">
        <v>65988</v>
      </c>
      <c r="B999" s="6" t="s">
        <v>56</v>
      </c>
    </row>
    <row r="1000" spans="1:2">
      <c r="A1000" s="5">
        <v>66027</v>
      </c>
      <c r="B1000" s="6" t="s">
        <v>57</v>
      </c>
    </row>
    <row r="1001" spans="1:2">
      <c r="A1001" s="5">
        <v>66051</v>
      </c>
      <c r="B1001" s="6" t="s">
        <v>58</v>
      </c>
    </row>
    <row r="1002" spans="1:2">
      <c r="A1002" s="5">
        <v>66088</v>
      </c>
      <c r="B1002" s="6" t="s">
        <v>59</v>
      </c>
    </row>
    <row r="1003" spans="1:2">
      <c r="A1003" s="5">
        <v>66105</v>
      </c>
      <c r="B1003" s="6" t="s">
        <v>60</v>
      </c>
    </row>
    <row r="1004" spans="1:2">
      <c r="A1004" s="5">
        <v>66112</v>
      </c>
      <c r="B1004" s="6" t="s">
        <v>50</v>
      </c>
    </row>
    <row r="1005" spans="1:2">
      <c r="A1005" s="5">
        <v>66197</v>
      </c>
      <c r="B1005" s="6" t="s">
        <v>51</v>
      </c>
    </row>
    <row r="1006" spans="1:2">
      <c r="A1006" s="5">
        <v>66198</v>
      </c>
      <c r="B1006" s="6" t="s">
        <v>52</v>
      </c>
    </row>
    <row r="1007" spans="1:2">
      <c r="A1007" s="5">
        <v>66232</v>
      </c>
      <c r="B1007" s="6" t="s">
        <v>53</v>
      </c>
    </row>
    <row r="1008" spans="1:2">
      <c r="A1008" s="5">
        <v>66291</v>
      </c>
      <c r="B1008" s="6" t="s">
        <v>54</v>
      </c>
    </row>
    <row r="1009" spans="1:2">
      <c r="A1009" s="5">
        <v>66320</v>
      </c>
      <c r="B1009" s="6" t="s">
        <v>55</v>
      </c>
    </row>
    <row r="1010" spans="1:2">
      <c r="A1010" s="5">
        <v>66321</v>
      </c>
      <c r="B1010" s="6" t="s">
        <v>55</v>
      </c>
    </row>
    <row r="1011" spans="1:2">
      <c r="A1011" s="5">
        <v>66353</v>
      </c>
      <c r="B1011" s="6" t="s">
        <v>56</v>
      </c>
    </row>
    <row r="1012" spans="1:2">
      <c r="A1012" s="5">
        <v>66392</v>
      </c>
      <c r="B1012" s="6" t="s">
        <v>57</v>
      </c>
    </row>
    <row r="1013" spans="1:2">
      <c r="A1013" s="5">
        <v>66416</v>
      </c>
      <c r="B1013" s="6" t="s">
        <v>58</v>
      </c>
    </row>
    <row r="1014" spans="1:2">
      <c r="A1014" s="5">
        <v>66453</v>
      </c>
      <c r="B1014" s="6" t="s">
        <v>59</v>
      </c>
    </row>
    <row r="1015" spans="1:2">
      <c r="A1015" s="5">
        <v>66470</v>
      </c>
      <c r="B1015" s="6" t="s">
        <v>60</v>
      </c>
    </row>
    <row r="1016" spans="1:2">
      <c r="A1016" s="5">
        <v>66477</v>
      </c>
      <c r="B1016" s="6" t="s">
        <v>50</v>
      </c>
    </row>
    <row r="1017" spans="1:2">
      <c r="A1017" s="5">
        <v>66582</v>
      </c>
      <c r="B1017" s="6" t="s">
        <v>51</v>
      </c>
    </row>
    <row r="1018" spans="1:2">
      <c r="A1018" s="5">
        <v>66583</v>
      </c>
      <c r="B1018" s="6" t="s">
        <v>52</v>
      </c>
    </row>
    <row r="1019" spans="1:2">
      <c r="A1019" s="5">
        <v>66597</v>
      </c>
      <c r="B1019" s="6" t="s">
        <v>53</v>
      </c>
    </row>
    <row r="1020" spans="1:2">
      <c r="A1020" s="5">
        <v>66656</v>
      </c>
      <c r="B1020" s="6" t="s">
        <v>54</v>
      </c>
    </row>
    <row r="1021" spans="1:2">
      <c r="A1021" s="5">
        <v>66685</v>
      </c>
      <c r="B1021" s="6" t="s">
        <v>55</v>
      </c>
    </row>
    <row r="1022" spans="1:2">
      <c r="A1022" s="5">
        <v>66686</v>
      </c>
      <c r="B1022" s="6" t="s">
        <v>55</v>
      </c>
    </row>
    <row r="1023" spans="1:2">
      <c r="A1023" s="5">
        <v>66718</v>
      </c>
      <c r="B1023" s="6" t="s">
        <v>56</v>
      </c>
    </row>
    <row r="1024" spans="1:2">
      <c r="A1024" s="5">
        <v>66757</v>
      </c>
      <c r="B1024" s="6" t="s">
        <v>57</v>
      </c>
    </row>
    <row r="1025" spans="1:2">
      <c r="A1025" s="5">
        <v>66781</v>
      </c>
      <c r="B1025" s="6" t="s">
        <v>58</v>
      </c>
    </row>
    <row r="1026" spans="1:2">
      <c r="A1026" s="5">
        <v>66818</v>
      </c>
      <c r="B1026" s="6" t="s">
        <v>59</v>
      </c>
    </row>
    <row r="1027" spans="1:2">
      <c r="A1027" s="5">
        <v>66835</v>
      </c>
      <c r="B1027" s="6" t="s">
        <v>60</v>
      </c>
    </row>
    <row r="1028" spans="1:2">
      <c r="A1028" s="5">
        <v>66842</v>
      </c>
      <c r="B1028" s="6" t="s">
        <v>50</v>
      </c>
    </row>
    <row r="1029" spans="1:2">
      <c r="A1029" s="5">
        <v>66932</v>
      </c>
      <c r="B1029" s="6" t="s">
        <v>51</v>
      </c>
    </row>
    <row r="1030" spans="1:2">
      <c r="A1030" s="5">
        <v>66933</v>
      </c>
      <c r="B1030" s="6" t="s">
        <v>52</v>
      </c>
    </row>
    <row r="1031" spans="1:2">
      <c r="A1031" s="5">
        <v>66962</v>
      </c>
      <c r="B1031" s="6" t="s">
        <v>53</v>
      </c>
    </row>
    <row r="1032" spans="1:2">
      <c r="A1032" s="5">
        <v>67021</v>
      </c>
      <c r="B1032" s="6" t="s">
        <v>54</v>
      </c>
    </row>
    <row r="1033" spans="1:2">
      <c r="A1033" s="5">
        <v>67050</v>
      </c>
      <c r="B1033" s="6" t="s">
        <v>55</v>
      </c>
    </row>
    <row r="1034" spans="1:2">
      <c r="A1034" s="5">
        <v>67051</v>
      </c>
      <c r="B1034" s="6" t="s">
        <v>55</v>
      </c>
    </row>
    <row r="1035" spans="1:2">
      <c r="A1035" s="5">
        <v>67083</v>
      </c>
      <c r="B1035" s="6" t="s">
        <v>56</v>
      </c>
    </row>
    <row r="1036" spans="1:2">
      <c r="A1036" s="5">
        <v>67122</v>
      </c>
      <c r="B1036" s="6" t="s">
        <v>57</v>
      </c>
    </row>
    <row r="1037" spans="1:2">
      <c r="A1037" s="5">
        <v>67146</v>
      </c>
      <c r="B1037" s="6" t="s">
        <v>58</v>
      </c>
    </row>
    <row r="1038" spans="1:2">
      <c r="A1038" s="5">
        <v>67183</v>
      </c>
      <c r="B1038" s="6" t="s">
        <v>59</v>
      </c>
    </row>
    <row r="1039" spans="1:2">
      <c r="A1039" s="5">
        <v>67200</v>
      </c>
      <c r="B1039" s="6" t="s">
        <v>60</v>
      </c>
    </row>
    <row r="1040" spans="1:2">
      <c r="A1040" s="5">
        <v>67207</v>
      </c>
      <c r="B1040" s="6" t="s">
        <v>50</v>
      </c>
    </row>
    <row r="1041" spans="1:2">
      <c r="A1041" s="5">
        <v>67289</v>
      </c>
      <c r="B1041" s="6" t="s">
        <v>51</v>
      </c>
    </row>
    <row r="1042" spans="1:2">
      <c r="A1042" s="5">
        <v>67290</v>
      </c>
      <c r="B1042" s="6" t="s">
        <v>52</v>
      </c>
    </row>
    <row r="1043" spans="1:2">
      <c r="A1043" s="5">
        <v>67328</v>
      </c>
      <c r="B1043" s="6" t="s">
        <v>53</v>
      </c>
    </row>
    <row r="1044" spans="1:2">
      <c r="A1044" s="5">
        <v>67387</v>
      </c>
      <c r="B1044" s="6" t="s">
        <v>54</v>
      </c>
    </row>
    <row r="1045" spans="1:2">
      <c r="A1045" s="5">
        <v>67416</v>
      </c>
      <c r="B1045" s="6" t="s">
        <v>55</v>
      </c>
    </row>
    <row r="1046" spans="1:2">
      <c r="A1046" s="5">
        <v>67417</v>
      </c>
      <c r="B1046" s="6" t="s">
        <v>55</v>
      </c>
    </row>
    <row r="1047" spans="1:2">
      <c r="A1047" s="5">
        <v>67449</v>
      </c>
      <c r="B1047" s="6" t="s">
        <v>56</v>
      </c>
    </row>
    <row r="1048" spans="1:2">
      <c r="A1048" s="5">
        <v>67488</v>
      </c>
      <c r="B1048" s="6" t="s">
        <v>57</v>
      </c>
    </row>
    <row r="1049" spans="1:2">
      <c r="A1049" s="5">
        <v>67512</v>
      </c>
      <c r="B1049" s="6" t="s">
        <v>58</v>
      </c>
    </row>
    <row r="1050" spans="1:2">
      <c r="A1050" s="5">
        <v>67549</v>
      </c>
      <c r="B1050" s="6" t="s">
        <v>59</v>
      </c>
    </row>
    <row r="1051" spans="1:2">
      <c r="A1051" s="5">
        <v>67566</v>
      </c>
      <c r="B1051" s="6" t="s">
        <v>60</v>
      </c>
    </row>
    <row r="1052" spans="1:2">
      <c r="A1052" s="5">
        <v>67573</v>
      </c>
      <c r="B1052" s="6" t="s">
        <v>50</v>
      </c>
    </row>
    <row r="1053" spans="1:2">
      <c r="A1053" s="5">
        <v>67674</v>
      </c>
      <c r="B1053" s="6" t="s">
        <v>51</v>
      </c>
    </row>
    <row r="1054" spans="1:2">
      <c r="A1054" s="5">
        <v>67675</v>
      </c>
      <c r="B1054" s="6" t="s">
        <v>52</v>
      </c>
    </row>
    <row r="1055" spans="1:2">
      <c r="A1055" s="5">
        <v>67693</v>
      </c>
      <c r="B1055" s="6" t="s">
        <v>53</v>
      </c>
    </row>
    <row r="1056" spans="1:2">
      <c r="A1056" s="5">
        <v>67752</v>
      </c>
      <c r="B1056" s="6" t="s">
        <v>54</v>
      </c>
    </row>
    <row r="1057" spans="1:2">
      <c r="A1057" s="5">
        <v>67781</v>
      </c>
      <c r="B1057" s="6" t="s">
        <v>55</v>
      </c>
    </row>
    <row r="1058" spans="1:2">
      <c r="A1058" s="5">
        <v>67782</v>
      </c>
      <c r="B1058" s="6" t="s">
        <v>55</v>
      </c>
    </row>
    <row r="1059" spans="1:2">
      <c r="A1059" s="5">
        <v>67814</v>
      </c>
      <c r="B1059" s="6" t="s">
        <v>56</v>
      </c>
    </row>
    <row r="1060" spans="1:2">
      <c r="A1060" s="5">
        <v>67853</v>
      </c>
      <c r="B1060" s="6" t="s">
        <v>57</v>
      </c>
    </row>
    <row r="1061" spans="1:2">
      <c r="A1061" s="5">
        <v>67877</v>
      </c>
      <c r="B1061" s="6" t="s">
        <v>58</v>
      </c>
    </row>
    <row r="1062" spans="1:2">
      <c r="A1062" s="5">
        <v>67914</v>
      </c>
      <c r="B1062" s="6" t="s">
        <v>59</v>
      </c>
    </row>
    <row r="1063" spans="1:2">
      <c r="A1063" s="5">
        <v>67931</v>
      </c>
      <c r="B1063" s="6" t="s">
        <v>60</v>
      </c>
    </row>
    <row r="1064" spans="1:2">
      <c r="A1064" s="5">
        <v>67938</v>
      </c>
      <c r="B1064" s="6" t="s">
        <v>50</v>
      </c>
    </row>
    <row r="1065" spans="1:2">
      <c r="A1065" s="5">
        <v>68024</v>
      </c>
      <c r="B1065" s="6" t="s">
        <v>51</v>
      </c>
    </row>
    <row r="1066" spans="1:2">
      <c r="A1066" s="5">
        <v>68025</v>
      </c>
      <c r="B1066" s="6" t="s">
        <v>52</v>
      </c>
    </row>
    <row r="1067" spans="1:2">
      <c r="A1067" s="5">
        <v>68058</v>
      </c>
      <c r="B1067" s="6" t="s">
        <v>53</v>
      </c>
    </row>
    <row r="1068" spans="1:2">
      <c r="A1068" s="5">
        <v>68117</v>
      </c>
      <c r="B1068" s="6" t="s">
        <v>54</v>
      </c>
    </row>
    <row r="1069" spans="1:2">
      <c r="A1069" s="5">
        <v>68146</v>
      </c>
      <c r="B1069" s="6" t="s">
        <v>55</v>
      </c>
    </row>
    <row r="1070" spans="1:2">
      <c r="A1070" s="5">
        <v>68147</v>
      </c>
      <c r="B1070" s="6" t="s">
        <v>55</v>
      </c>
    </row>
    <row r="1071" spans="1:2">
      <c r="A1071" s="5">
        <v>68179</v>
      </c>
      <c r="B1071" s="6" t="s">
        <v>56</v>
      </c>
    </row>
    <row r="1072" spans="1:2">
      <c r="A1072" s="5">
        <v>68218</v>
      </c>
      <c r="B1072" s="6" t="s">
        <v>57</v>
      </c>
    </row>
    <row r="1073" spans="1:2">
      <c r="A1073" s="5">
        <v>68242</v>
      </c>
      <c r="B1073" s="6" t="s">
        <v>58</v>
      </c>
    </row>
    <row r="1074" spans="1:2">
      <c r="A1074" s="5">
        <v>68279</v>
      </c>
      <c r="B1074" s="6" t="s">
        <v>59</v>
      </c>
    </row>
    <row r="1075" spans="1:2">
      <c r="A1075" s="5">
        <v>68296</v>
      </c>
      <c r="B1075" s="6" t="s">
        <v>60</v>
      </c>
    </row>
    <row r="1076" spans="1:2">
      <c r="A1076" s="5">
        <v>68303</v>
      </c>
      <c r="B1076" s="6" t="s">
        <v>50</v>
      </c>
    </row>
    <row r="1077" spans="1:2">
      <c r="A1077" s="5">
        <v>68409</v>
      </c>
      <c r="B1077" s="6" t="s">
        <v>51</v>
      </c>
    </row>
    <row r="1078" spans="1:2">
      <c r="A1078" s="5">
        <v>68410</v>
      </c>
      <c r="B1078" s="6" t="s">
        <v>52</v>
      </c>
    </row>
    <row r="1079" spans="1:2">
      <c r="A1079" s="5">
        <v>68423</v>
      </c>
      <c r="B1079" s="6" t="s">
        <v>53</v>
      </c>
    </row>
    <row r="1080" spans="1:2">
      <c r="A1080" s="5">
        <v>68482</v>
      </c>
      <c r="B1080" s="6" t="s">
        <v>54</v>
      </c>
    </row>
    <row r="1081" spans="1:2">
      <c r="A1081" s="5">
        <v>68511</v>
      </c>
      <c r="B1081" s="6" t="s">
        <v>55</v>
      </c>
    </row>
    <row r="1082" spans="1:2">
      <c r="A1082" s="5">
        <v>68512</v>
      </c>
      <c r="B1082" s="6" t="s">
        <v>55</v>
      </c>
    </row>
    <row r="1083" spans="1:2">
      <c r="A1083" s="5">
        <v>68544</v>
      </c>
      <c r="B1083" s="6" t="s">
        <v>56</v>
      </c>
    </row>
    <row r="1084" spans="1:2">
      <c r="A1084" s="5">
        <v>68583</v>
      </c>
      <c r="B1084" s="6" t="s">
        <v>57</v>
      </c>
    </row>
    <row r="1085" spans="1:2">
      <c r="A1085" s="5">
        <v>68607</v>
      </c>
      <c r="B1085" s="6" t="s">
        <v>58</v>
      </c>
    </row>
    <row r="1086" spans="1:2">
      <c r="A1086" s="5">
        <v>68644</v>
      </c>
      <c r="B1086" s="6" t="s">
        <v>59</v>
      </c>
    </row>
    <row r="1087" spans="1:2">
      <c r="A1087" s="5">
        <v>68661</v>
      </c>
      <c r="B1087" s="6" t="s">
        <v>60</v>
      </c>
    </row>
    <row r="1088" spans="1:2">
      <c r="A1088" s="5">
        <v>68668</v>
      </c>
      <c r="B1088" s="6" t="s">
        <v>50</v>
      </c>
    </row>
    <row r="1089" spans="1:2">
      <c r="A1089" s="5">
        <v>68766</v>
      </c>
      <c r="B1089" s="6" t="s">
        <v>51</v>
      </c>
    </row>
    <row r="1090" spans="1:2">
      <c r="A1090" s="5">
        <v>68767</v>
      </c>
      <c r="B1090" s="6" t="s">
        <v>52</v>
      </c>
    </row>
    <row r="1091" spans="1:2">
      <c r="A1091" s="5">
        <v>68789</v>
      </c>
      <c r="B1091" s="6" t="s">
        <v>53</v>
      </c>
    </row>
    <row r="1092" spans="1:2">
      <c r="A1092" s="5">
        <v>68848</v>
      </c>
      <c r="B1092" s="6" t="s">
        <v>54</v>
      </c>
    </row>
    <row r="1093" spans="1:2">
      <c r="A1093" s="5">
        <v>68877</v>
      </c>
      <c r="B1093" s="6" t="s">
        <v>55</v>
      </c>
    </row>
    <row r="1094" spans="1:2">
      <c r="A1094" s="5">
        <v>68878</v>
      </c>
      <c r="B1094" s="6" t="s">
        <v>55</v>
      </c>
    </row>
    <row r="1095" spans="1:2">
      <c r="A1095" s="5">
        <v>68910</v>
      </c>
      <c r="B1095" s="6" t="s">
        <v>56</v>
      </c>
    </row>
    <row r="1096" spans="1:2">
      <c r="A1096" s="5">
        <v>68949</v>
      </c>
      <c r="B1096" s="6" t="s">
        <v>57</v>
      </c>
    </row>
    <row r="1097" spans="1:2">
      <c r="A1097" s="5">
        <v>68973</v>
      </c>
      <c r="B1097" s="6" t="s">
        <v>58</v>
      </c>
    </row>
    <row r="1098" spans="1:2">
      <c r="A1098" s="5">
        <v>69010</v>
      </c>
      <c r="B1098" s="6" t="s">
        <v>59</v>
      </c>
    </row>
    <row r="1099" spans="1:2">
      <c r="A1099" s="5">
        <v>69027</v>
      </c>
      <c r="B1099" s="6" t="s">
        <v>60</v>
      </c>
    </row>
    <row r="1100" spans="1:2">
      <c r="A1100" s="5">
        <v>69034</v>
      </c>
      <c r="B1100" s="6" t="s">
        <v>50</v>
      </c>
    </row>
    <row r="1101" spans="1:2">
      <c r="A1101" s="5">
        <v>69123</v>
      </c>
      <c r="B1101" s="6" t="s">
        <v>51</v>
      </c>
    </row>
    <row r="1102" spans="1:2">
      <c r="A1102" s="5">
        <v>69124</v>
      </c>
      <c r="B1102" s="6" t="s">
        <v>52</v>
      </c>
    </row>
    <row r="1103" spans="1:2">
      <c r="A1103" s="5">
        <v>69154</v>
      </c>
      <c r="B1103" s="6" t="s">
        <v>53</v>
      </c>
    </row>
    <row r="1104" spans="1:2">
      <c r="A1104" s="5">
        <v>69213</v>
      </c>
      <c r="B1104" s="6" t="s">
        <v>54</v>
      </c>
    </row>
    <row r="1105" spans="1:2">
      <c r="A1105" s="5">
        <v>69242</v>
      </c>
      <c r="B1105" s="6" t="s">
        <v>55</v>
      </c>
    </row>
    <row r="1106" spans="1:2">
      <c r="A1106" s="5">
        <v>69243</v>
      </c>
      <c r="B1106" s="6" t="s">
        <v>55</v>
      </c>
    </row>
    <row r="1107" spans="1:2">
      <c r="A1107" s="5">
        <v>69275</v>
      </c>
      <c r="B1107" s="6" t="s">
        <v>56</v>
      </c>
    </row>
    <row r="1108" spans="1:2">
      <c r="A1108" s="5">
        <v>69314</v>
      </c>
      <c r="B1108" s="6" t="s">
        <v>57</v>
      </c>
    </row>
    <row r="1109" spans="1:2">
      <c r="A1109" s="5">
        <v>69338</v>
      </c>
      <c r="B1109" s="6" t="s">
        <v>58</v>
      </c>
    </row>
    <row r="1110" spans="1:2">
      <c r="A1110" s="5">
        <v>69375</v>
      </c>
      <c r="B1110" s="6" t="s">
        <v>59</v>
      </c>
    </row>
    <row r="1111" spans="1:2">
      <c r="A1111" s="5">
        <v>69392</v>
      </c>
      <c r="B1111" s="6" t="s">
        <v>60</v>
      </c>
    </row>
    <row r="1112" spans="1:2">
      <c r="A1112" s="5">
        <v>69399</v>
      </c>
      <c r="B1112" s="6" t="s">
        <v>64</v>
      </c>
    </row>
    <row r="1113" spans="1:2">
      <c r="A1113" s="5">
        <v>69501</v>
      </c>
      <c r="B1113" s="6" t="s">
        <v>51</v>
      </c>
    </row>
    <row r="1114" spans="1:2">
      <c r="A1114" s="5">
        <v>69502</v>
      </c>
      <c r="B1114" s="6" t="s">
        <v>52</v>
      </c>
    </row>
    <row r="1115" spans="1:2">
      <c r="A1115" s="5">
        <v>69519</v>
      </c>
      <c r="B1115" s="6" t="s">
        <v>53</v>
      </c>
    </row>
    <row r="1116" spans="1:2">
      <c r="A1116" s="5">
        <v>69578</v>
      </c>
      <c r="B1116" s="6" t="s">
        <v>54</v>
      </c>
    </row>
    <row r="1117" spans="1:2">
      <c r="A1117" s="5">
        <v>69607</v>
      </c>
      <c r="B1117" s="6" t="s">
        <v>55</v>
      </c>
    </row>
    <row r="1118" spans="1:2">
      <c r="A1118" s="5">
        <v>69608</v>
      </c>
      <c r="B1118" s="6" t="s">
        <v>55</v>
      </c>
    </row>
    <row r="1119" spans="1:2">
      <c r="A1119" s="5">
        <v>69640</v>
      </c>
      <c r="B1119" s="6" t="s">
        <v>56</v>
      </c>
    </row>
    <row r="1120" spans="1:2">
      <c r="A1120" s="5">
        <v>69679</v>
      </c>
      <c r="B1120" s="6" t="s">
        <v>57</v>
      </c>
    </row>
    <row r="1121" spans="1:2">
      <c r="A1121" s="5">
        <v>69703</v>
      </c>
      <c r="B1121" s="6" t="s">
        <v>58</v>
      </c>
    </row>
    <row r="1122" spans="1:2">
      <c r="A1122" s="5">
        <v>69740</v>
      </c>
      <c r="B1122" s="6" t="s">
        <v>59</v>
      </c>
    </row>
    <row r="1123" spans="1:2">
      <c r="A1123" s="5">
        <v>69757</v>
      </c>
      <c r="B1123" s="6" t="s">
        <v>60</v>
      </c>
    </row>
    <row r="1124" spans="1:2">
      <c r="A1124" s="5">
        <v>69764</v>
      </c>
      <c r="B1124" s="6" t="s">
        <v>50</v>
      </c>
    </row>
    <row r="1125" spans="1:2">
      <c r="A1125" s="5">
        <v>69858</v>
      </c>
      <c r="B1125" s="6" t="s">
        <v>51</v>
      </c>
    </row>
    <row r="1126" spans="1:2">
      <c r="A1126" s="5">
        <v>69859</v>
      </c>
      <c r="B1126" s="6" t="s">
        <v>52</v>
      </c>
    </row>
    <row r="1127" spans="1:2">
      <c r="A1127" s="5">
        <v>69884</v>
      </c>
      <c r="B1127" s="6" t="s">
        <v>53</v>
      </c>
    </row>
    <row r="1128" spans="1:2">
      <c r="A1128" s="5">
        <v>69943</v>
      </c>
      <c r="B1128" s="6" t="s">
        <v>54</v>
      </c>
    </row>
    <row r="1129" spans="1:2">
      <c r="A1129" s="5">
        <v>69972</v>
      </c>
      <c r="B1129" s="6" t="s">
        <v>55</v>
      </c>
    </row>
    <row r="1130" spans="1:2">
      <c r="A1130" s="5">
        <v>69973</v>
      </c>
      <c r="B1130" s="6" t="s">
        <v>55</v>
      </c>
    </row>
    <row r="1131" spans="1:2">
      <c r="A1131" s="5">
        <v>70005</v>
      </c>
      <c r="B1131" s="6" t="s">
        <v>56</v>
      </c>
    </row>
    <row r="1132" spans="1:2">
      <c r="A1132" s="5">
        <v>70044</v>
      </c>
      <c r="B1132" s="6" t="s">
        <v>57</v>
      </c>
    </row>
    <row r="1133" spans="1:2">
      <c r="A1133" s="5">
        <v>70068</v>
      </c>
      <c r="B1133" s="6" t="s">
        <v>58</v>
      </c>
    </row>
    <row r="1134" spans="1:2">
      <c r="A1134" s="5">
        <v>70105</v>
      </c>
      <c r="B1134" s="6" t="s">
        <v>59</v>
      </c>
    </row>
    <row r="1135" spans="1:2">
      <c r="A1135" s="5">
        <v>70122</v>
      </c>
      <c r="B1135" s="6" t="s">
        <v>60</v>
      </c>
    </row>
    <row r="1136" spans="1:2">
      <c r="A1136" s="5">
        <v>70129</v>
      </c>
      <c r="B1136" s="6" t="s">
        <v>50</v>
      </c>
    </row>
    <row r="1137" spans="1:2">
      <c r="A1137" s="5">
        <v>70215</v>
      </c>
      <c r="B1137" s="6" t="s">
        <v>51</v>
      </c>
    </row>
    <row r="1138" spans="1:2">
      <c r="A1138" s="5">
        <v>70216</v>
      </c>
      <c r="B1138" s="6" t="s">
        <v>52</v>
      </c>
    </row>
    <row r="1139" spans="1:2">
      <c r="A1139" s="5">
        <v>70250</v>
      </c>
      <c r="B1139" s="6" t="s">
        <v>53</v>
      </c>
    </row>
    <row r="1140" spans="1:2">
      <c r="A1140" s="5">
        <v>70309</v>
      </c>
      <c r="B1140" s="6" t="s">
        <v>54</v>
      </c>
    </row>
    <row r="1141" spans="1:2">
      <c r="A1141" s="5">
        <v>70338</v>
      </c>
      <c r="B1141" s="6" t="s">
        <v>55</v>
      </c>
    </row>
    <row r="1142" spans="1:2">
      <c r="A1142" s="5">
        <v>70339</v>
      </c>
      <c r="B1142" s="6" t="s">
        <v>55</v>
      </c>
    </row>
    <row r="1143" spans="1:2">
      <c r="A1143" s="5">
        <v>70371</v>
      </c>
      <c r="B1143" s="6" t="s">
        <v>56</v>
      </c>
    </row>
    <row r="1144" spans="1:2">
      <c r="A1144" s="5">
        <v>70410</v>
      </c>
      <c r="B1144" s="6" t="s">
        <v>57</v>
      </c>
    </row>
    <row r="1145" spans="1:2">
      <c r="A1145" s="5">
        <v>70434</v>
      </c>
      <c r="B1145" s="6" t="s">
        <v>58</v>
      </c>
    </row>
    <row r="1146" spans="1:2">
      <c r="A1146" s="5">
        <v>70471</v>
      </c>
      <c r="B1146" s="6" t="s">
        <v>59</v>
      </c>
    </row>
    <row r="1147" spans="1:2">
      <c r="A1147" s="5">
        <v>70488</v>
      </c>
      <c r="B1147" s="6" t="s">
        <v>60</v>
      </c>
    </row>
    <row r="1148" spans="1:2">
      <c r="A1148" s="5">
        <v>70495</v>
      </c>
      <c r="B1148" s="6" t="s">
        <v>50</v>
      </c>
    </row>
    <row r="1149" spans="1:2">
      <c r="A1149" s="5">
        <v>70593</v>
      </c>
      <c r="B1149" s="6" t="s">
        <v>51</v>
      </c>
    </row>
    <row r="1150" spans="1:2">
      <c r="A1150" s="5">
        <v>70594</v>
      </c>
      <c r="B1150" s="6" t="s">
        <v>52</v>
      </c>
    </row>
    <row r="1151" spans="1:2">
      <c r="A1151" s="5">
        <v>70615</v>
      </c>
      <c r="B1151" s="6" t="s">
        <v>53</v>
      </c>
    </row>
    <row r="1152" spans="1:2">
      <c r="A1152" s="5">
        <v>70674</v>
      </c>
      <c r="B1152" s="6" t="s">
        <v>54</v>
      </c>
    </row>
    <row r="1153" spans="1:2">
      <c r="A1153" s="5">
        <v>70703</v>
      </c>
      <c r="B1153" s="6" t="s">
        <v>55</v>
      </c>
    </row>
    <row r="1154" spans="1:2">
      <c r="A1154" s="5">
        <v>70704</v>
      </c>
      <c r="B1154" s="6" t="s">
        <v>55</v>
      </c>
    </row>
    <row r="1155" spans="1:2">
      <c r="A1155" s="5">
        <v>70736</v>
      </c>
      <c r="B1155" s="6" t="s">
        <v>56</v>
      </c>
    </row>
    <row r="1156" spans="1:2">
      <c r="A1156" s="5">
        <v>70775</v>
      </c>
      <c r="B1156" s="6" t="s">
        <v>57</v>
      </c>
    </row>
    <row r="1157" spans="1:2">
      <c r="A1157" s="5">
        <v>70799</v>
      </c>
      <c r="B1157" s="6" t="s">
        <v>58</v>
      </c>
    </row>
    <row r="1158" spans="1:2">
      <c r="A1158" s="5">
        <v>70836</v>
      </c>
      <c r="B1158" s="6" t="s">
        <v>59</v>
      </c>
    </row>
    <row r="1159" spans="1:2">
      <c r="A1159" s="5">
        <v>70853</v>
      </c>
      <c r="B1159" s="6" t="s">
        <v>60</v>
      </c>
    </row>
    <row r="1160" spans="1:2">
      <c r="A1160" s="5">
        <v>70860</v>
      </c>
      <c r="B1160" s="6" t="s">
        <v>50</v>
      </c>
    </row>
    <row r="1161" spans="1:2">
      <c r="A1161" s="5">
        <v>70950</v>
      </c>
      <c r="B1161" s="6" t="s">
        <v>51</v>
      </c>
    </row>
    <row r="1162" spans="1:2">
      <c r="A1162" s="5">
        <v>70951</v>
      </c>
      <c r="B1162" s="6" t="s">
        <v>52</v>
      </c>
    </row>
    <row r="1163" spans="1:2">
      <c r="A1163" s="5">
        <v>70980</v>
      </c>
      <c r="B1163" s="6" t="s">
        <v>53</v>
      </c>
    </row>
    <row r="1164" spans="1:2">
      <c r="A1164" s="5">
        <v>71039</v>
      </c>
      <c r="B1164" s="6" t="s">
        <v>54</v>
      </c>
    </row>
    <row r="1165" spans="1:2">
      <c r="A1165" s="5">
        <v>71068</v>
      </c>
      <c r="B1165" s="6" t="s">
        <v>55</v>
      </c>
    </row>
    <row r="1166" spans="1:2">
      <c r="A1166" s="5">
        <v>71069</v>
      </c>
      <c r="B1166" s="6" t="s">
        <v>55</v>
      </c>
    </row>
    <row r="1167" spans="1:2">
      <c r="A1167" s="5">
        <v>71101</v>
      </c>
      <c r="B1167" s="6" t="s">
        <v>56</v>
      </c>
    </row>
    <row r="1168" spans="1:2">
      <c r="A1168" s="5">
        <v>71140</v>
      </c>
      <c r="B1168" s="6" t="s">
        <v>57</v>
      </c>
    </row>
    <row r="1169" spans="1:2">
      <c r="A1169" s="5">
        <v>71164</v>
      </c>
      <c r="B1169" s="6" t="s">
        <v>58</v>
      </c>
    </row>
    <row r="1170" spans="1:2">
      <c r="A1170" s="5">
        <v>71201</v>
      </c>
      <c r="B1170" s="6" t="s">
        <v>59</v>
      </c>
    </row>
    <row r="1171" spans="1:2">
      <c r="A1171" s="5">
        <v>71218</v>
      </c>
      <c r="B1171" s="6" t="s">
        <v>60</v>
      </c>
    </row>
    <row r="1172" spans="1:2">
      <c r="A1172" s="5">
        <v>71225</v>
      </c>
      <c r="B1172" s="6" t="s">
        <v>50</v>
      </c>
    </row>
    <row r="1173" spans="1:2">
      <c r="A1173" s="5">
        <v>71335</v>
      </c>
      <c r="B1173" s="6" t="s">
        <v>51</v>
      </c>
    </row>
    <row r="1174" spans="1:2">
      <c r="A1174" s="5">
        <v>71336</v>
      </c>
      <c r="B1174" s="6" t="s">
        <v>52</v>
      </c>
    </row>
    <row r="1175" spans="1:2">
      <c r="A1175" s="5">
        <v>71345</v>
      </c>
      <c r="B1175" s="6" t="s">
        <v>53</v>
      </c>
    </row>
    <row r="1176" spans="1:2">
      <c r="A1176" s="5">
        <v>71404</v>
      </c>
      <c r="B1176" s="6" t="s">
        <v>54</v>
      </c>
    </row>
    <row r="1177" spans="1:2">
      <c r="A1177" s="5">
        <v>71433</v>
      </c>
      <c r="B1177" s="6" t="s">
        <v>55</v>
      </c>
    </row>
    <row r="1178" spans="1:2">
      <c r="A1178" s="5">
        <v>71434</v>
      </c>
      <c r="B1178" s="6" t="s">
        <v>55</v>
      </c>
    </row>
    <row r="1179" spans="1:2">
      <c r="A1179" s="5">
        <v>71466</v>
      </c>
      <c r="B1179" s="6" t="s">
        <v>56</v>
      </c>
    </row>
    <row r="1180" spans="1:2">
      <c r="A1180" s="5">
        <v>71505</v>
      </c>
      <c r="B1180" s="6" t="s">
        <v>57</v>
      </c>
    </row>
    <row r="1181" spans="1:2">
      <c r="A1181" s="5">
        <v>71529</v>
      </c>
      <c r="B1181" s="6" t="s">
        <v>58</v>
      </c>
    </row>
    <row r="1182" spans="1:2">
      <c r="A1182" s="5">
        <v>71566</v>
      </c>
      <c r="B1182" s="6" t="s">
        <v>59</v>
      </c>
    </row>
    <row r="1183" spans="1:2">
      <c r="A1183" s="5">
        <v>71583</v>
      </c>
      <c r="B1183" s="6" t="s">
        <v>60</v>
      </c>
    </row>
    <row r="1184" spans="1:2">
      <c r="A1184" s="5">
        <v>71590</v>
      </c>
      <c r="B1184" s="6" t="s">
        <v>64</v>
      </c>
    </row>
    <row r="1185" spans="1:2">
      <c r="A1185" s="5">
        <v>71692</v>
      </c>
      <c r="B1185" s="6" t="s">
        <v>51</v>
      </c>
    </row>
    <row r="1186" spans="1:2">
      <c r="A1186" s="5">
        <v>71693</v>
      </c>
      <c r="B1186" s="6" t="s">
        <v>52</v>
      </c>
    </row>
    <row r="1187" spans="1:2">
      <c r="A1187" s="5">
        <v>71711</v>
      </c>
      <c r="B1187" s="6" t="s">
        <v>53</v>
      </c>
    </row>
    <row r="1188" spans="1:2">
      <c r="A1188" s="5">
        <v>71770</v>
      </c>
      <c r="B1188" s="6" t="s">
        <v>54</v>
      </c>
    </row>
    <row r="1189" spans="1:2">
      <c r="A1189" s="5">
        <v>71799</v>
      </c>
      <c r="B1189" s="6" t="s">
        <v>55</v>
      </c>
    </row>
    <row r="1190" spans="1:2">
      <c r="A1190" s="5">
        <v>71800</v>
      </c>
      <c r="B1190" s="6" t="s">
        <v>55</v>
      </c>
    </row>
    <row r="1191" spans="1:2">
      <c r="A1191" s="5">
        <v>71832</v>
      </c>
      <c r="B1191" s="6" t="s">
        <v>56</v>
      </c>
    </row>
    <row r="1192" spans="1:2">
      <c r="A1192" s="5">
        <v>71871</v>
      </c>
      <c r="B1192" s="6" t="s">
        <v>57</v>
      </c>
    </row>
    <row r="1193" spans="1:2">
      <c r="A1193" s="5">
        <v>71895</v>
      </c>
      <c r="B1193" s="6" t="s">
        <v>58</v>
      </c>
    </row>
    <row r="1194" spans="1:2">
      <c r="A1194" s="5">
        <v>71932</v>
      </c>
      <c r="B1194" s="6" t="s">
        <v>59</v>
      </c>
    </row>
    <row r="1195" spans="1:2">
      <c r="A1195" s="5">
        <v>71949</v>
      </c>
      <c r="B1195" s="6" t="s">
        <v>60</v>
      </c>
    </row>
    <row r="1196" spans="1:2">
      <c r="A1196" s="5">
        <v>71956</v>
      </c>
      <c r="B1196" s="6" t="s">
        <v>50</v>
      </c>
    </row>
    <row r="1197" spans="1:2">
      <c r="A1197" s="5">
        <v>72042</v>
      </c>
      <c r="B1197" s="6" t="s">
        <v>51</v>
      </c>
    </row>
    <row r="1198" spans="1:2">
      <c r="A1198" s="5">
        <v>72043</v>
      </c>
      <c r="B1198" s="6" t="s">
        <v>52</v>
      </c>
    </row>
    <row r="1199" spans="1:2">
      <c r="A1199" s="5">
        <v>72076</v>
      </c>
      <c r="B1199" s="6" t="s">
        <v>53</v>
      </c>
    </row>
    <row r="1200" spans="1:2">
      <c r="A1200" s="5">
        <v>72135</v>
      </c>
      <c r="B1200" s="6" t="s">
        <v>54</v>
      </c>
    </row>
    <row r="1201" spans="1:2">
      <c r="A1201" s="5">
        <v>72164</v>
      </c>
      <c r="B1201" s="6" t="s">
        <v>55</v>
      </c>
    </row>
    <row r="1202" spans="1:2">
      <c r="A1202" s="5">
        <v>72165</v>
      </c>
      <c r="B1202" s="6" t="s">
        <v>55</v>
      </c>
    </row>
    <row r="1203" spans="1:2">
      <c r="A1203" s="5">
        <v>72197</v>
      </c>
      <c r="B1203" s="6" t="s">
        <v>56</v>
      </c>
    </row>
    <row r="1204" spans="1:2">
      <c r="A1204" s="5">
        <v>72236</v>
      </c>
      <c r="B1204" s="6" t="s">
        <v>57</v>
      </c>
    </row>
    <row r="1205" spans="1:2">
      <c r="A1205" s="5">
        <v>72260</v>
      </c>
      <c r="B1205" s="6" t="s">
        <v>58</v>
      </c>
    </row>
    <row r="1206" spans="1:2">
      <c r="A1206" s="5">
        <v>72297</v>
      </c>
      <c r="B1206" s="6" t="s">
        <v>59</v>
      </c>
    </row>
    <row r="1207" spans="1:2">
      <c r="A1207" s="5">
        <v>72314</v>
      </c>
      <c r="B1207" s="6" t="s">
        <v>60</v>
      </c>
    </row>
    <row r="1208" spans="1:2">
      <c r="A1208" s="5">
        <v>72321</v>
      </c>
      <c r="B1208" s="6" t="s">
        <v>50</v>
      </c>
    </row>
    <row r="1209" spans="1:2">
      <c r="A1209" s="5">
        <v>72427</v>
      </c>
      <c r="B1209" s="6" t="s">
        <v>51</v>
      </c>
    </row>
    <row r="1210" spans="1:2">
      <c r="A1210" s="5">
        <v>72428</v>
      </c>
      <c r="B1210" s="6" t="s">
        <v>52</v>
      </c>
    </row>
    <row r="1211" spans="1:2">
      <c r="A1211" s="5">
        <v>72441</v>
      </c>
      <c r="B1211" s="6" t="s">
        <v>53</v>
      </c>
    </row>
    <row r="1212" spans="1:2">
      <c r="A1212" s="5">
        <v>72500</v>
      </c>
      <c r="B1212" s="6" t="s">
        <v>54</v>
      </c>
    </row>
    <row r="1213" spans="1:2">
      <c r="A1213" s="5">
        <v>72529</v>
      </c>
      <c r="B1213" s="6" t="s">
        <v>55</v>
      </c>
    </row>
    <row r="1214" spans="1:2">
      <c r="A1214" s="5">
        <v>72530</v>
      </c>
      <c r="B1214" s="6" t="s">
        <v>55</v>
      </c>
    </row>
    <row r="1215" spans="1:2">
      <c r="A1215" s="5">
        <v>72562</v>
      </c>
      <c r="B1215" s="6" t="s">
        <v>56</v>
      </c>
    </row>
    <row r="1216" spans="1:2">
      <c r="A1216" s="5">
        <v>72601</v>
      </c>
      <c r="B1216" s="6" t="s">
        <v>57</v>
      </c>
    </row>
    <row r="1217" spans="1:2">
      <c r="A1217" s="5">
        <v>72625</v>
      </c>
      <c r="B1217" s="6" t="s">
        <v>58</v>
      </c>
    </row>
    <row r="1218" spans="1:2">
      <c r="A1218" s="5">
        <v>72662</v>
      </c>
      <c r="B1218" s="6" t="s">
        <v>59</v>
      </c>
    </row>
    <row r="1219" spans="1:2">
      <c r="A1219" s="5">
        <v>72679</v>
      </c>
      <c r="B1219" s="6" t="s">
        <v>60</v>
      </c>
    </row>
    <row r="1220" spans="1:2">
      <c r="A1220" s="5">
        <v>72686</v>
      </c>
      <c r="B1220" s="6" t="s">
        <v>50</v>
      </c>
    </row>
    <row r="1221" spans="1:2">
      <c r="A1221" s="5">
        <v>72784</v>
      </c>
      <c r="B1221" s="6" t="s">
        <v>51</v>
      </c>
    </row>
    <row r="1222" spans="1:2">
      <c r="A1222" s="5">
        <v>72785</v>
      </c>
      <c r="B1222" s="6" t="s">
        <v>52</v>
      </c>
    </row>
    <row r="1223" spans="1:2">
      <c r="A1223" s="5">
        <v>72806</v>
      </c>
      <c r="B1223" s="6" t="s">
        <v>53</v>
      </c>
    </row>
    <row r="1224" spans="1:2">
      <c r="A1224" s="5">
        <v>72865</v>
      </c>
      <c r="B1224" s="6" t="s">
        <v>54</v>
      </c>
    </row>
    <row r="1225" spans="1:2">
      <c r="A1225" s="5">
        <v>72894</v>
      </c>
      <c r="B1225" s="6" t="s">
        <v>55</v>
      </c>
    </row>
    <row r="1226" spans="1:2">
      <c r="A1226" s="5">
        <v>72895</v>
      </c>
      <c r="B1226" s="6" t="s">
        <v>55</v>
      </c>
    </row>
    <row r="1227" spans="1:2">
      <c r="A1227" s="5">
        <v>72927</v>
      </c>
      <c r="B1227" s="6" t="s">
        <v>56</v>
      </c>
    </row>
    <row r="1228" spans="1:2">
      <c r="A1228" s="5">
        <v>72966</v>
      </c>
      <c r="B1228" s="6" t="s">
        <v>57</v>
      </c>
    </row>
    <row r="1229" spans="1:2">
      <c r="A1229" s="5">
        <v>72990</v>
      </c>
      <c r="B1229" s="6" t="s">
        <v>58</v>
      </c>
    </row>
    <row r="1230" spans="1:2">
      <c r="A1230" s="5">
        <v>73027</v>
      </c>
      <c r="B1230" s="6" t="s">
        <v>59</v>
      </c>
    </row>
    <row r="1231" spans="1:2">
      <c r="A1231" s="5">
        <v>73044</v>
      </c>
      <c r="B1231" s="6" t="s">
        <v>60</v>
      </c>
    </row>
    <row r="1232" spans="1:2">
      <c r="A1232" s="5">
        <v>73051</v>
      </c>
      <c r="B1232" s="6" t="s">
        <v>50</v>
      </c>
    </row>
    <row r="1233" spans="1:2">
      <c r="A1233" s="5">
        <v>73134</v>
      </c>
      <c r="B1233" s="6" t="s">
        <v>51</v>
      </c>
    </row>
    <row r="1234" spans="1:2">
      <c r="A1234" s="5">
        <v>73135</v>
      </c>
      <c r="B1234" s="6" t="s">
        <v>52</v>
      </c>
    </row>
    <row r="1235" spans="1:2">
      <c r="A1235" s="5">
        <v>73171</v>
      </c>
      <c r="B1235" s="6" t="s">
        <v>53</v>
      </c>
    </row>
    <row r="1236" spans="1:2">
      <c r="A1236" s="5">
        <v>73230</v>
      </c>
      <c r="B1236" s="6" t="s">
        <v>54</v>
      </c>
    </row>
    <row r="1237" spans="1:2">
      <c r="A1237" s="5">
        <v>73259</v>
      </c>
      <c r="B1237" s="6" t="s">
        <v>55</v>
      </c>
    </row>
    <row r="1238" spans="1:2">
      <c r="A1238" s="5">
        <v>73260</v>
      </c>
      <c r="B1238" s="6" t="s">
        <v>55</v>
      </c>
    </row>
    <row r="1239" spans="1:2">
      <c r="A1239" s="5">
        <v>73292</v>
      </c>
      <c r="B1239" s="6" t="s">
        <v>56</v>
      </c>
    </row>
    <row r="1240" spans="1:2">
      <c r="A1240" s="5">
        <v>73331</v>
      </c>
      <c r="B1240" s="6" t="s">
        <v>57</v>
      </c>
    </row>
    <row r="1241" spans="1:2">
      <c r="A1241" s="5">
        <v>73355</v>
      </c>
      <c r="B1241" s="6" t="s">
        <v>58</v>
      </c>
    </row>
    <row r="1242" spans="1:2">
      <c r="A1242" s="5">
        <v>73392</v>
      </c>
      <c r="B1242" s="6" t="s">
        <v>59</v>
      </c>
    </row>
    <row r="1243" spans="1:2">
      <c r="A1243" s="5">
        <v>73409</v>
      </c>
      <c r="B1243" s="6" t="s">
        <v>60</v>
      </c>
    </row>
    <row r="1244" spans="1:2">
      <c r="A1244" s="5"/>
      <c r="B1244" s="6"/>
    </row>
    <row r="1245" spans="1:2">
      <c r="A1245" s="5"/>
      <c r="B1245" s="6"/>
    </row>
    <row r="1246" spans="1:2">
      <c r="A1246" s="5"/>
      <c r="B1246" s="6"/>
    </row>
    <row r="1247" spans="1:2">
      <c r="A1247" s="5"/>
      <c r="B1247" s="6"/>
    </row>
    <row r="1248" spans="1:2">
      <c r="A1248" s="5"/>
      <c r="B1248" s="6"/>
    </row>
    <row r="1249" spans="1:2">
      <c r="A1249" s="5"/>
      <c r="B1249" s="6"/>
    </row>
    <row r="1250" spans="1:2">
      <c r="A1250" s="5"/>
      <c r="B1250" s="6"/>
    </row>
    <row r="1251" spans="1:2">
      <c r="A1251" s="5"/>
      <c r="B1251" s="6"/>
    </row>
    <row r="1252" spans="1:2">
      <c r="A1252" s="5"/>
      <c r="B1252" s="6"/>
    </row>
    <row r="1253" spans="1:2">
      <c r="A1253" s="5"/>
      <c r="B1253" s="6"/>
    </row>
    <row r="1254" spans="1:2">
      <c r="A1254" s="5"/>
      <c r="B1254" s="6"/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4"/>
  <sheetViews>
    <sheetView workbookViewId="0">
      <selection activeCell="B8" sqref="A4:B8"/>
    </sheetView>
  </sheetViews>
  <sheetFormatPr baseColWidth="10" defaultColWidth="11.5703125" defaultRowHeight="12.75"/>
  <sheetData>
    <row r="1" spans="1:2" ht="16.5" thickTop="1" thickBot="1">
      <c r="A1" s="179" t="s">
        <v>114</v>
      </c>
      <c r="B1" s="180" t="s">
        <v>115</v>
      </c>
    </row>
    <row r="2" spans="1:2" ht="15.75" thickBot="1">
      <c r="A2" s="181" t="s">
        <v>116</v>
      </c>
      <c r="B2" s="182">
        <v>2.3839999999999999E-4</v>
      </c>
    </row>
    <row r="3" spans="1:2" ht="30.75" thickBot="1">
      <c r="A3" s="181" t="s">
        <v>117</v>
      </c>
      <c r="B3" s="183">
        <v>2.9020000000000001E-4</v>
      </c>
    </row>
    <row r="4" spans="1:2" ht="30.75" thickBot="1">
      <c r="A4" s="181" t="s">
        <v>118</v>
      </c>
      <c r="B4" s="182">
        <v>3.2830000000000001E-4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Cronograma</vt:lpstr>
      <vt:lpstr>Factores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2020-11-17T00:36:33Z</dcterms:created>
  <dcterms:modified xsi:type="dcterms:W3CDTF">2021-06-24T21:59:34Z</dcterms:modified>
</cp:coreProperties>
</file>