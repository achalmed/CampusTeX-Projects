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LP\Downloads\"/>
    </mc:Choice>
  </mc:AlternateContent>
  <xr:revisionPtr revIDLastSave="0" documentId="13_ncr:1_{54E78091-F7A3-49C5-AC0A-CDAECAECF307}" xr6:coauthVersionLast="47" xr6:coauthVersionMax="47" xr10:uidLastSave="{00000000-0000-0000-0000-000000000000}"/>
  <bookViews>
    <workbookView xWindow="-120" yWindow="-120" windowWidth="29040" windowHeight="15720" tabRatio="743" firstSheet="1" activeTab="7" xr2:uid="{57E57155-FC8D-4C86-96C7-DBA6E8903156}"/>
  </bookViews>
  <sheets>
    <sheet name="EXPORTACIONES JENGIBRE" sheetId="1" r:id="rId1"/>
    <sheet name="EXPORTACIONES TOTALES" sheetId="3" r:id="rId2"/>
    <sheet name="EXPO ANALISIS" sheetId="2" r:id="rId3"/>
    <sheet name="INTERPRETACION X" sheetId="9" r:id="rId4"/>
    <sheet name="IMPORTACIONES JENGIBRE" sheetId="4" r:id="rId5"/>
    <sheet name="IMPORTACIONES TOTALES" sheetId="5" r:id="rId6"/>
    <sheet name="IMPO ANALISIS" sheetId="6" r:id="rId7"/>
    <sheet name="INTERPRETACION M" sheetId="8" r:id="rId8"/>
    <sheet name="Hoja1" sheetId="7" r:id="rId9"/>
  </sheets>
  <definedNames>
    <definedName name="EXPOTOTAL">'EXPORTACIONES TOTALES'!$A$1:$F$235</definedName>
    <definedName name="IMPOTOTAL">'IMPORTACIONES TOTALES'!$A$1:$F$236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5" i="2" l="1"/>
  <c r="H145" i="2"/>
  <c r="M145" i="2" s="1"/>
  <c r="R145" i="2" s="1"/>
  <c r="W145" i="2" s="1"/>
  <c r="I145" i="2"/>
  <c r="J145" i="2"/>
  <c r="O145" i="2" s="1"/>
  <c r="T145" i="2" s="1"/>
  <c r="Y145" i="2" s="1"/>
  <c r="K145" i="2"/>
  <c r="P145" i="2" s="1"/>
  <c r="U145" i="2" s="1"/>
  <c r="Z145" i="2" s="1"/>
  <c r="L145" i="2"/>
  <c r="Q145" i="2" s="1"/>
  <c r="V145" i="2" s="1"/>
  <c r="N145" i="2"/>
  <c r="S145" i="2" s="1"/>
  <c r="X145" i="2" s="1"/>
  <c r="G146" i="2"/>
  <c r="H146" i="2"/>
  <c r="M146" i="2" s="1"/>
  <c r="R146" i="2" s="1"/>
  <c r="W146" i="2" s="1"/>
  <c r="I146" i="2"/>
  <c r="N146" i="2" s="1"/>
  <c r="S146" i="2" s="1"/>
  <c r="X146" i="2" s="1"/>
  <c r="J146" i="2"/>
  <c r="O146" i="2" s="1"/>
  <c r="T146" i="2" s="1"/>
  <c r="Y146" i="2" s="1"/>
  <c r="K146" i="2"/>
  <c r="L146" i="2"/>
  <c r="Q146" i="2" s="1"/>
  <c r="V146" i="2" s="1"/>
  <c r="P146" i="2"/>
  <c r="U146" i="2" s="1"/>
  <c r="Z146" i="2" s="1"/>
  <c r="G147" i="2"/>
  <c r="L147" i="2" s="1"/>
  <c r="Q147" i="2" s="1"/>
  <c r="V147" i="2" s="1"/>
  <c r="H147" i="2"/>
  <c r="M147" i="2" s="1"/>
  <c r="R147" i="2" s="1"/>
  <c r="W147" i="2" s="1"/>
  <c r="I147" i="2"/>
  <c r="J147" i="2"/>
  <c r="O147" i="2" s="1"/>
  <c r="T147" i="2" s="1"/>
  <c r="Y147" i="2" s="1"/>
  <c r="K147" i="2"/>
  <c r="P147" i="2" s="1"/>
  <c r="U147" i="2" s="1"/>
  <c r="Z147" i="2" s="1"/>
  <c r="N147" i="2"/>
  <c r="S147" i="2" s="1"/>
  <c r="X147" i="2" s="1"/>
  <c r="G148" i="2"/>
  <c r="H148" i="2"/>
  <c r="M148" i="2" s="1"/>
  <c r="R148" i="2" s="1"/>
  <c r="W148" i="2" s="1"/>
  <c r="I148" i="2"/>
  <c r="J148" i="2"/>
  <c r="K148" i="2"/>
  <c r="P148" i="2" s="1"/>
  <c r="U148" i="2" s="1"/>
  <c r="Z148" i="2" s="1"/>
  <c r="L148" i="2"/>
  <c r="Q148" i="2" s="1"/>
  <c r="V148" i="2" s="1"/>
  <c r="N148" i="2"/>
  <c r="S148" i="2" s="1"/>
  <c r="X148" i="2" s="1"/>
  <c r="O148" i="2"/>
  <c r="T148" i="2"/>
  <c r="Y148" i="2" s="1"/>
  <c r="G149" i="2"/>
  <c r="H149" i="2"/>
  <c r="M149" i="2" s="1"/>
  <c r="R149" i="2" s="1"/>
  <c r="W149" i="2" s="1"/>
  <c r="I149" i="2"/>
  <c r="N149" i="2" s="1"/>
  <c r="S149" i="2" s="1"/>
  <c r="X149" i="2" s="1"/>
  <c r="J149" i="2"/>
  <c r="O149" i="2" s="1"/>
  <c r="T149" i="2" s="1"/>
  <c r="Y149" i="2" s="1"/>
  <c r="K149" i="2"/>
  <c r="L149" i="2"/>
  <c r="Q149" i="2" s="1"/>
  <c r="V149" i="2" s="1"/>
  <c r="P149" i="2"/>
  <c r="U149" i="2" s="1"/>
  <c r="Z149" i="2" s="1"/>
  <c r="G150" i="2"/>
  <c r="L150" i="2" s="1"/>
  <c r="Q150" i="2" s="1"/>
  <c r="V150" i="2" s="1"/>
  <c r="H150" i="2"/>
  <c r="M150" i="2" s="1"/>
  <c r="R150" i="2" s="1"/>
  <c r="W150" i="2" s="1"/>
  <c r="I150" i="2"/>
  <c r="J150" i="2"/>
  <c r="O150" i="2" s="1"/>
  <c r="T150" i="2" s="1"/>
  <c r="Y150" i="2" s="1"/>
  <c r="K150" i="2"/>
  <c r="P150" i="2" s="1"/>
  <c r="U150" i="2" s="1"/>
  <c r="Z150" i="2" s="1"/>
  <c r="N150" i="2"/>
  <c r="S150" i="2" s="1"/>
  <c r="X150" i="2" s="1"/>
  <c r="G151" i="2"/>
  <c r="H151" i="2"/>
  <c r="M151" i="2" s="1"/>
  <c r="R151" i="2" s="1"/>
  <c r="W151" i="2" s="1"/>
  <c r="I151" i="2"/>
  <c r="J151" i="2"/>
  <c r="K151" i="2"/>
  <c r="P151" i="2" s="1"/>
  <c r="U151" i="2" s="1"/>
  <c r="Z151" i="2" s="1"/>
  <c r="L151" i="2"/>
  <c r="Q151" i="2" s="1"/>
  <c r="V151" i="2" s="1"/>
  <c r="N151" i="2"/>
  <c r="S151" i="2" s="1"/>
  <c r="X151" i="2" s="1"/>
  <c r="O151" i="2"/>
  <c r="T151" i="2" s="1"/>
  <c r="Y151" i="2" s="1"/>
  <c r="G152" i="2"/>
  <c r="L152" i="2" s="1"/>
  <c r="Q152" i="2" s="1"/>
  <c r="V152" i="2" s="1"/>
  <c r="H152" i="2"/>
  <c r="M152" i="2" s="1"/>
  <c r="R152" i="2" s="1"/>
  <c r="W152" i="2" s="1"/>
  <c r="I152" i="2"/>
  <c r="N152" i="2" s="1"/>
  <c r="S152" i="2" s="1"/>
  <c r="X152" i="2" s="1"/>
  <c r="J152" i="2"/>
  <c r="O152" i="2" s="1"/>
  <c r="T152" i="2" s="1"/>
  <c r="Y152" i="2" s="1"/>
  <c r="K152" i="2"/>
  <c r="P152" i="2"/>
  <c r="U152" i="2" s="1"/>
  <c r="Z152" i="2" s="1"/>
  <c r="G153" i="2"/>
  <c r="L153" i="2" s="1"/>
  <c r="Q153" i="2" s="1"/>
  <c r="V153" i="2" s="1"/>
  <c r="H153" i="2"/>
  <c r="M153" i="2" s="1"/>
  <c r="R153" i="2" s="1"/>
  <c r="W153" i="2" s="1"/>
  <c r="I153" i="2"/>
  <c r="J153" i="2"/>
  <c r="O153" i="2" s="1"/>
  <c r="T153" i="2" s="1"/>
  <c r="Y153" i="2" s="1"/>
  <c r="K153" i="2"/>
  <c r="P153" i="2" s="1"/>
  <c r="U153" i="2" s="1"/>
  <c r="Z153" i="2" s="1"/>
  <c r="N153" i="2"/>
  <c r="S153" i="2"/>
  <c r="X153" i="2" s="1"/>
  <c r="G154" i="2"/>
  <c r="H154" i="2"/>
  <c r="M154" i="2" s="1"/>
  <c r="R154" i="2" s="1"/>
  <c r="W154" i="2" s="1"/>
  <c r="I154" i="2"/>
  <c r="J154" i="2"/>
  <c r="K154" i="2"/>
  <c r="P154" i="2" s="1"/>
  <c r="U154" i="2" s="1"/>
  <c r="Z154" i="2" s="1"/>
  <c r="L154" i="2"/>
  <c r="Q154" i="2" s="1"/>
  <c r="V154" i="2" s="1"/>
  <c r="N154" i="2"/>
  <c r="S154" i="2" s="1"/>
  <c r="X154" i="2" s="1"/>
  <c r="O154" i="2"/>
  <c r="T154" i="2" s="1"/>
  <c r="Y154" i="2" s="1"/>
  <c r="G155" i="2"/>
  <c r="L155" i="2" s="1"/>
  <c r="Q155" i="2" s="1"/>
  <c r="V155" i="2" s="1"/>
  <c r="H155" i="2"/>
  <c r="M155" i="2" s="1"/>
  <c r="R155" i="2" s="1"/>
  <c r="W155" i="2" s="1"/>
  <c r="I155" i="2"/>
  <c r="N155" i="2" s="1"/>
  <c r="S155" i="2" s="1"/>
  <c r="X155" i="2" s="1"/>
  <c r="J155" i="2"/>
  <c r="O155" i="2" s="1"/>
  <c r="T155" i="2" s="1"/>
  <c r="Y155" i="2" s="1"/>
  <c r="K155" i="2"/>
  <c r="P155" i="2"/>
  <c r="U155" i="2" s="1"/>
  <c r="Z155" i="2" s="1"/>
  <c r="G156" i="2"/>
  <c r="L156" i="2" s="1"/>
  <c r="Q156" i="2" s="1"/>
  <c r="V156" i="2" s="1"/>
  <c r="H156" i="2"/>
  <c r="M156" i="2" s="1"/>
  <c r="R156" i="2" s="1"/>
  <c r="W156" i="2" s="1"/>
  <c r="I156" i="2"/>
  <c r="J156" i="2"/>
  <c r="O156" i="2" s="1"/>
  <c r="T156" i="2" s="1"/>
  <c r="Y156" i="2" s="1"/>
  <c r="K156" i="2"/>
  <c r="P156" i="2" s="1"/>
  <c r="U156" i="2" s="1"/>
  <c r="Z156" i="2" s="1"/>
  <c r="N156" i="2"/>
  <c r="S156" i="2"/>
  <c r="X156" i="2" s="1"/>
  <c r="G157" i="2"/>
  <c r="H157" i="2"/>
  <c r="I157" i="2"/>
  <c r="J157" i="2"/>
  <c r="K157" i="2"/>
  <c r="P157" i="2" s="1"/>
  <c r="U157" i="2" s="1"/>
  <c r="Z157" i="2" s="1"/>
  <c r="L157" i="2"/>
  <c r="Q157" i="2" s="1"/>
  <c r="V157" i="2" s="1"/>
  <c r="M157" i="2"/>
  <c r="N157" i="2"/>
  <c r="S157" i="2" s="1"/>
  <c r="X157" i="2" s="1"/>
  <c r="O157" i="2"/>
  <c r="T157" i="2" s="1"/>
  <c r="Y157" i="2" s="1"/>
  <c r="R157" i="2"/>
  <c r="W157" i="2"/>
  <c r="G158" i="2"/>
  <c r="L158" i="2" s="1"/>
  <c r="Q158" i="2" s="1"/>
  <c r="V158" i="2" s="1"/>
  <c r="H158" i="2"/>
  <c r="M158" i="2" s="1"/>
  <c r="R158" i="2" s="1"/>
  <c r="W158" i="2" s="1"/>
  <c r="I158" i="2"/>
  <c r="N158" i="2" s="1"/>
  <c r="S158" i="2" s="1"/>
  <c r="X158" i="2" s="1"/>
  <c r="J158" i="2"/>
  <c r="O158" i="2" s="1"/>
  <c r="T158" i="2" s="1"/>
  <c r="Y158" i="2" s="1"/>
  <c r="K158" i="2"/>
  <c r="P158" i="2"/>
  <c r="U158" i="2" s="1"/>
  <c r="Z158" i="2" s="1"/>
  <c r="G159" i="2"/>
  <c r="L159" i="2" s="1"/>
  <c r="Q159" i="2" s="1"/>
  <c r="V159" i="2" s="1"/>
  <c r="H159" i="2"/>
  <c r="M159" i="2" s="1"/>
  <c r="R159" i="2" s="1"/>
  <c r="W159" i="2" s="1"/>
  <c r="I159" i="2"/>
  <c r="N159" i="2" s="1"/>
  <c r="S159" i="2" s="1"/>
  <c r="X159" i="2" s="1"/>
  <c r="J159" i="2"/>
  <c r="O159" i="2" s="1"/>
  <c r="T159" i="2" s="1"/>
  <c r="Y159" i="2" s="1"/>
  <c r="K159" i="2"/>
  <c r="P159" i="2" s="1"/>
  <c r="U159" i="2" s="1"/>
  <c r="Z159" i="2" s="1"/>
  <c r="G160" i="2"/>
  <c r="H160" i="2"/>
  <c r="I160" i="2"/>
  <c r="J160" i="2"/>
  <c r="K160" i="2"/>
  <c r="P160" i="2" s="1"/>
  <c r="U160" i="2" s="1"/>
  <c r="Z160" i="2" s="1"/>
  <c r="L160" i="2"/>
  <c r="Q160" i="2" s="1"/>
  <c r="V160" i="2" s="1"/>
  <c r="M160" i="2"/>
  <c r="R160" i="2" s="1"/>
  <c r="W160" i="2" s="1"/>
  <c r="N160" i="2"/>
  <c r="S160" i="2" s="1"/>
  <c r="X160" i="2" s="1"/>
  <c r="O160" i="2"/>
  <c r="T160" i="2" s="1"/>
  <c r="Y160" i="2" s="1"/>
  <c r="G161" i="2"/>
  <c r="L161" i="2" s="1"/>
  <c r="Q161" i="2" s="1"/>
  <c r="V161" i="2" s="1"/>
  <c r="H161" i="2"/>
  <c r="M161" i="2" s="1"/>
  <c r="R161" i="2" s="1"/>
  <c r="W161" i="2" s="1"/>
  <c r="I161" i="2"/>
  <c r="N161" i="2" s="1"/>
  <c r="S161" i="2" s="1"/>
  <c r="X161" i="2" s="1"/>
  <c r="J161" i="2"/>
  <c r="K161" i="2"/>
  <c r="O161" i="2"/>
  <c r="T161" i="2" s="1"/>
  <c r="Y161" i="2" s="1"/>
  <c r="P161" i="2"/>
  <c r="U161" i="2" s="1"/>
  <c r="Z161" i="2" s="1"/>
  <c r="K220" i="6"/>
  <c r="H220" i="6"/>
  <c r="M220" i="6" s="1"/>
  <c r="R220" i="6" s="1"/>
  <c r="W220" i="6" s="1"/>
  <c r="G220" i="6"/>
  <c r="G145" i="6"/>
  <c r="H145" i="6"/>
  <c r="I145" i="6"/>
  <c r="J145" i="6"/>
  <c r="O145" i="6" s="1"/>
  <c r="T145" i="6" s="1"/>
  <c r="Y145" i="6" s="1"/>
  <c r="K145" i="6"/>
  <c r="L145" i="6"/>
  <c r="Q145" i="6" s="1"/>
  <c r="V145" i="6" s="1"/>
  <c r="M145" i="6"/>
  <c r="N145" i="6"/>
  <c r="S145" i="6" s="1"/>
  <c r="X145" i="6" s="1"/>
  <c r="P145" i="6"/>
  <c r="U145" i="6" s="1"/>
  <c r="R145" i="6"/>
  <c r="W145" i="6" s="1"/>
  <c r="Z145" i="6"/>
  <c r="G146" i="6"/>
  <c r="L146" i="6" s="1"/>
  <c r="Q146" i="6" s="1"/>
  <c r="V146" i="6" s="1"/>
  <c r="H146" i="6"/>
  <c r="M146" i="6" s="1"/>
  <c r="I146" i="6"/>
  <c r="N146" i="6" s="1"/>
  <c r="S146" i="6" s="1"/>
  <c r="X146" i="6" s="1"/>
  <c r="J146" i="6"/>
  <c r="O146" i="6" s="1"/>
  <c r="T146" i="6" s="1"/>
  <c r="Y146" i="6" s="1"/>
  <c r="K146" i="6"/>
  <c r="P146" i="6" s="1"/>
  <c r="U146" i="6" s="1"/>
  <c r="Z146" i="6" s="1"/>
  <c r="R146" i="6"/>
  <c r="W146" i="6" s="1"/>
  <c r="G147" i="6"/>
  <c r="H147" i="6"/>
  <c r="M147" i="6" s="1"/>
  <c r="R147" i="6" s="1"/>
  <c r="W147" i="6" s="1"/>
  <c r="I147" i="6"/>
  <c r="J147" i="6"/>
  <c r="O147" i="6" s="1"/>
  <c r="T147" i="6" s="1"/>
  <c r="Y147" i="6" s="1"/>
  <c r="K147" i="6"/>
  <c r="P147" i="6" s="1"/>
  <c r="U147" i="6" s="1"/>
  <c r="Z147" i="6" s="1"/>
  <c r="L147" i="6"/>
  <c r="Q147" i="6" s="1"/>
  <c r="V147" i="6" s="1"/>
  <c r="N147" i="6"/>
  <c r="S147" i="6" s="1"/>
  <c r="X147" i="6" s="1"/>
  <c r="G148" i="6"/>
  <c r="H148" i="6"/>
  <c r="I148" i="6"/>
  <c r="J148" i="6"/>
  <c r="K148" i="6"/>
  <c r="L148" i="6"/>
  <c r="Q148" i="6" s="1"/>
  <c r="V148" i="6" s="1"/>
  <c r="M148" i="6"/>
  <c r="N148" i="6"/>
  <c r="S148" i="6" s="1"/>
  <c r="X148" i="6" s="1"/>
  <c r="O148" i="6"/>
  <c r="T148" i="6" s="1"/>
  <c r="Y148" i="6" s="1"/>
  <c r="P148" i="6"/>
  <c r="U148" i="6" s="1"/>
  <c r="Z148" i="6" s="1"/>
  <c r="R148" i="6"/>
  <c r="W148" i="6" s="1"/>
  <c r="G149" i="6"/>
  <c r="L149" i="6" s="1"/>
  <c r="Q149" i="6" s="1"/>
  <c r="V149" i="6" s="1"/>
  <c r="H149" i="6"/>
  <c r="M149" i="6" s="1"/>
  <c r="I149" i="6"/>
  <c r="N149" i="6" s="1"/>
  <c r="S149" i="6" s="1"/>
  <c r="X149" i="6" s="1"/>
  <c r="J149" i="6"/>
  <c r="O149" i="6" s="1"/>
  <c r="T149" i="6" s="1"/>
  <c r="Y149" i="6" s="1"/>
  <c r="K149" i="6"/>
  <c r="P149" i="6"/>
  <c r="U149" i="6" s="1"/>
  <c r="Z149" i="6" s="1"/>
  <c r="R149" i="6"/>
  <c r="W149" i="6" s="1"/>
  <c r="G150" i="6"/>
  <c r="H150" i="6"/>
  <c r="M150" i="6" s="1"/>
  <c r="R150" i="6" s="1"/>
  <c r="W150" i="6" s="1"/>
  <c r="I150" i="6"/>
  <c r="J150" i="6"/>
  <c r="O150" i="6" s="1"/>
  <c r="T150" i="6" s="1"/>
  <c r="Y150" i="6" s="1"/>
  <c r="K150" i="6"/>
  <c r="P150" i="6" s="1"/>
  <c r="U150" i="6" s="1"/>
  <c r="Z150" i="6" s="1"/>
  <c r="L150" i="6"/>
  <c r="Q150" i="6" s="1"/>
  <c r="V150" i="6" s="1"/>
  <c r="N150" i="6"/>
  <c r="S150" i="6" s="1"/>
  <c r="X150" i="6" s="1"/>
  <c r="G151" i="6"/>
  <c r="H151" i="6"/>
  <c r="I151" i="6"/>
  <c r="J151" i="6"/>
  <c r="K151" i="6"/>
  <c r="P151" i="6" s="1"/>
  <c r="U151" i="6" s="1"/>
  <c r="Z151" i="6" s="1"/>
  <c r="L151" i="6"/>
  <c r="Q151" i="6" s="1"/>
  <c r="V151" i="6" s="1"/>
  <c r="M151" i="6"/>
  <c r="N151" i="6"/>
  <c r="S151" i="6" s="1"/>
  <c r="X151" i="6" s="1"/>
  <c r="O151" i="6"/>
  <c r="T151" i="6" s="1"/>
  <c r="Y151" i="6" s="1"/>
  <c r="R151" i="6"/>
  <c r="W151" i="6" s="1"/>
  <c r="G152" i="6"/>
  <c r="L152" i="6" s="1"/>
  <c r="Q152" i="6" s="1"/>
  <c r="V152" i="6" s="1"/>
  <c r="H152" i="6"/>
  <c r="M152" i="6" s="1"/>
  <c r="I152" i="6"/>
  <c r="J152" i="6"/>
  <c r="O152" i="6" s="1"/>
  <c r="T152" i="6" s="1"/>
  <c r="Y152" i="6" s="1"/>
  <c r="K152" i="6"/>
  <c r="N152" i="6"/>
  <c r="P152" i="6"/>
  <c r="U152" i="6" s="1"/>
  <c r="Z152" i="6" s="1"/>
  <c r="R152" i="6"/>
  <c r="W152" i="6" s="1"/>
  <c r="S152" i="6"/>
  <c r="X152" i="6" s="1"/>
  <c r="G153" i="6"/>
  <c r="L153" i="6" s="1"/>
  <c r="Q153" i="6" s="1"/>
  <c r="H153" i="6"/>
  <c r="M153" i="6" s="1"/>
  <c r="R153" i="6" s="1"/>
  <c r="W153" i="6" s="1"/>
  <c r="I153" i="6"/>
  <c r="J153" i="6"/>
  <c r="O153" i="6" s="1"/>
  <c r="T153" i="6" s="1"/>
  <c r="Y153" i="6" s="1"/>
  <c r="K153" i="6"/>
  <c r="P153" i="6" s="1"/>
  <c r="U153" i="6" s="1"/>
  <c r="Z153" i="6" s="1"/>
  <c r="N153" i="6"/>
  <c r="S153" i="6" s="1"/>
  <c r="X153" i="6" s="1"/>
  <c r="V153" i="6"/>
  <c r="G154" i="6"/>
  <c r="H154" i="6"/>
  <c r="I154" i="6"/>
  <c r="J154" i="6"/>
  <c r="K154" i="6"/>
  <c r="P154" i="6" s="1"/>
  <c r="U154" i="6" s="1"/>
  <c r="Z154" i="6" s="1"/>
  <c r="L154" i="6"/>
  <c r="Q154" i="6" s="1"/>
  <c r="V154" i="6" s="1"/>
  <c r="M154" i="6"/>
  <c r="N154" i="6"/>
  <c r="S154" i="6" s="1"/>
  <c r="X154" i="6" s="1"/>
  <c r="O154" i="6"/>
  <c r="T154" i="6" s="1"/>
  <c r="Y154" i="6" s="1"/>
  <c r="R154" i="6"/>
  <c r="W154" i="6" s="1"/>
  <c r="G155" i="6"/>
  <c r="L155" i="6" s="1"/>
  <c r="Q155" i="6" s="1"/>
  <c r="V155" i="6" s="1"/>
  <c r="H155" i="6"/>
  <c r="M155" i="6" s="1"/>
  <c r="R155" i="6" s="1"/>
  <c r="W155" i="6" s="1"/>
  <c r="I155" i="6"/>
  <c r="J155" i="6"/>
  <c r="O155" i="6" s="1"/>
  <c r="T155" i="6" s="1"/>
  <c r="Y155" i="6" s="1"/>
  <c r="K155" i="6"/>
  <c r="N155" i="6"/>
  <c r="P155" i="6"/>
  <c r="U155" i="6" s="1"/>
  <c r="Z155" i="6" s="1"/>
  <c r="S155" i="6"/>
  <c r="X155" i="6" s="1"/>
  <c r="G156" i="6"/>
  <c r="L156" i="6" s="1"/>
  <c r="Q156" i="6" s="1"/>
  <c r="H156" i="6"/>
  <c r="M156" i="6" s="1"/>
  <c r="R156" i="6" s="1"/>
  <c r="W156" i="6" s="1"/>
  <c r="I156" i="6"/>
  <c r="J156" i="6"/>
  <c r="O156" i="6" s="1"/>
  <c r="T156" i="6" s="1"/>
  <c r="Y156" i="6" s="1"/>
  <c r="K156" i="6"/>
  <c r="P156" i="6" s="1"/>
  <c r="U156" i="6" s="1"/>
  <c r="Z156" i="6" s="1"/>
  <c r="N156" i="6"/>
  <c r="S156" i="6" s="1"/>
  <c r="X156" i="6" s="1"/>
  <c r="V156" i="6"/>
  <c r="G157" i="6"/>
  <c r="H157" i="6"/>
  <c r="I157" i="6"/>
  <c r="J157" i="6"/>
  <c r="K157" i="6"/>
  <c r="P157" i="6" s="1"/>
  <c r="U157" i="6" s="1"/>
  <c r="L157" i="6"/>
  <c r="Q157" i="6" s="1"/>
  <c r="V157" i="6" s="1"/>
  <c r="M157" i="6"/>
  <c r="N157" i="6"/>
  <c r="S157" i="6" s="1"/>
  <c r="X157" i="6" s="1"/>
  <c r="O157" i="6"/>
  <c r="T157" i="6" s="1"/>
  <c r="Y157" i="6" s="1"/>
  <c r="R157" i="6"/>
  <c r="W157" i="6" s="1"/>
  <c r="Z157" i="6"/>
  <c r="G158" i="6"/>
  <c r="L158" i="6" s="1"/>
  <c r="Q158" i="6" s="1"/>
  <c r="V158" i="6" s="1"/>
  <c r="H158" i="6"/>
  <c r="M158" i="6" s="1"/>
  <c r="R158" i="6" s="1"/>
  <c r="W158" i="6" s="1"/>
  <c r="I158" i="6"/>
  <c r="J158" i="6"/>
  <c r="O158" i="6" s="1"/>
  <c r="T158" i="6" s="1"/>
  <c r="Y158" i="6" s="1"/>
  <c r="K158" i="6"/>
  <c r="N158" i="6"/>
  <c r="P158" i="6"/>
  <c r="U158" i="6" s="1"/>
  <c r="Z158" i="6" s="1"/>
  <c r="S158" i="6"/>
  <c r="X158" i="6" s="1"/>
  <c r="G159" i="6"/>
  <c r="H159" i="6"/>
  <c r="M159" i="6" s="1"/>
  <c r="R159" i="6" s="1"/>
  <c r="W159" i="6" s="1"/>
  <c r="I159" i="6"/>
  <c r="J159" i="6"/>
  <c r="O159" i="6" s="1"/>
  <c r="T159" i="6" s="1"/>
  <c r="Y159" i="6" s="1"/>
  <c r="K159" i="6"/>
  <c r="P159" i="6" s="1"/>
  <c r="U159" i="6" s="1"/>
  <c r="Z159" i="6" s="1"/>
  <c r="L159" i="6"/>
  <c r="Q159" i="6" s="1"/>
  <c r="V159" i="6" s="1"/>
  <c r="N159" i="6"/>
  <c r="S159" i="6" s="1"/>
  <c r="X159" i="6" s="1"/>
  <c r="G160" i="6"/>
  <c r="L160" i="6" s="1"/>
  <c r="Q160" i="6" s="1"/>
  <c r="V160" i="6" s="1"/>
  <c r="H160" i="6"/>
  <c r="I160" i="6"/>
  <c r="J160" i="6"/>
  <c r="K160" i="6"/>
  <c r="P160" i="6" s="1"/>
  <c r="U160" i="6" s="1"/>
  <c r="M160" i="6"/>
  <c r="N160" i="6"/>
  <c r="S160" i="6" s="1"/>
  <c r="X160" i="6" s="1"/>
  <c r="O160" i="6"/>
  <c r="T160" i="6" s="1"/>
  <c r="Y160" i="6" s="1"/>
  <c r="R160" i="6"/>
  <c r="W160" i="6" s="1"/>
  <c r="Z160" i="6"/>
  <c r="G161" i="6"/>
  <c r="L161" i="6" s="1"/>
  <c r="Q161" i="6" s="1"/>
  <c r="V161" i="6" s="1"/>
  <c r="H161" i="6"/>
  <c r="M161" i="6" s="1"/>
  <c r="I161" i="6"/>
  <c r="J161" i="6"/>
  <c r="O161" i="6" s="1"/>
  <c r="T161" i="6" s="1"/>
  <c r="Y161" i="6" s="1"/>
  <c r="K161" i="6"/>
  <c r="P161" i="6" s="1"/>
  <c r="U161" i="6" s="1"/>
  <c r="Z161" i="6" s="1"/>
  <c r="N161" i="6"/>
  <c r="R161" i="6"/>
  <c r="W161" i="6" s="1"/>
  <c r="S161" i="6"/>
  <c r="X161" i="6" s="1"/>
  <c r="G162" i="6"/>
  <c r="L162" i="6" s="1"/>
  <c r="Q162" i="6" s="1"/>
  <c r="V162" i="6" s="1"/>
  <c r="H162" i="6"/>
  <c r="M162" i="6" s="1"/>
  <c r="R162" i="6" s="1"/>
  <c r="W162" i="6" s="1"/>
  <c r="I162" i="6"/>
  <c r="J162" i="6"/>
  <c r="O162" i="6" s="1"/>
  <c r="T162" i="6" s="1"/>
  <c r="Y162" i="6" s="1"/>
  <c r="K162" i="6"/>
  <c r="P162" i="6" s="1"/>
  <c r="U162" i="6" s="1"/>
  <c r="Z162" i="6" s="1"/>
  <c r="N162" i="6"/>
  <c r="S162" i="6" s="1"/>
  <c r="X162" i="6" s="1"/>
  <c r="G163" i="6"/>
  <c r="L163" i="6" s="1"/>
  <c r="Q163" i="6" s="1"/>
  <c r="V163" i="6" s="1"/>
  <c r="H163" i="6"/>
  <c r="I163" i="6"/>
  <c r="J163" i="6"/>
  <c r="K163" i="6"/>
  <c r="P163" i="6" s="1"/>
  <c r="U163" i="6" s="1"/>
  <c r="Z163" i="6" s="1"/>
  <c r="M163" i="6"/>
  <c r="N163" i="6"/>
  <c r="S163" i="6" s="1"/>
  <c r="X163" i="6" s="1"/>
  <c r="O163" i="6"/>
  <c r="T163" i="6" s="1"/>
  <c r="Y163" i="6" s="1"/>
  <c r="R163" i="6"/>
  <c r="W163" i="6" s="1"/>
  <c r="G164" i="6"/>
  <c r="L164" i="6" s="1"/>
  <c r="Q164" i="6" s="1"/>
  <c r="V164" i="6" s="1"/>
  <c r="H164" i="6"/>
  <c r="M164" i="6" s="1"/>
  <c r="I164" i="6"/>
  <c r="J164" i="6"/>
  <c r="O164" i="6" s="1"/>
  <c r="T164" i="6" s="1"/>
  <c r="Y164" i="6" s="1"/>
  <c r="K164" i="6"/>
  <c r="P164" i="6" s="1"/>
  <c r="U164" i="6" s="1"/>
  <c r="Z164" i="6" s="1"/>
  <c r="N164" i="6"/>
  <c r="R164" i="6"/>
  <c r="W164" i="6" s="1"/>
  <c r="S164" i="6"/>
  <c r="X164" i="6" s="1"/>
  <c r="G165" i="6"/>
  <c r="H165" i="6"/>
  <c r="M165" i="6" s="1"/>
  <c r="R165" i="6" s="1"/>
  <c r="W165" i="6" s="1"/>
  <c r="I165" i="6"/>
  <c r="J165" i="6"/>
  <c r="O165" i="6" s="1"/>
  <c r="T165" i="6" s="1"/>
  <c r="Y165" i="6" s="1"/>
  <c r="K165" i="6"/>
  <c r="P165" i="6" s="1"/>
  <c r="U165" i="6" s="1"/>
  <c r="Z165" i="6" s="1"/>
  <c r="L165" i="6"/>
  <c r="Q165" i="6" s="1"/>
  <c r="N165" i="6"/>
  <c r="S165" i="6" s="1"/>
  <c r="X165" i="6" s="1"/>
  <c r="V165" i="6"/>
  <c r="G166" i="6"/>
  <c r="L166" i="6" s="1"/>
  <c r="Q166" i="6" s="1"/>
  <c r="V166" i="6" s="1"/>
  <c r="H166" i="6"/>
  <c r="M166" i="6" s="1"/>
  <c r="R166" i="6" s="1"/>
  <c r="W166" i="6" s="1"/>
  <c r="I166" i="6"/>
  <c r="J166" i="6"/>
  <c r="K166" i="6"/>
  <c r="P166" i="6" s="1"/>
  <c r="U166" i="6" s="1"/>
  <c r="Z166" i="6" s="1"/>
  <c r="N166" i="6"/>
  <c r="S166" i="6" s="1"/>
  <c r="X166" i="6" s="1"/>
  <c r="O166" i="6"/>
  <c r="T166" i="6" s="1"/>
  <c r="Y166" i="6" s="1"/>
  <c r="G167" i="6"/>
  <c r="L167" i="6" s="1"/>
  <c r="Q167" i="6" s="1"/>
  <c r="V167" i="6" s="1"/>
  <c r="H167" i="6"/>
  <c r="M167" i="6" s="1"/>
  <c r="I167" i="6"/>
  <c r="J167" i="6"/>
  <c r="O167" i="6" s="1"/>
  <c r="T167" i="6" s="1"/>
  <c r="Y167" i="6" s="1"/>
  <c r="K167" i="6"/>
  <c r="P167" i="6" s="1"/>
  <c r="U167" i="6" s="1"/>
  <c r="Z167" i="6" s="1"/>
  <c r="N167" i="6"/>
  <c r="R167" i="6"/>
  <c r="W167" i="6" s="1"/>
  <c r="S167" i="6"/>
  <c r="X167" i="6" s="1"/>
  <c r="G168" i="6"/>
  <c r="H168" i="6"/>
  <c r="M168" i="6" s="1"/>
  <c r="R168" i="6" s="1"/>
  <c r="W168" i="6" s="1"/>
  <c r="I168" i="6"/>
  <c r="J168" i="6"/>
  <c r="O168" i="6" s="1"/>
  <c r="T168" i="6" s="1"/>
  <c r="Y168" i="6" s="1"/>
  <c r="K168" i="6"/>
  <c r="P168" i="6" s="1"/>
  <c r="U168" i="6" s="1"/>
  <c r="Z168" i="6" s="1"/>
  <c r="L168" i="6"/>
  <c r="Q168" i="6" s="1"/>
  <c r="V168" i="6" s="1"/>
  <c r="N168" i="6"/>
  <c r="S168" i="6" s="1"/>
  <c r="X168" i="6" s="1"/>
  <c r="G169" i="6"/>
  <c r="L169" i="6" s="1"/>
  <c r="Q169" i="6" s="1"/>
  <c r="V169" i="6" s="1"/>
  <c r="H169" i="6"/>
  <c r="I169" i="6"/>
  <c r="J169" i="6"/>
  <c r="K169" i="6"/>
  <c r="P169" i="6" s="1"/>
  <c r="U169" i="6" s="1"/>
  <c r="Z169" i="6" s="1"/>
  <c r="M169" i="6"/>
  <c r="N169" i="6"/>
  <c r="S169" i="6" s="1"/>
  <c r="X169" i="6" s="1"/>
  <c r="O169" i="6"/>
  <c r="T169" i="6" s="1"/>
  <c r="Y169" i="6" s="1"/>
  <c r="R169" i="6"/>
  <c r="W169" i="6" s="1"/>
  <c r="G170" i="6"/>
  <c r="L170" i="6" s="1"/>
  <c r="Q170" i="6" s="1"/>
  <c r="V170" i="6" s="1"/>
  <c r="H170" i="6"/>
  <c r="M170" i="6" s="1"/>
  <c r="R170" i="6" s="1"/>
  <c r="W170" i="6" s="1"/>
  <c r="I170" i="6"/>
  <c r="N170" i="6" s="1"/>
  <c r="S170" i="6" s="1"/>
  <c r="X170" i="6" s="1"/>
  <c r="J170" i="6"/>
  <c r="O170" i="6" s="1"/>
  <c r="T170" i="6" s="1"/>
  <c r="Y170" i="6" s="1"/>
  <c r="K170" i="6"/>
  <c r="P170" i="6" s="1"/>
  <c r="U170" i="6" s="1"/>
  <c r="Z170" i="6" s="1"/>
  <c r="G171" i="6"/>
  <c r="H171" i="6"/>
  <c r="I171" i="6"/>
  <c r="J171" i="6"/>
  <c r="O171" i="6" s="1"/>
  <c r="T171" i="6" s="1"/>
  <c r="Y171" i="6" s="1"/>
  <c r="K171" i="6"/>
  <c r="P171" i="6" s="1"/>
  <c r="U171" i="6" s="1"/>
  <c r="L171" i="6"/>
  <c r="Q171" i="6" s="1"/>
  <c r="V171" i="6" s="1"/>
  <c r="M171" i="6"/>
  <c r="R171" i="6" s="1"/>
  <c r="W171" i="6" s="1"/>
  <c r="N171" i="6"/>
  <c r="S171" i="6" s="1"/>
  <c r="X171" i="6" s="1"/>
  <c r="Z171" i="6"/>
  <c r="G172" i="6"/>
  <c r="L172" i="6" s="1"/>
  <c r="Q172" i="6" s="1"/>
  <c r="V172" i="6" s="1"/>
  <c r="H172" i="6"/>
  <c r="M172" i="6" s="1"/>
  <c r="I172" i="6"/>
  <c r="J172" i="6"/>
  <c r="K172" i="6"/>
  <c r="N172" i="6"/>
  <c r="S172" i="6" s="1"/>
  <c r="X172" i="6" s="1"/>
  <c r="O172" i="6"/>
  <c r="T172" i="6" s="1"/>
  <c r="Y172" i="6" s="1"/>
  <c r="P172" i="6"/>
  <c r="U172" i="6" s="1"/>
  <c r="Z172" i="6" s="1"/>
  <c r="R172" i="6"/>
  <c r="W172" i="6" s="1"/>
  <c r="G173" i="6"/>
  <c r="L173" i="6" s="1"/>
  <c r="Q173" i="6" s="1"/>
  <c r="H173" i="6"/>
  <c r="M173" i="6" s="1"/>
  <c r="I173" i="6"/>
  <c r="J173" i="6"/>
  <c r="O173" i="6" s="1"/>
  <c r="T173" i="6" s="1"/>
  <c r="Y173" i="6" s="1"/>
  <c r="K173" i="6"/>
  <c r="P173" i="6" s="1"/>
  <c r="U173" i="6" s="1"/>
  <c r="Z173" i="6" s="1"/>
  <c r="N173" i="6"/>
  <c r="R173" i="6"/>
  <c r="S173" i="6"/>
  <c r="X173" i="6" s="1"/>
  <c r="V173" i="6"/>
  <c r="W173" i="6"/>
  <c r="G174" i="6"/>
  <c r="L174" i="6" s="1"/>
  <c r="Q174" i="6" s="1"/>
  <c r="H174" i="6"/>
  <c r="I174" i="6"/>
  <c r="J174" i="6"/>
  <c r="O174" i="6" s="1"/>
  <c r="T174" i="6" s="1"/>
  <c r="Y174" i="6" s="1"/>
  <c r="K174" i="6"/>
  <c r="P174" i="6" s="1"/>
  <c r="U174" i="6" s="1"/>
  <c r="M174" i="6"/>
  <c r="N174" i="6"/>
  <c r="S174" i="6" s="1"/>
  <c r="X174" i="6" s="1"/>
  <c r="R174" i="6"/>
  <c r="V174" i="6"/>
  <c r="W174" i="6"/>
  <c r="Z174" i="6"/>
  <c r="G175" i="6"/>
  <c r="L175" i="6" s="1"/>
  <c r="Q175" i="6" s="1"/>
  <c r="V175" i="6" s="1"/>
  <c r="H175" i="6"/>
  <c r="M175" i="6" s="1"/>
  <c r="R175" i="6" s="1"/>
  <c r="W175" i="6" s="1"/>
  <c r="I175" i="6"/>
  <c r="J175" i="6"/>
  <c r="K175" i="6"/>
  <c r="P175" i="6" s="1"/>
  <c r="U175" i="6" s="1"/>
  <c r="Z175" i="6" s="1"/>
  <c r="N175" i="6"/>
  <c r="S175" i="6" s="1"/>
  <c r="X175" i="6" s="1"/>
  <c r="O175" i="6"/>
  <c r="T175" i="6" s="1"/>
  <c r="Y175" i="6" s="1"/>
  <c r="G176" i="6"/>
  <c r="L176" i="6" s="1"/>
  <c r="Q176" i="6" s="1"/>
  <c r="V176" i="6" s="1"/>
  <c r="H176" i="6"/>
  <c r="M176" i="6" s="1"/>
  <c r="R176" i="6" s="1"/>
  <c r="W176" i="6" s="1"/>
  <c r="I176" i="6"/>
  <c r="N176" i="6" s="1"/>
  <c r="S176" i="6" s="1"/>
  <c r="X176" i="6" s="1"/>
  <c r="J176" i="6"/>
  <c r="O176" i="6" s="1"/>
  <c r="T176" i="6" s="1"/>
  <c r="Y176" i="6" s="1"/>
  <c r="K176" i="6"/>
  <c r="P176" i="6" s="1"/>
  <c r="U176" i="6" s="1"/>
  <c r="Z176" i="6" s="1"/>
  <c r="G177" i="6"/>
  <c r="L177" i="6" s="1"/>
  <c r="Q177" i="6" s="1"/>
  <c r="H177" i="6"/>
  <c r="I177" i="6"/>
  <c r="J177" i="6"/>
  <c r="O177" i="6" s="1"/>
  <c r="T177" i="6" s="1"/>
  <c r="Y177" i="6" s="1"/>
  <c r="K177" i="6"/>
  <c r="P177" i="6" s="1"/>
  <c r="U177" i="6" s="1"/>
  <c r="Z177" i="6" s="1"/>
  <c r="M177" i="6"/>
  <c r="R177" i="6" s="1"/>
  <c r="W177" i="6" s="1"/>
  <c r="N177" i="6"/>
  <c r="S177" i="6" s="1"/>
  <c r="X177" i="6" s="1"/>
  <c r="V177" i="6"/>
  <c r="G178" i="6"/>
  <c r="L178" i="6" s="1"/>
  <c r="Q178" i="6" s="1"/>
  <c r="V178" i="6" s="1"/>
  <c r="H178" i="6"/>
  <c r="I178" i="6"/>
  <c r="J178" i="6"/>
  <c r="K178" i="6"/>
  <c r="P178" i="6" s="1"/>
  <c r="U178" i="6" s="1"/>
  <c r="Z178" i="6" s="1"/>
  <c r="M178" i="6"/>
  <c r="N178" i="6"/>
  <c r="S178" i="6" s="1"/>
  <c r="X178" i="6" s="1"/>
  <c r="O178" i="6"/>
  <c r="T178" i="6" s="1"/>
  <c r="Y178" i="6" s="1"/>
  <c r="R178" i="6"/>
  <c r="W178" i="6" s="1"/>
  <c r="G179" i="6"/>
  <c r="L179" i="6" s="1"/>
  <c r="Q179" i="6" s="1"/>
  <c r="V179" i="6" s="1"/>
  <c r="H179" i="6"/>
  <c r="M179" i="6" s="1"/>
  <c r="I179" i="6"/>
  <c r="N179" i="6" s="1"/>
  <c r="J179" i="6"/>
  <c r="O179" i="6" s="1"/>
  <c r="T179" i="6" s="1"/>
  <c r="Y179" i="6" s="1"/>
  <c r="K179" i="6"/>
  <c r="P179" i="6" s="1"/>
  <c r="U179" i="6" s="1"/>
  <c r="Z179" i="6" s="1"/>
  <c r="R179" i="6"/>
  <c r="W179" i="6" s="1"/>
  <c r="S179" i="6"/>
  <c r="X179" i="6" s="1"/>
  <c r="G180" i="6"/>
  <c r="L180" i="6" s="1"/>
  <c r="Q180" i="6" s="1"/>
  <c r="V180" i="6" s="1"/>
  <c r="H180" i="6"/>
  <c r="M180" i="6" s="1"/>
  <c r="R180" i="6" s="1"/>
  <c r="I180" i="6"/>
  <c r="J180" i="6"/>
  <c r="O180" i="6" s="1"/>
  <c r="T180" i="6" s="1"/>
  <c r="Y180" i="6" s="1"/>
  <c r="K180" i="6"/>
  <c r="P180" i="6" s="1"/>
  <c r="U180" i="6" s="1"/>
  <c r="N180" i="6"/>
  <c r="S180" i="6" s="1"/>
  <c r="X180" i="6" s="1"/>
  <c r="W180" i="6"/>
  <c r="Z180" i="6"/>
  <c r="G181" i="6"/>
  <c r="L181" i="6" s="1"/>
  <c r="Q181" i="6" s="1"/>
  <c r="V181" i="6" s="1"/>
  <c r="H181" i="6"/>
  <c r="I181" i="6"/>
  <c r="J181" i="6"/>
  <c r="K181" i="6"/>
  <c r="P181" i="6" s="1"/>
  <c r="U181" i="6" s="1"/>
  <c r="M181" i="6"/>
  <c r="N181" i="6"/>
  <c r="S181" i="6" s="1"/>
  <c r="X181" i="6" s="1"/>
  <c r="O181" i="6"/>
  <c r="T181" i="6" s="1"/>
  <c r="Y181" i="6" s="1"/>
  <c r="R181" i="6"/>
  <c r="W181" i="6"/>
  <c r="Z181" i="6"/>
  <c r="G182" i="6"/>
  <c r="L182" i="6" s="1"/>
  <c r="Q182" i="6" s="1"/>
  <c r="V182" i="6" s="1"/>
  <c r="H182" i="6"/>
  <c r="M182" i="6" s="1"/>
  <c r="R182" i="6" s="1"/>
  <c r="W182" i="6" s="1"/>
  <c r="I182" i="6"/>
  <c r="J182" i="6"/>
  <c r="K182" i="6"/>
  <c r="P182" i="6" s="1"/>
  <c r="U182" i="6" s="1"/>
  <c r="Z182" i="6" s="1"/>
  <c r="N182" i="6"/>
  <c r="O182" i="6"/>
  <c r="T182" i="6" s="1"/>
  <c r="Y182" i="6" s="1"/>
  <c r="S182" i="6"/>
  <c r="X182" i="6" s="1"/>
  <c r="G183" i="6"/>
  <c r="L183" i="6" s="1"/>
  <c r="Q183" i="6" s="1"/>
  <c r="V183" i="6" s="1"/>
  <c r="H183" i="6"/>
  <c r="M183" i="6" s="1"/>
  <c r="R183" i="6" s="1"/>
  <c r="W183" i="6" s="1"/>
  <c r="I183" i="6"/>
  <c r="J183" i="6"/>
  <c r="O183" i="6" s="1"/>
  <c r="T183" i="6" s="1"/>
  <c r="Y183" i="6" s="1"/>
  <c r="K183" i="6"/>
  <c r="P183" i="6" s="1"/>
  <c r="U183" i="6" s="1"/>
  <c r="Z183" i="6" s="1"/>
  <c r="N183" i="6"/>
  <c r="S183" i="6"/>
  <c r="X183" i="6" s="1"/>
  <c r="G184" i="6"/>
  <c r="L184" i="6" s="1"/>
  <c r="Q184" i="6" s="1"/>
  <c r="V184" i="6" s="1"/>
  <c r="H184" i="6"/>
  <c r="I184" i="6"/>
  <c r="J184" i="6"/>
  <c r="K184" i="6"/>
  <c r="P184" i="6" s="1"/>
  <c r="U184" i="6" s="1"/>
  <c r="Z184" i="6" s="1"/>
  <c r="M184" i="6"/>
  <c r="N184" i="6"/>
  <c r="S184" i="6" s="1"/>
  <c r="X184" i="6" s="1"/>
  <c r="O184" i="6"/>
  <c r="T184" i="6" s="1"/>
  <c r="Y184" i="6" s="1"/>
  <c r="R184" i="6"/>
  <c r="W184" i="6" s="1"/>
  <c r="G185" i="6"/>
  <c r="L185" i="6" s="1"/>
  <c r="Q185" i="6" s="1"/>
  <c r="V185" i="6" s="1"/>
  <c r="H185" i="6"/>
  <c r="M185" i="6" s="1"/>
  <c r="R185" i="6" s="1"/>
  <c r="W185" i="6" s="1"/>
  <c r="I185" i="6"/>
  <c r="J185" i="6"/>
  <c r="O185" i="6" s="1"/>
  <c r="T185" i="6" s="1"/>
  <c r="Y185" i="6" s="1"/>
  <c r="K185" i="6"/>
  <c r="P185" i="6" s="1"/>
  <c r="U185" i="6" s="1"/>
  <c r="Z185" i="6" s="1"/>
  <c r="N185" i="6"/>
  <c r="S185" i="6"/>
  <c r="X185" i="6" s="1"/>
  <c r="G186" i="6"/>
  <c r="L186" i="6" s="1"/>
  <c r="Q186" i="6" s="1"/>
  <c r="H186" i="6"/>
  <c r="M186" i="6" s="1"/>
  <c r="R186" i="6" s="1"/>
  <c r="W186" i="6" s="1"/>
  <c r="I186" i="6"/>
  <c r="J186" i="6"/>
  <c r="O186" i="6" s="1"/>
  <c r="T186" i="6" s="1"/>
  <c r="Y186" i="6" s="1"/>
  <c r="K186" i="6"/>
  <c r="P186" i="6" s="1"/>
  <c r="U186" i="6" s="1"/>
  <c r="Z186" i="6" s="1"/>
  <c r="N186" i="6"/>
  <c r="S186" i="6" s="1"/>
  <c r="X186" i="6" s="1"/>
  <c r="V186" i="6"/>
  <c r="G187" i="6"/>
  <c r="H187" i="6"/>
  <c r="I187" i="6"/>
  <c r="J187" i="6"/>
  <c r="K187" i="6"/>
  <c r="P187" i="6" s="1"/>
  <c r="U187" i="6" s="1"/>
  <c r="L187" i="6"/>
  <c r="Q187" i="6" s="1"/>
  <c r="V187" i="6" s="1"/>
  <c r="M187" i="6"/>
  <c r="N187" i="6"/>
  <c r="S187" i="6" s="1"/>
  <c r="X187" i="6" s="1"/>
  <c r="O187" i="6"/>
  <c r="T187" i="6" s="1"/>
  <c r="Y187" i="6" s="1"/>
  <c r="R187" i="6"/>
  <c r="W187" i="6" s="1"/>
  <c r="Z187" i="6"/>
  <c r="G188" i="6"/>
  <c r="L188" i="6" s="1"/>
  <c r="Q188" i="6" s="1"/>
  <c r="H188" i="6"/>
  <c r="M188" i="6" s="1"/>
  <c r="R188" i="6" s="1"/>
  <c r="W188" i="6" s="1"/>
  <c r="I188" i="6"/>
  <c r="J188" i="6"/>
  <c r="O188" i="6" s="1"/>
  <c r="T188" i="6" s="1"/>
  <c r="Y188" i="6" s="1"/>
  <c r="K188" i="6"/>
  <c r="P188" i="6" s="1"/>
  <c r="U188" i="6" s="1"/>
  <c r="Z188" i="6" s="1"/>
  <c r="N188" i="6"/>
  <c r="S188" i="6"/>
  <c r="X188" i="6" s="1"/>
  <c r="V188" i="6"/>
  <c r="G189" i="6"/>
  <c r="L189" i="6" s="1"/>
  <c r="Q189" i="6" s="1"/>
  <c r="V189" i="6" s="1"/>
  <c r="H189" i="6"/>
  <c r="M189" i="6" s="1"/>
  <c r="R189" i="6" s="1"/>
  <c r="W189" i="6" s="1"/>
  <c r="I189" i="6"/>
  <c r="J189" i="6"/>
  <c r="K189" i="6"/>
  <c r="P189" i="6" s="1"/>
  <c r="U189" i="6" s="1"/>
  <c r="N189" i="6"/>
  <c r="O189" i="6"/>
  <c r="T189" i="6" s="1"/>
  <c r="Y189" i="6" s="1"/>
  <c r="S189" i="6"/>
  <c r="X189" i="6" s="1"/>
  <c r="Z189" i="6"/>
  <c r="G190" i="6"/>
  <c r="H190" i="6"/>
  <c r="I190" i="6"/>
  <c r="J190" i="6"/>
  <c r="O190" i="6" s="1"/>
  <c r="T190" i="6" s="1"/>
  <c r="Y190" i="6" s="1"/>
  <c r="K190" i="6"/>
  <c r="P190" i="6" s="1"/>
  <c r="U190" i="6" s="1"/>
  <c r="Z190" i="6" s="1"/>
  <c r="L190" i="6"/>
  <c r="Q190" i="6" s="1"/>
  <c r="V190" i="6" s="1"/>
  <c r="M190" i="6"/>
  <c r="N190" i="6"/>
  <c r="S190" i="6" s="1"/>
  <c r="X190" i="6" s="1"/>
  <c r="R190" i="6"/>
  <c r="W190" i="6" s="1"/>
  <c r="G191" i="6"/>
  <c r="L191" i="6" s="1"/>
  <c r="Q191" i="6" s="1"/>
  <c r="H191" i="6"/>
  <c r="M191" i="6" s="1"/>
  <c r="R191" i="6" s="1"/>
  <c r="W191" i="6" s="1"/>
  <c r="I191" i="6"/>
  <c r="N191" i="6" s="1"/>
  <c r="S191" i="6" s="1"/>
  <c r="X191" i="6" s="1"/>
  <c r="J191" i="6"/>
  <c r="O191" i="6" s="1"/>
  <c r="T191" i="6" s="1"/>
  <c r="Y191" i="6" s="1"/>
  <c r="K191" i="6"/>
  <c r="P191" i="6" s="1"/>
  <c r="U191" i="6" s="1"/>
  <c r="Z191" i="6" s="1"/>
  <c r="V191" i="6"/>
  <c r="G192" i="6"/>
  <c r="L192" i="6" s="1"/>
  <c r="Q192" i="6" s="1"/>
  <c r="V192" i="6" s="1"/>
  <c r="H192" i="6"/>
  <c r="M192" i="6" s="1"/>
  <c r="R192" i="6" s="1"/>
  <c r="W192" i="6" s="1"/>
  <c r="I192" i="6"/>
  <c r="J192" i="6"/>
  <c r="K192" i="6"/>
  <c r="P192" i="6" s="1"/>
  <c r="U192" i="6" s="1"/>
  <c r="N192" i="6"/>
  <c r="S192" i="6" s="1"/>
  <c r="X192" i="6" s="1"/>
  <c r="O192" i="6"/>
  <c r="T192" i="6"/>
  <c r="Y192" i="6" s="1"/>
  <c r="Z192" i="6"/>
  <c r="G193" i="6"/>
  <c r="H193" i="6"/>
  <c r="I193" i="6"/>
  <c r="J193" i="6"/>
  <c r="O193" i="6" s="1"/>
  <c r="T193" i="6" s="1"/>
  <c r="Y193" i="6" s="1"/>
  <c r="K193" i="6"/>
  <c r="P193" i="6" s="1"/>
  <c r="U193" i="6" s="1"/>
  <c r="Z193" i="6" s="1"/>
  <c r="L193" i="6"/>
  <c r="Q193" i="6" s="1"/>
  <c r="V193" i="6" s="1"/>
  <c r="M193" i="6"/>
  <c r="N193" i="6"/>
  <c r="S193" i="6" s="1"/>
  <c r="X193" i="6" s="1"/>
  <c r="R193" i="6"/>
  <c r="W193" i="6"/>
  <c r="G194" i="6"/>
  <c r="L194" i="6" s="1"/>
  <c r="Q194" i="6" s="1"/>
  <c r="H194" i="6"/>
  <c r="M194" i="6" s="1"/>
  <c r="R194" i="6" s="1"/>
  <c r="W194" i="6" s="1"/>
  <c r="I194" i="6"/>
  <c r="N194" i="6" s="1"/>
  <c r="S194" i="6" s="1"/>
  <c r="X194" i="6" s="1"/>
  <c r="J194" i="6"/>
  <c r="O194" i="6" s="1"/>
  <c r="T194" i="6" s="1"/>
  <c r="Y194" i="6" s="1"/>
  <c r="K194" i="6"/>
  <c r="P194" i="6" s="1"/>
  <c r="U194" i="6" s="1"/>
  <c r="Z194" i="6" s="1"/>
  <c r="V194" i="6"/>
  <c r="G195" i="6"/>
  <c r="L195" i="6" s="1"/>
  <c r="Q195" i="6" s="1"/>
  <c r="V195" i="6" s="1"/>
  <c r="H195" i="6"/>
  <c r="I195" i="6"/>
  <c r="J195" i="6"/>
  <c r="K195" i="6"/>
  <c r="P195" i="6" s="1"/>
  <c r="U195" i="6" s="1"/>
  <c r="M195" i="6"/>
  <c r="R195" i="6" s="1"/>
  <c r="W195" i="6" s="1"/>
  <c r="N195" i="6"/>
  <c r="O195" i="6"/>
  <c r="T195" i="6" s="1"/>
  <c r="Y195" i="6" s="1"/>
  <c r="S195" i="6"/>
  <c r="X195" i="6" s="1"/>
  <c r="Z195" i="6"/>
  <c r="G196" i="6"/>
  <c r="H196" i="6"/>
  <c r="I196" i="6"/>
  <c r="J196" i="6"/>
  <c r="O196" i="6" s="1"/>
  <c r="T196" i="6" s="1"/>
  <c r="Y196" i="6" s="1"/>
  <c r="K196" i="6"/>
  <c r="P196" i="6" s="1"/>
  <c r="U196" i="6" s="1"/>
  <c r="Z196" i="6" s="1"/>
  <c r="L196" i="6"/>
  <c r="Q196" i="6" s="1"/>
  <c r="V196" i="6" s="1"/>
  <c r="M196" i="6"/>
  <c r="N196" i="6"/>
  <c r="S196" i="6" s="1"/>
  <c r="X196" i="6" s="1"/>
  <c r="R196" i="6"/>
  <c r="W196" i="6"/>
  <c r="G197" i="6"/>
  <c r="L197" i="6" s="1"/>
  <c r="Q197" i="6" s="1"/>
  <c r="H197" i="6"/>
  <c r="M197" i="6" s="1"/>
  <c r="I197" i="6"/>
  <c r="N197" i="6" s="1"/>
  <c r="S197" i="6" s="1"/>
  <c r="X197" i="6" s="1"/>
  <c r="J197" i="6"/>
  <c r="O197" i="6" s="1"/>
  <c r="T197" i="6" s="1"/>
  <c r="Y197" i="6" s="1"/>
  <c r="K197" i="6"/>
  <c r="P197" i="6" s="1"/>
  <c r="U197" i="6" s="1"/>
  <c r="Z197" i="6" s="1"/>
  <c r="R197" i="6"/>
  <c r="W197" i="6" s="1"/>
  <c r="V197" i="6"/>
  <c r="G198" i="6"/>
  <c r="H198" i="6"/>
  <c r="I198" i="6"/>
  <c r="J198" i="6"/>
  <c r="K198" i="6"/>
  <c r="P198" i="6" s="1"/>
  <c r="U198" i="6" s="1"/>
  <c r="L198" i="6"/>
  <c r="Q198" i="6" s="1"/>
  <c r="V198" i="6" s="1"/>
  <c r="M198" i="6"/>
  <c r="N198" i="6"/>
  <c r="S198" i="6" s="1"/>
  <c r="X198" i="6" s="1"/>
  <c r="O198" i="6"/>
  <c r="T198" i="6" s="1"/>
  <c r="Y198" i="6" s="1"/>
  <c r="R198" i="6"/>
  <c r="W198" i="6" s="1"/>
  <c r="Z198" i="6"/>
  <c r="G199" i="6"/>
  <c r="L199" i="6" s="1"/>
  <c r="Q199" i="6" s="1"/>
  <c r="V199" i="6" s="1"/>
  <c r="H199" i="6"/>
  <c r="I199" i="6"/>
  <c r="J199" i="6"/>
  <c r="O199" i="6" s="1"/>
  <c r="T199" i="6" s="1"/>
  <c r="Y199" i="6" s="1"/>
  <c r="K199" i="6"/>
  <c r="P199" i="6" s="1"/>
  <c r="U199" i="6" s="1"/>
  <c r="Z199" i="6" s="1"/>
  <c r="M199" i="6"/>
  <c r="N199" i="6"/>
  <c r="R199" i="6"/>
  <c r="S199" i="6"/>
  <c r="X199" i="6" s="1"/>
  <c r="W199" i="6"/>
  <c r="G200" i="6"/>
  <c r="L200" i="6" s="1"/>
  <c r="Q200" i="6" s="1"/>
  <c r="H200" i="6"/>
  <c r="M200" i="6" s="1"/>
  <c r="R200" i="6" s="1"/>
  <c r="W200" i="6" s="1"/>
  <c r="I200" i="6"/>
  <c r="N200" i="6" s="1"/>
  <c r="S200" i="6" s="1"/>
  <c r="X200" i="6" s="1"/>
  <c r="J200" i="6"/>
  <c r="O200" i="6" s="1"/>
  <c r="T200" i="6" s="1"/>
  <c r="Y200" i="6" s="1"/>
  <c r="K200" i="6"/>
  <c r="P200" i="6"/>
  <c r="U200" i="6"/>
  <c r="Z200" i="6" s="1"/>
  <c r="V200" i="6"/>
  <c r="G201" i="6"/>
  <c r="H201" i="6"/>
  <c r="I201" i="6"/>
  <c r="J201" i="6"/>
  <c r="K201" i="6"/>
  <c r="P201" i="6" s="1"/>
  <c r="U201" i="6" s="1"/>
  <c r="Z201" i="6" s="1"/>
  <c r="L201" i="6"/>
  <c r="Q201" i="6" s="1"/>
  <c r="V201" i="6" s="1"/>
  <c r="M201" i="6"/>
  <c r="R201" i="6" s="1"/>
  <c r="W201" i="6" s="1"/>
  <c r="N201" i="6"/>
  <c r="S201" i="6" s="1"/>
  <c r="X201" i="6" s="1"/>
  <c r="O201" i="6"/>
  <c r="T201" i="6" s="1"/>
  <c r="Y201" i="6" s="1"/>
  <c r="G202" i="6"/>
  <c r="L202" i="6" s="1"/>
  <c r="Q202" i="6" s="1"/>
  <c r="V202" i="6" s="1"/>
  <c r="H202" i="6"/>
  <c r="M202" i="6" s="1"/>
  <c r="R202" i="6" s="1"/>
  <c r="W202" i="6" s="1"/>
  <c r="I202" i="6"/>
  <c r="J202" i="6"/>
  <c r="O202" i="6" s="1"/>
  <c r="T202" i="6" s="1"/>
  <c r="Y202" i="6" s="1"/>
  <c r="K202" i="6"/>
  <c r="P202" i="6" s="1"/>
  <c r="U202" i="6" s="1"/>
  <c r="Z202" i="6" s="1"/>
  <c r="N202" i="6"/>
  <c r="S202" i="6"/>
  <c r="X202" i="6"/>
  <c r="G203" i="6"/>
  <c r="L203" i="6" s="1"/>
  <c r="Q203" i="6" s="1"/>
  <c r="H203" i="6"/>
  <c r="M203" i="6" s="1"/>
  <c r="R203" i="6" s="1"/>
  <c r="W203" i="6" s="1"/>
  <c r="I203" i="6"/>
  <c r="J203" i="6"/>
  <c r="K203" i="6"/>
  <c r="N203" i="6"/>
  <c r="O203" i="6"/>
  <c r="P203" i="6"/>
  <c r="U203" i="6" s="1"/>
  <c r="Z203" i="6" s="1"/>
  <c r="S203" i="6"/>
  <c r="X203" i="6" s="1"/>
  <c r="T203" i="6"/>
  <c r="Y203" i="6" s="1"/>
  <c r="V203" i="6"/>
  <c r="G204" i="6"/>
  <c r="H204" i="6"/>
  <c r="M204" i="6" s="1"/>
  <c r="R204" i="6" s="1"/>
  <c r="W204" i="6" s="1"/>
  <c r="I204" i="6"/>
  <c r="J204" i="6"/>
  <c r="O204" i="6" s="1"/>
  <c r="T204" i="6" s="1"/>
  <c r="Y204" i="6" s="1"/>
  <c r="K204" i="6"/>
  <c r="P204" i="6" s="1"/>
  <c r="U204" i="6" s="1"/>
  <c r="L204" i="6"/>
  <c r="Q204" i="6" s="1"/>
  <c r="V204" i="6" s="1"/>
  <c r="N204" i="6"/>
  <c r="S204" i="6" s="1"/>
  <c r="X204" i="6" s="1"/>
  <c r="Z204" i="6"/>
  <c r="G205" i="6"/>
  <c r="L205" i="6" s="1"/>
  <c r="Q205" i="6" s="1"/>
  <c r="V205" i="6" s="1"/>
  <c r="H205" i="6"/>
  <c r="M205" i="6" s="1"/>
  <c r="I205" i="6"/>
  <c r="N205" i="6" s="1"/>
  <c r="S205" i="6" s="1"/>
  <c r="X205" i="6" s="1"/>
  <c r="J205" i="6"/>
  <c r="K205" i="6"/>
  <c r="O205" i="6"/>
  <c r="T205" i="6" s="1"/>
  <c r="Y205" i="6" s="1"/>
  <c r="P205" i="6"/>
  <c r="R205" i="6"/>
  <c r="W205" i="6" s="1"/>
  <c r="U205" i="6"/>
  <c r="Z205" i="6" s="1"/>
  <c r="G206" i="6"/>
  <c r="L206" i="6" s="1"/>
  <c r="Q206" i="6" s="1"/>
  <c r="H206" i="6"/>
  <c r="I206" i="6"/>
  <c r="J206" i="6"/>
  <c r="K206" i="6"/>
  <c r="P206" i="6" s="1"/>
  <c r="U206" i="6" s="1"/>
  <c r="Z206" i="6" s="1"/>
  <c r="M206" i="6"/>
  <c r="R206" i="6" s="1"/>
  <c r="W206" i="6" s="1"/>
  <c r="N206" i="6"/>
  <c r="S206" i="6" s="1"/>
  <c r="X206" i="6" s="1"/>
  <c r="O206" i="6"/>
  <c r="T206" i="6" s="1"/>
  <c r="Y206" i="6" s="1"/>
  <c r="V206" i="6"/>
  <c r="G207" i="6"/>
  <c r="L207" i="6" s="1"/>
  <c r="Q207" i="6" s="1"/>
  <c r="V207" i="6" s="1"/>
  <c r="H207" i="6"/>
  <c r="M207" i="6" s="1"/>
  <c r="R207" i="6" s="1"/>
  <c r="W207" i="6" s="1"/>
  <c r="I207" i="6"/>
  <c r="J207" i="6"/>
  <c r="O207" i="6" s="1"/>
  <c r="T207" i="6" s="1"/>
  <c r="Y207" i="6" s="1"/>
  <c r="K207" i="6"/>
  <c r="P207" i="6" s="1"/>
  <c r="N207" i="6"/>
  <c r="S207" i="6"/>
  <c r="X207" i="6" s="1"/>
  <c r="U207" i="6"/>
  <c r="Z207" i="6" s="1"/>
  <c r="G208" i="6"/>
  <c r="H208" i="6"/>
  <c r="I208" i="6"/>
  <c r="N208" i="6" s="1"/>
  <c r="S208" i="6" s="1"/>
  <c r="X208" i="6" s="1"/>
  <c r="J208" i="6"/>
  <c r="K208" i="6"/>
  <c r="P208" i="6" s="1"/>
  <c r="U208" i="6" s="1"/>
  <c r="Z208" i="6" s="1"/>
  <c r="L208" i="6"/>
  <c r="Q208" i="6" s="1"/>
  <c r="V208" i="6" s="1"/>
  <c r="M208" i="6"/>
  <c r="R208" i="6" s="1"/>
  <c r="W208" i="6" s="1"/>
  <c r="O208" i="6"/>
  <c r="T208" i="6" s="1"/>
  <c r="Y208" i="6"/>
  <c r="G209" i="6"/>
  <c r="L209" i="6" s="1"/>
  <c r="Q209" i="6" s="1"/>
  <c r="V209" i="6" s="1"/>
  <c r="H209" i="6"/>
  <c r="M209" i="6" s="1"/>
  <c r="R209" i="6" s="1"/>
  <c r="W209" i="6" s="1"/>
  <c r="I209" i="6"/>
  <c r="J209" i="6"/>
  <c r="K209" i="6"/>
  <c r="N209" i="6"/>
  <c r="S209" i="6" s="1"/>
  <c r="X209" i="6" s="1"/>
  <c r="O209" i="6"/>
  <c r="P209" i="6"/>
  <c r="U209" i="6" s="1"/>
  <c r="Z209" i="6" s="1"/>
  <c r="T209" i="6"/>
  <c r="Y209" i="6" s="1"/>
  <c r="G210" i="6"/>
  <c r="L210" i="6" s="1"/>
  <c r="Q210" i="6" s="1"/>
  <c r="V210" i="6" s="1"/>
  <c r="H210" i="6"/>
  <c r="M210" i="6" s="1"/>
  <c r="R210" i="6" s="1"/>
  <c r="W210" i="6" s="1"/>
  <c r="I210" i="6"/>
  <c r="N210" i="6" s="1"/>
  <c r="S210" i="6" s="1"/>
  <c r="X210" i="6" s="1"/>
  <c r="J210" i="6"/>
  <c r="O210" i="6" s="1"/>
  <c r="T210" i="6" s="1"/>
  <c r="Y210" i="6" s="1"/>
  <c r="K210" i="6"/>
  <c r="P210" i="6" s="1"/>
  <c r="U210" i="6" s="1"/>
  <c r="Z210" i="6" s="1"/>
  <c r="G211" i="6"/>
  <c r="H211" i="6"/>
  <c r="I211" i="6"/>
  <c r="J211" i="6"/>
  <c r="O211" i="6" s="1"/>
  <c r="T211" i="6" s="1"/>
  <c r="Y211" i="6" s="1"/>
  <c r="K211" i="6"/>
  <c r="P211" i="6" s="1"/>
  <c r="U211" i="6" s="1"/>
  <c r="Z211" i="6" s="1"/>
  <c r="L211" i="6"/>
  <c r="Q211" i="6" s="1"/>
  <c r="V211" i="6" s="1"/>
  <c r="M211" i="6"/>
  <c r="R211" i="6" s="1"/>
  <c r="W211" i="6" s="1"/>
  <c r="N211" i="6"/>
  <c r="S211" i="6" s="1"/>
  <c r="X211" i="6" s="1"/>
  <c r="G212" i="6"/>
  <c r="L212" i="6" s="1"/>
  <c r="Q212" i="6" s="1"/>
  <c r="V212" i="6" s="1"/>
  <c r="H212" i="6"/>
  <c r="M212" i="6" s="1"/>
  <c r="R212" i="6" s="1"/>
  <c r="W212" i="6" s="1"/>
  <c r="I212" i="6"/>
  <c r="J212" i="6"/>
  <c r="K212" i="6"/>
  <c r="N212" i="6"/>
  <c r="S212" i="6" s="1"/>
  <c r="X212" i="6" s="1"/>
  <c r="O212" i="6"/>
  <c r="P212" i="6"/>
  <c r="U212" i="6" s="1"/>
  <c r="Z212" i="6" s="1"/>
  <c r="T212" i="6"/>
  <c r="Y212" i="6" s="1"/>
  <c r="G213" i="6"/>
  <c r="L213" i="6" s="1"/>
  <c r="Q213" i="6" s="1"/>
  <c r="V213" i="6" s="1"/>
  <c r="H213" i="6"/>
  <c r="M213" i="6" s="1"/>
  <c r="R213" i="6" s="1"/>
  <c r="W213" i="6" s="1"/>
  <c r="I213" i="6"/>
  <c r="N213" i="6" s="1"/>
  <c r="S213" i="6" s="1"/>
  <c r="X213" i="6" s="1"/>
  <c r="J213" i="6"/>
  <c r="O213" i="6" s="1"/>
  <c r="T213" i="6" s="1"/>
  <c r="Y213" i="6" s="1"/>
  <c r="K213" i="6"/>
  <c r="P213" i="6" s="1"/>
  <c r="U213" i="6" s="1"/>
  <c r="Z213" i="6" s="1"/>
  <c r="G214" i="6"/>
  <c r="H214" i="6"/>
  <c r="I214" i="6"/>
  <c r="J214" i="6"/>
  <c r="O214" i="6" s="1"/>
  <c r="T214" i="6" s="1"/>
  <c r="Y214" i="6" s="1"/>
  <c r="K214" i="6"/>
  <c r="P214" i="6" s="1"/>
  <c r="U214" i="6" s="1"/>
  <c r="Z214" i="6" s="1"/>
  <c r="L214" i="6"/>
  <c r="Q214" i="6" s="1"/>
  <c r="V214" i="6" s="1"/>
  <c r="M214" i="6"/>
  <c r="R214" i="6" s="1"/>
  <c r="W214" i="6" s="1"/>
  <c r="N214" i="6"/>
  <c r="S214" i="6" s="1"/>
  <c r="X214" i="6" s="1"/>
  <c r="G215" i="6"/>
  <c r="L215" i="6" s="1"/>
  <c r="Q215" i="6" s="1"/>
  <c r="V215" i="6" s="1"/>
  <c r="H215" i="6"/>
  <c r="M215" i="6" s="1"/>
  <c r="R215" i="6" s="1"/>
  <c r="W215" i="6" s="1"/>
  <c r="I215" i="6"/>
  <c r="J215" i="6"/>
  <c r="K215" i="6"/>
  <c r="N215" i="6"/>
  <c r="O215" i="6"/>
  <c r="T215" i="6" s="1"/>
  <c r="Y215" i="6" s="1"/>
  <c r="P215" i="6"/>
  <c r="U215" i="6" s="1"/>
  <c r="Z215" i="6" s="1"/>
  <c r="S215" i="6"/>
  <c r="X215" i="6" s="1"/>
  <c r="G216" i="6"/>
  <c r="L216" i="6" s="1"/>
  <c r="Q216" i="6" s="1"/>
  <c r="V216" i="6" s="1"/>
  <c r="H216" i="6"/>
  <c r="M216" i="6" s="1"/>
  <c r="R216" i="6" s="1"/>
  <c r="W216" i="6" s="1"/>
  <c r="I216" i="6"/>
  <c r="N216" i="6" s="1"/>
  <c r="S216" i="6" s="1"/>
  <c r="X216" i="6" s="1"/>
  <c r="J216" i="6"/>
  <c r="O216" i="6" s="1"/>
  <c r="T216" i="6" s="1"/>
  <c r="Y216" i="6" s="1"/>
  <c r="K216" i="6"/>
  <c r="P216" i="6" s="1"/>
  <c r="U216" i="6" s="1"/>
  <c r="Z216" i="6" s="1"/>
  <c r="G217" i="6"/>
  <c r="H217" i="6"/>
  <c r="I217" i="6"/>
  <c r="J217" i="6"/>
  <c r="K217" i="6"/>
  <c r="P217" i="6" s="1"/>
  <c r="U217" i="6" s="1"/>
  <c r="Z217" i="6" s="1"/>
  <c r="L217" i="6"/>
  <c r="Q217" i="6" s="1"/>
  <c r="V217" i="6" s="1"/>
  <c r="M217" i="6"/>
  <c r="R217" i="6" s="1"/>
  <c r="W217" i="6" s="1"/>
  <c r="N217" i="6"/>
  <c r="S217" i="6" s="1"/>
  <c r="X217" i="6" s="1"/>
  <c r="O217" i="6"/>
  <c r="T217" i="6" s="1"/>
  <c r="Y217" i="6" s="1"/>
  <c r="G218" i="6"/>
  <c r="L218" i="6" s="1"/>
  <c r="Q218" i="6" s="1"/>
  <c r="V218" i="6" s="1"/>
  <c r="H218" i="6"/>
  <c r="M218" i="6" s="1"/>
  <c r="R218" i="6" s="1"/>
  <c r="W218" i="6" s="1"/>
  <c r="I218" i="6"/>
  <c r="J218" i="6"/>
  <c r="K218" i="6"/>
  <c r="N218" i="6"/>
  <c r="O218" i="6"/>
  <c r="T218" i="6" s="1"/>
  <c r="Y218" i="6" s="1"/>
  <c r="P218" i="6"/>
  <c r="U218" i="6" s="1"/>
  <c r="Z218" i="6" s="1"/>
  <c r="S218" i="6"/>
  <c r="X218" i="6" s="1"/>
  <c r="G219" i="6"/>
  <c r="L219" i="6" s="1"/>
  <c r="Q219" i="6" s="1"/>
  <c r="V219" i="6" s="1"/>
  <c r="H219" i="6"/>
  <c r="M219" i="6" s="1"/>
  <c r="R219" i="6" s="1"/>
  <c r="W219" i="6" s="1"/>
  <c r="I219" i="6"/>
  <c r="N219" i="6" s="1"/>
  <c r="S219" i="6" s="1"/>
  <c r="X219" i="6" s="1"/>
  <c r="J219" i="6"/>
  <c r="O219" i="6" s="1"/>
  <c r="T219" i="6" s="1"/>
  <c r="Y219" i="6" s="1"/>
  <c r="K219" i="6"/>
  <c r="P219" i="6" s="1"/>
  <c r="U219" i="6" s="1"/>
  <c r="Z219" i="6" s="1"/>
  <c r="I220" i="6"/>
  <c r="J220" i="6"/>
  <c r="P220" i="6"/>
  <c r="U220" i="6" s="1"/>
  <c r="Z220" i="6" s="1"/>
  <c r="L220" i="6"/>
  <c r="Q220" i="6" s="1"/>
  <c r="V220" i="6" s="1"/>
  <c r="N220" i="6"/>
  <c r="S220" i="6" s="1"/>
  <c r="X220" i="6" s="1"/>
  <c r="O220" i="6"/>
  <c r="T220" i="6" s="1"/>
  <c r="Y220" i="6" s="1"/>
  <c r="V4" i="6"/>
  <c r="W4" i="6"/>
  <c r="X4" i="6"/>
  <c r="Y4" i="6"/>
  <c r="Z4" i="6"/>
  <c r="V5" i="6"/>
  <c r="W5" i="6"/>
  <c r="X5" i="6"/>
  <c r="Y5" i="6"/>
  <c r="Z5" i="6"/>
  <c r="V6" i="6"/>
  <c r="W6" i="6"/>
  <c r="X6" i="6"/>
  <c r="Y6" i="6"/>
  <c r="Z6" i="6"/>
  <c r="V7" i="6"/>
  <c r="W7" i="6"/>
  <c r="X7" i="6"/>
  <c r="Y7" i="6"/>
  <c r="Z7" i="6"/>
  <c r="V8" i="6"/>
  <c r="W8" i="6"/>
  <c r="X8" i="6"/>
  <c r="Y8" i="6"/>
  <c r="Z8" i="6"/>
  <c r="V9" i="6"/>
  <c r="W9" i="6"/>
  <c r="X9" i="6"/>
  <c r="Y9" i="6"/>
  <c r="Z9" i="6"/>
  <c r="V10" i="6"/>
  <c r="W10" i="6"/>
  <c r="X10" i="6"/>
  <c r="Y10" i="6"/>
  <c r="Z10" i="6"/>
  <c r="V11" i="6"/>
  <c r="W11" i="6"/>
  <c r="X11" i="6"/>
  <c r="Y11" i="6"/>
  <c r="Z11" i="6"/>
  <c r="V12" i="6"/>
  <c r="W12" i="6"/>
  <c r="X12" i="6"/>
  <c r="Y12" i="6"/>
  <c r="Z12" i="6"/>
  <c r="V13" i="6"/>
  <c r="W13" i="6"/>
  <c r="X13" i="6"/>
  <c r="Y13" i="6"/>
  <c r="Z13" i="6"/>
  <c r="V14" i="6"/>
  <c r="W14" i="6"/>
  <c r="X14" i="6"/>
  <c r="Y14" i="6"/>
  <c r="Z14" i="6"/>
  <c r="V15" i="6"/>
  <c r="W15" i="6"/>
  <c r="X15" i="6"/>
  <c r="Y15" i="6"/>
  <c r="Z15" i="6"/>
  <c r="V16" i="6"/>
  <c r="W16" i="6"/>
  <c r="X16" i="6"/>
  <c r="Y16" i="6"/>
  <c r="Z16" i="6"/>
  <c r="V17" i="6"/>
  <c r="W17" i="6"/>
  <c r="X17" i="6"/>
  <c r="Y17" i="6"/>
  <c r="Z17" i="6"/>
  <c r="V18" i="6"/>
  <c r="W18" i="6"/>
  <c r="X18" i="6"/>
  <c r="Y18" i="6"/>
  <c r="Z18" i="6"/>
  <c r="V19" i="6"/>
  <c r="W19" i="6"/>
  <c r="X19" i="6"/>
  <c r="Y19" i="6"/>
  <c r="Z19" i="6"/>
  <c r="V20" i="6"/>
  <c r="W20" i="6"/>
  <c r="X20" i="6"/>
  <c r="Y20" i="6"/>
  <c r="Z20" i="6"/>
  <c r="V21" i="6"/>
  <c r="W21" i="6"/>
  <c r="X21" i="6"/>
  <c r="Y21" i="6"/>
  <c r="Z21" i="6"/>
  <c r="V22" i="6"/>
  <c r="W22" i="6"/>
  <c r="X22" i="6"/>
  <c r="Y22" i="6"/>
  <c r="Z22" i="6"/>
  <c r="V23" i="6"/>
  <c r="W23" i="6"/>
  <c r="X23" i="6"/>
  <c r="Y23" i="6"/>
  <c r="Z23" i="6"/>
  <c r="V24" i="6"/>
  <c r="W24" i="6"/>
  <c r="X24" i="6"/>
  <c r="Y24" i="6"/>
  <c r="Z24" i="6"/>
  <c r="V25" i="6"/>
  <c r="W25" i="6"/>
  <c r="X25" i="6"/>
  <c r="Y25" i="6"/>
  <c r="Z25" i="6"/>
  <c r="V26" i="6"/>
  <c r="W26" i="6"/>
  <c r="X26" i="6"/>
  <c r="Y26" i="6"/>
  <c r="Z26" i="6"/>
  <c r="V27" i="6"/>
  <c r="W27" i="6"/>
  <c r="X27" i="6"/>
  <c r="Y27" i="6"/>
  <c r="Z27" i="6"/>
  <c r="V28" i="6"/>
  <c r="W28" i="6"/>
  <c r="X28" i="6"/>
  <c r="Y28" i="6"/>
  <c r="Z28" i="6"/>
  <c r="V29" i="6"/>
  <c r="W29" i="6"/>
  <c r="X29" i="6"/>
  <c r="Y29" i="6"/>
  <c r="Z29" i="6"/>
  <c r="V30" i="6"/>
  <c r="W30" i="6"/>
  <c r="X30" i="6"/>
  <c r="Y30" i="6"/>
  <c r="Z30" i="6"/>
  <c r="V31" i="6"/>
  <c r="W31" i="6"/>
  <c r="X31" i="6"/>
  <c r="Y31" i="6"/>
  <c r="Z31" i="6"/>
  <c r="V32" i="6"/>
  <c r="W32" i="6"/>
  <c r="X32" i="6"/>
  <c r="Y32" i="6"/>
  <c r="Z32" i="6"/>
  <c r="V33" i="6"/>
  <c r="W33" i="6"/>
  <c r="X33" i="6"/>
  <c r="Y33" i="6"/>
  <c r="Z33" i="6"/>
  <c r="V34" i="6"/>
  <c r="W34" i="6"/>
  <c r="X34" i="6"/>
  <c r="Y34" i="6"/>
  <c r="Z34" i="6"/>
  <c r="V35" i="6"/>
  <c r="W35" i="6"/>
  <c r="X35" i="6"/>
  <c r="Y35" i="6"/>
  <c r="Z35" i="6"/>
  <c r="V36" i="6"/>
  <c r="W36" i="6"/>
  <c r="X36" i="6"/>
  <c r="Y36" i="6"/>
  <c r="Z36" i="6"/>
  <c r="V37" i="6"/>
  <c r="W37" i="6"/>
  <c r="X37" i="6"/>
  <c r="Y37" i="6"/>
  <c r="Z37" i="6"/>
  <c r="V38" i="6"/>
  <c r="W38" i="6"/>
  <c r="X38" i="6"/>
  <c r="Y38" i="6"/>
  <c r="Z38" i="6"/>
  <c r="V39" i="6"/>
  <c r="W39" i="6"/>
  <c r="X39" i="6"/>
  <c r="Y39" i="6"/>
  <c r="Z39" i="6"/>
  <c r="V40" i="6"/>
  <c r="W40" i="6"/>
  <c r="X40" i="6"/>
  <c r="Y40" i="6"/>
  <c r="Z40" i="6"/>
  <c r="V41" i="6"/>
  <c r="W41" i="6"/>
  <c r="X41" i="6"/>
  <c r="Y41" i="6"/>
  <c r="Z41" i="6"/>
  <c r="V42" i="6"/>
  <c r="W42" i="6"/>
  <c r="X42" i="6"/>
  <c r="Y42" i="6"/>
  <c r="Z42" i="6"/>
  <c r="V43" i="6"/>
  <c r="W43" i="6"/>
  <c r="X43" i="6"/>
  <c r="Y43" i="6"/>
  <c r="Z43" i="6"/>
  <c r="V44" i="6"/>
  <c r="W44" i="6"/>
  <c r="X44" i="6"/>
  <c r="Y44" i="6"/>
  <c r="Z44" i="6"/>
  <c r="V45" i="6"/>
  <c r="W45" i="6"/>
  <c r="X45" i="6"/>
  <c r="Y45" i="6"/>
  <c r="Z45" i="6"/>
  <c r="V46" i="6"/>
  <c r="W46" i="6"/>
  <c r="X46" i="6"/>
  <c r="Y46" i="6"/>
  <c r="Z46" i="6"/>
  <c r="V47" i="6"/>
  <c r="W47" i="6"/>
  <c r="X47" i="6"/>
  <c r="Y47" i="6"/>
  <c r="Z47" i="6"/>
  <c r="V48" i="6"/>
  <c r="W48" i="6"/>
  <c r="X48" i="6"/>
  <c r="Y48" i="6"/>
  <c r="Z48" i="6"/>
  <c r="V49" i="6"/>
  <c r="W49" i="6"/>
  <c r="X49" i="6"/>
  <c r="Y49" i="6"/>
  <c r="Z49" i="6"/>
  <c r="V50" i="6"/>
  <c r="W50" i="6"/>
  <c r="X50" i="6"/>
  <c r="Y50" i="6"/>
  <c r="Z50" i="6"/>
  <c r="V51" i="6"/>
  <c r="W51" i="6"/>
  <c r="X51" i="6"/>
  <c r="Y51" i="6"/>
  <c r="Z51" i="6"/>
  <c r="V52" i="6"/>
  <c r="W52" i="6"/>
  <c r="X52" i="6"/>
  <c r="Y52" i="6"/>
  <c r="Z52" i="6"/>
  <c r="V53" i="6"/>
  <c r="W53" i="6"/>
  <c r="X53" i="6"/>
  <c r="Y53" i="6"/>
  <c r="Z53" i="6"/>
  <c r="V54" i="6"/>
  <c r="W54" i="6"/>
  <c r="X54" i="6"/>
  <c r="Y54" i="6"/>
  <c r="Z54" i="6"/>
  <c r="V55" i="6"/>
  <c r="W55" i="6"/>
  <c r="X55" i="6"/>
  <c r="Y55" i="6"/>
  <c r="Z55" i="6"/>
  <c r="V56" i="6"/>
  <c r="W56" i="6"/>
  <c r="X56" i="6"/>
  <c r="Y56" i="6"/>
  <c r="Z56" i="6"/>
  <c r="V57" i="6"/>
  <c r="W57" i="6"/>
  <c r="X57" i="6"/>
  <c r="Y57" i="6"/>
  <c r="Z57" i="6"/>
  <c r="V58" i="6"/>
  <c r="W58" i="6"/>
  <c r="X58" i="6"/>
  <c r="Y58" i="6"/>
  <c r="Z58" i="6"/>
  <c r="V59" i="6"/>
  <c r="W59" i="6"/>
  <c r="X59" i="6"/>
  <c r="Y59" i="6"/>
  <c r="Z59" i="6"/>
  <c r="V60" i="6"/>
  <c r="W60" i="6"/>
  <c r="X60" i="6"/>
  <c r="Y60" i="6"/>
  <c r="Z60" i="6"/>
  <c r="V61" i="6"/>
  <c r="W61" i="6"/>
  <c r="X61" i="6"/>
  <c r="Y61" i="6"/>
  <c r="Z61" i="6"/>
  <c r="V62" i="6"/>
  <c r="W62" i="6"/>
  <c r="X62" i="6"/>
  <c r="Y62" i="6"/>
  <c r="Z62" i="6"/>
  <c r="V63" i="6"/>
  <c r="W63" i="6"/>
  <c r="X63" i="6"/>
  <c r="Y63" i="6"/>
  <c r="Z63" i="6"/>
  <c r="V64" i="6"/>
  <c r="W64" i="6"/>
  <c r="X64" i="6"/>
  <c r="Y64" i="6"/>
  <c r="Z64" i="6"/>
  <c r="V65" i="6"/>
  <c r="W65" i="6"/>
  <c r="X65" i="6"/>
  <c r="Y65" i="6"/>
  <c r="Z65" i="6"/>
  <c r="V66" i="6"/>
  <c r="W66" i="6"/>
  <c r="X66" i="6"/>
  <c r="Y66" i="6"/>
  <c r="Z66" i="6"/>
  <c r="V67" i="6"/>
  <c r="W67" i="6"/>
  <c r="X67" i="6"/>
  <c r="Y67" i="6"/>
  <c r="Z67" i="6"/>
  <c r="V68" i="6"/>
  <c r="W68" i="6"/>
  <c r="X68" i="6"/>
  <c r="Y68" i="6"/>
  <c r="Z68" i="6"/>
  <c r="V69" i="6"/>
  <c r="W69" i="6"/>
  <c r="X69" i="6"/>
  <c r="Y69" i="6"/>
  <c r="Z69" i="6"/>
  <c r="V70" i="6"/>
  <c r="W70" i="6"/>
  <c r="X70" i="6"/>
  <c r="Y70" i="6"/>
  <c r="Z70" i="6"/>
  <c r="V71" i="6"/>
  <c r="W71" i="6"/>
  <c r="X71" i="6"/>
  <c r="Y71" i="6"/>
  <c r="Z71" i="6"/>
  <c r="V72" i="6"/>
  <c r="W72" i="6"/>
  <c r="X72" i="6"/>
  <c r="Y72" i="6"/>
  <c r="Z72" i="6"/>
  <c r="V73" i="6"/>
  <c r="W73" i="6"/>
  <c r="X73" i="6"/>
  <c r="Y73" i="6"/>
  <c r="Z73" i="6"/>
  <c r="V74" i="6"/>
  <c r="W74" i="6"/>
  <c r="X74" i="6"/>
  <c r="Y74" i="6"/>
  <c r="Z74" i="6"/>
  <c r="V75" i="6"/>
  <c r="W75" i="6"/>
  <c r="X75" i="6"/>
  <c r="Y75" i="6"/>
  <c r="Z75" i="6"/>
  <c r="V76" i="6"/>
  <c r="W76" i="6"/>
  <c r="X76" i="6"/>
  <c r="Y76" i="6"/>
  <c r="Z76" i="6"/>
  <c r="V77" i="6"/>
  <c r="W77" i="6"/>
  <c r="X77" i="6"/>
  <c r="Y77" i="6"/>
  <c r="Z77" i="6"/>
  <c r="V78" i="6"/>
  <c r="W78" i="6"/>
  <c r="X78" i="6"/>
  <c r="Y78" i="6"/>
  <c r="Z78" i="6"/>
  <c r="V79" i="6"/>
  <c r="W79" i="6"/>
  <c r="X79" i="6"/>
  <c r="Y79" i="6"/>
  <c r="Z79" i="6"/>
  <c r="V80" i="6"/>
  <c r="W80" i="6"/>
  <c r="X80" i="6"/>
  <c r="Y80" i="6"/>
  <c r="Z80" i="6"/>
  <c r="V81" i="6"/>
  <c r="W81" i="6"/>
  <c r="X81" i="6"/>
  <c r="Y81" i="6"/>
  <c r="Z81" i="6"/>
  <c r="V82" i="6"/>
  <c r="W82" i="6"/>
  <c r="X82" i="6"/>
  <c r="Y82" i="6"/>
  <c r="Z82" i="6"/>
  <c r="V83" i="6"/>
  <c r="W83" i="6"/>
  <c r="X83" i="6"/>
  <c r="Y83" i="6"/>
  <c r="Z83" i="6"/>
  <c r="V84" i="6"/>
  <c r="W84" i="6"/>
  <c r="X84" i="6"/>
  <c r="Y84" i="6"/>
  <c r="Z84" i="6"/>
  <c r="V85" i="6"/>
  <c r="W85" i="6"/>
  <c r="X85" i="6"/>
  <c r="Y85" i="6"/>
  <c r="Z85" i="6"/>
  <c r="V86" i="6"/>
  <c r="W86" i="6"/>
  <c r="X86" i="6"/>
  <c r="Y86" i="6"/>
  <c r="Z86" i="6"/>
  <c r="V87" i="6"/>
  <c r="W87" i="6"/>
  <c r="X87" i="6"/>
  <c r="Y87" i="6"/>
  <c r="Z87" i="6"/>
  <c r="V88" i="6"/>
  <c r="W88" i="6"/>
  <c r="X88" i="6"/>
  <c r="Y88" i="6"/>
  <c r="Z88" i="6"/>
  <c r="V89" i="6"/>
  <c r="W89" i="6"/>
  <c r="X89" i="6"/>
  <c r="Y89" i="6"/>
  <c r="Z89" i="6"/>
  <c r="V90" i="6"/>
  <c r="W90" i="6"/>
  <c r="X90" i="6"/>
  <c r="Y90" i="6"/>
  <c r="Z90" i="6"/>
  <c r="V91" i="6"/>
  <c r="W91" i="6"/>
  <c r="X91" i="6"/>
  <c r="Y91" i="6"/>
  <c r="Z91" i="6"/>
  <c r="V92" i="6"/>
  <c r="W92" i="6"/>
  <c r="X92" i="6"/>
  <c r="Y92" i="6"/>
  <c r="Z92" i="6"/>
  <c r="V93" i="6"/>
  <c r="W93" i="6"/>
  <c r="X93" i="6"/>
  <c r="Y93" i="6"/>
  <c r="Z93" i="6"/>
  <c r="V94" i="6"/>
  <c r="W94" i="6"/>
  <c r="X94" i="6"/>
  <c r="Y94" i="6"/>
  <c r="Z94" i="6"/>
  <c r="V95" i="6"/>
  <c r="W95" i="6"/>
  <c r="X95" i="6"/>
  <c r="Y95" i="6"/>
  <c r="Z95" i="6"/>
  <c r="V96" i="6"/>
  <c r="W96" i="6"/>
  <c r="X96" i="6"/>
  <c r="Y96" i="6"/>
  <c r="Z96" i="6"/>
  <c r="V97" i="6"/>
  <c r="W97" i="6"/>
  <c r="X97" i="6"/>
  <c r="Y97" i="6"/>
  <c r="Z97" i="6"/>
  <c r="V98" i="6"/>
  <c r="W98" i="6"/>
  <c r="X98" i="6"/>
  <c r="Y98" i="6"/>
  <c r="Z98" i="6"/>
  <c r="V99" i="6"/>
  <c r="W99" i="6"/>
  <c r="X99" i="6"/>
  <c r="Y99" i="6"/>
  <c r="Z99" i="6"/>
  <c r="V100" i="6"/>
  <c r="W100" i="6"/>
  <c r="X100" i="6"/>
  <c r="Y100" i="6"/>
  <c r="Z100" i="6"/>
  <c r="V101" i="6"/>
  <c r="W101" i="6"/>
  <c r="X101" i="6"/>
  <c r="Y101" i="6"/>
  <c r="Z101" i="6"/>
  <c r="V102" i="6"/>
  <c r="W102" i="6"/>
  <c r="X102" i="6"/>
  <c r="Y102" i="6"/>
  <c r="Z102" i="6"/>
  <c r="V103" i="6"/>
  <c r="W103" i="6"/>
  <c r="X103" i="6"/>
  <c r="Y103" i="6"/>
  <c r="Z103" i="6"/>
  <c r="V104" i="6"/>
  <c r="W104" i="6"/>
  <c r="X104" i="6"/>
  <c r="Y104" i="6"/>
  <c r="Z104" i="6"/>
  <c r="V105" i="6"/>
  <c r="W105" i="6"/>
  <c r="X105" i="6"/>
  <c r="Y105" i="6"/>
  <c r="Z105" i="6"/>
  <c r="V106" i="6"/>
  <c r="W106" i="6"/>
  <c r="X106" i="6"/>
  <c r="Y106" i="6"/>
  <c r="Z106" i="6"/>
  <c r="V107" i="6"/>
  <c r="W107" i="6"/>
  <c r="X107" i="6"/>
  <c r="Y107" i="6"/>
  <c r="Z107" i="6"/>
  <c r="V108" i="6"/>
  <c r="W108" i="6"/>
  <c r="X108" i="6"/>
  <c r="Y108" i="6"/>
  <c r="Z108" i="6"/>
  <c r="V109" i="6"/>
  <c r="W109" i="6"/>
  <c r="X109" i="6"/>
  <c r="Y109" i="6"/>
  <c r="Z109" i="6"/>
  <c r="V110" i="6"/>
  <c r="W110" i="6"/>
  <c r="X110" i="6"/>
  <c r="Y110" i="6"/>
  <c r="Z110" i="6"/>
  <c r="V111" i="6"/>
  <c r="W111" i="6"/>
  <c r="X111" i="6"/>
  <c r="Y111" i="6"/>
  <c r="Z111" i="6"/>
  <c r="V112" i="6"/>
  <c r="W112" i="6"/>
  <c r="X112" i="6"/>
  <c r="Y112" i="6"/>
  <c r="Z112" i="6"/>
  <c r="V113" i="6"/>
  <c r="W113" i="6"/>
  <c r="X113" i="6"/>
  <c r="Y113" i="6"/>
  <c r="Z113" i="6"/>
  <c r="V114" i="6"/>
  <c r="W114" i="6"/>
  <c r="X114" i="6"/>
  <c r="Y114" i="6"/>
  <c r="Z114" i="6"/>
  <c r="V115" i="6"/>
  <c r="W115" i="6"/>
  <c r="X115" i="6"/>
  <c r="Y115" i="6"/>
  <c r="Z115" i="6"/>
  <c r="V116" i="6"/>
  <c r="W116" i="6"/>
  <c r="X116" i="6"/>
  <c r="Y116" i="6"/>
  <c r="Z116" i="6"/>
  <c r="V117" i="6"/>
  <c r="W117" i="6"/>
  <c r="X117" i="6"/>
  <c r="Y117" i="6"/>
  <c r="Z117" i="6"/>
  <c r="V118" i="6"/>
  <c r="W118" i="6"/>
  <c r="X118" i="6"/>
  <c r="Y118" i="6"/>
  <c r="Z118" i="6"/>
  <c r="V119" i="6"/>
  <c r="W119" i="6"/>
  <c r="X119" i="6"/>
  <c r="Y119" i="6"/>
  <c r="Z119" i="6"/>
  <c r="V120" i="6"/>
  <c r="W120" i="6"/>
  <c r="X120" i="6"/>
  <c r="Y120" i="6"/>
  <c r="Z120" i="6"/>
  <c r="V121" i="6"/>
  <c r="W121" i="6"/>
  <c r="X121" i="6"/>
  <c r="Y121" i="6"/>
  <c r="Z121" i="6"/>
  <c r="V122" i="6"/>
  <c r="W122" i="6"/>
  <c r="X122" i="6"/>
  <c r="Y122" i="6"/>
  <c r="Z122" i="6"/>
  <c r="V123" i="6"/>
  <c r="W123" i="6"/>
  <c r="X123" i="6"/>
  <c r="Y123" i="6"/>
  <c r="Z123" i="6"/>
  <c r="V124" i="6"/>
  <c r="W124" i="6"/>
  <c r="X124" i="6"/>
  <c r="Y124" i="6"/>
  <c r="Z124" i="6"/>
  <c r="V125" i="6"/>
  <c r="W125" i="6"/>
  <c r="X125" i="6"/>
  <c r="Y125" i="6"/>
  <c r="Z125" i="6"/>
  <c r="V126" i="6"/>
  <c r="W126" i="6"/>
  <c r="X126" i="6"/>
  <c r="Y126" i="6"/>
  <c r="Z126" i="6"/>
  <c r="V127" i="6"/>
  <c r="W127" i="6"/>
  <c r="X127" i="6"/>
  <c r="Y127" i="6"/>
  <c r="Z127" i="6"/>
  <c r="V128" i="6"/>
  <c r="W128" i="6"/>
  <c r="X128" i="6"/>
  <c r="Y128" i="6"/>
  <c r="Z128" i="6"/>
  <c r="V129" i="6"/>
  <c r="W129" i="6"/>
  <c r="X129" i="6"/>
  <c r="Y129" i="6"/>
  <c r="Z129" i="6"/>
  <c r="V130" i="6"/>
  <c r="W130" i="6"/>
  <c r="X130" i="6"/>
  <c r="Y130" i="6"/>
  <c r="Z130" i="6"/>
  <c r="V131" i="6"/>
  <c r="W131" i="6"/>
  <c r="X131" i="6"/>
  <c r="Y131" i="6"/>
  <c r="Z131" i="6"/>
  <c r="V132" i="6"/>
  <c r="W132" i="6"/>
  <c r="X132" i="6"/>
  <c r="Y132" i="6"/>
  <c r="Z132" i="6"/>
  <c r="V133" i="6"/>
  <c r="W133" i="6"/>
  <c r="X133" i="6"/>
  <c r="Y133" i="6"/>
  <c r="Z133" i="6"/>
  <c r="V134" i="6"/>
  <c r="W134" i="6"/>
  <c r="X134" i="6"/>
  <c r="Y134" i="6"/>
  <c r="Z134" i="6"/>
  <c r="V135" i="6"/>
  <c r="W135" i="6"/>
  <c r="X135" i="6"/>
  <c r="Y135" i="6"/>
  <c r="Z135" i="6"/>
  <c r="V136" i="6"/>
  <c r="W136" i="6"/>
  <c r="X136" i="6"/>
  <c r="Y136" i="6"/>
  <c r="Z136" i="6"/>
  <c r="V137" i="6"/>
  <c r="W137" i="6"/>
  <c r="X137" i="6"/>
  <c r="Y137" i="6"/>
  <c r="Z137" i="6"/>
  <c r="V138" i="6"/>
  <c r="W138" i="6"/>
  <c r="X138" i="6"/>
  <c r="Y138" i="6"/>
  <c r="Z138" i="6"/>
  <c r="V139" i="6"/>
  <c r="W139" i="6"/>
  <c r="X139" i="6"/>
  <c r="Y139" i="6"/>
  <c r="Z139" i="6"/>
  <c r="V140" i="6"/>
  <c r="W140" i="6"/>
  <c r="X140" i="6"/>
  <c r="Y140" i="6"/>
  <c r="Z140" i="6"/>
  <c r="V141" i="6"/>
  <c r="W141" i="6"/>
  <c r="X141" i="6"/>
  <c r="Y141" i="6"/>
  <c r="Z141" i="6"/>
  <c r="V142" i="6"/>
  <c r="W142" i="6"/>
  <c r="X142" i="6"/>
  <c r="Y142" i="6"/>
  <c r="Z142" i="6"/>
  <c r="V143" i="6"/>
  <c r="W143" i="6"/>
  <c r="X143" i="6"/>
  <c r="Y143" i="6"/>
  <c r="Z143" i="6"/>
  <c r="V144" i="6"/>
  <c r="W144" i="6"/>
  <c r="X144" i="6"/>
  <c r="Y144" i="6"/>
  <c r="Z144" i="6"/>
  <c r="Q4" i="6"/>
  <c r="R4" i="6"/>
  <c r="S4" i="6"/>
  <c r="T4" i="6"/>
  <c r="U4" i="6"/>
  <c r="Q5" i="6"/>
  <c r="R5" i="6"/>
  <c r="S5" i="6"/>
  <c r="T5" i="6"/>
  <c r="U5" i="6"/>
  <c r="Q6" i="6"/>
  <c r="R6" i="6"/>
  <c r="S6" i="6"/>
  <c r="T6" i="6"/>
  <c r="U6" i="6"/>
  <c r="Q7" i="6"/>
  <c r="R7" i="6"/>
  <c r="S7" i="6"/>
  <c r="T7" i="6"/>
  <c r="U7" i="6"/>
  <c r="Q8" i="6"/>
  <c r="R8" i="6"/>
  <c r="S8" i="6"/>
  <c r="T8" i="6"/>
  <c r="U8" i="6"/>
  <c r="Q9" i="6"/>
  <c r="R9" i="6"/>
  <c r="S9" i="6"/>
  <c r="T9" i="6"/>
  <c r="U9" i="6"/>
  <c r="Q10" i="6"/>
  <c r="R10" i="6"/>
  <c r="S10" i="6"/>
  <c r="T10" i="6"/>
  <c r="U10" i="6"/>
  <c r="Q11" i="6"/>
  <c r="R11" i="6"/>
  <c r="S11" i="6"/>
  <c r="T11" i="6"/>
  <c r="U11" i="6"/>
  <c r="Q12" i="6"/>
  <c r="R12" i="6"/>
  <c r="S12" i="6"/>
  <c r="T12" i="6"/>
  <c r="U12" i="6"/>
  <c r="Q13" i="6"/>
  <c r="R13" i="6"/>
  <c r="S13" i="6"/>
  <c r="T13" i="6"/>
  <c r="U13" i="6"/>
  <c r="Q14" i="6"/>
  <c r="R14" i="6"/>
  <c r="S14" i="6"/>
  <c r="T14" i="6"/>
  <c r="U14" i="6"/>
  <c r="Q15" i="6"/>
  <c r="R15" i="6"/>
  <c r="S15" i="6"/>
  <c r="T15" i="6"/>
  <c r="U15" i="6"/>
  <c r="Q16" i="6"/>
  <c r="R16" i="6"/>
  <c r="S16" i="6"/>
  <c r="T16" i="6"/>
  <c r="U16" i="6"/>
  <c r="Q17" i="6"/>
  <c r="R17" i="6"/>
  <c r="S17" i="6"/>
  <c r="T17" i="6"/>
  <c r="U17" i="6"/>
  <c r="Q18" i="6"/>
  <c r="R18" i="6"/>
  <c r="S18" i="6"/>
  <c r="T18" i="6"/>
  <c r="U18" i="6"/>
  <c r="Q19" i="6"/>
  <c r="R19" i="6"/>
  <c r="S19" i="6"/>
  <c r="T19" i="6"/>
  <c r="U19" i="6"/>
  <c r="Q20" i="6"/>
  <c r="R20" i="6"/>
  <c r="S20" i="6"/>
  <c r="T20" i="6"/>
  <c r="U20" i="6"/>
  <c r="Q21" i="6"/>
  <c r="R21" i="6"/>
  <c r="S21" i="6"/>
  <c r="T21" i="6"/>
  <c r="U21" i="6"/>
  <c r="Q22" i="6"/>
  <c r="R22" i="6"/>
  <c r="S22" i="6"/>
  <c r="T22" i="6"/>
  <c r="U22" i="6"/>
  <c r="Q23" i="6"/>
  <c r="R23" i="6"/>
  <c r="S23" i="6"/>
  <c r="T23" i="6"/>
  <c r="U23" i="6"/>
  <c r="Q24" i="6"/>
  <c r="R24" i="6"/>
  <c r="S24" i="6"/>
  <c r="T24" i="6"/>
  <c r="U24" i="6"/>
  <c r="Q25" i="6"/>
  <c r="R25" i="6"/>
  <c r="S25" i="6"/>
  <c r="T25" i="6"/>
  <c r="U25" i="6"/>
  <c r="Q26" i="6"/>
  <c r="R26" i="6"/>
  <c r="S26" i="6"/>
  <c r="T26" i="6"/>
  <c r="U26" i="6"/>
  <c r="Q27" i="6"/>
  <c r="R27" i="6"/>
  <c r="S27" i="6"/>
  <c r="T27" i="6"/>
  <c r="U27" i="6"/>
  <c r="Q28" i="6"/>
  <c r="R28" i="6"/>
  <c r="S28" i="6"/>
  <c r="T28" i="6"/>
  <c r="U28" i="6"/>
  <c r="Q29" i="6"/>
  <c r="R29" i="6"/>
  <c r="S29" i="6"/>
  <c r="T29" i="6"/>
  <c r="U29" i="6"/>
  <c r="Q30" i="6"/>
  <c r="R30" i="6"/>
  <c r="S30" i="6"/>
  <c r="T30" i="6"/>
  <c r="U30" i="6"/>
  <c r="Q31" i="6"/>
  <c r="R31" i="6"/>
  <c r="S31" i="6"/>
  <c r="T31" i="6"/>
  <c r="U31" i="6"/>
  <c r="Q32" i="6"/>
  <c r="R32" i="6"/>
  <c r="S32" i="6"/>
  <c r="T32" i="6"/>
  <c r="U32" i="6"/>
  <c r="Q33" i="6"/>
  <c r="R33" i="6"/>
  <c r="S33" i="6"/>
  <c r="T33" i="6"/>
  <c r="U33" i="6"/>
  <c r="Q34" i="6"/>
  <c r="R34" i="6"/>
  <c r="S34" i="6"/>
  <c r="T34" i="6"/>
  <c r="U34" i="6"/>
  <c r="Q35" i="6"/>
  <c r="R35" i="6"/>
  <c r="S35" i="6"/>
  <c r="T35" i="6"/>
  <c r="U35" i="6"/>
  <c r="Q36" i="6"/>
  <c r="R36" i="6"/>
  <c r="S36" i="6"/>
  <c r="T36" i="6"/>
  <c r="U36" i="6"/>
  <c r="Q37" i="6"/>
  <c r="R37" i="6"/>
  <c r="S37" i="6"/>
  <c r="T37" i="6"/>
  <c r="U37" i="6"/>
  <c r="Q38" i="6"/>
  <c r="R38" i="6"/>
  <c r="S38" i="6"/>
  <c r="T38" i="6"/>
  <c r="U38" i="6"/>
  <c r="Q39" i="6"/>
  <c r="R39" i="6"/>
  <c r="S39" i="6"/>
  <c r="T39" i="6"/>
  <c r="U39" i="6"/>
  <c r="Q40" i="6"/>
  <c r="R40" i="6"/>
  <c r="S40" i="6"/>
  <c r="T40" i="6"/>
  <c r="U40" i="6"/>
  <c r="Q41" i="6"/>
  <c r="R41" i="6"/>
  <c r="S41" i="6"/>
  <c r="T41" i="6"/>
  <c r="U41" i="6"/>
  <c r="Q42" i="6"/>
  <c r="R42" i="6"/>
  <c r="S42" i="6"/>
  <c r="T42" i="6"/>
  <c r="U42" i="6"/>
  <c r="Q43" i="6"/>
  <c r="R43" i="6"/>
  <c r="S43" i="6"/>
  <c r="T43" i="6"/>
  <c r="U43" i="6"/>
  <c r="Q44" i="6"/>
  <c r="R44" i="6"/>
  <c r="S44" i="6"/>
  <c r="T44" i="6"/>
  <c r="U44" i="6"/>
  <c r="Q45" i="6"/>
  <c r="R45" i="6"/>
  <c r="S45" i="6"/>
  <c r="T45" i="6"/>
  <c r="U45" i="6"/>
  <c r="Q46" i="6"/>
  <c r="R46" i="6"/>
  <c r="S46" i="6"/>
  <c r="T46" i="6"/>
  <c r="U46" i="6"/>
  <c r="Q47" i="6"/>
  <c r="R47" i="6"/>
  <c r="S47" i="6"/>
  <c r="T47" i="6"/>
  <c r="U47" i="6"/>
  <c r="Q48" i="6"/>
  <c r="R48" i="6"/>
  <c r="S48" i="6"/>
  <c r="T48" i="6"/>
  <c r="U48" i="6"/>
  <c r="Q49" i="6"/>
  <c r="R49" i="6"/>
  <c r="S49" i="6"/>
  <c r="T49" i="6"/>
  <c r="U49" i="6"/>
  <c r="Q50" i="6"/>
  <c r="R50" i="6"/>
  <c r="S50" i="6"/>
  <c r="T50" i="6"/>
  <c r="U50" i="6"/>
  <c r="Q51" i="6"/>
  <c r="R51" i="6"/>
  <c r="S51" i="6"/>
  <c r="T51" i="6"/>
  <c r="U51" i="6"/>
  <c r="Q52" i="6"/>
  <c r="R52" i="6"/>
  <c r="S52" i="6"/>
  <c r="T52" i="6"/>
  <c r="U52" i="6"/>
  <c r="Q53" i="6"/>
  <c r="R53" i="6"/>
  <c r="S53" i="6"/>
  <c r="T53" i="6"/>
  <c r="U53" i="6"/>
  <c r="Q54" i="6"/>
  <c r="R54" i="6"/>
  <c r="S54" i="6"/>
  <c r="T54" i="6"/>
  <c r="U54" i="6"/>
  <c r="Q55" i="6"/>
  <c r="R55" i="6"/>
  <c r="S55" i="6"/>
  <c r="T55" i="6"/>
  <c r="U55" i="6"/>
  <c r="Q56" i="6"/>
  <c r="R56" i="6"/>
  <c r="S56" i="6"/>
  <c r="T56" i="6"/>
  <c r="U56" i="6"/>
  <c r="Q57" i="6"/>
  <c r="R57" i="6"/>
  <c r="S57" i="6"/>
  <c r="T57" i="6"/>
  <c r="U57" i="6"/>
  <c r="Q58" i="6"/>
  <c r="R58" i="6"/>
  <c r="S58" i="6"/>
  <c r="T58" i="6"/>
  <c r="U58" i="6"/>
  <c r="Q59" i="6"/>
  <c r="R59" i="6"/>
  <c r="S59" i="6"/>
  <c r="T59" i="6"/>
  <c r="U59" i="6"/>
  <c r="Q60" i="6"/>
  <c r="R60" i="6"/>
  <c r="S60" i="6"/>
  <c r="T60" i="6"/>
  <c r="U60" i="6"/>
  <c r="Q61" i="6"/>
  <c r="R61" i="6"/>
  <c r="S61" i="6"/>
  <c r="T61" i="6"/>
  <c r="U61" i="6"/>
  <c r="Q62" i="6"/>
  <c r="R62" i="6"/>
  <c r="S62" i="6"/>
  <c r="T62" i="6"/>
  <c r="U62" i="6"/>
  <c r="Q63" i="6"/>
  <c r="R63" i="6"/>
  <c r="S63" i="6"/>
  <c r="T63" i="6"/>
  <c r="U63" i="6"/>
  <c r="Q64" i="6"/>
  <c r="R64" i="6"/>
  <c r="S64" i="6"/>
  <c r="T64" i="6"/>
  <c r="U64" i="6"/>
  <c r="Q65" i="6"/>
  <c r="R65" i="6"/>
  <c r="S65" i="6"/>
  <c r="T65" i="6"/>
  <c r="U65" i="6"/>
  <c r="Q66" i="6"/>
  <c r="R66" i="6"/>
  <c r="S66" i="6"/>
  <c r="T66" i="6"/>
  <c r="U66" i="6"/>
  <c r="Q67" i="6"/>
  <c r="R67" i="6"/>
  <c r="S67" i="6"/>
  <c r="T67" i="6"/>
  <c r="U67" i="6"/>
  <c r="Q68" i="6"/>
  <c r="R68" i="6"/>
  <c r="S68" i="6"/>
  <c r="T68" i="6"/>
  <c r="U68" i="6"/>
  <c r="Q69" i="6"/>
  <c r="R69" i="6"/>
  <c r="S69" i="6"/>
  <c r="T69" i="6"/>
  <c r="U69" i="6"/>
  <c r="Q70" i="6"/>
  <c r="R70" i="6"/>
  <c r="S70" i="6"/>
  <c r="T70" i="6"/>
  <c r="U70" i="6"/>
  <c r="Q71" i="6"/>
  <c r="R71" i="6"/>
  <c r="S71" i="6"/>
  <c r="T71" i="6"/>
  <c r="U71" i="6"/>
  <c r="Q72" i="6"/>
  <c r="R72" i="6"/>
  <c r="S72" i="6"/>
  <c r="T72" i="6"/>
  <c r="U72" i="6"/>
  <c r="Q73" i="6"/>
  <c r="R73" i="6"/>
  <c r="S73" i="6"/>
  <c r="T73" i="6"/>
  <c r="U73" i="6"/>
  <c r="Q74" i="6"/>
  <c r="R74" i="6"/>
  <c r="S74" i="6"/>
  <c r="T74" i="6"/>
  <c r="U74" i="6"/>
  <c r="Q75" i="6"/>
  <c r="R75" i="6"/>
  <c r="S75" i="6"/>
  <c r="T75" i="6"/>
  <c r="U75" i="6"/>
  <c r="Q76" i="6"/>
  <c r="R76" i="6"/>
  <c r="S76" i="6"/>
  <c r="T76" i="6"/>
  <c r="U76" i="6"/>
  <c r="Q77" i="6"/>
  <c r="R77" i="6"/>
  <c r="S77" i="6"/>
  <c r="T77" i="6"/>
  <c r="U77" i="6"/>
  <c r="Q78" i="6"/>
  <c r="R78" i="6"/>
  <c r="S78" i="6"/>
  <c r="T78" i="6"/>
  <c r="U78" i="6"/>
  <c r="Q79" i="6"/>
  <c r="R79" i="6"/>
  <c r="S79" i="6"/>
  <c r="T79" i="6"/>
  <c r="U79" i="6"/>
  <c r="Q80" i="6"/>
  <c r="R80" i="6"/>
  <c r="S80" i="6"/>
  <c r="T80" i="6"/>
  <c r="U80" i="6"/>
  <c r="Q81" i="6"/>
  <c r="R81" i="6"/>
  <c r="S81" i="6"/>
  <c r="T81" i="6"/>
  <c r="U81" i="6"/>
  <c r="Q82" i="6"/>
  <c r="R82" i="6"/>
  <c r="S82" i="6"/>
  <c r="T82" i="6"/>
  <c r="U82" i="6"/>
  <c r="Q83" i="6"/>
  <c r="R83" i="6"/>
  <c r="S83" i="6"/>
  <c r="T83" i="6"/>
  <c r="U83" i="6"/>
  <c r="Q84" i="6"/>
  <c r="R84" i="6"/>
  <c r="S84" i="6"/>
  <c r="T84" i="6"/>
  <c r="U84" i="6"/>
  <c r="Q85" i="6"/>
  <c r="R85" i="6"/>
  <c r="S85" i="6"/>
  <c r="T85" i="6"/>
  <c r="U85" i="6"/>
  <c r="Q86" i="6"/>
  <c r="R86" i="6"/>
  <c r="S86" i="6"/>
  <c r="T86" i="6"/>
  <c r="U86" i="6"/>
  <c r="Q87" i="6"/>
  <c r="R87" i="6"/>
  <c r="S87" i="6"/>
  <c r="T87" i="6"/>
  <c r="U87" i="6"/>
  <c r="Q88" i="6"/>
  <c r="R88" i="6"/>
  <c r="S88" i="6"/>
  <c r="T88" i="6"/>
  <c r="U88" i="6"/>
  <c r="Q89" i="6"/>
  <c r="R89" i="6"/>
  <c r="S89" i="6"/>
  <c r="T89" i="6"/>
  <c r="U89" i="6"/>
  <c r="Q90" i="6"/>
  <c r="R90" i="6"/>
  <c r="S90" i="6"/>
  <c r="T90" i="6"/>
  <c r="U90" i="6"/>
  <c r="Q91" i="6"/>
  <c r="R91" i="6"/>
  <c r="S91" i="6"/>
  <c r="T91" i="6"/>
  <c r="U91" i="6"/>
  <c r="Q92" i="6"/>
  <c r="R92" i="6"/>
  <c r="S92" i="6"/>
  <c r="T92" i="6"/>
  <c r="U92" i="6"/>
  <c r="Q93" i="6"/>
  <c r="R93" i="6"/>
  <c r="S93" i="6"/>
  <c r="T93" i="6"/>
  <c r="U93" i="6"/>
  <c r="Q94" i="6"/>
  <c r="R94" i="6"/>
  <c r="S94" i="6"/>
  <c r="T94" i="6"/>
  <c r="U94" i="6"/>
  <c r="Q95" i="6"/>
  <c r="R95" i="6"/>
  <c r="S95" i="6"/>
  <c r="T95" i="6"/>
  <c r="U95" i="6"/>
  <c r="Q96" i="6"/>
  <c r="R96" i="6"/>
  <c r="S96" i="6"/>
  <c r="T96" i="6"/>
  <c r="U96" i="6"/>
  <c r="Q97" i="6"/>
  <c r="R97" i="6"/>
  <c r="S97" i="6"/>
  <c r="T97" i="6"/>
  <c r="U97" i="6"/>
  <c r="Q98" i="6"/>
  <c r="R98" i="6"/>
  <c r="S98" i="6"/>
  <c r="T98" i="6"/>
  <c r="U98" i="6"/>
  <c r="Q99" i="6"/>
  <c r="R99" i="6"/>
  <c r="S99" i="6"/>
  <c r="T99" i="6"/>
  <c r="U99" i="6"/>
  <c r="Q100" i="6"/>
  <c r="R100" i="6"/>
  <c r="S100" i="6"/>
  <c r="T100" i="6"/>
  <c r="U100" i="6"/>
  <c r="Q101" i="6"/>
  <c r="R101" i="6"/>
  <c r="S101" i="6"/>
  <c r="T101" i="6"/>
  <c r="U101" i="6"/>
  <c r="Q102" i="6"/>
  <c r="R102" i="6"/>
  <c r="S102" i="6"/>
  <c r="T102" i="6"/>
  <c r="U102" i="6"/>
  <c r="Q103" i="6"/>
  <c r="R103" i="6"/>
  <c r="S103" i="6"/>
  <c r="T103" i="6"/>
  <c r="U103" i="6"/>
  <c r="Q104" i="6"/>
  <c r="R104" i="6"/>
  <c r="S104" i="6"/>
  <c r="T104" i="6"/>
  <c r="U104" i="6"/>
  <c r="Q105" i="6"/>
  <c r="R105" i="6"/>
  <c r="S105" i="6"/>
  <c r="T105" i="6"/>
  <c r="U105" i="6"/>
  <c r="Q106" i="6"/>
  <c r="R106" i="6"/>
  <c r="S106" i="6"/>
  <c r="T106" i="6"/>
  <c r="U106" i="6"/>
  <c r="Q107" i="6"/>
  <c r="R107" i="6"/>
  <c r="S107" i="6"/>
  <c r="T107" i="6"/>
  <c r="U107" i="6"/>
  <c r="Q108" i="6"/>
  <c r="R108" i="6"/>
  <c r="S108" i="6"/>
  <c r="T108" i="6"/>
  <c r="U108" i="6"/>
  <c r="Q109" i="6"/>
  <c r="R109" i="6"/>
  <c r="S109" i="6"/>
  <c r="T109" i="6"/>
  <c r="U109" i="6"/>
  <c r="Q110" i="6"/>
  <c r="R110" i="6"/>
  <c r="S110" i="6"/>
  <c r="T110" i="6"/>
  <c r="U110" i="6"/>
  <c r="Q111" i="6"/>
  <c r="R111" i="6"/>
  <c r="S111" i="6"/>
  <c r="T111" i="6"/>
  <c r="U111" i="6"/>
  <c r="Q112" i="6"/>
  <c r="R112" i="6"/>
  <c r="S112" i="6"/>
  <c r="T112" i="6"/>
  <c r="U112" i="6"/>
  <c r="Q113" i="6"/>
  <c r="R113" i="6"/>
  <c r="S113" i="6"/>
  <c r="T113" i="6"/>
  <c r="U113" i="6"/>
  <c r="Q114" i="6"/>
  <c r="R114" i="6"/>
  <c r="S114" i="6"/>
  <c r="T114" i="6"/>
  <c r="U114" i="6"/>
  <c r="Q115" i="6"/>
  <c r="R115" i="6"/>
  <c r="S115" i="6"/>
  <c r="T115" i="6"/>
  <c r="U115" i="6"/>
  <c r="Q116" i="6"/>
  <c r="R116" i="6"/>
  <c r="S116" i="6"/>
  <c r="T116" i="6"/>
  <c r="U116" i="6"/>
  <c r="Q117" i="6"/>
  <c r="R117" i="6"/>
  <c r="S117" i="6"/>
  <c r="T117" i="6"/>
  <c r="U117" i="6"/>
  <c r="Q118" i="6"/>
  <c r="R118" i="6"/>
  <c r="S118" i="6"/>
  <c r="T118" i="6"/>
  <c r="U118" i="6"/>
  <c r="Q119" i="6"/>
  <c r="R119" i="6"/>
  <c r="S119" i="6"/>
  <c r="T119" i="6"/>
  <c r="U119" i="6"/>
  <c r="Q120" i="6"/>
  <c r="R120" i="6"/>
  <c r="S120" i="6"/>
  <c r="T120" i="6"/>
  <c r="U120" i="6"/>
  <c r="Q121" i="6"/>
  <c r="R121" i="6"/>
  <c r="S121" i="6"/>
  <c r="T121" i="6"/>
  <c r="U121" i="6"/>
  <c r="Q122" i="6"/>
  <c r="R122" i="6"/>
  <c r="S122" i="6"/>
  <c r="T122" i="6"/>
  <c r="U122" i="6"/>
  <c r="Q123" i="6"/>
  <c r="R123" i="6"/>
  <c r="S123" i="6"/>
  <c r="T123" i="6"/>
  <c r="U123" i="6"/>
  <c r="Q124" i="6"/>
  <c r="R124" i="6"/>
  <c r="S124" i="6"/>
  <c r="T124" i="6"/>
  <c r="U124" i="6"/>
  <c r="Q125" i="6"/>
  <c r="R125" i="6"/>
  <c r="S125" i="6"/>
  <c r="T125" i="6"/>
  <c r="U125" i="6"/>
  <c r="Q126" i="6"/>
  <c r="R126" i="6"/>
  <c r="S126" i="6"/>
  <c r="T126" i="6"/>
  <c r="U126" i="6"/>
  <c r="Q127" i="6"/>
  <c r="R127" i="6"/>
  <c r="S127" i="6"/>
  <c r="T127" i="6"/>
  <c r="U127" i="6"/>
  <c r="Q128" i="6"/>
  <c r="R128" i="6"/>
  <c r="S128" i="6"/>
  <c r="T128" i="6"/>
  <c r="U128" i="6"/>
  <c r="Q129" i="6"/>
  <c r="R129" i="6"/>
  <c r="S129" i="6"/>
  <c r="T129" i="6"/>
  <c r="U129" i="6"/>
  <c r="Q130" i="6"/>
  <c r="R130" i="6"/>
  <c r="S130" i="6"/>
  <c r="T130" i="6"/>
  <c r="U130" i="6"/>
  <c r="Q131" i="6"/>
  <c r="R131" i="6"/>
  <c r="S131" i="6"/>
  <c r="T131" i="6"/>
  <c r="U131" i="6"/>
  <c r="Q132" i="6"/>
  <c r="R132" i="6"/>
  <c r="S132" i="6"/>
  <c r="T132" i="6"/>
  <c r="U132" i="6"/>
  <c r="Q133" i="6"/>
  <c r="R133" i="6"/>
  <c r="S133" i="6"/>
  <c r="T133" i="6"/>
  <c r="U133" i="6"/>
  <c r="Q134" i="6"/>
  <c r="R134" i="6"/>
  <c r="S134" i="6"/>
  <c r="T134" i="6"/>
  <c r="U134" i="6"/>
  <c r="Q135" i="6"/>
  <c r="R135" i="6"/>
  <c r="S135" i="6"/>
  <c r="T135" i="6"/>
  <c r="U135" i="6"/>
  <c r="Q136" i="6"/>
  <c r="R136" i="6"/>
  <c r="S136" i="6"/>
  <c r="T136" i="6"/>
  <c r="U136" i="6"/>
  <c r="Q137" i="6"/>
  <c r="R137" i="6"/>
  <c r="S137" i="6"/>
  <c r="T137" i="6"/>
  <c r="U137" i="6"/>
  <c r="Q138" i="6"/>
  <c r="R138" i="6"/>
  <c r="S138" i="6"/>
  <c r="T138" i="6"/>
  <c r="U138" i="6"/>
  <c r="Q139" i="6"/>
  <c r="R139" i="6"/>
  <c r="S139" i="6"/>
  <c r="T139" i="6"/>
  <c r="U139" i="6"/>
  <c r="Q140" i="6"/>
  <c r="R140" i="6"/>
  <c r="S140" i="6"/>
  <c r="T140" i="6"/>
  <c r="U140" i="6"/>
  <c r="Q141" i="6"/>
  <c r="R141" i="6"/>
  <c r="S141" i="6"/>
  <c r="T141" i="6"/>
  <c r="U141" i="6"/>
  <c r="Q142" i="6"/>
  <c r="R142" i="6"/>
  <c r="S142" i="6"/>
  <c r="T142" i="6"/>
  <c r="U142" i="6"/>
  <c r="Q143" i="6"/>
  <c r="R143" i="6"/>
  <c r="S143" i="6"/>
  <c r="T143" i="6"/>
  <c r="U143" i="6"/>
  <c r="Q144" i="6"/>
  <c r="R144" i="6"/>
  <c r="S144" i="6"/>
  <c r="T144" i="6"/>
  <c r="U144" i="6"/>
  <c r="L3" i="6"/>
  <c r="M3" i="6"/>
  <c r="N3" i="6"/>
  <c r="O3" i="6"/>
  <c r="P3" i="6"/>
  <c r="L4" i="6"/>
  <c r="M4" i="6"/>
  <c r="N4" i="6"/>
  <c r="O4" i="6"/>
  <c r="P4" i="6"/>
  <c r="L5" i="6"/>
  <c r="M5" i="6"/>
  <c r="N5" i="6"/>
  <c r="O5" i="6"/>
  <c r="P5" i="6"/>
  <c r="L6" i="6"/>
  <c r="M6" i="6"/>
  <c r="N6" i="6"/>
  <c r="O6" i="6"/>
  <c r="P6" i="6"/>
  <c r="L7" i="6"/>
  <c r="M7" i="6"/>
  <c r="N7" i="6"/>
  <c r="O7" i="6"/>
  <c r="P7" i="6"/>
  <c r="L8" i="6"/>
  <c r="M8" i="6"/>
  <c r="N8" i="6"/>
  <c r="O8" i="6"/>
  <c r="P8" i="6"/>
  <c r="L9" i="6"/>
  <c r="M9" i="6"/>
  <c r="N9" i="6"/>
  <c r="O9" i="6"/>
  <c r="P9" i="6"/>
  <c r="L10" i="6"/>
  <c r="M10" i="6"/>
  <c r="N10" i="6"/>
  <c r="O10" i="6"/>
  <c r="P10" i="6"/>
  <c r="L11" i="6"/>
  <c r="M11" i="6"/>
  <c r="N11" i="6"/>
  <c r="O11" i="6"/>
  <c r="P11" i="6"/>
  <c r="L12" i="6"/>
  <c r="M12" i="6"/>
  <c r="N12" i="6"/>
  <c r="O12" i="6"/>
  <c r="P12" i="6"/>
  <c r="L13" i="6"/>
  <c r="M13" i="6"/>
  <c r="N13" i="6"/>
  <c r="O13" i="6"/>
  <c r="P13" i="6"/>
  <c r="L14" i="6"/>
  <c r="M14" i="6"/>
  <c r="N14" i="6"/>
  <c r="O14" i="6"/>
  <c r="P14" i="6"/>
  <c r="L15" i="6"/>
  <c r="M15" i="6"/>
  <c r="N15" i="6"/>
  <c r="O15" i="6"/>
  <c r="P15" i="6"/>
  <c r="L16" i="6"/>
  <c r="M16" i="6"/>
  <c r="N16" i="6"/>
  <c r="O16" i="6"/>
  <c r="P16" i="6"/>
  <c r="L17" i="6"/>
  <c r="M17" i="6"/>
  <c r="N17" i="6"/>
  <c r="O17" i="6"/>
  <c r="P17" i="6"/>
  <c r="L18" i="6"/>
  <c r="M18" i="6"/>
  <c r="N18" i="6"/>
  <c r="O18" i="6"/>
  <c r="P18" i="6"/>
  <c r="L19" i="6"/>
  <c r="M19" i="6"/>
  <c r="N19" i="6"/>
  <c r="O19" i="6"/>
  <c r="P19" i="6"/>
  <c r="L20" i="6"/>
  <c r="M20" i="6"/>
  <c r="N20" i="6"/>
  <c r="O20" i="6"/>
  <c r="P20" i="6"/>
  <c r="L21" i="6"/>
  <c r="M21" i="6"/>
  <c r="N21" i="6"/>
  <c r="O21" i="6"/>
  <c r="P21" i="6"/>
  <c r="L22" i="6"/>
  <c r="M22" i="6"/>
  <c r="N22" i="6"/>
  <c r="O22" i="6"/>
  <c r="P22" i="6"/>
  <c r="L23" i="6"/>
  <c r="M23" i="6"/>
  <c r="N23" i="6"/>
  <c r="O23" i="6"/>
  <c r="P23" i="6"/>
  <c r="L24" i="6"/>
  <c r="M24" i="6"/>
  <c r="N24" i="6"/>
  <c r="O24" i="6"/>
  <c r="P24" i="6"/>
  <c r="L25" i="6"/>
  <c r="M25" i="6"/>
  <c r="N25" i="6"/>
  <c r="O25" i="6"/>
  <c r="P25" i="6"/>
  <c r="L26" i="6"/>
  <c r="M26" i="6"/>
  <c r="N26" i="6"/>
  <c r="O26" i="6"/>
  <c r="P26" i="6"/>
  <c r="L27" i="6"/>
  <c r="M27" i="6"/>
  <c r="N27" i="6"/>
  <c r="O27" i="6"/>
  <c r="P27" i="6"/>
  <c r="L28" i="6"/>
  <c r="M28" i="6"/>
  <c r="N28" i="6"/>
  <c r="O28" i="6"/>
  <c r="P28" i="6"/>
  <c r="L29" i="6"/>
  <c r="M29" i="6"/>
  <c r="N29" i="6"/>
  <c r="O29" i="6"/>
  <c r="P29" i="6"/>
  <c r="L30" i="6"/>
  <c r="M30" i="6"/>
  <c r="N30" i="6"/>
  <c r="O30" i="6"/>
  <c r="P30" i="6"/>
  <c r="L31" i="6"/>
  <c r="M31" i="6"/>
  <c r="N31" i="6"/>
  <c r="O31" i="6"/>
  <c r="P31" i="6"/>
  <c r="L32" i="6"/>
  <c r="M32" i="6"/>
  <c r="N32" i="6"/>
  <c r="O32" i="6"/>
  <c r="P32" i="6"/>
  <c r="L33" i="6"/>
  <c r="M33" i="6"/>
  <c r="N33" i="6"/>
  <c r="O33" i="6"/>
  <c r="P33" i="6"/>
  <c r="L34" i="6"/>
  <c r="M34" i="6"/>
  <c r="N34" i="6"/>
  <c r="O34" i="6"/>
  <c r="P34" i="6"/>
  <c r="L35" i="6"/>
  <c r="M35" i="6"/>
  <c r="N35" i="6"/>
  <c r="O35" i="6"/>
  <c r="P35" i="6"/>
  <c r="L36" i="6"/>
  <c r="M36" i="6"/>
  <c r="N36" i="6"/>
  <c r="O36" i="6"/>
  <c r="P36" i="6"/>
  <c r="L37" i="6"/>
  <c r="M37" i="6"/>
  <c r="N37" i="6"/>
  <c r="O37" i="6"/>
  <c r="P37" i="6"/>
  <c r="L38" i="6"/>
  <c r="M38" i="6"/>
  <c r="N38" i="6"/>
  <c r="O38" i="6"/>
  <c r="P38" i="6"/>
  <c r="L39" i="6"/>
  <c r="M39" i="6"/>
  <c r="N39" i="6"/>
  <c r="O39" i="6"/>
  <c r="P39" i="6"/>
  <c r="L40" i="6"/>
  <c r="M40" i="6"/>
  <c r="N40" i="6"/>
  <c r="O40" i="6"/>
  <c r="P40" i="6"/>
  <c r="L41" i="6"/>
  <c r="M41" i="6"/>
  <c r="N41" i="6"/>
  <c r="O41" i="6"/>
  <c r="P41" i="6"/>
  <c r="L42" i="6"/>
  <c r="M42" i="6"/>
  <c r="N42" i="6"/>
  <c r="O42" i="6"/>
  <c r="P42" i="6"/>
  <c r="L43" i="6"/>
  <c r="M43" i="6"/>
  <c r="N43" i="6"/>
  <c r="O43" i="6"/>
  <c r="P43" i="6"/>
  <c r="L44" i="6"/>
  <c r="M44" i="6"/>
  <c r="N44" i="6"/>
  <c r="O44" i="6"/>
  <c r="P44" i="6"/>
  <c r="L45" i="6"/>
  <c r="M45" i="6"/>
  <c r="N45" i="6"/>
  <c r="O45" i="6"/>
  <c r="P45" i="6"/>
  <c r="L46" i="6"/>
  <c r="M46" i="6"/>
  <c r="N46" i="6"/>
  <c r="O46" i="6"/>
  <c r="P46" i="6"/>
  <c r="L47" i="6"/>
  <c r="M47" i="6"/>
  <c r="N47" i="6"/>
  <c r="O47" i="6"/>
  <c r="P47" i="6"/>
  <c r="L48" i="6"/>
  <c r="M48" i="6"/>
  <c r="N48" i="6"/>
  <c r="O48" i="6"/>
  <c r="P48" i="6"/>
  <c r="L49" i="6"/>
  <c r="M49" i="6"/>
  <c r="N49" i="6"/>
  <c r="O49" i="6"/>
  <c r="P49" i="6"/>
  <c r="L50" i="6"/>
  <c r="M50" i="6"/>
  <c r="N50" i="6"/>
  <c r="O50" i="6"/>
  <c r="P50" i="6"/>
  <c r="L51" i="6"/>
  <c r="M51" i="6"/>
  <c r="N51" i="6"/>
  <c r="O51" i="6"/>
  <c r="P51" i="6"/>
  <c r="L52" i="6"/>
  <c r="M52" i="6"/>
  <c r="N52" i="6"/>
  <c r="O52" i="6"/>
  <c r="P52" i="6"/>
  <c r="L53" i="6"/>
  <c r="M53" i="6"/>
  <c r="N53" i="6"/>
  <c r="O53" i="6"/>
  <c r="P53" i="6"/>
  <c r="L54" i="6"/>
  <c r="M54" i="6"/>
  <c r="N54" i="6"/>
  <c r="O54" i="6"/>
  <c r="P54" i="6"/>
  <c r="L55" i="6"/>
  <c r="M55" i="6"/>
  <c r="N55" i="6"/>
  <c r="O55" i="6"/>
  <c r="P55" i="6"/>
  <c r="L56" i="6"/>
  <c r="M56" i="6"/>
  <c r="N56" i="6"/>
  <c r="O56" i="6"/>
  <c r="P56" i="6"/>
  <c r="L57" i="6"/>
  <c r="M57" i="6"/>
  <c r="N57" i="6"/>
  <c r="O57" i="6"/>
  <c r="P57" i="6"/>
  <c r="L58" i="6"/>
  <c r="M58" i="6"/>
  <c r="N58" i="6"/>
  <c r="O58" i="6"/>
  <c r="P58" i="6"/>
  <c r="L59" i="6"/>
  <c r="M59" i="6"/>
  <c r="N59" i="6"/>
  <c r="O59" i="6"/>
  <c r="P59" i="6"/>
  <c r="L60" i="6"/>
  <c r="M60" i="6"/>
  <c r="N60" i="6"/>
  <c r="O60" i="6"/>
  <c r="P60" i="6"/>
  <c r="L61" i="6"/>
  <c r="M61" i="6"/>
  <c r="N61" i="6"/>
  <c r="O61" i="6"/>
  <c r="P61" i="6"/>
  <c r="L62" i="6"/>
  <c r="M62" i="6"/>
  <c r="N62" i="6"/>
  <c r="O62" i="6"/>
  <c r="P62" i="6"/>
  <c r="L63" i="6"/>
  <c r="M63" i="6"/>
  <c r="N63" i="6"/>
  <c r="O63" i="6"/>
  <c r="P63" i="6"/>
  <c r="L64" i="6"/>
  <c r="M64" i="6"/>
  <c r="N64" i="6"/>
  <c r="O64" i="6"/>
  <c r="P64" i="6"/>
  <c r="L65" i="6"/>
  <c r="M65" i="6"/>
  <c r="N65" i="6"/>
  <c r="O65" i="6"/>
  <c r="P65" i="6"/>
  <c r="L66" i="6"/>
  <c r="M66" i="6"/>
  <c r="N66" i="6"/>
  <c r="O66" i="6"/>
  <c r="P66" i="6"/>
  <c r="L67" i="6"/>
  <c r="M67" i="6"/>
  <c r="N67" i="6"/>
  <c r="O67" i="6"/>
  <c r="P67" i="6"/>
  <c r="L68" i="6"/>
  <c r="M68" i="6"/>
  <c r="N68" i="6"/>
  <c r="O68" i="6"/>
  <c r="P68" i="6"/>
  <c r="L69" i="6"/>
  <c r="M69" i="6"/>
  <c r="N69" i="6"/>
  <c r="O69" i="6"/>
  <c r="P69" i="6"/>
  <c r="L70" i="6"/>
  <c r="M70" i="6"/>
  <c r="N70" i="6"/>
  <c r="O70" i="6"/>
  <c r="P70" i="6"/>
  <c r="L71" i="6"/>
  <c r="M71" i="6"/>
  <c r="N71" i="6"/>
  <c r="O71" i="6"/>
  <c r="P71" i="6"/>
  <c r="L72" i="6"/>
  <c r="M72" i="6"/>
  <c r="N72" i="6"/>
  <c r="O72" i="6"/>
  <c r="P72" i="6"/>
  <c r="L73" i="6"/>
  <c r="M73" i="6"/>
  <c r="N73" i="6"/>
  <c r="O73" i="6"/>
  <c r="P73" i="6"/>
  <c r="L74" i="6"/>
  <c r="M74" i="6"/>
  <c r="N74" i="6"/>
  <c r="O74" i="6"/>
  <c r="P74" i="6"/>
  <c r="L75" i="6"/>
  <c r="M75" i="6"/>
  <c r="N75" i="6"/>
  <c r="O75" i="6"/>
  <c r="P75" i="6"/>
  <c r="L76" i="6"/>
  <c r="M76" i="6"/>
  <c r="N76" i="6"/>
  <c r="O76" i="6"/>
  <c r="P76" i="6"/>
  <c r="L77" i="6"/>
  <c r="M77" i="6"/>
  <c r="N77" i="6"/>
  <c r="O77" i="6"/>
  <c r="P77" i="6"/>
  <c r="L78" i="6"/>
  <c r="M78" i="6"/>
  <c r="N78" i="6"/>
  <c r="O78" i="6"/>
  <c r="P78" i="6"/>
  <c r="L79" i="6"/>
  <c r="M79" i="6"/>
  <c r="N79" i="6"/>
  <c r="O79" i="6"/>
  <c r="P79" i="6"/>
  <c r="L80" i="6"/>
  <c r="M80" i="6"/>
  <c r="N80" i="6"/>
  <c r="O80" i="6"/>
  <c r="P80" i="6"/>
  <c r="L81" i="6"/>
  <c r="M81" i="6"/>
  <c r="N81" i="6"/>
  <c r="O81" i="6"/>
  <c r="P81" i="6"/>
  <c r="L82" i="6"/>
  <c r="M82" i="6"/>
  <c r="N82" i="6"/>
  <c r="O82" i="6"/>
  <c r="P82" i="6"/>
  <c r="L83" i="6"/>
  <c r="M83" i="6"/>
  <c r="N83" i="6"/>
  <c r="O83" i="6"/>
  <c r="P83" i="6"/>
  <c r="L84" i="6"/>
  <c r="M84" i="6"/>
  <c r="N84" i="6"/>
  <c r="O84" i="6"/>
  <c r="P84" i="6"/>
  <c r="L85" i="6"/>
  <c r="M85" i="6"/>
  <c r="N85" i="6"/>
  <c r="O85" i="6"/>
  <c r="P85" i="6"/>
  <c r="L86" i="6"/>
  <c r="M86" i="6"/>
  <c r="N86" i="6"/>
  <c r="O86" i="6"/>
  <c r="P86" i="6"/>
  <c r="L87" i="6"/>
  <c r="M87" i="6"/>
  <c r="N87" i="6"/>
  <c r="O87" i="6"/>
  <c r="P87" i="6"/>
  <c r="L88" i="6"/>
  <c r="M88" i="6"/>
  <c r="N88" i="6"/>
  <c r="O88" i="6"/>
  <c r="P88" i="6"/>
  <c r="L89" i="6"/>
  <c r="M89" i="6"/>
  <c r="N89" i="6"/>
  <c r="O89" i="6"/>
  <c r="P89" i="6"/>
  <c r="L90" i="6"/>
  <c r="M90" i="6"/>
  <c r="N90" i="6"/>
  <c r="O90" i="6"/>
  <c r="P90" i="6"/>
  <c r="L91" i="6"/>
  <c r="M91" i="6"/>
  <c r="N91" i="6"/>
  <c r="O91" i="6"/>
  <c r="P91" i="6"/>
  <c r="L92" i="6"/>
  <c r="M92" i="6"/>
  <c r="N92" i="6"/>
  <c r="O92" i="6"/>
  <c r="P92" i="6"/>
  <c r="L93" i="6"/>
  <c r="M93" i="6"/>
  <c r="N93" i="6"/>
  <c r="O93" i="6"/>
  <c r="P93" i="6"/>
  <c r="L94" i="6"/>
  <c r="M94" i="6"/>
  <c r="N94" i="6"/>
  <c r="O94" i="6"/>
  <c r="P94" i="6"/>
  <c r="L95" i="6"/>
  <c r="M95" i="6"/>
  <c r="N95" i="6"/>
  <c r="O95" i="6"/>
  <c r="P95" i="6"/>
  <c r="L96" i="6"/>
  <c r="M96" i="6"/>
  <c r="N96" i="6"/>
  <c r="O96" i="6"/>
  <c r="P96" i="6"/>
  <c r="L97" i="6"/>
  <c r="M97" i="6"/>
  <c r="N97" i="6"/>
  <c r="O97" i="6"/>
  <c r="P97" i="6"/>
  <c r="L98" i="6"/>
  <c r="M98" i="6"/>
  <c r="N98" i="6"/>
  <c r="O98" i="6"/>
  <c r="P98" i="6"/>
  <c r="L99" i="6"/>
  <c r="M99" i="6"/>
  <c r="N99" i="6"/>
  <c r="O99" i="6"/>
  <c r="P99" i="6"/>
  <c r="L100" i="6"/>
  <c r="M100" i="6"/>
  <c r="N100" i="6"/>
  <c r="O100" i="6"/>
  <c r="P100" i="6"/>
  <c r="L101" i="6"/>
  <c r="M101" i="6"/>
  <c r="N101" i="6"/>
  <c r="O101" i="6"/>
  <c r="P101" i="6"/>
  <c r="L102" i="6"/>
  <c r="M102" i="6"/>
  <c r="N102" i="6"/>
  <c r="O102" i="6"/>
  <c r="P102" i="6"/>
  <c r="L103" i="6"/>
  <c r="M103" i="6"/>
  <c r="N103" i="6"/>
  <c r="O103" i="6"/>
  <c r="P103" i="6"/>
  <c r="L104" i="6"/>
  <c r="M104" i="6"/>
  <c r="N104" i="6"/>
  <c r="O104" i="6"/>
  <c r="P104" i="6"/>
  <c r="L105" i="6"/>
  <c r="M105" i="6"/>
  <c r="N105" i="6"/>
  <c r="O105" i="6"/>
  <c r="P105" i="6"/>
  <c r="L106" i="6"/>
  <c r="M106" i="6"/>
  <c r="N106" i="6"/>
  <c r="O106" i="6"/>
  <c r="P106" i="6"/>
  <c r="L107" i="6"/>
  <c r="M107" i="6"/>
  <c r="N107" i="6"/>
  <c r="O107" i="6"/>
  <c r="P107" i="6"/>
  <c r="L108" i="6"/>
  <c r="M108" i="6"/>
  <c r="N108" i="6"/>
  <c r="O108" i="6"/>
  <c r="P108" i="6"/>
  <c r="L109" i="6"/>
  <c r="M109" i="6"/>
  <c r="N109" i="6"/>
  <c r="O109" i="6"/>
  <c r="P109" i="6"/>
  <c r="L110" i="6"/>
  <c r="M110" i="6"/>
  <c r="N110" i="6"/>
  <c r="O110" i="6"/>
  <c r="P110" i="6"/>
  <c r="L111" i="6"/>
  <c r="M111" i="6"/>
  <c r="N111" i="6"/>
  <c r="O111" i="6"/>
  <c r="P111" i="6"/>
  <c r="L112" i="6"/>
  <c r="M112" i="6"/>
  <c r="N112" i="6"/>
  <c r="O112" i="6"/>
  <c r="P112" i="6"/>
  <c r="L113" i="6"/>
  <c r="M113" i="6"/>
  <c r="N113" i="6"/>
  <c r="O113" i="6"/>
  <c r="P113" i="6"/>
  <c r="L114" i="6"/>
  <c r="M114" i="6"/>
  <c r="N114" i="6"/>
  <c r="O114" i="6"/>
  <c r="P114" i="6"/>
  <c r="L115" i="6"/>
  <c r="M115" i="6"/>
  <c r="N115" i="6"/>
  <c r="O115" i="6"/>
  <c r="P115" i="6"/>
  <c r="L116" i="6"/>
  <c r="M116" i="6"/>
  <c r="N116" i="6"/>
  <c r="O116" i="6"/>
  <c r="P116" i="6"/>
  <c r="L117" i="6"/>
  <c r="M117" i="6"/>
  <c r="N117" i="6"/>
  <c r="O117" i="6"/>
  <c r="P117" i="6"/>
  <c r="L118" i="6"/>
  <c r="M118" i="6"/>
  <c r="N118" i="6"/>
  <c r="O118" i="6"/>
  <c r="P118" i="6"/>
  <c r="L119" i="6"/>
  <c r="M119" i="6"/>
  <c r="N119" i="6"/>
  <c r="O119" i="6"/>
  <c r="P119" i="6"/>
  <c r="L120" i="6"/>
  <c r="M120" i="6"/>
  <c r="N120" i="6"/>
  <c r="O120" i="6"/>
  <c r="P120" i="6"/>
  <c r="L121" i="6"/>
  <c r="M121" i="6"/>
  <c r="N121" i="6"/>
  <c r="O121" i="6"/>
  <c r="P121" i="6"/>
  <c r="L122" i="6"/>
  <c r="M122" i="6"/>
  <c r="N122" i="6"/>
  <c r="O122" i="6"/>
  <c r="P122" i="6"/>
  <c r="L123" i="6"/>
  <c r="M123" i="6"/>
  <c r="N123" i="6"/>
  <c r="O123" i="6"/>
  <c r="P123" i="6"/>
  <c r="L124" i="6"/>
  <c r="M124" i="6"/>
  <c r="N124" i="6"/>
  <c r="O124" i="6"/>
  <c r="P124" i="6"/>
  <c r="L125" i="6"/>
  <c r="M125" i="6"/>
  <c r="N125" i="6"/>
  <c r="O125" i="6"/>
  <c r="P125" i="6"/>
  <c r="L126" i="6"/>
  <c r="M126" i="6"/>
  <c r="N126" i="6"/>
  <c r="O126" i="6"/>
  <c r="P126" i="6"/>
  <c r="L127" i="6"/>
  <c r="M127" i="6"/>
  <c r="N127" i="6"/>
  <c r="O127" i="6"/>
  <c r="P127" i="6"/>
  <c r="L128" i="6"/>
  <c r="M128" i="6"/>
  <c r="N128" i="6"/>
  <c r="O128" i="6"/>
  <c r="P128" i="6"/>
  <c r="L129" i="6"/>
  <c r="M129" i="6"/>
  <c r="N129" i="6"/>
  <c r="O129" i="6"/>
  <c r="P129" i="6"/>
  <c r="L130" i="6"/>
  <c r="M130" i="6"/>
  <c r="N130" i="6"/>
  <c r="O130" i="6"/>
  <c r="P130" i="6"/>
  <c r="L131" i="6"/>
  <c r="M131" i="6"/>
  <c r="N131" i="6"/>
  <c r="O131" i="6"/>
  <c r="P131" i="6"/>
  <c r="L132" i="6"/>
  <c r="M132" i="6"/>
  <c r="N132" i="6"/>
  <c r="O132" i="6"/>
  <c r="P132" i="6"/>
  <c r="L133" i="6"/>
  <c r="M133" i="6"/>
  <c r="N133" i="6"/>
  <c r="O133" i="6"/>
  <c r="P133" i="6"/>
  <c r="L134" i="6"/>
  <c r="M134" i="6"/>
  <c r="N134" i="6"/>
  <c r="O134" i="6"/>
  <c r="P134" i="6"/>
  <c r="L135" i="6"/>
  <c r="M135" i="6"/>
  <c r="N135" i="6"/>
  <c r="O135" i="6"/>
  <c r="P135" i="6"/>
  <c r="L136" i="6"/>
  <c r="M136" i="6"/>
  <c r="N136" i="6"/>
  <c r="O136" i="6"/>
  <c r="P136" i="6"/>
  <c r="L137" i="6"/>
  <c r="M137" i="6"/>
  <c r="N137" i="6"/>
  <c r="O137" i="6"/>
  <c r="P137" i="6"/>
  <c r="L138" i="6"/>
  <c r="M138" i="6"/>
  <c r="N138" i="6"/>
  <c r="O138" i="6"/>
  <c r="P138" i="6"/>
  <c r="L139" i="6"/>
  <c r="M139" i="6"/>
  <c r="N139" i="6"/>
  <c r="O139" i="6"/>
  <c r="P139" i="6"/>
  <c r="L140" i="6"/>
  <c r="M140" i="6"/>
  <c r="N140" i="6"/>
  <c r="O140" i="6"/>
  <c r="P140" i="6"/>
  <c r="L141" i="6"/>
  <c r="M141" i="6"/>
  <c r="N141" i="6"/>
  <c r="O141" i="6"/>
  <c r="P141" i="6"/>
  <c r="L142" i="6"/>
  <c r="M142" i="6"/>
  <c r="N142" i="6"/>
  <c r="O142" i="6"/>
  <c r="P142" i="6"/>
  <c r="L143" i="6"/>
  <c r="M143" i="6"/>
  <c r="N143" i="6"/>
  <c r="O143" i="6"/>
  <c r="P143" i="6"/>
  <c r="L144" i="6"/>
  <c r="M144" i="6"/>
  <c r="N144" i="6"/>
  <c r="O144" i="6"/>
  <c r="P144" i="6"/>
  <c r="G3" i="6"/>
  <c r="H3" i="6"/>
  <c r="I3" i="6"/>
  <c r="J3" i="6"/>
  <c r="K3" i="6"/>
  <c r="G4" i="6"/>
  <c r="H4" i="6"/>
  <c r="I4" i="6"/>
  <c r="J4" i="6"/>
  <c r="K4" i="6"/>
  <c r="G5" i="6"/>
  <c r="H5" i="6"/>
  <c r="I5" i="6"/>
  <c r="J5" i="6"/>
  <c r="K5" i="6"/>
  <c r="G6" i="6"/>
  <c r="H6" i="6"/>
  <c r="I6" i="6"/>
  <c r="J6" i="6"/>
  <c r="K6" i="6"/>
  <c r="G7" i="6"/>
  <c r="H7" i="6"/>
  <c r="I7" i="6"/>
  <c r="J7" i="6"/>
  <c r="K7" i="6"/>
  <c r="G8" i="6"/>
  <c r="H8" i="6"/>
  <c r="I8" i="6"/>
  <c r="J8" i="6"/>
  <c r="K8" i="6"/>
  <c r="G9" i="6"/>
  <c r="H9" i="6"/>
  <c r="I9" i="6"/>
  <c r="J9" i="6"/>
  <c r="K9" i="6"/>
  <c r="G10" i="6"/>
  <c r="H10" i="6"/>
  <c r="I10" i="6"/>
  <c r="J10" i="6"/>
  <c r="K10" i="6"/>
  <c r="G11" i="6"/>
  <c r="H11" i="6"/>
  <c r="I11" i="6"/>
  <c r="J11" i="6"/>
  <c r="K11" i="6"/>
  <c r="G12" i="6"/>
  <c r="H12" i="6"/>
  <c r="I12" i="6"/>
  <c r="J12" i="6"/>
  <c r="K12" i="6"/>
  <c r="G13" i="6"/>
  <c r="H13" i="6"/>
  <c r="I13" i="6"/>
  <c r="J13" i="6"/>
  <c r="K13" i="6"/>
  <c r="G14" i="6"/>
  <c r="H14" i="6"/>
  <c r="I14" i="6"/>
  <c r="J14" i="6"/>
  <c r="K14" i="6"/>
  <c r="G15" i="6"/>
  <c r="H15" i="6"/>
  <c r="I15" i="6"/>
  <c r="J15" i="6"/>
  <c r="K15" i="6"/>
  <c r="G16" i="6"/>
  <c r="H16" i="6"/>
  <c r="I16" i="6"/>
  <c r="J16" i="6"/>
  <c r="K16" i="6"/>
  <c r="G17" i="6"/>
  <c r="H17" i="6"/>
  <c r="I17" i="6"/>
  <c r="J17" i="6"/>
  <c r="K17" i="6"/>
  <c r="G18" i="6"/>
  <c r="H18" i="6"/>
  <c r="I18" i="6"/>
  <c r="J18" i="6"/>
  <c r="K18" i="6"/>
  <c r="G19" i="6"/>
  <c r="H19" i="6"/>
  <c r="I19" i="6"/>
  <c r="J19" i="6"/>
  <c r="K19" i="6"/>
  <c r="G20" i="6"/>
  <c r="H20" i="6"/>
  <c r="I20" i="6"/>
  <c r="J20" i="6"/>
  <c r="K20" i="6"/>
  <c r="G21" i="6"/>
  <c r="H21" i="6"/>
  <c r="I21" i="6"/>
  <c r="J21" i="6"/>
  <c r="K21" i="6"/>
  <c r="G22" i="6"/>
  <c r="H22" i="6"/>
  <c r="I22" i="6"/>
  <c r="J22" i="6"/>
  <c r="K22" i="6"/>
  <c r="G23" i="6"/>
  <c r="H23" i="6"/>
  <c r="I23" i="6"/>
  <c r="J23" i="6"/>
  <c r="K23" i="6"/>
  <c r="G24" i="6"/>
  <c r="H24" i="6"/>
  <c r="I24" i="6"/>
  <c r="J24" i="6"/>
  <c r="K24" i="6"/>
  <c r="G25" i="6"/>
  <c r="H25" i="6"/>
  <c r="I25" i="6"/>
  <c r="J25" i="6"/>
  <c r="K25" i="6"/>
  <c r="G26" i="6"/>
  <c r="H26" i="6"/>
  <c r="I26" i="6"/>
  <c r="J26" i="6"/>
  <c r="K26" i="6"/>
  <c r="G27" i="6"/>
  <c r="H27" i="6"/>
  <c r="I27" i="6"/>
  <c r="J27" i="6"/>
  <c r="K27" i="6"/>
  <c r="G28" i="6"/>
  <c r="H28" i="6"/>
  <c r="I28" i="6"/>
  <c r="J28" i="6"/>
  <c r="K28" i="6"/>
  <c r="G29" i="6"/>
  <c r="H29" i="6"/>
  <c r="I29" i="6"/>
  <c r="J29" i="6"/>
  <c r="K29" i="6"/>
  <c r="G30" i="6"/>
  <c r="H30" i="6"/>
  <c r="I30" i="6"/>
  <c r="J30" i="6"/>
  <c r="K30" i="6"/>
  <c r="G31" i="6"/>
  <c r="H31" i="6"/>
  <c r="I31" i="6"/>
  <c r="J31" i="6"/>
  <c r="K31" i="6"/>
  <c r="G32" i="6"/>
  <c r="H32" i="6"/>
  <c r="I32" i="6"/>
  <c r="J32" i="6"/>
  <c r="K32" i="6"/>
  <c r="G33" i="6"/>
  <c r="H33" i="6"/>
  <c r="I33" i="6"/>
  <c r="J33" i="6"/>
  <c r="K33" i="6"/>
  <c r="G34" i="6"/>
  <c r="H34" i="6"/>
  <c r="I34" i="6"/>
  <c r="J34" i="6"/>
  <c r="K34" i="6"/>
  <c r="G35" i="6"/>
  <c r="H35" i="6"/>
  <c r="I35" i="6"/>
  <c r="J35" i="6"/>
  <c r="K35" i="6"/>
  <c r="G36" i="6"/>
  <c r="H36" i="6"/>
  <c r="I36" i="6"/>
  <c r="J36" i="6"/>
  <c r="K36" i="6"/>
  <c r="G37" i="6"/>
  <c r="H37" i="6"/>
  <c r="I37" i="6"/>
  <c r="J37" i="6"/>
  <c r="K37" i="6"/>
  <c r="G38" i="6"/>
  <c r="H38" i="6"/>
  <c r="I38" i="6"/>
  <c r="J38" i="6"/>
  <c r="K38" i="6"/>
  <c r="G39" i="6"/>
  <c r="H39" i="6"/>
  <c r="I39" i="6"/>
  <c r="J39" i="6"/>
  <c r="K39" i="6"/>
  <c r="G40" i="6"/>
  <c r="H40" i="6"/>
  <c r="I40" i="6"/>
  <c r="J40" i="6"/>
  <c r="K40" i="6"/>
  <c r="G41" i="6"/>
  <c r="H41" i="6"/>
  <c r="I41" i="6"/>
  <c r="J41" i="6"/>
  <c r="K41" i="6"/>
  <c r="G42" i="6"/>
  <c r="H42" i="6"/>
  <c r="I42" i="6"/>
  <c r="J42" i="6"/>
  <c r="K42" i="6"/>
  <c r="G43" i="6"/>
  <c r="H43" i="6"/>
  <c r="I43" i="6"/>
  <c r="J43" i="6"/>
  <c r="K43" i="6"/>
  <c r="G44" i="6"/>
  <c r="H44" i="6"/>
  <c r="I44" i="6"/>
  <c r="J44" i="6"/>
  <c r="K44" i="6"/>
  <c r="G45" i="6"/>
  <c r="H45" i="6"/>
  <c r="I45" i="6"/>
  <c r="J45" i="6"/>
  <c r="K45" i="6"/>
  <c r="G46" i="6"/>
  <c r="H46" i="6"/>
  <c r="I46" i="6"/>
  <c r="J46" i="6"/>
  <c r="K46" i="6"/>
  <c r="G47" i="6"/>
  <c r="H47" i="6"/>
  <c r="I47" i="6"/>
  <c r="J47" i="6"/>
  <c r="K47" i="6"/>
  <c r="G48" i="6"/>
  <c r="H48" i="6"/>
  <c r="I48" i="6"/>
  <c r="J48" i="6"/>
  <c r="K48" i="6"/>
  <c r="G49" i="6"/>
  <c r="H49" i="6"/>
  <c r="I49" i="6"/>
  <c r="J49" i="6"/>
  <c r="K49" i="6"/>
  <c r="G50" i="6"/>
  <c r="H50" i="6"/>
  <c r="I50" i="6"/>
  <c r="J50" i="6"/>
  <c r="K50" i="6"/>
  <c r="G51" i="6"/>
  <c r="H51" i="6"/>
  <c r="I51" i="6"/>
  <c r="J51" i="6"/>
  <c r="K51" i="6"/>
  <c r="G52" i="6"/>
  <c r="H52" i="6"/>
  <c r="I52" i="6"/>
  <c r="J52" i="6"/>
  <c r="K52" i="6"/>
  <c r="G53" i="6"/>
  <c r="H53" i="6"/>
  <c r="I53" i="6"/>
  <c r="J53" i="6"/>
  <c r="K53" i="6"/>
  <c r="G54" i="6"/>
  <c r="H54" i="6"/>
  <c r="I54" i="6"/>
  <c r="J54" i="6"/>
  <c r="K54" i="6"/>
  <c r="G55" i="6"/>
  <c r="H55" i="6"/>
  <c r="I55" i="6"/>
  <c r="J55" i="6"/>
  <c r="K55" i="6"/>
  <c r="G56" i="6"/>
  <c r="H56" i="6"/>
  <c r="I56" i="6"/>
  <c r="J56" i="6"/>
  <c r="K56" i="6"/>
  <c r="G57" i="6"/>
  <c r="H57" i="6"/>
  <c r="I57" i="6"/>
  <c r="J57" i="6"/>
  <c r="K57" i="6"/>
  <c r="G58" i="6"/>
  <c r="H58" i="6"/>
  <c r="I58" i="6"/>
  <c r="J58" i="6"/>
  <c r="K58" i="6"/>
  <c r="G59" i="6"/>
  <c r="H59" i="6"/>
  <c r="I59" i="6"/>
  <c r="J59" i="6"/>
  <c r="K59" i="6"/>
  <c r="G60" i="6"/>
  <c r="H60" i="6"/>
  <c r="I60" i="6"/>
  <c r="J60" i="6"/>
  <c r="K60" i="6"/>
  <c r="G61" i="6"/>
  <c r="H61" i="6"/>
  <c r="I61" i="6"/>
  <c r="J61" i="6"/>
  <c r="K61" i="6"/>
  <c r="G62" i="6"/>
  <c r="H62" i="6"/>
  <c r="I62" i="6"/>
  <c r="J62" i="6"/>
  <c r="K62" i="6"/>
  <c r="G63" i="6"/>
  <c r="H63" i="6"/>
  <c r="I63" i="6"/>
  <c r="J63" i="6"/>
  <c r="K63" i="6"/>
  <c r="G64" i="6"/>
  <c r="H64" i="6"/>
  <c r="I64" i="6"/>
  <c r="J64" i="6"/>
  <c r="K64" i="6"/>
  <c r="G65" i="6"/>
  <c r="H65" i="6"/>
  <c r="I65" i="6"/>
  <c r="J65" i="6"/>
  <c r="K65" i="6"/>
  <c r="G66" i="6"/>
  <c r="H66" i="6"/>
  <c r="I66" i="6"/>
  <c r="J66" i="6"/>
  <c r="K66" i="6"/>
  <c r="G67" i="6"/>
  <c r="H67" i="6"/>
  <c r="I67" i="6"/>
  <c r="J67" i="6"/>
  <c r="K67" i="6"/>
  <c r="G68" i="6"/>
  <c r="H68" i="6"/>
  <c r="I68" i="6"/>
  <c r="J68" i="6"/>
  <c r="K68" i="6"/>
  <c r="G69" i="6"/>
  <c r="H69" i="6"/>
  <c r="I69" i="6"/>
  <c r="J69" i="6"/>
  <c r="K69" i="6"/>
  <c r="G70" i="6"/>
  <c r="H70" i="6"/>
  <c r="I70" i="6"/>
  <c r="J70" i="6"/>
  <c r="K70" i="6"/>
  <c r="G71" i="6"/>
  <c r="H71" i="6"/>
  <c r="I71" i="6"/>
  <c r="J71" i="6"/>
  <c r="K71" i="6"/>
  <c r="G72" i="6"/>
  <c r="H72" i="6"/>
  <c r="I72" i="6"/>
  <c r="J72" i="6"/>
  <c r="K72" i="6"/>
  <c r="G73" i="6"/>
  <c r="H73" i="6"/>
  <c r="I73" i="6"/>
  <c r="J73" i="6"/>
  <c r="K73" i="6"/>
  <c r="G74" i="6"/>
  <c r="H74" i="6"/>
  <c r="I74" i="6"/>
  <c r="J74" i="6"/>
  <c r="K74" i="6"/>
  <c r="G75" i="6"/>
  <c r="H75" i="6"/>
  <c r="I75" i="6"/>
  <c r="J75" i="6"/>
  <c r="K75" i="6"/>
  <c r="G76" i="6"/>
  <c r="H76" i="6"/>
  <c r="I76" i="6"/>
  <c r="J76" i="6"/>
  <c r="K76" i="6"/>
  <c r="G77" i="6"/>
  <c r="H77" i="6"/>
  <c r="I77" i="6"/>
  <c r="J77" i="6"/>
  <c r="K77" i="6"/>
  <c r="G78" i="6"/>
  <c r="H78" i="6"/>
  <c r="I78" i="6"/>
  <c r="J78" i="6"/>
  <c r="K78" i="6"/>
  <c r="G79" i="6"/>
  <c r="H79" i="6"/>
  <c r="I79" i="6"/>
  <c r="J79" i="6"/>
  <c r="K79" i="6"/>
  <c r="G80" i="6"/>
  <c r="H80" i="6"/>
  <c r="I80" i="6"/>
  <c r="J80" i="6"/>
  <c r="K80" i="6"/>
  <c r="G81" i="6"/>
  <c r="H81" i="6"/>
  <c r="I81" i="6"/>
  <c r="J81" i="6"/>
  <c r="K81" i="6"/>
  <c r="G82" i="6"/>
  <c r="H82" i="6"/>
  <c r="I82" i="6"/>
  <c r="J82" i="6"/>
  <c r="K82" i="6"/>
  <c r="G83" i="6"/>
  <c r="H83" i="6"/>
  <c r="I83" i="6"/>
  <c r="J83" i="6"/>
  <c r="K83" i="6"/>
  <c r="G84" i="6"/>
  <c r="H84" i="6"/>
  <c r="I84" i="6"/>
  <c r="J84" i="6"/>
  <c r="K84" i="6"/>
  <c r="G85" i="6"/>
  <c r="H85" i="6"/>
  <c r="I85" i="6"/>
  <c r="J85" i="6"/>
  <c r="K85" i="6"/>
  <c r="G86" i="6"/>
  <c r="H86" i="6"/>
  <c r="I86" i="6"/>
  <c r="J86" i="6"/>
  <c r="K86" i="6"/>
  <c r="G87" i="6"/>
  <c r="H87" i="6"/>
  <c r="I87" i="6"/>
  <c r="J87" i="6"/>
  <c r="K87" i="6"/>
  <c r="G88" i="6"/>
  <c r="H88" i="6"/>
  <c r="I88" i="6"/>
  <c r="J88" i="6"/>
  <c r="K88" i="6"/>
  <c r="G89" i="6"/>
  <c r="H89" i="6"/>
  <c r="I89" i="6"/>
  <c r="J89" i="6"/>
  <c r="K89" i="6"/>
  <c r="G90" i="6"/>
  <c r="H90" i="6"/>
  <c r="I90" i="6"/>
  <c r="J90" i="6"/>
  <c r="K90" i="6"/>
  <c r="G91" i="6"/>
  <c r="H91" i="6"/>
  <c r="I91" i="6"/>
  <c r="J91" i="6"/>
  <c r="K91" i="6"/>
  <c r="G92" i="6"/>
  <c r="H92" i="6"/>
  <c r="I92" i="6"/>
  <c r="J92" i="6"/>
  <c r="K92" i="6"/>
  <c r="G93" i="6"/>
  <c r="H93" i="6"/>
  <c r="I93" i="6"/>
  <c r="J93" i="6"/>
  <c r="K93" i="6"/>
  <c r="G94" i="6"/>
  <c r="H94" i="6"/>
  <c r="I94" i="6"/>
  <c r="J94" i="6"/>
  <c r="K94" i="6"/>
  <c r="G95" i="6"/>
  <c r="H95" i="6"/>
  <c r="I95" i="6"/>
  <c r="J95" i="6"/>
  <c r="K95" i="6"/>
  <c r="G96" i="6"/>
  <c r="H96" i="6"/>
  <c r="I96" i="6"/>
  <c r="J96" i="6"/>
  <c r="K96" i="6"/>
  <c r="G97" i="6"/>
  <c r="H97" i="6"/>
  <c r="I97" i="6"/>
  <c r="J97" i="6"/>
  <c r="K97" i="6"/>
  <c r="G98" i="6"/>
  <c r="H98" i="6"/>
  <c r="I98" i="6"/>
  <c r="J98" i="6"/>
  <c r="K98" i="6"/>
  <c r="G99" i="6"/>
  <c r="H99" i="6"/>
  <c r="I99" i="6"/>
  <c r="J99" i="6"/>
  <c r="K99" i="6"/>
  <c r="G100" i="6"/>
  <c r="H100" i="6"/>
  <c r="I100" i="6"/>
  <c r="J100" i="6"/>
  <c r="K100" i="6"/>
  <c r="G101" i="6"/>
  <c r="H101" i="6"/>
  <c r="I101" i="6"/>
  <c r="J101" i="6"/>
  <c r="K101" i="6"/>
  <c r="G102" i="6"/>
  <c r="H102" i="6"/>
  <c r="I102" i="6"/>
  <c r="J102" i="6"/>
  <c r="K102" i="6"/>
  <c r="G103" i="6"/>
  <c r="H103" i="6"/>
  <c r="I103" i="6"/>
  <c r="J103" i="6"/>
  <c r="K103" i="6"/>
  <c r="G104" i="6"/>
  <c r="H104" i="6"/>
  <c r="I104" i="6"/>
  <c r="J104" i="6"/>
  <c r="K104" i="6"/>
  <c r="G105" i="6"/>
  <c r="H105" i="6"/>
  <c r="I105" i="6"/>
  <c r="J105" i="6"/>
  <c r="K105" i="6"/>
  <c r="G106" i="6"/>
  <c r="H106" i="6"/>
  <c r="I106" i="6"/>
  <c r="J106" i="6"/>
  <c r="K106" i="6"/>
  <c r="G107" i="6"/>
  <c r="H107" i="6"/>
  <c r="I107" i="6"/>
  <c r="J107" i="6"/>
  <c r="K107" i="6"/>
  <c r="G108" i="6"/>
  <c r="H108" i="6"/>
  <c r="I108" i="6"/>
  <c r="J108" i="6"/>
  <c r="K108" i="6"/>
  <c r="G109" i="6"/>
  <c r="H109" i="6"/>
  <c r="I109" i="6"/>
  <c r="J109" i="6"/>
  <c r="K109" i="6"/>
  <c r="G110" i="6"/>
  <c r="H110" i="6"/>
  <c r="I110" i="6"/>
  <c r="J110" i="6"/>
  <c r="K110" i="6"/>
  <c r="G111" i="6"/>
  <c r="H111" i="6"/>
  <c r="I111" i="6"/>
  <c r="J111" i="6"/>
  <c r="K111" i="6"/>
  <c r="G112" i="6"/>
  <c r="H112" i="6"/>
  <c r="I112" i="6"/>
  <c r="J112" i="6"/>
  <c r="K112" i="6"/>
  <c r="G113" i="6"/>
  <c r="H113" i="6"/>
  <c r="I113" i="6"/>
  <c r="J113" i="6"/>
  <c r="K113" i="6"/>
  <c r="G114" i="6"/>
  <c r="H114" i="6"/>
  <c r="I114" i="6"/>
  <c r="J114" i="6"/>
  <c r="K114" i="6"/>
  <c r="G115" i="6"/>
  <c r="H115" i="6"/>
  <c r="I115" i="6"/>
  <c r="J115" i="6"/>
  <c r="K115" i="6"/>
  <c r="G116" i="6"/>
  <c r="H116" i="6"/>
  <c r="I116" i="6"/>
  <c r="J116" i="6"/>
  <c r="K116" i="6"/>
  <c r="G117" i="6"/>
  <c r="H117" i="6"/>
  <c r="I117" i="6"/>
  <c r="J117" i="6"/>
  <c r="K117" i="6"/>
  <c r="G118" i="6"/>
  <c r="H118" i="6"/>
  <c r="I118" i="6"/>
  <c r="J118" i="6"/>
  <c r="K118" i="6"/>
  <c r="G119" i="6"/>
  <c r="H119" i="6"/>
  <c r="I119" i="6"/>
  <c r="J119" i="6"/>
  <c r="K119" i="6"/>
  <c r="G120" i="6"/>
  <c r="H120" i="6"/>
  <c r="I120" i="6"/>
  <c r="J120" i="6"/>
  <c r="K120" i="6"/>
  <c r="G121" i="6"/>
  <c r="H121" i="6"/>
  <c r="I121" i="6"/>
  <c r="J121" i="6"/>
  <c r="K121" i="6"/>
  <c r="G122" i="6"/>
  <c r="H122" i="6"/>
  <c r="I122" i="6"/>
  <c r="J122" i="6"/>
  <c r="K122" i="6"/>
  <c r="G123" i="6"/>
  <c r="H123" i="6"/>
  <c r="I123" i="6"/>
  <c r="J123" i="6"/>
  <c r="K123" i="6"/>
  <c r="G124" i="6"/>
  <c r="H124" i="6"/>
  <c r="I124" i="6"/>
  <c r="J124" i="6"/>
  <c r="K124" i="6"/>
  <c r="G125" i="6"/>
  <c r="H125" i="6"/>
  <c r="I125" i="6"/>
  <c r="J125" i="6"/>
  <c r="K125" i="6"/>
  <c r="G126" i="6"/>
  <c r="H126" i="6"/>
  <c r="I126" i="6"/>
  <c r="J126" i="6"/>
  <c r="K126" i="6"/>
  <c r="G127" i="6"/>
  <c r="H127" i="6"/>
  <c r="I127" i="6"/>
  <c r="J127" i="6"/>
  <c r="K127" i="6"/>
  <c r="G128" i="6"/>
  <c r="H128" i="6"/>
  <c r="I128" i="6"/>
  <c r="J128" i="6"/>
  <c r="K128" i="6"/>
  <c r="G129" i="6"/>
  <c r="H129" i="6"/>
  <c r="I129" i="6"/>
  <c r="J129" i="6"/>
  <c r="K129" i="6"/>
  <c r="G130" i="6"/>
  <c r="H130" i="6"/>
  <c r="I130" i="6"/>
  <c r="J130" i="6"/>
  <c r="K130" i="6"/>
  <c r="G131" i="6"/>
  <c r="H131" i="6"/>
  <c r="I131" i="6"/>
  <c r="J131" i="6"/>
  <c r="K131" i="6"/>
  <c r="G132" i="6"/>
  <c r="H132" i="6"/>
  <c r="I132" i="6"/>
  <c r="J132" i="6"/>
  <c r="K132" i="6"/>
  <c r="G133" i="6"/>
  <c r="H133" i="6"/>
  <c r="I133" i="6"/>
  <c r="J133" i="6"/>
  <c r="K133" i="6"/>
  <c r="G134" i="6"/>
  <c r="H134" i="6"/>
  <c r="I134" i="6"/>
  <c r="J134" i="6"/>
  <c r="K134" i="6"/>
  <c r="G135" i="6"/>
  <c r="H135" i="6"/>
  <c r="I135" i="6"/>
  <c r="J135" i="6"/>
  <c r="K135" i="6"/>
  <c r="G136" i="6"/>
  <c r="H136" i="6"/>
  <c r="I136" i="6"/>
  <c r="J136" i="6"/>
  <c r="K136" i="6"/>
  <c r="G137" i="6"/>
  <c r="H137" i="6"/>
  <c r="I137" i="6"/>
  <c r="J137" i="6"/>
  <c r="K137" i="6"/>
  <c r="G138" i="6"/>
  <c r="H138" i="6"/>
  <c r="I138" i="6"/>
  <c r="J138" i="6"/>
  <c r="K138" i="6"/>
  <c r="G139" i="6"/>
  <c r="H139" i="6"/>
  <c r="I139" i="6"/>
  <c r="J139" i="6"/>
  <c r="K139" i="6"/>
  <c r="G140" i="6"/>
  <c r="H140" i="6"/>
  <c r="I140" i="6"/>
  <c r="J140" i="6"/>
  <c r="K140" i="6"/>
  <c r="G141" i="6"/>
  <c r="H141" i="6"/>
  <c r="I141" i="6"/>
  <c r="J141" i="6"/>
  <c r="K141" i="6"/>
  <c r="G142" i="6"/>
  <c r="H142" i="6"/>
  <c r="I142" i="6"/>
  <c r="J142" i="6"/>
  <c r="K142" i="6"/>
  <c r="G143" i="6"/>
  <c r="H143" i="6"/>
  <c r="I143" i="6"/>
  <c r="J143" i="6"/>
  <c r="K143" i="6"/>
  <c r="G144" i="6"/>
  <c r="H144" i="6"/>
  <c r="I144" i="6"/>
  <c r="J144" i="6"/>
  <c r="K144" i="6"/>
  <c r="K2" i="6"/>
  <c r="P2" i="6" s="1"/>
  <c r="J2" i="6"/>
  <c r="O2" i="6" s="1"/>
  <c r="I2" i="6"/>
  <c r="N2" i="6" s="1"/>
  <c r="H2" i="6"/>
  <c r="M2" i="6" s="1"/>
  <c r="G2" i="6"/>
  <c r="L2" i="6" s="1"/>
  <c r="T3" i="6"/>
  <c r="S3" i="6"/>
  <c r="R3" i="6"/>
  <c r="G3" i="2"/>
  <c r="L3" i="2" s="1"/>
  <c r="H3" i="2"/>
  <c r="M3" i="2" s="1"/>
  <c r="I3" i="2"/>
  <c r="N3" i="2" s="1"/>
  <c r="J3" i="2"/>
  <c r="O3" i="2" s="1"/>
  <c r="K3" i="2"/>
  <c r="P3" i="2" s="1"/>
  <c r="G4" i="2"/>
  <c r="L4" i="2" s="1"/>
  <c r="H4" i="2"/>
  <c r="M4" i="2" s="1"/>
  <c r="I4" i="2"/>
  <c r="N4" i="2" s="1"/>
  <c r="J4" i="2"/>
  <c r="O4" i="2" s="1"/>
  <c r="K4" i="2"/>
  <c r="P4" i="2" s="1"/>
  <c r="G5" i="2"/>
  <c r="L5" i="2" s="1"/>
  <c r="H5" i="2"/>
  <c r="M5" i="2" s="1"/>
  <c r="I5" i="2"/>
  <c r="N5" i="2" s="1"/>
  <c r="J5" i="2"/>
  <c r="O5" i="2" s="1"/>
  <c r="K5" i="2"/>
  <c r="P5" i="2" s="1"/>
  <c r="G6" i="2"/>
  <c r="L6" i="2" s="1"/>
  <c r="H6" i="2"/>
  <c r="M6" i="2" s="1"/>
  <c r="I6" i="2"/>
  <c r="N6" i="2" s="1"/>
  <c r="J6" i="2"/>
  <c r="O6" i="2" s="1"/>
  <c r="K6" i="2"/>
  <c r="P6" i="2" s="1"/>
  <c r="G7" i="2"/>
  <c r="L7" i="2" s="1"/>
  <c r="H7" i="2"/>
  <c r="M7" i="2" s="1"/>
  <c r="I7" i="2"/>
  <c r="N7" i="2" s="1"/>
  <c r="J7" i="2"/>
  <c r="O7" i="2" s="1"/>
  <c r="K7" i="2"/>
  <c r="P7" i="2" s="1"/>
  <c r="G8" i="2"/>
  <c r="L8" i="2" s="1"/>
  <c r="H8" i="2"/>
  <c r="M8" i="2" s="1"/>
  <c r="I8" i="2"/>
  <c r="N8" i="2" s="1"/>
  <c r="J8" i="2"/>
  <c r="O8" i="2" s="1"/>
  <c r="K8" i="2"/>
  <c r="P8" i="2" s="1"/>
  <c r="G9" i="2"/>
  <c r="L9" i="2" s="1"/>
  <c r="H9" i="2"/>
  <c r="M9" i="2" s="1"/>
  <c r="I9" i="2"/>
  <c r="N9" i="2" s="1"/>
  <c r="J9" i="2"/>
  <c r="O9" i="2" s="1"/>
  <c r="K9" i="2"/>
  <c r="P9" i="2" s="1"/>
  <c r="G10" i="2"/>
  <c r="L10" i="2" s="1"/>
  <c r="H10" i="2"/>
  <c r="M10" i="2" s="1"/>
  <c r="I10" i="2"/>
  <c r="N10" i="2" s="1"/>
  <c r="J10" i="2"/>
  <c r="O10" i="2" s="1"/>
  <c r="K10" i="2"/>
  <c r="P10" i="2" s="1"/>
  <c r="G11" i="2"/>
  <c r="L11" i="2" s="1"/>
  <c r="H11" i="2"/>
  <c r="M11" i="2" s="1"/>
  <c r="I11" i="2"/>
  <c r="N11" i="2" s="1"/>
  <c r="J11" i="2"/>
  <c r="O11" i="2" s="1"/>
  <c r="K11" i="2"/>
  <c r="P11" i="2" s="1"/>
  <c r="G12" i="2"/>
  <c r="L12" i="2" s="1"/>
  <c r="H12" i="2"/>
  <c r="M12" i="2" s="1"/>
  <c r="I12" i="2"/>
  <c r="N12" i="2" s="1"/>
  <c r="J12" i="2"/>
  <c r="O12" i="2" s="1"/>
  <c r="K12" i="2"/>
  <c r="P12" i="2" s="1"/>
  <c r="G13" i="2"/>
  <c r="L13" i="2" s="1"/>
  <c r="H13" i="2"/>
  <c r="M13" i="2" s="1"/>
  <c r="I13" i="2"/>
  <c r="N13" i="2" s="1"/>
  <c r="J13" i="2"/>
  <c r="O13" i="2" s="1"/>
  <c r="K13" i="2"/>
  <c r="P13" i="2" s="1"/>
  <c r="G14" i="2"/>
  <c r="L14" i="2" s="1"/>
  <c r="H14" i="2"/>
  <c r="M14" i="2" s="1"/>
  <c r="I14" i="2"/>
  <c r="N14" i="2" s="1"/>
  <c r="J14" i="2"/>
  <c r="O14" i="2" s="1"/>
  <c r="K14" i="2"/>
  <c r="P14" i="2" s="1"/>
  <c r="G15" i="2"/>
  <c r="L15" i="2" s="1"/>
  <c r="H15" i="2"/>
  <c r="M15" i="2" s="1"/>
  <c r="I15" i="2"/>
  <c r="N15" i="2" s="1"/>
  <c r="J15" i="2"/>
  <c r="O15" i="2" s="1"/>
  <c r="K15" i="2"/>
  <c r="P15" i="2" s="1"/>
  <c r="G16" i="2"/>
  <c r="L16" i="2" s="1"/>
  <c r="H16" i="2"/>
  <c r="M16" i="2" s="1"/>
  <c r="I16" i="2"/>
  <c r="N16" i="2" s="1"/>
  <c r="J16" i="2"/>
  <c r="O16" i="2" s="1"/>
  <c r="K16" i="2"/>
  <c r="P16" i="2" s="1"/>
  <c r="G17" i="2"/>
  <c r="L17" i="2" s="1"/>
  <c r="H17" i="2"/>
  <c r="M17" i="2" s="1"/>
  <c r="I17" i="2"/>
  <c r="N17" i="2" s="1"/>
  <c r="J17" i="2"/>
  <c r="O17" i="2" s="1"/>
  <c r="K17" i="2"/>
  <c r="P17" i="2" s="1"/>
  <c r="G18" i="2"/>
  <c r="L18" i="2" s="1"/>
  <c r="H18" i="2"/>
  <c r="M18" i="2" s="1"/>
  <c r="I18" i="2"/>
  <c r="N18" i="2" s="1"/>
  <c r="J18" i="2"/>
  <c r="O18" i="2" s="1"/>
  <c r="K18" i="2"/>
  <c r="P18" i="2" s="1"/>
  <c r="G19" i="2"/>
  <c r="L19" i="2" s="1"/>
  <c r="H19" i="2"/>
  <c r="M19" i="2" s="1"/>
  <c r="I19" i="2"/>
  <c r="N19" i="2" s="1"/>
  <c r="J19" i="2"/>
  <c r="O19" i="2" s="1"/>
  <c r="K19" i="2"/>
  <c r="P19" i="2" s="1"/>
  <c r="G20" i="2"/>
  <c r="L20" i="2" s="1"/>
  <c r="H20" i="2"/>
  <c r="M20" i="2" s="1"/>
  <c r="I20" i="2"/>
  <c r="N20" i="2" s="1"/>
  <c r="J20" i="2"/>
  <c r="O20" i="2" s="1"/>
  <c r="K20" i="2"/>
  <c r="P20" i="2" s="1"/>
  <c r="G21" i="2"/>
  <c r="L21" i="2" s="1"/>
  <c r="H21" i="2"/>
  <c r="M21" i="2" s="1"/>
  <c r="I21" i="2"/>
  <c r="N21" i="2" s="1"/>
  <c r="J21" i="2"/>
  <c r="O21" i="2" s="1"/>
  <c r="K21" i="2"/>
  <c r="P21" i="2" s="1"/>
  <c r="G22" i="2"/>
  <c r="L22" i="2" s="1"/>
  <c r="H22" i="2"/>
  <c r="M22" i="2" s="1"/>
  <c r="I22" i="2"/>
  <c r="N22" i="2" s="1"/>
  <c r="J22" i="2"/>
  <c r="O22" i="2" s="1"/>
  <c r="K22" i="2"/>
  <c r="P22" i="2" s="1"/>
  <c r="G23" i="2"/>
  <c r="L23" i="2" s="1"/>
  <c r="H23" i="2"/>
  <c r="M23" i="2" s="1"/>
  <c r="I23" i="2"/>
  <c r="N23" i="2" s="1"/>
  <c r="J23" i="2"/>
  <c r="O23" i="2" s="1"/>
  <c r="K23" i="2"/>
  <c r="P23" i="2" s="1"/>
  <c r="G24" i="2"/>
  <c r="L24" i="2" s="1"/>
  <c r="H24" i="2"/>
  <c r="M24" i="2" s="1"/>
  <c r="I24" i="2"/>
  <c r="N24" i="2" s="1"/>
  <c r="J24" i="2"/>
  <c r="O24" i="2" s="1"/>
  <c r="K24" i="2"/>
  <c r="P24" i="2" s="1"/>
  <c r="G25" i="2"/>
  <c r="L25" i="2" s="1"/>
  <c r="H25" i="2"/>
  <c r="M25" i="2" s="1"/>
  <c r="I25" i="2"/>
  <c r="N25" i="2" s="1"/>
  <c r="J25" i="2"/>
  <c r="O25" i="2" s="1"/>
  <c r="K25" i="2"/>
  <c r="P25" i="2" s="1"/>
  <c r="G26" i="2"/>
  <c r="L26" i="2" s="1"/>
  <c r="H26" i="2"/>
  <c r="M26" i="2" s="1"/>
  <c r="I26" i="2"/>
  <c r="N26" i="2" s="1"/>
  <c r="J26" i="2"/>
  <c r="O26" i="2" s="1"/>
  <c r="K26" i="2"/>
  <c r="P26" i="2" s="1"/>
  <c r="G27" i="2"/>
  <c r="L27" i="2" s="1"/>
  <c r="H27" i="2"/>
  <c r="M27" i="2" s="1"/>
  <c r="I27" i="2"/>
  <c r="N27" i="2" s="1"/>
  <c r="J27" i="2"/>
  <c r="O27" i="2" s="1"/>
  <c r="K27" i="2"/>
  <c r="P27" i="2" s="1"/>
  <c r="G28" i="2"/>
  <c r="L28" i="2" s="1"/>
  <c r="H28" i="2"/>
  <c r="M28" i="2" s="1"/>
  <c r="I28" i="2"/>
  <c r="N28" i="2" s="1"/>
  <c r="J28" i="2"/>
  <c r="O28" i="2" s="1"/>
  <c r="K28" i="2"/>
  <c r="P28" i="2" s="1"/>
  <c r="G29" i="2"/>
  <c r="L29" i="2" s="1"/>
  <c r="H29" i="2"/>
  <c r="M29" i="2" s="1"/>
  <c r="I29" i="2"/>
  <c r="N29" i="2" s="1"/>
  <c r="J29" i="2"/>
  <c r="O29" i="2" s="1"/>
  <c r="K29" i="2"/>
  <c r="P29" i="2" s="1"/>
  <c r="G30" i="2"/>
  <c r="L30" i="2" s="1"/>
  <c r="H30" i="2"/>
  <c r="M30" i="2" s="1"/>
  <c r="I30" i="2"/>
  <c r="N30" i="2" s="1"/>
  <c r="J30" i="2"/>
  <c r="O30" i="2" s="1"/>
  <c r="K30" i="2"/>
  <c r="P30" i="2" s="1"/>
  <c r="G31" i="2"/>
  <c r="L31" i="2" s="1"/>
  <c r="H31" i="2"/>
  <c r="M31" i="2" s="1"/>
  <c r="I31" i="2"/>
  <c r="N31" i="2" s="1"/>
  <c r="J31" i="2"/>
  <c r="O31" i="2" s="1"/>
  <c r="K31" i="2"/>
  <c r="P31" i="2" s="1"/>
  <c r="G32" i="2"/>
  <c r="L32" i="2" s="1"/>
  <c r="H32" i="2"/>
  <c r="M32" i="2" s="1"/>
  <c r="I32" i="2"/>
  <c r="N32" i="2" s="1"/>
  <c r="J32" i="2"/>
  <c r="O32" i="2" s="1"/>
  <c r="K32" i="2"/>
  <c r="P32" i="2" s="1"/>
  <c r="G33" i="2"/>
  <c r="L33" i="2" s="1"/>
  <c r="H33" i="2"/>
  <c r="M33" i="2" s="1"/>
  <c r="I33" i="2"/>
  <c r="N33" i="2" s="1"/>
  <c r="J33" i="2"/>
  <c r="O33" i="2" s="1"/>
  <c r="K33" i="2"/>
  <c r="P33" i="2" s="1"/>
  <c r="G34" i="2"/>
  <c r="L34" i="2" s="1"/>
  <c r="H34" i="2"/>
  <c r="M34" i="2" s="1"/>
  <c r="I34" i="2"/>
  <c r="N34" i="2" s="1"/>
  <c r="J34" i="2"/>
  <c r="O34" i="2" s="1"/>
  <c r="K34" i="2"/>
  <c r="P34" i="2" s="1"/>
  <c r="G35" i="2"/>
  <c r="L35" i="2" s="1"/>
  <c r="H35" i="2"/>
  <c r="M35" i="2" s="1"/>
  <c r="I35" i="2"/>
  <c r="N35" i="2" s="1"/>
  <c r="J35" i="2"/>
  <c r="O35" i="2" s="1"/>
  <c r="K35" i="2"/>
  <c r="P35" i="2" s="1"/>
  <c r="G36" i="2"/>
  <c r="L36" i="2" s="1"/>
  <c r="H36" i="2"/>
  <c r="M36" i="2" s="1"/>
  <c r="I36" i="2"/>
  <c r="N36" i="2" s="1"/>
  <c r="J36" i="2"/>
  <c r="O36" i="2" s="1"/>
  <c r="K36" i="2"/>
  <c r="P36" i="2" s="1"/>
  <c r="G37" i="2"/>
  <c r="L37" i="2" s="1"/>
  <c r="H37" i="2"/>
  <c r="M37" i="2" s="1"/>
  <c r="I37" i="2"/>
  <c r="N37" i="2" s="1"/>
  <c r="J37" i="2"/>
  <c r="O37" i="2" s="1"/>
  <c r="K37" i="2"/>
  <c r="P37" i="2" s="1"/>
  <c r="G38" i="2"/>
  <c r="L38" i="2" s="1"/>
  <c r="H38" i="2"/>
  <c r="M38" i="2" s="1"/>
  <c r="I38" i="2"/>
  <c r="N38" i="2" s="1"/>
  <c r="J38" i="2"/>
  <c r="O38" i="2" s="1"/>
  <c r="K38" i="2"/>
  <c r="P38" i="2" s="1"/>
  <c r="G39" i="2"/>
  <c r="L39" i="2" s="1"/>
  <c r="H39" i="2"/>
  <c r="M39" i="2" s="1"/>
  <c r="I39" i="2"/>
  <c r="N39" i="2" s="1"/>
  <c r="J39" i="2"/>
  <c r="O39" i="2" s="1"/>
  <c r="K39" i="2"/>
  <c r="P39" i="2" s="1"/>
  <c r="G40" i="2"/>
  <c r="L40" i="2" s="1"/>
  <c r="H40" i="2"/>
  <c r="M40" i="2" s="1"/>
  <c r="I40" i="2"/>
  <c r="N40" i="2" s="1"/>
  <c r="J40" i="2"/>
  <c r="O40" i="2" s="1"/>
  <c r="K40" i="2"/>
  <c r="P40" i="2" s="1"/>
  <c r="G41" i="2"/>
  <c r="L41" i="2" s="1"/>
  <c r="H41" i="2"/>
  <c r="M41" i="2" s="1"/>
  <c r="I41" i="2"/>
  <c r="N41" i="2" s="1"/>
  <c r="J41" i="2"/>
  <c r="O41" i="2" s="1"/>
  <c r="K41" i="2"/>
  <c r="P41" i="2" s="1"/>
  <c r="G42" i="2"/>
  <c r="L42" i="2" s="1"/>
  <c r="H42" i="2"/>
  <c r="M42" i="2" s="1"/>
  <c r="I42" i="2"/>
  <c r="N42" i="2" s="1"/>
  <c r="J42" i="2"/>
  <c r="O42" i="2" s="1"/>
  <c r="K42" i="2"/>
  <c r="P42" i="2" s="1"/>
  <c r="G43" i="2"/>
  <c r="L43" i="2" s="1"/>
  <c r="H43" i="2"/>
  <c r="M43" i="2" s="1"/>
  <c r="I43" i="2"/>
  <c r="N43" i="2" s="1"/>
  <c r="J43" i="2"/>
  <c r="O43" i="2" s="1"/>
  <c r="K43" i="2"/>
  <c r="P43" i="2" s="1"/>
  <c r="G44" i="2"/>
  <c r="L44" i="2" s="1"/>
  <c r="H44" i="2"/>
  <c r="M44" i="2" s="1"/>
  <c r="I44" i="2"/>
  <c r="N44" i="2" s="1"/>
  <c r="J44" i="2"/>
  <c r="O44" i="2" s="1"/>
  <c r="K44" i="2"/>
  <c r="P44" i="2" s="1"/>
  <c r="G45" i="2"/>
  <c r="L45" i="2" s="1"/>
  <c r="H45" i="2"/>
  <c r="M45" i="2" s="1"/>
  <c r="I45" i="2"/>
  <c r="N45" i="2" s="1"/>
  <c r="J45" i="2"/>
  <c r="O45" i="2" s="1"/>
  <c r="K45" i="2"/>
  <c r="P45" i="2" s="1"/>
  <c r="G46" i="2"/>
  <c r="L46" i="2" s="1"/>
  <c r="H46" i="2"/>
  <c r="M46" i="2" s="1"/>
  <c r="I46" i="2"/>
  <c r="N46" i="2" s="1"/>
  <c r="J46" i="2"/>
  <c r="O46" i="2" s="1"/>
  <c r="K46" i="2"/>
  <c r="P46" i="2" s="1"/>
  <c r="G47" i="2"/>
  <c r="L47" i="2" s="1"/>
  <c r="H47" i="2"/>
  <c r="M47" i="2" s="1"/>
  <c r="I47" i="2"/>
  <c r="N47" i="2" s="1"/>
  <c r="J47" i="2"/>
  <c r="O47" i="2" s="1"/>
  <c r="K47" i="2"/>
  <c r="P47" i="2" s="1"/>
  <c r="G48" i="2"/>
  <c r="L48" i="2" s="1"/>
  <c r="H48" i="2"/>
  <c r="M48" i="2" s="1"/>
  <c r="I48" i="2"/>
  <c r="N48" i="2" s="1"/>
  <c r="J48" i="2"/>
  <c r="O48" i="2" s="1"/>
  <c r="K48" i="2"/>
  <c r="P48" i="2" s="1"/>
  <c r="G49" i="2"/>
  <c r="L49" i="2" s="1"/>
  <c r="H49" i="2"/>
  <c r="M49" i="2" s="1"/>
  <c r="I49" i="2"/>
  <c r="N49" i="2" s="1"/>
  <c r="J49" i="2"/>
  <c r="O49" i="2" s="1"/>
  <c r="K49" i="2"/>
  <c r="P49" i="2" s="1"/>
  <c r="G50" i="2"/>
  <c r="L50" i="2" s="1"/>
  <c r="H50" i="2"/>
  <c r="M50" i="2" s="1"/>
  <c r="I50" i="2"/>
  <c r="N50" i="2" s="1"/>
  <c r="J50" i="2"/>
  <c r="O50" i="2" s="1"/>
  <c r="K50" i="2"/>
  <c r="P50" i="2" s="1"/>
  <c r="G51" i="2"/>
  <c r="L51" i="2" s="1"/>
  <c r="H51" i="2"/>
  <c r="M51" i="2" s="1"/>
  <c r="I51" i="2"/>
  <c r="N51" i="2" s="1"/>
  <c r="J51" i="2"/>
  <c r="O51" i="2" s="1"/>
  <c r="K51" i="2"/>
  <c r="P51" i="2" s="1"/>
  <c r="G52" i="2"/>
  <c r="L52" i="2" s="1"/>
  <c r="H52" i="2"/>
  <c r="M52" i="2" s="1"/>
  <c r="I52" i="2"/>
  <c r="N52" i="2" s="1"/>
  <c r="J52" i="2"/>
  <c r="O52" i="2" s="1"/>
  <c r="K52" i="2"/>
  <c r="P52" i="2" s="1"/>
  <c r="G53" i="2"/>
  <c r="L53" i="2" s="1"/>
  <c r="H53" i="2"/>
  <c r="M53" i="2" s="1"/>
  <c r="I53" i="2"/>
  <c r="N53" i="2" s="1"/>
  <c r="J53" i="2"/>
  <c r="O53" i="2" s="1"/>
  <c r="K53" i="2"/>
  <c r="P53" i="2" s="1"/>
  <c r="G54" i="2"/>
  <c r="L54" i="2" s="1"/>
  <c r="H54" i="2"/>
  <c r="M54" i="2" s="1"/>
  <c r="I54" i="2"/>
  <c r="N54" i="2" s="1"/>
  <c r="J54" i="2"/>
  <c r="O54" i="2" s="1"/>
  <c r="K54" i="2"/>
  <c r="P54" i="2" s="1"/>
  <c r="G55" i="2"/>
  <c r="L55" i="2" s="1"/>
  <c r="H55" i="2"/>
  <c r="M55" i="2" s="1"/>
  <c r="I55" i="2"/>
  <c r="N55" i="2" s="1"/>
  <c r="J55" i="2"/>
  <c r="O55" i="2" s="1"/>
  <c r="K55" i="2"/>
  <c r="P55" i="2" s="1"/>
  <c r="G56" i="2"/>
  <c r="L56" i="2" s="1"/>
  <c r="H56" i="2"/>
  <c r="M56" i="2" s="1"/>
  <c r="I56" i="2"/>
  <c r="N56" i="2" s="1"/>
  <c r="J56" i="2"/>
  <c r="O56" i="2" s="1"/>
  <c r="K56" i="2"/>
  <c r="P56" i="2" s="1"/>
  <c r="G57" i="2"/>
  <c r="L57" i="2" s="1"/>
  <c r="H57" i="2"/>
  <c r="M57" i="2" s="1"/>
  <c r="I57" i="2"/>
  <c r="N57" i="2" s="1"/>
  <c r="J57" i="2"/>
  <c r="O57" i="2" s="1"/>
  <c r="K57" i="2"/>
  <c r="P57" i="2" s="1"/>
  <c r="G58" i="2"/>
  <c r="L58" i="2" s="1"/>
  <c r="H58" i="2"/>
  <c r="M58" i="2" s="1"/>
  <c r="I58" i="2"/>
  <c r="N58" i="2" s="1"/>
  <c r="J58" i="2"/>
  <c r="O58" i="2" s="1"/>
  <c r="K58" i="2"/>
  <c r="P58" i="2" s="1"/>
  <c r="G59" i="2"/>
  <c r="L59" i="2" s="1"/>
  <c r="H59" i="2"/>
  <c r="M59" i="2" s="1"/>
  <c r="I59" i="2"/>
  <c r="N59" i="2" s="1"/>
  <c r="J59" i="2"/>
  <c r="O59" i="2" s="1"/>
  <c r="K59" i="2"/>
  <c r="P59" i="2" s="1"/>
  <c r="G60" i="2"/>
  <c r="L60" i="2" s="1"/>
  <c r="H60" i="2"/>
  <c r="M60" i="2" s="1"/>
  <c r="I60" i="2"/>
  <c r="N60" i="2" s="1"/>
  <c r="J60" i="2"/>
  <c r="O60" i="2" s="1"/>
  <c r="K60" i="2"/>
  <c r="P60" i="2" s="1"/>
  <c r="G61" i="2"/>
  <c r="L61" i="2" s="1"/>
  <c r="H61" i="2"/>
  <c r="M61" i="2" s="1"/>
  <c r="I61" i="2"/>
  <c r="N61" i="2" s="1"/>
  <c r="J61" i="2"/>
  <c r="O61" i="2" s="1"/>
  <c r="K61" i="2"/>
  <c r="P61" i="2" s="1"/>
  <c r="G62" i="2"/>
  <c r="L62" i="2" s="1"/>
  <c r="H62" i="2"/>
  <c r="M62" i="2" s="1"/>
  <c r="I62" i="2"/>
  <c r="N62" i="2" s="1"/>
  <c r="J62" i="2"/>
  <c r="O62" i="2" s="1"/>
  <c r="K62" i="2"/>
  <c r="P62" i="2" s="1"/>
  <c r="G63" i="2"/>
  <c r="L63" i="2" s="1"/>
  <c r="H63" i="2"/>
  <c r="M63" i="2" s="1"/>
  <c r="I63" i="2"/>
  <c r="N63" i="2" s="1"/>
  <c r="J63" i="2"/>
  <c r="O63" i="2" s="1"/>
  <c r="K63" i="2"/>
  <c r="P63" i="2" s="1"/>
  <c r="G64" i="2"/>
  <c r="L64" i="2" s="1"/>
  <c r="H64" i="2"/>
  <c r="M64" i="2" s="1"/>
  <c r="I64" i="2"/>
  <c r="N64" i="2" s="1"/>
  <c r="J64" i="2"/>
  <c r="O64" i="2" s="1"/>
  <c r="K64" i="2"/>
  <c r="P64" i="2" s="1"/>
  <c r="G65" i="2"/>
  <c r="L65" i="2" s="1"/>
  <c r="H65" i="2"/>
  <c r="M65" i="2" s="1"/>
  <c r="I65" i="2"/>
  <c r="N65" i="2" s="1"/>
  <c r="J65" i="2"/>
  <c r="O65" i="2" s="1"/>
  <c r="K65" i="2"/>
  <c r="P65" i="2" s="1"/>
  <c r="G66" i="2"/>
  <c r="L66" i="2" s="1"/>
  <c r="H66" i="2"/>
  <c r="M66" i="2" s="1"/>
  <c r="I66" i="2"/>
  <c r="N66" i="2" s="1"/>
  <c r="J66" i="2"/>
  <c r="O66" i="2" s="1"/>
  <c r="K66" i="2"/>
  <c r="P66" i="2" s="1"/>
  <c r="G67" i="2"/>
  <c r="L67" i="2" s="1"/>
  <c r="H67" i="2"/>
  <c r="M67" i="2" s="1"/>
  <c r="I67" i="2"/>
  <c r="N67" i="2" s="1"/>
  <c r="J67" i="2"/>
  <c r="O67" i="2" s="1"/>
  <c r="K67" i="2"/>
  <c r="P67" i="2" s="1"/>
  <c r="G68" i="2"/>
  <c r="L68" i="2" s="1"/>
  <c r="H68" i="2"/>
  <c r="M68" i="2" s="1"/>
  <c r="I68" i="2"/>
  <c r="N68" i="2" s="1"/>
  <c r="J68" i="2"/>
  <c r="O68" i="2" s="1"/>
  <c r="K68" i="2"/>
  <c r="P68" i="2" s="1"/>
  <c r="G69" i="2"/>
  <c r="L69" i="2" s="1"/>
  <c r="H69" i="2"/>
  <c r="M69" i="2" s="1"/>
  <c r="I69" i="2"/>
  <c r="N69" i="2" s="1"/>
  <c r="J69" i="2"/>
  <c r="O69" i="2" s="1"/>
  <c r="K69" i="2"/>
  <c r="P69" i="2" s="1"/>
  <c r="G70" i="2"/>
  <c r="L70" i="2" s="1"/>
  <c r="H70" i="2"/>
  <c r="M70" i="2" s="1"/>
  <c r="I70" i="2"/>
  <c r="N70" i="2" s="1"/>
  <c r="J70" i="2"/>
  <c r="O70" i="2" s="1"/>
  <c r="K70" i="2"/>
  <c r="P70" i="2" s="1"/>
  <c r="G71" i="2"/>
  <c r="L71" i="2" s="1"/>
  <c r="H71" i="2"/>
  <c r="M71" i="2" s="1"/>
  <c r="I71" i="2"/>
  <c r="N71" i="2" s="1"/>
  <c r="J71" i="2"/>
  <c r="O71" i="2" s="1"/>
  <c r="K71" i="2"/>
  <c r="P71" i="2" s="1"/>
  <c r="G72" i="2"/>
  <c r="L72" i="2" s="1"/>
  <c r="H72" i="2"/>
  <c r="M72" i="2" s="1"/>
  <c r="I72" i="2"/>
  <c r="N72" i="2" s="1"/>
  <c r="J72" i="2"/>
  <c r="O72" i="2" s="1"/>
  <c r="K72" i="2"/>
  <c r="P72" i="2" s="1"/>
  <c r="G73" i="2"/>
  <c r="L73" i="2" s="1"/>
  <c r="H73" i="2"/>
  <c r="M73" i="2" s="1"/>
  <c r="I73" i="2"/>
  <c r="N73" i="2" s="1"/>
  <c r="J73" i="2"/>
  <c r="O73" i="2" s="1"/>
  <c r="K73" i="2"/>
  <c r="P73" i="2" s="1"/>
  <c r="G74" i="2"/>
  <c r="L74" i="2" s="1"/>
  <c r="H74" i="2"/>
  <c r="M74" i="2" s="1"/>
  <c r="I74" i="2"/>
  <c r="N74" i="2" s="1"/>
  <c r="J74" i="2"/>
  <c r="O74" i="2" s="1"/>
  <c r="K74" i="2"/>
  <c r="P74" i="2" s="1"/>
  <c r="G75" i="2"/>
  <c r="L75" i="2" s="1"/>
  <c r="H75" i="2"/>
  <c r="M75" i="2" s="1"/>
  <c r="I75" i="2"/>
  <c r="N75" i="2" s="1"/>
  <c r="J75" i="2"/>
  <c r="O75" i="2" s="1"/>
  <c r="K75" i="2"/>
  <c r="P75" i="2" s="1"/>
  <c r="G76" i="2"/>
  <c r="L76" i="2" s="1"/>
  <c r="H76" i="2"/>
  <c r="M76" i="2" s="1"/>
  <c r="I76" i="2"/>
  <c r="N76" i="2" s="1"/>
  <c r="J76" i="2"/>
  <c r="O76" i="2" s="1"/>
  <c r="K76" i="2"/>
  <c r="P76" i="2" s="1"/>
  <c r="G77" i="2"/>
  <c r="L77" i="2" s="1"/>
  <c r="H77" i="2"/>
  <c r="M77" i="2" s="1"/>
  <c r="I77" i="2"/>
  <c r="N77" i="2" s="1"/>
  <c r="J77" i="2"/>
  <c r="O77" i="2" s="1"/>
  <c r="K77" i="2"/>
  <c r="P77" i="2" s="1"/>
  <c r="G78" i="2"/>
  <c r="L78" i="2" s="1"/>
  <c r="H78" i="2"/>
  <c r="M78" i="2" s="1"/>
  <c r="I78" i="2"/>
  <c r="N78" i="2" s="1"/>
  <c r="J78" i="2"/>
  <c r="O78" i="2" s="1"/>
  <c r="K78" i="2"/>
  <c r="P78" i="2" s="1"/>
  <c r="G79" i="2"/>
  <c r="L79" i="2" s="1"/>
  <c r="H79" i="2"/>
  <c r="M79" i="2" s="1"/>
  <c r="I79" i="2"/>
  <c r="N79" i="2" s="1"/>
  <c r="J79" i="2"/>
  <c r="O79" i="2" s="1"/>
  <c r="K79" i="2"/>
  <c r="P79" i="2" s="1"/>
  <c r="G80" i="2"/>
  <c r="L80" i="2" s="1"/>
  <c r="H80" i="2"/>
  <c r="M80" i="2" s="1"/>
  <c r="I80" i="2"/>
  <c r="N80" i="2" s="1"/>
  <c r="J80" i="2"/>
  <c r="O80" i="2" s="1"/>
  <c r="K80" i="2"/>
  <c r="P80" i="2" s="1"/>
  <c r="G81" i="2"/>
  <c r="L81" i="2" s="1"/>
  <c r="H81" i="2"/>
  <c r="M81" i="2" s="1"/>
  <c r="I81" i="2"/>
  <c r="N81" i="2" s="1"/>
  <c r="J81" i="2"/>
  <c r="O81" i="2" s="1"/>
  <c r="K81" i="2"/>
  <c r="P81" i="2" s="1"/>
  <c r="G82" i="2"/>
  <c r="L82" i="2" s="1"/>
  <c r="H82" i="2"/>
  <c r="M82" i="2" s="1"/>
  <c r="I82" i="2"/>
  <c r="N82" i="2" s="1"/>
  <c r="J82" i="2"/>
  <c r="O82" i="2" s="1"/>
  <c r="K82" i="2"/>
  <c r="P82" i="2" s="1"/>
  <c r="G83" i="2"/>
  <c r="L83" i="2" s="1"/>
  <c r="H83" i="2"/>
  <c r="M83" i="2" s="1"/>
  <c r="I83" i="2"/>
  <c r="N83" i="2" s="1"/>
  <c r="J83" i="2"/>
  <c r="O83" i="2" s="1"/>
  <c r="K83" i="2"/>
  <c r="P83" i="2" s="1"/>
  <c r="G84" i="2"/>
  <c r="L84" i="2" s="1"/>
  <c r="H84" i="2"/>
  <c r="M84" i="2" s="1"/>
  <c r="I84" i="2"/>
  <c r="N84" i="2" s="1"/>
  <c r="J84" i="2"/>
  <c r="O84" i="2" s="1"/>
  <c r="K84" i="2"/>
  <c r="P84" i="2" s="1"/>
  <c r="G85" i="2"/>
  <c r="L85" i="2" s="1"/>
  <c r="H85" i="2"/>
  <c r="M85" i="2" s="1"/>
  <c r="I85" i="2"/>
  <c r="N85" i="2" s="1"/>
  <c r="J85" i="2"/>
  <c r="O85" i="2" s="1"/>
  <c r="K85" i="2"/>
  <c r="P85" i="2" s="1"/>
  <c r="G86" i="2"/>
  <c r="L86" i="2" s="1"/>
  <c r="H86" i="2"/>
  <c r="M86" i="2" s="1"/>
  <c r="I86" i="2"/>
  <c r="N86" i="2" s="1"/>
  <c r="J86" i="2"/>
  <c r="O86" i="2" s="1"/>
  <c r="K86" i="2"/>
  <c r="P86" i="2" s="1"/>
  <c r="G87" i="2"/>
  <c r="L87" i="2" s="1"/>
  <c r="H87" i="2"/>
  <c r="M87" i="2" s="1"/>
  <c r="I87" i="2"/>
  <c r="N87" i="2" s="1"/>
  <c r="J87" i="2"/>
  <c r="O87" i="2" s="1"/>
  <c r="K87" i="2"/>
  <c r="P87" i="2" s="1"/>
  <c r="G88" i="2"/>
  <c r="L88" i="2" s="1"/>
  <c r="H88" i="2"/>
  <c r="M88" i="2" s="1"/>
  <c r="I88" i="2"/>
  <c r="N88" i="2" s="1"/>
  <c r="J88" i="2"/>
  <c r="O88" i="2" s="1"/>
  <c r="K88" i="2"/>
  <c r="P88" i="2" s="1"/>
  <c r="G89" i="2"/>
  <c r="L89" i="2" s="1"/>
  <c r="H89" i="2"/>
  <c r="M89" i="2" s="1"/>
  <c r="I89" i="2"/>
  <c r="N89" i="2" s="1"/>
  <c r="J89" i="2"/>
  <c r="O89" i="2" s="1"/>
  <c r="K89" i="2"/>
  <c r="P89" i="2" s="1"/>
  <c r="G90" i="2"/>
  <c r="L90" i="2" s="1"/>
  <c r="H90" i="2"/>
  <c r="M90" i="2" s="1"/>
  <c r="I90" i="2"/>
  <c r="N90" i="2" s="1"/>
  <c r="J90" i="2"/>
  <c r="O90" i="2" s="1"/>
  <c r="K90" i="2"/>
  <c r="P90" i="2" s="1"/>
  <c r="G91" i="2"/>
  <c r="L91" i="2" s="1"/>
  <c r="H91" i="2"/>
  <c r="M91" i="2" s="1"/>
  <c r="I91" i="2"/>
  <c r="N91" i="2" s="1"/>
  <c r="J91" i="2"/>
  <c r="O91" i="2" s="1"/>
  <c r="K91" i="2"/>
  <c r="P91" i="2" s="1"/>
  <c r="G92" i="2"/>
  <c r="L92" i="2" s="1"/>
  <c r="H92" i="2"/>
  <c r="M92" i="2" s="1"/>
  <c r="I92" i="2"/>
  <c r="N92" i="2" s="1"/>
  <c r="J92" i="2"/>
  <c r="O92" i="2" s="1"/>
  <c r="K92" i="2"/>
  <c r="P92" i="2" s="1"/>
  <c r="G93" i="2"/>
  <c r="L93" i="2" s="1"/>
  <c r="H93" i="2"/>
  <c r="M93" i="2" s="1"/>
  <c r="I93" i="2"/>
  <c r="N93" i="2" s="1"/>
  <c r="J93" i="2"/>
  <c r="O93" i="2" s="1"/>
  <c r="K93" i="2"/>
  <c r="P93" i="2" s="1"/>
  <c r="G94" i="2"/>
  <c r="L94" i="2" s="1"/>
  <c r="H94" i="2"/>
  <c r="M94" i="2" s="1"/>
  <c r="I94" i="2"/>
  <c r="N94" i="2" s="1"/>
  <c r="J94" i="2"/>
  <c r="O94" i="2" s="1"/>
  <c r="K94" i="2"/>
  <c r="P94" i="2" s="1"/>
  <c r="G95" i="2"/>
  <c r="L95" i="2" s="1"/>
  <c r="H95" i="2"/>
  <c r="M95" i="2" s="1"/>
  <c r="I95" i="2"/>
  <c r="N95" i="2" s="1"/>
  <c r="J95" i="2"/>
  <c r="O95" i="2" s="1"/>
  <c r="K95" i="2"/>
  <c r="P95" i="2" s="1"/>
  <c r="G96" i="2"/>
  <c r="L96" i="2" s="1"/>
  <c r="H96" i="2"/>
  <c r="M96" i="2" s="1"/>
  <c r="I96" i="2"/>
  <c r="N96" i="2" s="1"/>
  <c r="J96" i="2"/>
  <c r="O96" i="2" s="1"/>
  <c r="K96" i="2"/>
  <c r="P96" i="2" s="1"/>
  <c r="G97" i="2"/>
  <c r="L97" i="2" s="1"/>
  <c r="H97" i="2"/>
  <c r="M97" i="2" s="1"/>
  <c r="I97" i="2"/>
  <c r="N97" i="2" s="1"/>
  <c r="J97" i="2"/>
  <c r="O97" i="2" s="1"/>
  <c r="K97" i="2"/>
  <c r="P97" i="2" s="1"/>
  <c r="G98" i="2"/>
  <c r="L98" i="2" s="1"/>
  <c r="H98" i="2"/>
  <c r="M98" i="2" s="1"/>
  <c r="I98" i="2"/>
  <c r="N98" i="2" s="1"/>
  <c r="J98" i="2"/>
  <c r="O98" i="2" s="1"/>
  <c r="K98" i="2"/>
  <c r="P98" i="2" s="1"/>
  <c r="G99" i="2"/>
  <c r="L99" i="2" s="1"/>
  <c r="H99" i="2"/>
  <c r="M99" i="2" s="1"/>
  <c r="I99" i="2"/>
  <c r="N99" i="2" s="1"/>
  <c r="J99" i="2"/>
  <c r="O99" i="2" s="1"/>
  <c r="K99" i="2"/>
  <c r="P99" i="2" s="1"/>
  <c r="G100" i="2"/>
  <c r="L100" i="2" s="1"/>
  <c r="H100" i="2"/>
  <c r="M100" i="2" s="1"/>
  <c r="I100" i="2"/>
  <c r="N100" i="2" s="1"/>
  <c r="J100" i="2"/>
  <c r="O100" i="2" s="1"/>
  <c r="K100" i="2"/>
  <c r="P100" i="2" s="1"/>
  <c r="G101" i="2"/>
  <c r="L101" i="2" s="1"/>
  <c r="H101" i="2"/>
  <c r="M101" i="2" s="1"/>
  <c r="I101" i="2"/>
  <c r="N101" i="2" s="1"/>
  <c r="J101" i="2"/>
  <c r="O101" i="2" s="1"/>
  <c r="K101" i="2"/>
  <c r="P101" i="2" s="1"/>
  <c r="G102" i="2"/>
  <c r="L102" i="2" s="1"/>
  <c r="H102" i="2"/>
  <c r="M102" i="2" s="1"/>
  <c r="I102" i="2"/>
  <c r="N102" i="2" s="1"/>
  <c r="J102" i="2"/>
  <c r="O102" i="2" s="1"/>
  <c r="K102" i="2"/>
  <c r="P102" i="2" s="1"/>
  <c r="G103" i="2"/>
  <c r="L103" i="2" s="1"/>
  <c r="H103" i="2"/>
  <c r="M103" i="2" s="1"/>
  <c r="I103" i="2"/>
  <c r="N103" i="2" s="1"/>
  <c r="J103" i="2"/>
  <c r="O103" i="2" s="1"/>
  <c r="K103" i="2"/>
  <c r="P103" i="2" s="1"/>
  <c r="G104" i="2"/>
  <c r="L104" i="2" s="1"/>
  <c r="H104" i="2"/>
  <c r="M104" i="2" s="1"/>
  <c r="I104" i="2"/>
  <c r="N104" i="2" s="1"/>
  <c r="J104" i="2"/>
  <c r="O104" i="2" s="1"/>
  <c r="K104" i="2"/>
  <c r="P104" i="2" s="1"/>
  <c r="G105" i="2"/>
  <c r="L105" i="2" s="1"/>
  <c r="H105" i="2"/>
  <c r="M105" i="2" s="1"/>
  <c r="I105" i="2"/>
  <c r="N105" i="2" s="1"/>
  <c r="J105" i="2"/>
  <c r="O105" i="2" s="1"/>
  <c r="K105" i="2"/>
  <c r="P105" i="2" s="1"/>
  <c r="G106" i="2"/>
  <c r="L106" i="2" s="1"/>
  <c r="H106" i="2"/>
  <c r="M106" i="2" s="1"/>
  <c r="I106" i="2"/>
  <c r="N106" i="2" s="1"/>
  <c r="J106" i="2"/>
  <c r="O106" i="2" s="1"/>
  <c r="K106" i="2"/>
  <c r="P106" i="2" s="1"/>
  <c r="G107" i="2"/>
  <c r="L107" i="2" s="1"/>
  <c r="H107" i="2"/>
  <c r="M107" i="2" s="1"/>
  <c r="I107" i="2"/>
  <c r="N107" i="2" s="1"/>
  <c r="J107" i="2"/>
  <c r="O107" i="2" s="1"/>
  <c r="K107" i="2"/>
  <c r="P107" i="2" s="1"/>
  <c r="G108" i="2"/>
  <c r="L108" i="2" s="1"/>
  <c r="H108" i="2"/>
  <c r="M108" i="2" s="1"/>
  <c r="I108" i="2"/>
  <c r="N108" i="2" s="1"/>
  <c r="J108" i="2"/>
  <c r="O108" i="2" s="1"/>
  <c r="K108" i="2"/>
  <c r="P108" i="2" s="1"/>
  <c r="G109" i="2"/>
  <c r="L109" i="2" s="1"/>
  <c r="H109" i="2"/>
  <c r="M109" i="2" s="1"/>
  <c r="I109" i="2"/>
  <c r="N109" i="2" s="1"/>
  <c r="J109" i="2"/>
  <c r="O109" i="2" s="1"/>
  <c r="K109" i="2"/>
  <c r="P109" i="2" s="1"/>
  <c r="G110" i="2"/>
  <c r="L110" i="2" s="1"/>
  <c r="H110" i="2"/>
  <c r="M110" i="2" s="1"/>
  <c r="I110" i="2"/>
  <c r="N110" i="2" s="1"/>
  <c r="J110" i="2"/>
  <c r="O110" i="2" s="1"/>
  <c r="K110" i="2"/>
  <c r="P110" i="2" s="1"/>
  <c r="G111" i="2"/>
  <c r="L111" i="2" s="1"/>
  <c r="H111" i="2"/>
  <c r="M111" i="2" s="1"/>
  <c r="I111" i="2"/>
  <c r="N111" i="2" s="1"/>
  <c r="J111" i="2"/>
  <c r="O111" i="2" s="1"/>
  <c r="K111" i="2"/>
  <c r="P111" i="2" s="1"/>
  <c r="G112" i="2"/>
  <c r="L112" i="2" s="1"/>
  <c r="H112" i="2"/>
  <c r="M112" i="2" s="1"/>
  <c r="I112" i="2"/>
  <c r="N112" i="2" s="1"/>
  <c r="J112" i="2"/>
  <c r="O112" i="2" s="1"/>
  <c r="K112" i="2"/>
  <c r="P112" i="2" s="1"/>
  <c r="G113" i="2"/>
  <c r="L113" i="2" s="1"/>
  <c r="H113" i="2"/>
  <c r="M113" i="2" s="1"/>
  <c r="I113" i="2"/>
  <c r="N113" i="2" s="1"/>
  <c r="J113" i="2"/>
  <c r="O113" i="2" s="1"/>
  <c r="K113" i="2"/>
  <c r="P113" i="2" s="1"/>
  <c r="G114" i="2"/>
  <c r="L114" i="2" s="1"/>
  <c r="H114" i="2"/>
  <c r="M114" i="2" s="1"/>
  <c r="I114" i="2"/>
  <c r="N114" i="2" s="1"/>
  <c r="J114" i="2"/>
  <c r="O114" i="2" s="1"/>
  <c r="K114" i="2"/>
  <c r="P114" i="2" s="1"/>
  <c r="G115" i="2"/>
  <c r="L115" i="2" s="1"/>
  <c r="H115" i="2"/>
  <c r="M115" i="2" s="1"/>
  <c r="I115" i="2"/>
  <c r="N115" i="2" s="1"/>
  <c r="J115" i="2"/>
  <c r="O115" i="2" s="1"/>
  <c r="K115" i="2"/>
  <c r="P115" i="2" s="1"/>
  <c r="G116" i="2"/>
  <c r="L116" i="2" s="1"/>
  <c r="H116" i="2"/>
  <c r="M116" i="2" s="1"/>
  <c r="I116" i="2"/>
  <c r="N116" i="2" s="1"/>
  <c r="J116" i="2"/>
  <c r="O116" i="2" s="1"/>
  <c r="K116" i="2"/>
  <c r="P116" i="2" s="1"/>
  <c r="G117" i="2"/>
  <c r="L117" i="2" s="1"/>
  <c r="H117" i="2"/>
  <c r="M117" i="2" s="1"/>
  <c r="I117" i="2"/>
  <c r="N117" i="2" s="1"/>
  <c r="J117" i="2"/>
  <c r="O117" i="2" s="1"/>
  <c r="K117" i="2"/>
  <c r="P117" i="2" s="1"/>
  <c r="G118" i="2"/>
  <c r="L118" i="2" s="1"/>
  <c r="H118" i="2"/>
  <c r="M118" i="2" s="1"/>
  <c r="I118" i="2"/>
  <c r="N118" i="2" s="1"/>
  <c r="J118" i="2"/>
  <c r="O118" i="2" s="1"/>
  <c r="K118" i="2"/>
  <c r="P118" i="2" s="1"/>
  <c r="G119" i="2"/>
  <c r="L119" i="2" s="1"/>
  <c r="H119" i="2"/>
  <c r="M119" i="2" s="1"/>
  <c r="I119" i="2"/>
  <c r="N119" i="2" s="1"/>
  <c r="J119" i="2"/>
  <c r="O119" i="2" s="1"/>
  <c r="K119" i="2"/>
  <c r="P119" i="2" s="1"/>
  <c r="G120" i="2"/>
  <c r="L120" i="2" s="1"/>
  <c r="H120" i="2"/>
  <c r="M120" i="2" s="1"/>
  <c r="I120" i="2"/>
  <c r="N120" i="2" s="1"/>
  <c r="J120" i="2"/>
  <c r="O120" i="2" s="1"/>
  <c r="K120" i="2"/>
  <c r="P120" i="2" s="1"/>
  <c r="G121" i="2"/>
  <c r="L121" i="2" s="1"/>
  <c r="H121" i="2"/>
  <c r="M121" i="2" s="1"/>
  <c r="I121" i="2"/>
  <c r="N121" i="2" s="1"/>
  <c r="J121" i="2"/>
  <c r="O121" i="2" s="1"/>
  <c r="K121" i="2"/>
  <c r="P121" i="2" s="1"/>
  <c r="G122" i="2"/>
  <c r="L122" i="2" s="1"/>
  <c r="H122" i="2"/>
  <c r="M122" i="2" s="1"/>
  <c r="I122" i="2"/>
  <c r="N122" i="2" s="1"/>
  <c r="J122" i="2"/>
  <c r="O122" i="2" s="1"/>
  <c r="K122" i="2"/>
  <c r="P122" i="2" s="1"/>
  <c r="G123" i="2"/>
  <c r="L123" i="2" s="1"/>
  <c r="H123" i="2"/>
  <c r="M123" i="2" s="1"/>
  <c r="I123" i="2"/>
  <c r="N123" i="2" s="1"/>
  <c r="J123" i="2"/>
  <c r="O123" i="2" s="1"/>
  <c r="K123" i="2"/>
  <c r="P123" i="2" s="1"/>
  <c r="G124" i="2"/>
  <c r="L124" i="2" s="1"/>
  <c r="H124" i="2"/>
  <c r="M124" i="2" s="1"/>
  <c r="I124" i="2"/>
  <c r="N124" i="2" s="1"/>
  <c r="J124" i="2"/>
  <c r="O124" i="2" s="1"/>
  <c r="K124" i="2"/>
  <c r="P124" i="2" s="1"/>
  <c r="G125" i="2"/>
  <c r="L125" i="2" s="1"/>
  <c r="H125" i="2"/>
  <c r="M125" i="2" s="1"/>
  <c r="I125" i="2"/>
  <c r="N125" i="2" s="1"/>
  <c r="J125" i="2"/>
  <c r="O125" i="2" s="1"/>
  <c r="K125" i="2"/>
  <c r="P125" i="2" s="1"/>
  <c r="G126" i="2"/>
  <c r="L126" i="2" s="1"/>
  <c r="H126" i="2"/>
  <c r="M126" i="2" s="1"/>
  <c r="I126" i="2"/>
  <c r="N126" i="2" s="1"/>
  <c r="J126" i="2"/>
  <c r="O126" i="2" s="1"/>
  <c r="K126" i="2"/>
  <c r="P126" i="2" s="1"/>
  <c r="G127" i="2"/>
  <c r="L127" i="2" s="1"/>
  <c r="H127" i="2"/>
  <c r="M127" i="2" s="1"/>
  <c r="I127" i="2"/>
  <c r="N127" i="2" s="1"/>
  <c r="J127" i="2"/>
  <c r="O127" i="2" s="1"/>
  <c r="K127" i="2"/>
  <c r="P127" i="2" s="1"/>
  <c r="G128" i="2"/>
  <c r="L128" i="2" s="1"/>
  <c r="H128" i="2"/>
  <c r="M128" i="2" s="1"/>
  <c r="I128" i="2"/>
  <c r="N128" i="2" s="1"/>
  <c r="J128" i="2"/>
  <c r="O128" i="2" s="1"/>
  <c r="K128" i="2"/>
  <c r="P128" i="2" s="1"/>
  <c r="G129" i="2"/>
  <c r="L129" i="2" s="1"/>
  <c r="H129" i="2"/>
  <c r="M129" i="2" s="1"/>
  <c r="I129" i="2"/>
  <c r="N129" i="2" s="1"/>
  <c r="J129" i="2"/>
  <c r="O129" i="2" s="1"/>
  <c r="K129" i="2"/>
  <c r="P129" i="2" s="1"/>
  <c r="G130" i="2"/>
  <c r="L130" i="2" s="1"/>
  <c r="H130" i="2"/>
  <c r="M130" i="2" s="1"/>
  <c r="I130" i="2"/>
  <c r="N130" i="2" s="1"/>
  <c r="J130" i="2"/>
  <c r="O130" i="2" s="1"/>
  <c r="K130" i="2"/>
  <c r="P130" i="2" s="1"/>
  <c r="G131" i="2"/>
  <c r="L131" i="2" s="1"/>
  <c r="H131" i="2"/>
  <c r="M131" i="2" s="1"/>
  <c r="I131" i="2"/>
  <c r="N131" i="2" s="1"/>
  <c r="J131" i="2"/>
  <c r="O131" i="2" s="1"/>
  <c r="K131" i="2"/>
  <c r="P131" i="2" s="1"/>
  <c r="G132" i="2"/>
  <c r="L132" i="2" s="1"/>
  <c r="H132" i="2"/>
  <c r="M132" i="2" s="1"/>
  <c r="I132" i="2"/>
  <c r="N132" i="2" s="1"/>
  <c r="J132" i="2"/>
  <c r="O132" i="2" s="1"/>
  <c r="K132" i="2"/>
  <c r="P132" i="2" s="1"/>
  <c r="G133" i="2"/>
  <c r="L133" i="2" s="1"/>
  <c r="H133" i="2"/>
  <c r="M133" i="2" s="1"/>
  <c r="I133" i="2"/>
  <c r="N133" i="2" s="1"/>
  <c r="J133" i="2"/>
  <c r="O133" i="2" s="1"/>
  <c r="K133" i="2"/>
  <c r="P133" i="2" s="1"/>
  <c r="G134" i="2"/>
  <c r="L134" i="2" s="1"/>
  <c r="H134" i="2"/>
  <c r="M134" i="2" s="1"/>
  <c r="I134" i="2"/>
  <c r="N134" i="2" s="1"/>
  <c r="J134" i="2"/>
  <c r="O134" i="2" s="1"/>
  <c r="K134" i="2"/>
  <c r="P134" i="2" s="1"/>
  <c r="G135" i="2"/>
  <c r="L135" i="2" s="1"/>
  <c r="H135" i="2"/>
  <c r="M135" i="2" s="1"/>
  <c r="I135" i="2"/>
  <c r="N135" i="2" s="1"/>
  <c r="J135" i="2"/>
  <c r="O135" i="2" s="1"/>
  <c r="K135" i="2"/>
  <c r="P135" i="2" s="1"/>
  <c r="G136" i="2"/>
  <c r="L136" i="2" s="1"/>
  <c r="H136" i="2"/>
  <c r="M136" i="2" s="1"/>
  <c r="I136" i="2"/>
  <c r="N136" i="2" s="1"/>
  <c r="J136" i="2"/>
  <c r="O136" i="2" s="1"/>
  <c r="K136" i="2"/>
  <c r="P136" i="2" s="1"/>
  <c r="G137" i="2"/>
  <c r="L137" i="2" s="1"/>
  <c r="H137" i="2"/>
  <c r="M137" i="2" s="1"/>
  <c r="I137" i="2"/>
  <c r="N137" i="2" s="1"/>
  <c r="J137" i="2"/>
  <c r="O137" i="2" s="1"/>
  <c r="K137" i="2"/>
  <c r="P137" i="2" s="1"/>
  <c r="G138" i="2"/>
  <c r="L138" i="2" s="1"/>
  <c r="H138" i="2"/>
  <c r="M138" i="2" s="1"/>
  <c r="I138" i="2"/>
  <c r="N138" i="2" s="1"/>
  <c r="J138" i="2"/>
  <c r="O138" i="2" s="1"/>
  <c r="K138" i="2"/>
  <c r="P138" i="2" s="1"/>
  <c r="G139" i="2"/>
  <c r="L139" i="2" s="1"/>
  <c r="H139" i="2"/>
  <c r="M139" i="2" s="1"/>
  <c r="I139" i="2"/>
  <c r="N139" i="2" s="1"/>
  <c r="J139" i="2"/>
  <c r="O139" i="2" s="1"/>
  <c r="K139" i="2"/>
  <c r="P139" i="2" s="1"/>
  <c r="G140" i="2"/>
  <c r="L140" i="2" s="1"/>
  <c r="H140" i="2"/>
  <c r="M140" i="2" s="1"/>
  <c r="I140" i="2"/>
  <c r="N140" i="2" s="1"/>
  <c r="J140" i="2"/>
  <c r="O140" i="2" s="1"/>
  <c r="T140" i="2" s="1"/>
  <c r="Y140" i="2" s="1"/>
  <c r="K140" i="2"/>
  <c r="P140" i="2" s="1"/>
  <c r="G141" i="2"/>
  <c r="L141" i="2" s="1"/>
  <c r="H141" i="2"/>
  <c r="M141" i="2" s="1"/>
  <c r="I141" i="2"/>
  <c r="N141" i="2" s="1"/>
  <c r="J141" i="2"/>
  <c r="O141" i="2" s="1"/>
  <c r="K141" i="2"/>
  <c r="P141" i="2" s="1"/>
  <c r="G142" i="2"/>
  <c r="L142" i="2" s="1"/>
  <c r="H142" i="2"/>
  <c r="M142" i="2" s="1"/>
  <c r="I142" i="2"/>
  <c r="N142" i="2" s="1"/>
  <c r="J142" i="2"/>
  <c r="O142" i="2" s="1"/>
  <c r="K142" i="2"/>
  <c r="P142" i="2" s="1"/>
  <c r="G143" i="2"/>
  <c r="L143" i="2" s="1"/>
  <c r="H143" i="2"/>
  <c r="M143" i="2" s="1"/>
  <c r="I143" i="2"/>
  <c r="N143" i="2" s="1"/>
  <c r="J143" i="2"/>
  <c r="O143" i="2" s="1"/>
  <c r="K143" i="2"/>
  <c r="P143" i="2" s="1"/>
  <c r="G144" i="2"/>
  <c r="L144" i="2" s="1"/>
  <c r="H144" i="2"/>
  <c r="M144" i="2" s="1"/>
  <c r="I144" i="2"/>
  <c r="N144" i="2" s="1"/>
  <c r="J144" i="2"/>
  <c r="O144" i="2" s="1"/>
  <c r="K144" i="2"/>
  <c r="P144" i="2" s="1"/>
  <c r="K2" i="2"/>
  <c r="P2" i="2" s="1"/>
  <c r="J2" i="2"/>
  <c r="O2" i="2" s="1"/>
  <c r="I2" i="2"/>
  <c r="N2" i="2" s="1"/>
  <c r="H2" i="2"/>
  <c r="M2" i="2" s="1"/>
  <c r="G2" i="2"/>
  <c r="L2" i="2" s="1"/>
  <c r="S139" i="2" l="1"/>
  <c r="X139" i="2" s="1"/>
  <c r="T134" i="2"/>
  <c r="Y134" i="2" s="1"/>
  <c r="U129" i="2"/>
  <c r="Z129" i="2" s="1"/>
  <c r="S127" i="2"/>
  <c r="X127" i="2" s="1"/>
  <c r="T122" i="2"/>
  <c r="Y122" i="2" s="1"/>
  <c r="U117" i="2"/>
  <c r="Z117" i="2" s="1"/>
  <c r="S115" i="2"/>
  <c r="X115" i="2" s="1"/>
  <c r="T110" i="2"/>
  <c r="Y110" i="2" s="1"/>
  <c r="U105" i="2"/>
  <c r="Z105" i="2" s="1"/>
  <c r="T98" i="2"/>
  <c r="Y98" i="2" s="1"/>
  <c r="U93" i="2"/>
  <c r="Z93" i="2" s="1"/>
  <c r="T136" i="2"/>
  <c r="Y136" i="2" s="1"/>
  <c r="U143" i="2"/>
  <c r="Z143" i="2" s="1"/>
  <c r="S144" i="2"/>
  <c r="X144" i="2" s="1"/>
  <c r="U141" i="2"/>
  <c r="Z141" i="2" s="1"/>
  <c r="R144" i="2"/>
  <c r="W144" i="2" s="1"/>
  <c r="R120" i="2"/>
  <c r="W120" i="2" s="1"/>
  <c r="S91" i="2"/>
  <c r="X91" i="2" s="1"/>
  <c r="T86" i="2"/>
  <c r="Y86" i="2" s="1"/>
  <c r="T38" i="2"/>
  <c r="Y38" i="2" s="1"/>
  <c r="T26" i="2"/>
  <c r="Y26" i="2" s="1"/>
  <c r="Q125" i="2"/>
  <c r="V125" i="2" s="1"/>
  <c r="S103" i="2"/>
  <c r="X103" i="2" s="1"/>
  <c r="Q142" i="2"/>
  <c r="V142" i="2" s="1"/>
  <c r="S141" i="2"/>
  <c r="X141" i="2" s="1"/>
  <c r="Q139" i="2"/>
  <c r="V139" i="2" s="1"/>
  <c r="R134" i="2"/>
  <c r="W134" i="2" s="1"/>
  <c r="U131" i="2"/>
  <c r="Z131" i="2" s="1"/>
  <c r="S129" i="2"/>
  <c r="X129" i="2" s="1"/>
  <c r="Q127" i="2"/>
  <c r="V127" i="2" s="1"/>
  <c r="T124" i="2"/>
  <c r="Y124" i="2" s="1"/>
  <c r="R122" i="2"/>
  <c r="W122" i="2" s="1"/>
  <c r="U119" i="2"/>
  <c r="Z119" i="2" s="1"/>
  <c r="S117" i="2"/>
  <c r="X117" i="2" s="1"/>
  <c r="Q115" i="2"/>
  <c r="V115" i="2" s="1"/>
  <c r="T112" i="2"/>
  <c r="Y112" i="2" s="1"/>
  <c r="R110" i="2"/>
  <c r="W110" i="2" s="1"/>
  <c r="U107" i="2"/>
  <c r="Z107" i="2" s="1"/>
  <c r="S105" i="2"/>
  <c r="X105" i="2" s="1"/>
  <c r="Q103" i="2"/>
  <c r="V103" i="2" s="1"/>
  <c r="T100" i="2"/>
  <c r="Y100" i="2" s="1"/>
  <c r="R98" i="2"/>
  <c r="W98" i="2" s="1"/>
  <c r="U95" i="2"/>
  <c r="Z95" i="2" s="1"/>
  <c r="S93" i="2"/>
  <c r="X93" i="2" s="1"/>
  <c r="Q91" i="2"/>
  <c r="V91" i="2" s="1"/>
  <c r="T88" i="2"/>
  <c r="Y88" i="2" s="1"/>
  <c r="R86" i="2"/>
  <c r="W86" i="2" s="1"/>
  <c r="U83" i="2"/>
  <c r="Z83" i="2" s="1"/>
  <c r="S81" i="2"/>
  <c r="X81" i="2" s="1"/>
  <c r="T76" i="2"/>
  <c r="Y76" i="2" s="1"/>
  <c r="U71" i="2"/>
  <c r="Z71" i="2" s="1"/>
  <c r="Q137" i="2"/>
  <c r="V137" i="2" s="1"/>
  <c r="R132" i="2"/>
  <c r="W132" i="2" s="1"/>
  <c r="T144" i="2"/>
  <c r="Y144" i="2" s="1"/>
  <c r="R142" i="2"/>
  <c r="W142" i="2" s="1"/>
  <c r="U139" i="2"/>
  <c r="Z139" i="2" s="1"/>
  <c r="S137" i="2"/>
  <c r="X137" i="2" s="1"/>
  <c r="Q135" i="2"/>
  <c r="V135" i="2" s="1"/>
  <c r="Q3" i="6"/>
  <c r="V3" i="6" s="1"/>
  <c r="S69" i="2"/>
  <c r="X69" i="2" s="1"/>
  <c r="T64" i="2"/>
  <c r="Y64" i="2" s="1"/>
  <c r="U59" i="2"/>
  <c r="Z59" i="2" s="1"/>
  <c r="S57" i="2"/>
  <c r="X57" i="2" s="1"/>
  <c r="T52" i="2"/>
  <c r="Y52" i="2" s="1"/>
  <c r="T40" i="2"/>
  <c r="Y40" i="2" s="1"/>
  <c r="T28" i="2"/>
  <c r="Y28" i="2" s="1"/>
  <c r="U135" i="2"/>
  <c r="Z135" i="2" s="1"/>
  <c r="T142" i="2"/>
  <c r="Y142" i="2" s="1"/>
  <c r="T132" i="2"/>
  <c r="Y132" i="2" s="1"/>
  <c r="R130" i="2"/>
  <c r="W130" i="2" s="1"/>
  <c r="U127" i="2"/>
  <c r="Z127" i="2" s="1"/>
  <c r="S125" i="2"/>
  <c r="X125" i="2" s="1"/>
  <c r="Q123" i="2"/>
  <c r="V123" i="2" s="1"/>
  <c r="T120" i="2"/>
  <c r="Y120" i="2" s="1"/>
  <c r="R118" i="2"/>
  <c r="W118" i="2" s="1"/>
  <c r="U115" i="2"/>
  <c r="Z115" i="2" s="1"/>
  <c r="S113" i="2"/>
  <c r="X113" i="2" s="1"/>
  <c r="Q111" i="2"/>
  <c r="V111" i="2" s="1"/>
  <c r="T108" i="2"/>
  <c r="Y108" i="2" s="1"/>
  <c r="R106" i="2"/>
  <c r="W106" i="2" s="1"/>
  <c r="U103" i="2"/>
  <c r="Z103" i="2" s="1"/>
  <c r="S101" i="2"/>
  <c r="X101" i="2" s="1"/>
  <c r="T96" i="2"/>
  <c r="Y96" i="2" s="1"/>
  <c r="U91" i="2"/>
  <c r="Z91" i="2" s="1"/>
  <c r="S89" i="2"/>
  <c r="X89" i="2" s="1"/>
  <c r="T84" i="2"/>
  <c r="Y84" i="2" s="1"/>
  <c r="S53" i="2"/>
  <c r="X53" i="2" s="1"/>
  <c r="T48" i="2"/>
  <c r="Y48" i="2" s="1"/>
  <c r="T36" i="2"/>
  <c r="Y36" i="2" s="1"/>
  <c r="T24" i="2"/>
  <c r="Y24" i="2" s="1"/>
  <c r="T139" i="2"/>
  <c r="Y139" i="2" s="1"/>
  <c r="R137" i="2"/>
  <c r="W137" i="2" s="1"/>
  <c r="U134" i="2"/>
  <c r="Z134" i="2" s="1"/>
  <c r="S132" i="2"/>
  <c r="X132" i="2" s="1"/>
  <c r="Q130" i="2"/>
  <c r="V130" i="2" s="1"/>
  <c r="T127" i="2"/>
  <c r="Y127" i="2" s="1"/>
  <c r="R125" i="2"/>
  <c r="W125" i="2" s="1"/>
  <c r="U122" i="2"/>
  <c r="Z122" i="2" s="1"/>
  <c r="S120" i="2"/>
  <c r="X120" i="2" s="1"/>
  <c r="Q118" i="2"/>
  <c r="V118" i="2" s="1"/>
  <c r="T115" i="2"/>
  <c r="Y115" i="2" s="1"/>
  <c r="R113" i="2"/>
  <c r="W113" i="2" s="1"/>
  <c r="U110" i="2"/>
  <c r="Z110" i="2" s="1"/>
  <c r="S108" i="2"/>
  <c r="X108" i="2" s="1"/>
  <c r="T103" i="2"/>
  <c r="Y103" i="2" s="1"/>
  <c r="U98" i="2"/>
  <c r="Z98" i="2" s="1"/>
  <c r="S96" i="2"/>
  <c r="X96" i="2" s="1"/>
  <c r="T91" i="2"/>
  <c r="Y91" i="2" s="1"/>
  <c r="U86" i="2"/>
  <c r="Z86" i="2" s="1"/>
  <c r="S72" i="2"/>
  <c r="X72" i="2" s="1"/>
  <c r="U50" i="2"/>
  <c r="Z50" i="2" s="1"/>
  <c r="T43" i="2"/>
  <c r="Y43" i="2" s="1"/>
  <c r="T19" i="2"/>
  <c r="Y19" i="2" s="1"/>
  <c r="T7" i="2"/>
  <c r="Y7" i="2" s="1"/>
  <c r="T141" i="2"/>
  <c r="Y141" i="2" s="1"/>
  <c r="U136" i="2"/>
  <c r="Z136" i="2" s="1"/>
  <c r="U112" i="2"/>
  <c r="Z112" i="2" s="1"/>
  <c r="S98" i="2"/>
  <c r="X98" i="2" s="1"/>
  <c r="T69" i="2"/>
  <c r="Y69" i="2" s="1"/>
  <c r="T45" i="2"/>
  <c r="Y45" i="2" s="1"/>
  <c r="T33" i="2"/>
  <c r="Y33" i="2" s="1"/>
  <c r="T143" i="2"/>
  <c r="Y143" i="2" s="1"/>
  <c r="R141" i="2"/>
  <c r="W141" i="2" s="1"/>
  <c r="U138" i="2"/>
  <c r="Z138" i="2" s="1"/>
  <c r="S136" i="2"/>
  <c r="X136" i="2" s="1"/>
  <c r="Q134" i="2"/>
  <c r="V134" i="2" s="1"/>
  <c r="T131" i="2"/>
  <c r="Y131" i="2" s="1"/>
  <c r="R129" i="2"/>
  <c r="W129" i="2" s="1"/>
  <c r="U126" i="2"/>
  <c r="Z126" i="2" s="1"/>
  <c r="S124" i="2"/>
  <c r="X124" i="2" s="1"/>
  <c r="Q122" i="2"/>
  <c r="V122" i="2" s="1"/>
  <c r="T119" i="2"/>
  <c r="Y119" i="2" s="1"/>
  <c r="R117" i="2"/>
  <c r="W117" i="2" s="1"/>
  <c r="U114" i="2"/>
  <c r="Z114" i="2" s="1"/>
  <c r="S112" i="2"/>
  <c r="X112" i="2" s="1"/>
  <c r="T107" i="2"/>
  <c r="Y107" i="2" s="1"/>
  <c r="U102" i="2"/>
  <c r="Z102" i="2" s="1"/>
  <c r="S100" i="2"/>
  <c r="X100" i="2" s="1"/>
  <c r="T95" i="2"/>
  <c r="Y95" i="2" s="1"/>
  <c r="U90" i="2"/>
  <c r="Z90" i="2" s="1"/>
  <c r="S88" i="2"/>
  <c r="X88" i="2" s="1"/>
  <c r="T83" i="2"/>
  <c r="Y83" i="2" s="1"/>
  <c r="U78" i="2"/>
  <c r="Z78" i="2" s="1"/>
  <c r="T71" i="2"/>
  <c r="Y71" i="2" s="1"/>
  <c r="T59" i="2"/>
  <c r="Y59" i="2" s="1"/>
  <c r="S143" i="2"/>
  <c r="X143" i="2" s="1"/>
  <c r="T138" i="2"/>
  <c r="Y138" i="2" s="1"/>
  <c r="R136" i="2"/>
  <c r="W136" i="2" s="1"/>
  <c r="U133" i="2"/>
  <c r="Z133" i="2" s="1"/>
  <c r="S131" i="2"/>
  <c r="X131" i="2" s="1"/>
  <c r="T126" i="2"/>
  <c r="Y126" i="2" s="1"/>
  <c r="U121" i="2"/>
  <c r="Z121" i="2" s="1"/>
  <c r="S119" i="2"/>
  <c r="X119" i="2" s="1"/>
  <c r="T114" i="2"/>
  <c r="Y114" i="2" s="1"/>
  <c r="T102" i="2"/>
  <c r="Y102" i="2" s="1"/>
  <c r="T90" i="2"/>
  <c r="Y90" i="2" s="1"/>
  <c r="U140" i="2"/>
  <c r="Z140" i="2" s="1"/>
  <c r="S138" i="2"/>
  <c r="X138" i="2" s="1"/>
  <c r="T133" i="2"/>
  <c r="Y133" i="2" s="1"/>
  <c r="U128" i="2"/>
  <c r="Z128" i="2" s="1"/>
  <c r="S126" i="2"/>
  <c r="X126" i="2" s="1"/>
  <c r="T121" i="2"/>
  <c r="Y121" i="2" s="1"/>
  <c r="U116" i="2"/>
  <c r="Z116" i="2" s="1"/>
  <c r="S114" i="2"/>
  <c r="X114" i="2" s="1"/>
  <c r="T109" i="2"/>
  <c r="Y109" i="2" s="1"/>
  <c r="U104" i="2"/>
  <c r="Z104" i="2" s="1"/>
  <c r="S102" i="2"/>
  <c r="X102" i="2" s="1"/>
  <c r="T97" i="2"/>
  <c r="Y97" i="2" s="1"/>
  <c r="U92" i="2"/>
  <c r="Z92" i="2" s="1"/>
  <c r="S90" i="2"/>
  <c r="X90" i="2" s="1"/>
  <c r="T85" i="2"/>
  <c r="Y85" i="2" s="1"/>
  <c r="U80" i="2"/>
  <c r="Z80" i="2" s="1"/>
  <c r="S78" i="2"/>
  <c r="X78" i="2" s="1"/>
  <c r="T73" i="2"/>
  <c r="Y73" i="2" s="1"/>
  <c r="T61" i="2"/>
  <c r="Y61" i="2" s="1"/>
  <c r="T128" i="2"/>
  <c r="Y128" i="2" s="1"/>
  <c r="T116" i="2"/>
  <c r="Y116" i="2" s="1"/>
  <c r="T104" i="2"/>
  <c r="Y104" i="2" s="1"/>
  <c r="T92" i="2"/>
  <c r="Y92" i="2" s="1"/>
  <c r="T130" i="2"/>
  <c r="Y130" i="2" s="1"/>
  <c r="T118" i="2"/>
  <c r="Y118" i="2" s="1"/>
  <c r="T106" i="2"/>
  <c r="Y106" i="2" s="1"/>
  <c r="Q99" i="2"/>
  <c r="V99" i="2" s="1"/>
  <c r="R94" i="2"/>
  <c r="W94" i="2" s="1"/>
  <c r="Q87" i="2"/>
  <c r="V87" i="2" s="1"/>
  <c r="R82" i="2"/>
  <c r="W82" i="2" s="1"/>
  <c r="Q75" i="2"/>
  <c r="V75" i="2" s="1"/>
  <c r="Q63" i="2"/>
  <c r="V63" i="2" s="1"/>
  <c r="Q51" i="2"/>
  <c r="V51" i="2" s="1"/>
  <c r="R46" i="2"/>
  <c r="W46" i="2" s="1"/>
  <c r="S41" i="2"/>
  <c r="X41" i="2" s="1"/>
  <c r="R22" i="2"/>
  <c r="W22" i="2" s="1"/>
  <c r="S17" i="2"/>
  <c r="X17" i="2" s="1"/>
  <c r="R10" i="2"/>
  <c r="W10" i="2" s="1"/>
  <c r="U7" i="2"/>
  <c r="Z7" i="2" s="1"/>
  <c r="Q106" i="2"/>
  <c r="V106" i="2" s="1"/>
  <c r="R101" i="2"/>
  <c r="W101" i="2" s="1"/>
  <c r="Q94" i="2"/>
  <c r="V94" i="2" s="1"/>
  <c r="Q82" i="2"/>
  <c r="V82" i="2" s="1"/>
  <c r="R41" i="2"/>
  <c r="W41" i="2" s="1"/>
  <c r="U38" i="2"/>
  <c r="Z38" i="2" s="1"/>
  <c r="S36" i="2"/>
  <c r="X36" i="2" s="1"/>
  <c r="Q34" i="2"/>
  <c r="V34" i="2" s="1"/>
  <c r="Q22" i="2"/>
  <c r="V22" i="2" s="1"/>
  <c r="U14" i="2"/>
  <c r="Z14" i="2" s="1"/>
  <c r="R5" i="2"/>
  <c r="W5" i="2" s="1"/>
  <c r="Q113" i="2"/>
  <c r="V113" i="2" s="1"/>
  <c r="R108" i="2"/>
  <c r="W108" i="2" s="1"/>
  <c r="Q101" i="2"/>
  <c r="V101" i="2" s="1"/>
  <c r="R96" i="2"/>
  <c r="W96" i="2" s="1"/>
  <c r="Q89" i="2"/>
  <c r="V89" i="2" s="1"/>
  <c r="R84" i="2"/>
  <c r="W84" i="2" s="1"/>
  <c r="R60" i="2"/>
  <c r="W60" i="2" s="1"/>
  <c r="U57" i="2"/>
  <c r="Z57" i="2" s="1"/>
  <c r="Q53" i="2"/>
  <c r="V53" i="2" s="1"/>
  <c r="R48" i="2"/>
  <c r="W48" i="2" s="1"/>
  <c r="U45" i="2"/>
  <c r="Z45" i="2" s="1"/>
  <c r="Q41" i="2"/>
  <c r="V41" i="2" s="1"/>
  <c r="R36" i="2"/>
  <c r="W36" i="2" s="1"/>
  <c r="U33" i="2"/>
  <c r="Z33" i="2" s="1"/>
  <c r="S31" i="2"/>
  <c r="X31" i="2" s="1"/>
  <c r="S19" i="2"/>
  <c r="X19" i="2" s="1"/>
  <c r="T14" i="2"/>
  <c r="Y14" i="2" s="1"/>
  <c r="R12" i="2"/>
  <c r="W12" i="2" s="1"/>
  <c r="Q5" i="2"/>
  <c r="V5" i="2" s="1"/>
  <c r="Q144" i="2"/>
  <c r="V144" i="2" s="1"/>
  <c r="R127" i="2"/>
  <c r="W127" i="2" s="1"/>
  <c r="Q108" i="2"/>
  <c r="V108" i="2" s="1"/>
  <c r="Q84" i="2"/>
  <c r="V84" i="2" s="1"/>
  <c r="R79" i="2"/>
  <c r="W79" i="2" s="1"/>
  <c r="R43" i="2"/>
  <c r="W43" i="2" s="1"/>
  <c r="S38" i="2"/>
  <c r="X38" i="2" s="1"/>
  <c r="Q36" i="2"/>
  <c r="V36" i="2" s="1"/>
  <c r="R31" i="2"/>
  <c r="W31" i="2" s="1"/>
  <c r="U28" i="2"/>
  <c r="Z28" i="2" s="1"/>
  <c r="U16" i="2"/>
  <c r="Z16" i="2" s="1"/>
  <c r="S14" i="2"/>
  <c r="X14" i="2" s="1"/>
  <c r="T9" i="2"/>
  <c r="Y9" i="2" s="1"/>
  <c r="Q79" i="2"/>
  <c r="V79" i="2" s="1"/>
  <c r="R74" i="2"/>
  <c r="W74" i="2" s="1"/>
  <c r="Q67" i="2"/>
  <c r="V67" i="2" s="1"/>
  <c r="R62" i="2"/>
  <c r="W62" i="2" s="1"/>
  <c r="Q55" i="2"/>
  <c r="V55" i="2" s="1"/>
  <c r="Q43" i="2"/>
  <c r="V43" i="2" s="1"/>
  <c r="U35" i="2"/>
  <c r="Z35" i="2" s="1"/>
  <c r="S33" i="2"/>
  <c r="X33" i="2" s="1"/>
  <c r="Q31" i="2"/>
  <c r="V31" i="2" s="1"/>
  <c r="R26" i="2"/>
  <c r="W26" i="2" s="1"/>
  <c r="R14" i="2"/>
  <c r="W14" i="2" s="1"/>
  <c r="U11" i="2"/>
  <c r="Z11" i="2" s="1"/>
  <c r="Q7" i="2"/>
  <c r="V7" i="2" s="1"/>
  <c r="Q110" i="2"/>
  <c r="V110" i="2" s="1"/>
  <c r="R105" i="2"/>
  <c r="W105" i="2" s="1"/>
  <c r="Q98" i="2"/>
  <c r="V98" i="2" s="1"/>
  <c r="R93" i="2"/>
  <c r="W93" i="2" s="1"/>
  <c r="Q86" i="2"/>
  <c r="V86" i="2" s="1"/>
  <c r="R81" i="2"/>
  <c r="W81" i="2" s="1"/>
  <c r="S76" i="2"/>
  <c r="X76" i="2" s="1"/>
  <c r="Q74" i="2"/>
  <c r="V74" i="2" s="1"/>
  <c r="R69" i="2"/>
  <c r="W69" i="2" s="1"/>
  <c r="U66" i="2"/>
  <c r="Z66" i="2" s="1"/>
  <c r="S64" i="2"/>
  <c r="X64" i="2" s="1"/>
  <c r="Q62" i="2"/>
  <c r="V62" i="2" s="1"/>
  <c r="R57" i="2"/>
  <c r="W57" i="2" s="1"/>
  <c r="U54" i="2"/>
  <c r="Z54" i="2" s="1"/>
  <c r="S40" i="2"/>
  <c r="X40" i="2" s="1"/>
  <c r="Q38" i="2"/>
  <c r="V38" i="2" s="1"/>
  <c r="R33" i="2"/>
  <c r="W33" i="2" s="1"/>
  <c r="U30" i="2"/>
  <c r="Z30" i="2" s="1"/>
  <c r="S28" i="2"/>
  <c r="X28" i="2" s="1"/>
  <c r="Q26" i="2"/>
  <c r="V26" i="2" s="1"/>
  <c r="T23" i="2"/>
  <c r="Y23" i="2" s="1"/>
  <c r="T11" i="2"/>
  <c r="Y11" i="2" s="1"/>
  <c r="R9" i="2"/>
  <c r="W9" i="2" s="1"/>
  <c r="R124" i="2"/>
  <c r="W124" i="2" s="1"/>
  <c r="Q117" i="2"/>
  <c r="V117" i="2" s="1"/>
  <c r="R112" i="2"/>
  <c r="W112" i="2" s="1"/>
  <c r="U109" i="2"/>
  <c r="Z109" i="2" s="1"/>
  <c r="S107" i="2"/>
  <c r="X107" i="2" s="1"/>
  <c r="Q105" i="2"/>
  <c r="V105" i="2" s="1"/>
  <c r="R100" i="2"/>
  <c r="W100" i="2" s="1"/>
  <c r="U97" i="2"/>
  <c r="Z97" i="2" s="1"/>
  <c r="S95" i="2"/>
  <c r="X95" i="2" s="1"/>
  <c r="Q93" i="2"/>
  <c r="V93" i="2" s="1"/>
  <c r="R88" i="2"/>
  <c r="W88" i="2" s="1"/>
  <c r="U85" i="2"/>
  <c r="Z85" i="2" s="1"/>
  <c r="S83" i="2"/>
  <c r="X83" i="2" s="1"/>
  <c r="Q81" i="2"/>
  <c r="V81" i="2" s="1"/>
  <c r="T78" i="2"/>
  <c r="Y78" i="2" s="1"/>
  <c r="R76" i="2"/>
  <c r="W76" i="2" s="1"/>
  <c r="U73" i="2"/>
  <c r="Z73" i="2" s="1"/>
  <c r="S71" i="2"/>
  <c r="X71" i="2" s="1"/>
  <c r="Q69" i="2"/>
  <c r="V69" i="2" s="1"/>
  <c r="T66" i="2"/>
  <c r="Y66" i="2" s="1"/>
  <c r="R64" i="2"/>
  <c r="W64" i="2" s="1"/>
  <c r="U61" i="2"/>
  <c r="Z61" i="2" s="1"/>
  <c r="S59" i="2"/>
  <c r="X59" i="2" s="1"/>
  <c r="T54" i="2"/>
  <c r="Y54" i="2" s="1"/>
  <c r="R52" i="2"/>
  <c r="W52" i="2" s="1"/>
  <c r="U49" i="2"/>
  <c r="Z49" i="2" s="1"/>
  <c r="Q45" i="2"/>
  <c r="V45" i="2" s="1"/>
  <c r="U37" i="2"/>
  <c r="Z37" i="2" s="1"/>
  <c r="S35" i="2"/>
  <c r="X35" i="2" s="1"/>
  <c r="R28" i="2"/>
  <c r="W28" i="2" s="1"/>
  <c r="S23" i="2"/>
  <c r="X23" i="2" s="1"/>
  <c r="Q9" i="2"/>
  <c r="V9" i="2" s="1"/>
  <c r="T6" i="2"/>
  <c r="Y6" i="2" s="1"/>
  <c r="Q124" i="2"/>
  <c r="V124" i="2" s="1"/>
  <c r="R95" i="2"/>
  <c r="W95" i="2" s="1"/>
  <c r="Q88" i="2"/>
  <c r="V88" i="2" s="1"/>
  <c r="Q76" i="2"/>
  <c r="V76" i="2" s="1"/>
  <c r="R71" i="2"/>
  <c r="W71" i="2" s="1"/>
  <c r="U68" i="2"/>
  <c r="Z68" i="2" s="1"/>
  <c r="S66" i="2"/>
  <c r="X66" i="2" s="1"/>
  <c r="Q64" i="2"/>
  <c r="V64" i="2" s="1"/>
  <c r="R59" i="2"/>
  <c r="W59" i="2" s="1"/>
  <c r="U56" i="2"/>
  <c r="Z56" i="2" s="1"/>
  <c r="S54" i="2"/>
  <c r="X54" i="2" s="1"/>
  <c r="Q52" i="2"/>
  <c r="V52" i="2" s="1"/>
  <c r="T49" i="2"/>
  <c r="Y49" i="2" s="1"/>
  <c r="R47" i="2"/>
  <c r="W47" i="2" s="1"/>
  <c r="U32" i="2"/>
  <c r="Z32" i="2" s="1"/>
  <c r="Q28" i="2"/>
  <c r="V28" i="2" s="1"/>
  <c r="T25" i="2"/>
  <c r="Y25" i="2" s="1"/>
  <c r="R23" i="2"/>
  <c r="W23" i="2" s="1"/>
  <c r="U20" i="2"/>
  <c r="Z20" i="2" s="1"/>
  <c r="S18" i="2"/>
  <c r="X18" i="2" s="1"/>
  <c r="S6" i="2"/>
  <c r="X6" i="2" s="1"/>
  <c r="Q4" i="2"/>
  <c r="V4" i="2" s="1"/>
  <c r="Q136" i="2"/>
  <c r="V136" i="2" s="1"/>
  <c r="R107" i="2"/>
  <c r="W107" i="2" s="1"/>
  <c r="S121" i="2"/>
  <c r="X121" i="2" s="1"/>
  <c r="R114" i="2"/>
  <c r="W114" i="2" s="1"/>
  <c r="S109" i="2"/>
  <c r="X109" i="2" s="1"/>
  <c r="Q107" i="2"/>
  <c r="V107" i="2" s="1"/>
  <c r="R102" i="2"/>
  <c r="W102" i="2" s="1"/>
  <c r="S97" i="2"/>
  <c r="X97" i="2" s="1"/>
  <c r="R90" i="2"/>
  <c r="W90" i="2" s="1"/>
  <c r="U87" i="2"/>
  <c r="Z87" i="2" s="1"/>
  <c r="Q83" i="2"/>
  <c r="V83" i="2" s="1"/>
  <c r="T80" i="2"/>
  <c r="Y80" i="2" s="1"/>
  <c r="R78" i="2"/>
  <c r="W78" i="2" s="1"/>
  <c r="U75" i="2"/>
  <c r="Z75" i="2" s="1"/>
  <c r="S73" i="2"/>
  <c r="X73" i="2" s="1"/>
  <c r="Q71" i="2"/>
  <c r="V71" i="2" s="1"/>
  <c r="T68" i="2"/>
  <c r="Y68" i="2" s="1"/>
  <c r="R66" i="2"/>
  <c r="W66" i="2" s="1"/>
  <c r="U63" i="2"/>
  <c r="Z63" i="2" s="1"/>
  <c r="Q59" i="2"/>
  <c r="V59" i="2" s="1"/>
  <c r="T56" i="2"/>
  <c r="Y56" i="2" s="1"/>
  <c r="R54" i="2"/>
  <c r="W54" i="2" s="1"/>
  <c r="U51" i="2"/>
  <c r="Z51" i="2" s="1"/>
  <c r="S49" i="2"/>
  <c r="X49" i="2" s="1"/>
  <c r="Q47" i="2"/>
  <c r="V47" i="2" s="1"/>
  <c r="T44" i="2"/>
  <c r="Y44" i="2" s="1"/>
  <c r="T32" i="2"/>
  <c r="Y32" i="2" s="1"/>
  <c r="R30" i="2"/>
  <c r="W30" i="2" s="1"/>
  <c r="S25" i="2"/>
  <c r="X25" i="2" s="1"/>
  <c r="Q23" i="2"/>
  <c r="V23" i="2" s="1"/>
  <c r="T20" i="2"/>
  <c r="Y20" i="2" s="1"/>
  <c r="R18" i="2"/>
  <c r="W18" i="2" s="1"/>
  <c r="U15" i="2"/>
  <c r="Z15" i="2" s="1"/>
  <c r="U3" i="2"/>
  <c r="Z3" i="2" s="1"/>
  <c r="Q141" i="2"/>
  <c r="V141" i="2" s="1"/>
  <c r="Q129" i="2"/>
  <c r="V129" i="2" s="1"/>
  <c r="R143" i="2"/>
  <c r="W143" i="2" s="1"/>
  <c r="R131" i="2"/>
  <c r="W131" i="2" s="1"/>
  <c r="Q131" i="2"/>
  <c r="V131" i="2" s="1"/>
  <c r="R126" i="2"/>
  <c r="W126" i="2" s="1"/>
  <c r="U123" i="2"/>
  <c r="Z123" i="2" s="1"/>
  <c r="Q119" i="2"/>
  <c r="V119" i="2" s="1"/>
  <c r="U111" i="2"/>
  <c r="Z111" i="2" s="1"/>
  <c r="U99" i="2"/>
  <c r="Z99" i="2" s="1"/>
  <c r="Q95" i="2"/>
  <c r="V95" i="2" s="1"/>
  <c r="S85" i="2"/>
  <c r="X85" i="2" s="1"/>
  <c r="U142" i="2"/>
  <c r="Z142" i="2" s="1"/>
  <c r="S140" i="2"/>
  <c r="X140" i="2" s="1"/>
  <c r="Q138" i="2"/>
  <c r="V138" i="2" s="1"/>
  <c r="T135" i="2"/>
  <c r="Y135" i="2" s="1"/>
  <c r="R133" i="2"/>
  <c r="W133" i="2" s="1"/>
  <c r="U130" i="2"/>
  <c r="Z130" i="2" s="1"/>
  <c r="S128" i="2"/>
  <c r="X128" i="2" s="1"/>
  <c r="Q126" i="2"/>
  <c r="V126" i="2" s="1"/>
  <c r="T123" i="2"/>
  <c r="Y123" i="2" s="1"/>
  <c r="R121" i="2"/>
  <c r="W121" i="2" s="1"/>
  <c r="U118" i="2"/>
  <c r="Z118" i="2" s="1"/>
  <c r="S116" i="2"/>
  <c r="X116" i="2" s="1"/>
  <c r="Q114" i="2"/>
  <c r="V114" i="2" s="1"/>
  <c r="T111" i="2"/>
  <c r="Y111" i="2" s="1"/>
  <c r="R109" i="2"/>
  <c r="W109" i="2" s="1"/>
  <c r="U106" i="2"/>
  <c r="Z106" i="2" s="1"/>
  <c r="S104" i="2"/>
  <c r="X104" i="2" s="1"/>
  <c r="Q102" i="2"/>
  <c r="V102" i="2" s="1"/>
  <c r="T99" i="2"/>
  <c r="Y99" i="2" s="1"/>
  <c r="R97" i="2"/>
  <c r="W97" i="2" s="1"/>
  <c r="U94" i="2"/>
  <c r="Z94" i="2" s="1"/>
  <c r="S92" i="2"/>
  <c r="X92" i="2" s="1"/>
  <c r="Q90" i="2"/>
  <c r="V90" i="2" s="1"/>
  <c r="T87" i="2"/>
  <c r="Y87" i="2" s="1"/>
  <c r="R85" i="2"/>
  <c r="W85" i="2" s="1"/>
  <c r="U82" i="2"/>
  <c r="Z82" i="2" s="1"/>
  <c r="S68" i="2"/>
  <c r="X68" i="2" s="1"/>
  <c r="R61" i="2"/>
  <c r="W61" i="2" s="1"/>
  <c r="S56" i="2"/>
  <c r="X56" i="2" s="1"/>
  <c r="Q54" i="2"/>
  <c r="V54" i="2" s="1"/>
  <c r="S44" i="2"/>
  <c r="X44" i="2" s="1"/>
  <c r="Q112" i="2"/>
  <c r="V112" i="2" s="1"/>
  <c r="Q100" i="2"/>
  <c r="V100" i="2" s="1"/>
  <c r="R83" i="2"/>
  <c r="W83" i="2" s="1"/>
  <c r="R138" i="2"/>
  <c r="W138" i="2" s="1"/>
  <c r="R140" i="2"/>
  <c r="W140" i="2" s="1"/>
  <c r="S135" i="2"/>
  <c r="X135" i="2" s="1"/>
  <c r="Q133" i="2"/>
  <c r="V133" i="2" s="1"/>
  <c r="R128" i="2"/>
  <c r="W128" i="2" s="1"/>
  <c r="S123" i="2"/>
  <c r="X123" i="2" s="1"/>
  <c r="R116" i="2"/>
  <c r="W116" i="2" s="1"/>
  <c r="U113" i="2"/>
  <c r="Z113" i="2" s="1"/>
  <c r="S111" i="2"/>
  <c r="X111" i="2" s="1"/>
  <c r="Q109" i="2"/>
  <c r="V109" i="2" s="1"/>
  <c r="R104" i="2"/>
  <c r="W104" i="2" s="1"/>
  <c r="U101" i="2"/>
  <c r="Z101" i="2" s="1"/>
  <c r="S99" i="2"/>
  <c r="X99" i="2" s="1"/>
  <c r="Q97" i="2"/>
  <c r="V97" i="2" s="1"/>
  <c r="T94" i="2"/>
  <c r="Y94" i="2" s="1"/>
  <c r="R92" i="2"/>
  <c r="W92" i="2" s="1"/>
  <c r="U89" i="2"/>
  <c r="Z89" i="2" s="1"/>
  <c r="S87" i="2"/>
  <c r="X87" i="2" s="1"/>
  <c r="Q85" i="2"/>
  <c r="V85" i="2" s="1"/>
  <c r="T82" i="2"/>
  <c r="Y82" i="2" s="1"/>
  <c r="R80" i="2"/>
  <c r="W80" i="2" s="1"/>
  <c r="U77" i="2"/>
  <c r="Z77" i="2" s="1"/>
  <c r="S75" i="2"/>
  <c r="X75" i="2" s="1"/>
  <c r="Q73" i="2"/>
  <c r="V73" i="2" s="1"/>
  <c r="T70" i="2"/>
  <c r="Y70" i="2" s="1"/>
  <c r="R68" i="2"/>
  <c r="W68" i="2" s="1"/>
  <c r="U65" i="2"/>
  <c r="Z65" i="2" s="1"/>
  <c r="S63" i="2"/>
  <c r="X63" i="2" s="1"/>
  <c r="Q61" i="2"/>
  <c r="V61" i="2" s="1"/>
  <c r="T58" i="2"/>
  <c r="Y58" i="2" s="1"/>
  <c r="R56" i="2"/>
  <c r="W56" i="2" s="1"/>
  <c r="S51" i="2"/>
  <c r="X51" i="2" s="1"/>
  <c r="Q49" i="2"/>
  <c r="V49" i="2" s="1"/>
  <c r="T46" i="2"/>
  <c r="Y46" i="2" s="1"/>
  <c r="R44" i="2"/>
  <c r="W44" i="2" s="1"/>
  <c r="U41" i="2"/>
  <c r="Z41" i="2" s="1"/>
  <c r="Q37" i="2"/>
  <c r="V37" i="2" s="1"/>
  <c r="U29" i="2"/>
  <c r="Z29" i="2" s="1"/>
  <c r="S27" i="2"/>
  <c r="X27" i="2" s="1"/>
  <c r="T22" i="2"/>
  <c r="Y22" i="2" s="1"/>
  <c r="R20" i="2"/>
  <c r="W20" i="2" s="1"/>
  <c r="U17" i="2"/>
  <c r="Z17" i="2" s="1"/>
  <c r="S15" i="2"/>
  <c r="X15" i="2" s="1"/>
  <c r="Q13" i="2"/>
  <c r="V13" i="2" s="1"/>
  <c r="U5" i="2"/>
  <c r="Z5" i="2" s="1"/>
  <c r="S3" i="2"/>
  <c r="X3" i="2" s="1"/>
  <c r="R119" i="2"/>
  <c r="W119" i="2" s="1"/>
  <c r="Q143" i="2"/>
  <c r="V143" i="2" s="1"/>
  <c r="S133" i="2"/>
  <c r="X133" i="2" s="1"/>
  <c r="U137" i="2"/>
  <c r="Z137" i="2" s="1"/>
  <c r="U125" i="2"/>
  <c r="Z125" i="2" s="1"/>
  <c r="Q121" i="2"/>
  <c r="V121" i="2" s="1"/>
  <c r="U144" i="2"/>
  <c r="Z144" i="2" s="1"/>
  <c r="S142" i="2"/>
  <c r="X142" i="2" s="1"/>
  <c r="Q140" i="2"/>
  <c r="V140" i="2" s="1"/>
  <c r="T137" i="2"/>
  <c r="Y137" i="2" s="1"/>
  <c r="R135" i="2"/>
  <c r="W135" i="2" s="1"/>
  <c r="U132" i="2"/>
  <c r="Z132" i="2" s="1"/>
  <c r="S130" i="2"/>
  <c r="X130" i="2" s="1"/>
  <c r="Q128" i="2"/>
  <c r="V128" i="2" s="1"/>
  <c r="T125" i="2"/>
  <c r="Y125" i="2" s="1"/>
  <c r="R123" i="2"/>
  <c r="W123" i="2" s="1"/>
  <c r="U120" i="2"/>
  <c r="Z120" i="2" s="1"/>
  <c r="S118" i="2"/>
  <c r="X118" i="2" s="1"/>
  <c r="Q116" i="2"/>
  <c r="V116" i="2" s="1"/>
  <c r="T113" i="2"/>
  <c r="Y113" i="2" s="1"/>
  <c r="R111" i="2"/>
  <c r="W111" i="2" s="1"/>
  <c r="U108" i="2"/>
  <c r="Z108" i="2" s="1"/>
  <c r="S106" i="2"/>
  <c r="X106" i="2" s="1"/>
  <c r="Q104" i="2"/>
  <c r="V104" i="2" s="1"/>
  <c r="T101" i="2"/>
  <c r="Y101" i="2" s="1"/>
  <c r="R99" i="2"/>
  <c r="W99" i="2" s="1"/>
  <c r="U96" i="2"/>
  <c r="Z96" i="2" s="1"/>
  <c r="S94" i="2"/>
  <c r="X94" i="2" s="1"/>
  <c r="Q92" i="2"/>
  <c r="V92" i="2" s="1"/>
  <c r="T89" i="2"/>
  <c r="Y89" i="2" s="1"/>
  <c r="R87" i="2"/>
  <c r="W87" i="2" s="1"/>
  <c r="U84" i="2"/>
  <c r="Z84" i="2" s="1"/>
  <c r="S82" i="2"/>
  <c r="X82" i="2" s="1"/>
  <c r="Q80" i="2"/>
  <c r="V80" i="2" s="1"/>
  <c r="T77" i="2"/>
  <c r="Y77" i="2" s="1"/>
  <c r="R75" i="2"/>
  <c r="W75" i="2" s="1"/>
  <c r="U72" i="2"/>
  <c r="Z72" i="2" s="1"/>
  <c r="S70" i="2"/>
  <c r="X70" i="2" s="1"/>
  <c r="Q68" i="2"/>
  <c r="V68" i="2" s="1"/>
  <c r="T65" i="2"/>
  <c r="Y65" i="2" s="1"/>
  <c r="R63" i="2"/>
  <c r="W63" i="2" s="1"/>
  <c r="U60" i="2"/>
  <c r="Z60" i="2" s="1"/>
  <c r="S58" i="2"/>
  <c r="X58" i="2" s="1"/>
  <c r="Q56" i="2"/>
  <c r="V56" i="2" s="1"/>
  <c r="T53" i="2"/>
  <c r="Y53" i="2" s="1"/>
  <c r="U48" i="2"/>
  <c r="Z48" i="2" s="1"/>
  <c r="S46" i="2"/>
  <c r="X46" i="2" s="1"/>
  <c r="Q44" i="2"/>
  <c r="V44" i="2" s="1"/>
  <c r="T41" i="2"/>
  <c r="Y41" i="2" s="1"/>
  <c r="R39" i="2"/>
  <c r="W39" i="2" s="1"/>
  <c r="R27" i="2"/>
  <c r="W27" i="2" s="1"/>
  <c r="U24" i="2"/>
  <c r="Z24" i="2" s="1"/>
  <c r="Q20" i="2"/>
  <c r="V20" i="2" s="1"/>
  <c r="T17" i="2"/>
  <c r="Y17" i="2" s="1"/>
  <c r="U12" i="2"/>
  <c r="Z12" i="2" s="1"/>
  <c r="R3" i="2"/>
  <c r="W3" i="2" s="1"/>
  <c r="S134" i="2"/>
  <c r="X134" i="2" s="1"/>
  <c r="U53" i="2"/>
  <c r="Z53" i="2" s="1"/>
  <c r="S39" i="2"/>
  <c r="X39" i="2" s="1"/>
  <c r="T34" i="2"/>
  <c r="Y34" i="2" s="1"/>
  <c r="R32" i="2"/>
  <c r="W32" i="2" s="1"/>
  <c r="Q25" i="2"/>
  <c r="V25" i="2" s="1"/>
  <c r="T10" i="2"/>
  <c r="Y10" i="2" s="1"/>
  <c r="R8" i="2"/>
  <c r="W8" i="2" s="1"/>
  <c r="R51" i="2"/>
  <c r="W51" i="2" s="1"/>
  <c r="U36" i="2"/>
  <c r="Z36" i="2" s="1"/>
  <c r="S34" i="2"/>
  <c r="X34" i="2" s="1"/>
  <c r="Q32" i="2"/>
  <c r="V32" i="2" s="1"/>
  <c r="T29" i="2"/>
  <c r="Y29" i="2" s="1"/>
  <c r="S22" i="2"/>
  <c r="X22" i="2" s="1"/>
  <c r="R15" i="2"/>
  <c r="W15" i="2" s="1"/>
  <c r="Q8" i="2"/>
  <c r="V8" i="2" s="1"/>
  <c r="T5" i="2"/>
  <c r="Y5" i="2" s="1"/>
  <c r="U79" i="2"/>
  <c r="Z79" i="2" s="1"/>
  <c r="S77" i="2"/>
  <c r="X77" i="2" s="1"/>
  <c r="T72" i="2"/>
  <c r="Y72" i="2" s="1"/>
  <c r="R70" i="2"/>
  <c r="W70" i="2" s="1"/>
  <c r="U67" i="2"/>
  <c r="Z67" i="2" s="1"/>
  <c r="S65" i="2"/>
  <c r="X65" i="2" s="1"/>
  <c r="T60" i="2"/>
  <c r="Y60" i="2" s="1"/>
  <c r="R58" i="2"/>
  <c r="W58" i="2" s="1"/>
  <c r="U55" i="2"/>
  <c r="Z55" i="2" s="1"/>
  <c r="R34" i="2"/>
  <c r="W34" i="2" s="1"/>
  <c r="U31" i="2"/>
  <c r="Z31" i="2" s="1"/>
  <c r="S29" i="2"/>
  <c r="X29" i="2" s="1"/>
  <c r="Q27" i="2"/>
  <c r="V27" i="2" s="1"/>
  <c r="U19" i="2"/>
  <c r="Z19" i="2" s="1"/>
  <c r="Q15" i="2"/>
  <c r="V15" i="2" s="1"/>
  <c r="T12" i="2"/>
  <c r="Y12" i="2" s="1"/>
  <c r="S5" i="2"/>
  <c r="X5" i="2" s="1"/>
  <c r="Q3" i="2"/>
  <c r="V3" i="2" s="1"/>
  <c r="R89" i="2"/>
  <c r="W89" i="2" s="1"/>
  <c r="S84" i="2"/>
  <c r="X84" i="2" s="1"/>
  <c r="T79" i="2"/>
  <c r="Y79" i="2" s="1"/>
  <c r="R77" i="2"/>
  <c r="W77" i="2" s="1"/>
  <c r="U74" i="2"/>
  <c r="Z74" i="2" s="1"/>
  <c r="Q70" i="2"/>
  <c r="V70" i="2" s="1"/>
  <c r="T67" i="2"/>
  <c r="Y67" i="2" s="1"/>
  <c r="R65" i="2"/>
  <c r="W65" i="2" s="1"/>
  <c r="U62" i="2"/>
  <c r="Z62" i="2" s="1"/>
  <c r="S60" i="2"/>
  <c r="X60" i="2" s="1"/>
  <c r="Q58" i="2"/>
  <c r="V58" i="2" s="1"/>
  <c r="T55" i="2"/>
  <c r="Y55" i="2" s="1"/>
  <c r="R53" i="2"/>
  <c r="W53" i="2" s="1"/>
  <c r="Q46" i="2"/>
  <c r="V46" i="2" s="1"/>
  <c r="T31" i="2"/>
  <c r="Y31" i="2" s="1"/>
  <c r="R29" i="2"/>
  <c r="W29" i="2" s="1"/>
  <c r="U26" i="2"/>
  <c r="Z26" i="2" s="1"/>
  <c r="S24" i="2"/>
  <c r="X24" i="2" s="1"/>
  <c r="R17" i="2"/>
  <c r="W17" i="2" s="1"/>
  <c r="S12" i="2"/>
  <c r="X12" i="2" s="1"/>
  <c r="Q10" i="2"/>
  <c r="V10" i="2" s="1"/>
  <c r="U81" i="2"/>
  <c r="Z81" i="2" s="1"/>
  <c r="S79" i="2"/>
  <c r="X79" i="2" s="1"/>
  <c r="Q77" i="2"/>
  <c r="V77" i="2" s="1"/>
  <c r="T74" i="2"/>
  <c r="Y74" i="2" s="1"/>
  <c r="R72" i="2"/>
  <c r="W72" i="2" s="1"/>
  <c r="U69" i="2"/>
  <c r="Z69" i="2" s="1"/>
  <c r="S67" i="2"/>
  <c r="X67" i="2" s="1"/>
  <c r="Q65" i="2"/>
  <c r="V65" i="2" s="1"/>
  <c r="T62" i="2"/>
  <c r="Y62" i="2" s="1"/>
  <c r="S55" i="2"/>
  <c r="X55" i="2" s="1"/>
  <c r="T50" i="2"/>
  <c r="Y50" i="2" s="1"/>
  <c r="S43" i="2"/>
  <c r="X43" i="2" s="1"/>
  <c r="Q29" i="2"/>
  <c r="V29" i="2" s="1"/>
  <c r="R24" i="2"/>
  <c r="W24" i="2" s="1"/>
  <c r="U21" i="2"/>
  <c r="Z21" i="2" s="1"/>
  <c r="U9" i="2"/>
  <c r="Z9" i="2" s="1"/>
  <c r="S7" i="2"/>
  <c r="X7" i="2" s="1"/>
  <c r="U124" i="2"/>
  <c r="Z124" i="2" s="1"/>
  <c r="T105" i="2"/>
  <c r="Y105" i="2" s="1"/>
  <c r="R103" i="2"/>
  <c r="W103" i="2" s="1"/>
  <c r="U100" i="2"/>
  <c r="Z100" i="2" s="1"/>
  <c r="Q96" i="2"/>
  <c r="V96" i="2" s="1"/>
  <c r="T93" i="2"/>
  <c r="Y93" i="2" s="1"/>
  <c r="R91" i="2"/>
  <c r="W91" i="2" s="1"/>
  <c r="U88" i="2"/>
  <c r="Z88" i="2" s="1"/>
  <c r="S86" i="2"/>
  <c r="X86" i="2" s="1"/>
  <c r="T81" i="2"/>
  <c r="Y81" i="2" s="1"/>
  <c r="U76" i="2"/>
  <c r="Z76" i="2" s="1"/>
  <c r="S74" i="2"/>
  <c r="X74" i="2" s="1"/>
  <c r="Q72" i="2"/>
  <c r="V72" i="2" s="1"/>
  <c r="R67" i="2"/>
  <c r="W67" i="2" s="1"/>
  <c r="U64" i="2"/>
  <c r="Z64" i="2" s="1"/>
  <c r="S62" i="2"/>
  <c r="X62" i="2" s="1"/>
  <c r="Q60" i="2"/>
  <c r="V60" i="2" s="1"/>
  <c r="T57" i="2"/>
  <c r="Y57" i="2" s="1"/>
  <c r="R55" i="2"/>
  <c r="W55" i="2" s="1"/>
  <c r="U52" i="2"/>
  <c r="Z52" i="2" s="1"/>
  <c r="S50" i="2"/>
  <c r="X50" i="2" s="1"/>
  <c r="Q48" i="2"/>
  <c r="V48" i="2" s="1"/>
  <c r="U40" i="2"/>
  <c r="Z40" i="2" s="1"/>
  <c r="S26" i="2"/>
  <c r="X26" i="2" s="1"/>
  <c r="Q24" i="2"/>
  <c r="V24" i="2" s="1"/>
  <c r="T21" i="2"/>
  <c r="Y21" i="2" s="1"/>
  <c r="R19" i="2"/>
  <c r="W19" i="2" s="1"/>
  <c r="Q12" i="2"/>
  <c r="V12" i="2" s="1"/>
  <c r="R7" i="2"/>
  <c r="W7" i="2" s="1"/>
  <c r="U4" i="2"/>
  <c r="Z4" i="2" s="1"/>
  <c r="S61" i="2"/>
  <c r="X61" i="2" s="1"/>
  <c r="Q57" i="2"/>
  <c r="V57" i="2" s="1"/>
  <c r="S52" i="2"/>
  <c r="X52" i="2" s="1"/>
  <c r="S48" i="2"/>
  <c r="X48" i="2" s="1"/>
  <c r="U43" i="2"/>
  <c r="Z43" i="2" s="1"/>
  <c r="Q39" i="2"/>
  <c r="V39" i="2" s="1"/>
  <c r="R35" i="2"/>
  <c r="W35" i="2" s="1"/>
  <c r="T30" i="2"/>
  <c r="Y30" i="2" s="1"/>
  <c r="U25" i="2"/>
  <c r="Z25" i="2" s="1"/>
  <c r="Q21" i="2"/>
  <c r="V21" i="2" s="1"/>
  <c r="Q17" i="2"/>
  <c r="V17" i="2" s="1"/>
  <c r="S10" i="2"/>
  <c r="X10" i="2" s="1"/>
  <c r="S4" i="2"/>
  <c r="X4" i="2" s="1"/>
  <c r="T129" i="2"/>
  <c r="Y129" i="2" s="1"/>
  <c r="S122" i="2"/>
  <c r="X122" i="2" s="1"/>
  <c r="T117" i="2"/>
  <c r="Y117" i="2" s="1"/>
  <c r="S110" i="2"/>
  <c r="X110" i="2" s="1"/>
  <c r="R50" i="2"/>
  <c r="W50" i="2" s="1"/>
  <c r="U47" i="2"/>
  <c r="Z47" i="2" s="1"/>
  <c r="S45" i="2"/>
  <c r="X45" i="2" s="1"/>
  <c r="R38" i="2"/>
  <c r="W38" i="2" s="1"/>
  <c r="U23" i="2"/>
  <c r="Z23" i="2" s="1"/>
  <c r="S21" i="2"/>
  <c r="X21" i="2" s="1"/>
  <c r="Q19" i="2"/>
  <c r="V19" i="2" s="1"/>
  <c r="T16" i="2"/>
  <c r="Y16" i="2" s="1"/>
  <c r="S9" i="2"/>
  <c r="X9" i="2" s="1"/>
  <c r="T4" i="2"/>
  <c r="Y4" i="2" s="1"/>
  <c r="Q50" i="2"/>
  <c r="V50" i="2" s="1"/>
  <c r="T47" i="2"/>
  <c r="Y47" i="2" s="1"/>
  <c r="R45" i="2"/>
  <c r="W45" i="2" s="1"/>
  <c r="U42" i="2"/>
  <c r="Z42" i="2" s="1"/>
  <c r="T35" i="2"/>
  <c r="Y35" i="2" s="1"/>
  <c r="R21" i="2"/>
  <c r="W21" i="2" s="1"/>
  <c r="U18" i="2"/>
  <c r="Z18" i="2" s="1"/>
  <c r="S16" i="2"/>
  <c r="X16" i="2" s="1"/>
  <c r="Q14" i="2"/>
  <c r="V14" i="2" s="1"/>
  <c r="U6" i="2"/>
  <c r="Z6" i="2" s="1"/>
  <c r="R115" i="2"/>
  <c r="W115" i="2" s="1"/>
  <c r="S47" i="2"/>
  <c r="X47" i="2" s="1"/>
  <c r="T42" i="2"/>
  <c r="Y42" i="2" s="1"/>
  <c r="R40" i="2"/>
  <c r="W40" i="2" s="1"/>
  <c r="Q33" i="2"/>
  <c r="V33" i="2" s="1"/>
  <c r="T18" i="2"/>
  <c r="Y18" i="2" s="1"/>
  <c r="R16" i="2"/>
  <c r="W16" i="2" s="1"/>
  <c r="U13" i="2"/>
  <c r="Z13" i="2" s="1"/>
  <c r="S11" i="2"/>
  <c r="X11" i="2" s="1"/>
  <c r="R4" i="2"/>
  <c r="W4" i="2" s="1"/>
  <c r="Q132" i="2"/>
  <c r="V132" i="2" s="1"/>
  <c r="Q120" i="2"/>
  <c r="V120" i="2" s="1"/>
  <c r="U44" i="2"/>
  <c r="Z44" i="2" s="1"/>
  <c r="S42" i="2"/>
  <c r="X42" i="2" s="1"/>
  <c r="Q40" i="2"/>
  <c r="V40" i="2" s="1"/>
  <c r="T37" i="2"/>
  <c r="Y37" i="2" s="1"/>
  <c r="S30" i="2"/>
  <c r="X30" i="2" s="1"/>
  <c r="Q16" i="2"/>
  <c r="V16" i="2" s="1"/>
  <c r="T13" i="2"/>
  <c r="Y13" i="2" s="1"/>
  <c r="R11" i="2"/>
  <c r="W11" i="2" s="1"/>
  <c r="U8" i="2"/>
  <c r="Z8" i="2" s="1"/>
  <c r="R139" i="2"/>
  <c r="W139" i="2" s="1"/>
  <c r="R42" i="2"/>
  <c r="W42" i="2" s="1"/>
  <c r="U39" i="2"/>
  <c r="Z39" i="2" s="1"/>
  <c r="S37" i="2"/>
  <c r="X37" i="2" s="1"/>
  <c r="Q35" i="2"/>
  <c r="V35" i="2" s="1"/>
  <c r="U27" i="2"/>
  <c r="Z27" i="2" s="1"/>
  <c r="S13" i="2"/>
  <c r="X13" i="2" s="1"/>
  <c r="Q11" i="2"/>
  <c r="V11" i="2" s="1"/>
  <c r="T8" i="2"/>
  <c r="Y8" i="2" s="1"/>
  <c r="R6" i="2"/>
  <c r="W6" i="2" s="1"/>
  <c r="S80" i="2"/>
  <c r="X80" i="2" s="1"/>
  <c r="Q78" i="2"/>
  <c r="V78" i="2" s="1"/>
  <c r="T75" i="2"/>
  <c r="Y75" i="2" s="1"/>
  <c r="R73" i="2"/>
  <c r="W73" i="2" s="1"/>
  <c r="U70" i="2"/>
  <c r="Z70" i="2" s="1"/>
  <c r="Q66" i="2"/>
  <c r="V66" i="2" s="1"/>
  <c r="T63" i="2"/>
  <c r="Y63" i="2" s="1"/>
  <c r="U58" i="2"/>
  <c r="Z58" i="2" s="1"/>
  <c r="T51" i="2"/>
  <c r="Y51" i="2" s="1"/>
  <c r="R49" i="2"/>
  <c r="W49" i="2" s="1"/>
  <c r="U46" i="2"/>
  <c r="Z46" i="2" s="1"/>
  <c r="Q42" i="2"/>
  <c r="V42" i="2" s="1"/>
  <c r="T39" i="2"/>
  <c r="Y39" i="2" s="1"/>
  <c r="R37" i="2"/>
  <c r="W37" i="2" s="1"/>
  <c r="U34" i="2"/>
  <c r="Z34" i="2" s="1"/>
  <c r="S32" i="2"/>
  <c r="X32" i="2" s="1"/>
  <c r="Q30" i="2"/>
  <c r="V30" i="2" s="1"/>
  <c r="T27" i="2"/>
  <c r="Y27" i="2" s="1"/>
  <c r="R25" i="2"/>
  <c r="W25" i="2" s="1"/>
  <c r="U22" i="2"/>
  <c r="Z22" i="2" s="1"/>
  <c r="S20" i="2"/>
  <c r="X20" i="2" s="1"/>
  <c r="Q18" i="2"/>
  <c r="V18" i="2" s="1"/>
  <c r="T15" i="2"/>
  <c r="Y15" i="2" s="1"/>
  <c r="R13" i="2"/>
  <c r="W13" i="2" s="1"/>
  <c r="U10" i="2"/>
  <c r="Z10" i="2" s="1"/>
  <c r="S8" i="2"/>
  <c r="X8" i="2" s="1"/>
  <c r="Q6" i="2"/>
  <c r="V6" i="2" s="1"/>
  <c r="T3" i="2"/>
  <c r="Y3" i="2" s="1"/>
  <c r="Y3" i="6"/>
  <c r="U3" i="6"/>
  <c r="Z3" i="6" s="1"/>
  <c r="W3" i="6"/>
  <c r="X3" i="6"/>
</calcChain>
</file>

<file path=xl/sharedStrings.xml><?xml version="1.0" encoding="utf-8"?>
<sst xmlns="http://schemas.openxmlformats.org/spreadsheetml/2006/main" count="1779" uniqueCount="322">
  <si>
    <t>Fuentes: Cálculos del ITC basados en estadísticas de UN COMTRADE e del ITC.</t>
  </si>
  <si>
    <t>La agregación mundial representa la suma de los países que reportan los datos y de los que no los reportan</t>
  </si>
  <si>
    <t>Los datos basados en la información reportada por los socios comerciales (datos espejo) son presentados en naranja.</t>
  </si>
  <si>
    <t>Unidad : Dólar Americano miles</t>
  </si>
  <si>
    <t>Exportadores</t>
  </si>
  <si>
    <t>Valor exportado en 2020</t>
  </si>
  <si>
    <t>Valor exportado en 2021</t>
  </si>
  <si>
    <t>Valor exportado en 2022</t>
  </si>
  <si>
    <t>Valor exportado en 2023</t>
  </si>
  <si>
    <t>Valor exportado en 2024</t>
  </si>
  <si>
    <t>Mundo</t>
  </si>
  <si>
    <t>China</t>
  </si>
  <si>
    <t>Países Bajos</t>
  </si>
  <si>
    <t>Perú</t>
  </si>
  <si>
    <t>Tailandia</t>
  </si>
  <si>
    <t>India</t>
  </si>
  <si>
    <t>Brasil</t>
  </si>
  <si>
    <t>Myanmar</t>
  </si>
  <si>
    <t>Alemania</t>
  </si>
  <si>
    <t>España</t>
  </si>
  <si>
    <t>Estados Unidos de América</t>
  </si>
  <si>
    <t>Viet Nam</t>
  </si>
  <si>
    <t>Indonesia</t>
  </si>
  <si>
    <t>Nigeria</t>
  </si>
  <si>
    <t>Italia</t>
  </si>
  <si>
    <t>Costa Rica</t>
  </si>
  <si>
    <t>Nepal</t>
  </si>
  <si>
    <t>Taipei Chino</t>
  </si>
  <si>
    <t>México</t>
  </si>
  <si>
    <t>Malasia</t>
  </si>
  <si>
    <t>Francia</t>
  </si>
  <si>
    <t>Reino Unido</t>
  </si>
  <si>
    <t>Polonia</t>
  </si>
  <si>
    <t>Arabia Saudita</t>
  </si>
  <si>
    <t>Bélgica</t>
  </si>
  <si>
    <t>Lao, República Democrática Popular</t>
  </si>
  <si>
    <t>Hungría</t>
  </si>
  <si>
    <t>Türkiye</t>
  </si>
  <si>
    <t>Côte d'Ivoire</t>
  </si>
  <si>
    <t>Tanzanía, República Unida de</t>
  </si>
  <si>
    <t>Honduras</t>
  </si>
  <si>
    <t>Sudáfrica</t>
  </si>
  <si>
    <t>Filipinas</t>
  </si>
  <si>
    <t>Dinamarca</t>
  </si>
  <si>
    <t>Nicaragua</t>
  </si>
  <si>
    <t>Lituania</t>
  </si>
  <si>
    <t>Fiji</t>
  </si>
  <si>
    <t>República Checa</t>
  </si>
  <si>
    <t>Etiopía</t>
  </si>
  <si>
    <t>Singapur</t>
  </si>
  <si>
    <t>Uganda</t>
  </si>
  <si>
    <t>Croacia</t>
  </si>
  <si>
    <t>Madagascar</t>
  </si>
  <si>
    <t>Australia</t>
  </si>
  <si>
    <t>Mozambique</t>
  </si>
  <si>
    <t>Grecia</t>
  </si>
  <si>
    <t>República Dominicana</t>
  </si>
  <si>
    <t>Sri Lanka</t>
  </si>
  <si>
    <t>Emiratos Árabes Unidos</t>
  </si>
  <si>
    <t>Camerún</t>
  </si>
  <si>
    <t>Japón</t>
  </si>
  <si>
    <t>Guyana</t>
  </si>
  <si>
    <t>Portugal</t>
  </si>
  <si>
    <t>Austria</t>
  </si>
  <si>
    <t>Nueva Zelandia</t>
  </si>
  <si>
    <t>Burkina Faso</t>
  </si>
  <si>
    <t>Letonia</t>
  </si>
  <si>
    <t>Bhután</t>
  </si>
  <si>
    <t>Kenya</t>
  </si>
  <si>
    <t>San Vicente y las Granadinas</t>
  </si>
  <si>
    <t>Egipto</t>
  </si>
  <si>
    <t>Níger</t>
  </si>
  <si>
    <t>Ecuador</t>
  </si>
  <si>
    <t>Marruecos</t>
  </si>
  <si>
    <t>Eslovenia</t>
  </si>
  <si>
    <t>Dominica</t>
  </si>
  <si>
    <t>Suecia</t>
  </si>
  <si>
    <t>Canadá</t>
  </si>
  <si>
    <t>Luxemburgo</t>
  </si>
  <si>
    <t>Estonia</t>
  </si>
  <si>
    <t>Guatemala</t>
  </si>
  <si>
    <t>Irán, República Islámica del</t>
  </si>
  <si>
    <t>Israel</t>
  </si>
  <si>
    <t>Irlanda</t>
  </si>
  <si>
    <t>República Árabe Siria</t>
  </si>
  <si>
    <t>Bulgaria</t>
  </si>
  <si>
    <t>Ghana</t>
  </si>
  <si>
    <t>Armenia</t>
  </si>
  <si>
    <t>Suiza</t>
  </si>
  <si>
    <t>Bangladesh</t>
  </si>
  <si>
    <t>Rusia, Federación de</t>
  </si>
  <si>
    <t>Panamá</t>
  </si>
  <si>
    <t>Hong Kong, China</t>
  </si>
  <si>
    <t>Eslovaquia</t>
  </si>
  <si>
    <t>Trinidad y Tobago</t>
  </si>
  <si>
    <t>Guinea</t>
  </si>
  <si>
    <t>Rumania</t>
  </si>
  <si>
    <t>Colombia</t>
  </si>
  <si>
    <t>República Centroafricana</t>
  </si>
  <si>
    <t>Jamaica</t>
  </si>
  <si>
    <t>Georgia</t>
  </si>
  <si>
    <t>Afganistán</t>
  </si>
  <si>
    <t>Kazajstán</t>
  </si>
  <si>
    <t>Togo</t>
  </si>
  <si>
    <t>Uruguay</t>
  </si>
  <si>
    <t>Pakistán</t>
  </si>
  <si>
    <t>Chile</t>
  </si>
  <si>
    <t>Andorra</t>
  </si>
  <si>
    <t>Jordania</t>
  </si>
  <si>
    <t>Yemen</t>
  </si>
  <si>
    <t>Serbia</t>
  </si>
  <si>
    <t>Líbano</t>
  </si>
  <si>
    <t>Lesoto</t>
  </si>
  <si>
    <t>Finlandia</t>
  </si>
  <si>
    <t>Argelia</t>
  </si>
  <si>
    <t>Bosnia y Herzegovina</t>
  </si>
  <si>
    <t>Camboya</t>
  </si>
  <si>
    <t>Botsuana</t>
  </si>
  <si>
    <t>Corea, República de</t>
  </si>
  <si>
    <t>Zimbabwe</t>
  </si>
  <si>
    <t>Zambia</t>
  </si>
  <si>
    <t>Ucrania</t>
  </si>
  <si>
    <t>Noruega</t>
  </si>
  <si>
    <t>Anguila</t>
  </si>
  <si>
    <t>Santa Lucía</t>
  </si>
  <si>
    <t>Qatar</t>
  </si>
  <si>
    <t>Mauricio</t>
  </si>
  <si>
    <t>Uzbekistán</t>
  </si>
  <si>
    <t>Islandia</t>
  </si>
  <si>
    <t>Iraq</t>
  </si>
  <si>
    <t>Kuwait</t>
  </si>
  <si>
    <t>Kirguistán</t>
  </si>
  <si>
    <t>Palestina, Estado de</t>
  </si>
  <si>
    <t>Granada</t>
  </si>
  <si>
    <t>Haití</t>
  </si>
  <si>
    <t>Belarús</t>
  </si>
  <si>
    <t>Angola</t>
  </si>
  <si>
    <t>Bahrein</t>
  </si>
  <si>
    <t>Cuba</t>
  </si>
  <si>
    <t>Chad</t>
  </si>
  <si>
    <t>Comoras</t>
  </si>
  <si>
    <t>Congo</t>
  </si>
  <si>
    <t>Venezuela, República Bolivariana de</t>
  </si>
  <si>
    <t>Túnez</t>
  </si>
  <si>
    <t>Sudán</t>
  </si>
  <si>
    <t>Senegal</t>
  </si>
  <si>
    <t>Omán</t>
  </si>
  <si>
    <t>Liberia</t>
  </si>
  <si>
    <t>Libia Estado de</t>
  </si>
  <si>
    <t>Malawi</t>
  </si>
  <si>
    <t>Malí</t>
  </si>
  <si>
    <t>Pitcairn</t>
  </si>
  <si>
    <t>Ruanda</t>
  </si>
  <si>
    <t>Argentina</t>
  </si>
  <si>
    <t>Congo, República Democrática del</t>
  </si>
  <si>
    <t>Azerbaiyán</t>
  </si>
  <si>
    <t>Mongolia</t>
  </si>
  <si>
    <t>Papua Nueva Guinea</t>
  </si>
  <si>
    <t>Turkmenistán</t>
  </si>
  <si>
    <t>Brunei Darussalam</t>
  </si>
  <si>
    <t>Paraguay</t>
  </si>
  <si>
    <t>Rancho de naves y aeronaves</t>
  </si>
  <si>
    <t>Bolivia, Estado Plurinacional de</t>
  </si>
  <si>
    <t>Macedonia del Norte</t>
  </si>
  <si>
    <t>Gabón</t>
  </si>
  <si>
    <t>Namibia</t>
  </si>
  <si>
    <t>El Salvador</t>
  </si>
  <si>
    <t>Zona franca</t>
  </si>
  <si>
    <t>Chipre</t>
  </si>
  <si>
    <t>Guinea Ecuatorial</t>
  </si>
  <si>
    <t>Mauritania</t>
  </si>
  <si>
    <t>Malta</t>
  </si>
  <si>
    <t>Albania</t>
  </si>
  <si>
    <t>Moldova, República de</t>
  </si>
  <si>
    <t>Bahamas</t>
  </si>
  <si>
    <t>Islas Caimanes</t>
  </si>
  <si>
    <t>Macao, China</t>
  </si>
  <si>
    <t>Eswatini</t>
  </si>
  <si>
    <t>Islas Marshall</t>
  </si>
  <si>
    <t>Tayikistán</t>
  </si>
  <si>
    <t>Islas Feroe</t>
  </si>
  <si>
    <t>Groenlandia</t>
  </si>
  <si>
    <t>Sierra Leona</t>
  </si>
  <si>
    <t>Suriname</t>
  </si>
  <si>
    <t>Nueva Caledonia</t>
  </si>
  <si>
    <t>Benin</t>
  </si>
  <si>
    <t>Islas Salomon</t>
  </si>
  <si>
    <t>Montenegro</t>
  </si>
  <si>
    <t>Seychelles</t>
  </si>
  <si>
    <t>Eritrea</t>
  </si>
  <si>
    <t>Barbados</t>
  </si>
  <si>
    <t>Sudán del Sur</t>
  </si>
  <si>
    <t>Somalia</t>
  </si>
  <si>
    <t>Corea, República Popular Democrática de</t>
  </si>
  <si>
    <t>Micronesia, Estados Federados de</t>
  </si>
  <si>
    <t>Islas (Malvinas) Falkland</t>
  </si>
  <si>
    <t>Vanuatu</t>
  </si>
  <si>
    <t>Antigua y Barbuda</t>
  </si>
  <si>
    <t>Belice</t>
  </si>
  <si>
    <t>Maldivas</t>
  </si>
  <si>
    <t>Islas Vírgenes Británicas</t>
  </si>
  <si>
    <t>Bermudas</t>
  </si>
  <si>
    <t>Curaçao</t>
  </si>
  <si>
    <t>Guinea-Bissau</t>
  </si>
  <si>
    <t>Djibouti</t>
  </si>
  <si>
    <t>Polinesia Francesa</t>
  </si>
  <si>
    <t>Nauru</t>
  </si>
  <si>
    <t>Burundi</t>
  </si>
  <si>
    <t>Gibraltar</t>
  </si>
  <si>
    <t>Aruba</t>
  </si>
  <si>
    <t>Kiribati</t>
  </si>
  <si>
    <t>Estados Unidos Minor periferico Islas</t>
  </si>
  <si>
    <t>Timor-Leste</t>
  </si>
  <si>
    <t>Montserrat</t>
  </si>
  <si>
    <t>Tuvalu</t>
  </si>
  <si>
    <t>Cabo Verde</t>
  </si>
  <si>
    <t>Gambia</t>
  </si>
  <si>
    <t>Sao Tomé y Príncipe</t>
  </si>
  <si>
    <t>Saint Kitts y Nevis</t>
  </si>
  <si>
    <t>Bonaire, San Estaquio y Saba</t>
  </si>
  <si>
    <t>Samoa</t>
  </si>
  <si>
    <t>Islas Cook</t>
  </si>
  <si>
    <t>Tokelau</t>
  </si>
  <si>
    <t>Santa Helena</t>
  </si>
  <si>
    <t>Islas Turks y Caicos</t>
  </si>
  <si>
    <t>Tonga</t>
  </si>
  <si>
    <t>Palau</t>
  </si>
  <si>
    <t>Tierras Australes y Antárticas Francesas</t>
  </si>
  <si>
    <t>Territorio Británico del Océano Índico</t>
  </si>
  <si>
    <t>Isla de Navidad</t>
  </si>
  <si>
    <t>San Pedro y Miquelón</t>
  </si>
  <si>
    <t>Samoa Americana</t>
  </si>
  <si>
    <t>Niué</t>
  </si>
  <si>
    <t>San Martin (parte Holandesa)</t>
  </si>
  <si>
    <t>Sahara occidental</t>
  </si>
  <si>
    <t>Islas Cocos (Keeling)</t>
  </si>
  <si>
    <t>Guam</t>
  </si>
  <si>
    <t>Isla Norfolk</t>
  </si>
  <si>
    <t>Islas Marianas del Norte</t>
  </si>
  <si>
    <t>Islas Wallis y Fortuna</t>
  </si>
  <si>
    <t>Zona Neutral</t>
  </si>
  <si>
    <t>Bouvet Island</t>
  </si>
  <si>
    <t>Otros Asia del Oeste</t>
  </si>
  <si>
    <t>Territorio Antártico Británico</t>
  </si>
  <si>
    <t>EXPO TOTAL 2020</t>
  </si>
  <si>
    <t>EXPO TOTAL 2021</t>
  </si>
  <si>
    <t>EXPO TOTAL 2022</t>
  </si>
  <si>
    <t>EXPO TOTAL 2023</t>
  </si>
  <si>
    <t>EXPO TOTAL 2024</t>
  </si>
  <si>
    <t>PARTICIPACION 2020</t>
  </si>
  <si>
    <t>PARTICIPACION 2021</t>
  </si>
  <si>
    <t>PARTICIPACION 2022</t>
  </si>
  <si>
    <t>PARTICIPACION 2023</t>
  </si>
  <si>
    <t>PARTICIPACION 2024</t>
  </si>
  <si>
    <t>VCR 2020</t>
  </si>
  <si>
    <t>VCR 2021</t>
  </si>
  <si>
    <t>VCR 2022</t>
  </si>
  <si>
    <t>VCR 2023</t>
  </si>
  <si>
    <t>VCR 2024</t>
  </si>
  <si>
    <t>VCR NORMALIZADO 2020</t>
  </si>
  <si>
    <t>VCR NORMALIZADO 2021</t>
  </si>
  <si>
    <t>VCR NORMALIZADO 2022</t>
  </si>
  <si>
    <t>VCR NORMALIZADO 2023</t>
  </si>
  <si>
    <t>VCR NORMALIZADO 2024</t>
  </si>
  <si>
    <t xml:space="preserve">Lista de los exportadores para el grupo de productos seleccionado </t>
  </si>
  <si>
    <t>Grupo de productos: GRUPO JENJIBRE</t>
  </si>
  <si>
    <t xml:space="preserve">Lista de los importadores para el grupo de productos seleccionado </t>
  </si>
  <si>
    <t>Importadores</t>
  </si>
  <si>
    <t>Valor importado en 2020</t>
  </si>
  <si>
    <t>Valor importado en 2021</t>
  </si>
  <si>
    <t>Valor importado en 2022</t>
  </si>
  <si>
    <t>Valor importado en 2023</t>
  </si>
  <si>
    <t>Valor importado en 2024</t>
  </si>
  <si>
    <t>North America and Central America, nes</t>
  </si>
  <si>
    <t>IMPO TOTAL 2020</t>
  </si>
  <si>
    <t>IMPO TOTAL 2021</t>
  </si>
  <si>
    <t>IMPO TOTAL 2022</t>
  </si>
  <si>
    <t>IMPO TOTAL 2023</t>
  </si>
  <si>
    <t>IMPO TOTAL 2024</t>
  </si>
  <si>
    <t>CRC 2020</t>
  </si>
  <si>
    <t>CRC 2021</t>
  </si>
  <si>
    <t>CRC 2022</t>
  </si>
  <si>
    <t>CRC 2023</t>
  </si>
  <si>
    <t>CRC 2024</t>
  </si>
  <si>
    <t>CRC NORMALIZADO 2020</t>
  </si>
  <si>
    <t>CRC NORMALIZADO 2021</t>
  </si>
  <si>
    <t>CRC NORMALIZADO 2022</t>
  </si>
  <si>
    <t>CRC NORMALIZADO 2023</t>
  </si>
  <si>
    <t>CRC NORMALIZADO 2024</t>
  </si>
  <si>
    <t>vcr en base de peru quienes con competidores</t>
  </si>
  <si>
    <t>crc cual es la capacidad de compra</t>
  </si>
  <si>
    <t>vcr n</t>
  </si>
  <si>
    <t>mas cerca 1 que el pais tiene mas ventaja comparativa</t>
  </si>
  <si>
    <t>crc</t>
  </si>
  <si>
    <t>Columna1</t>
  </si>
  <si>
    <t>Columna2</t>
  </si>
  <si>
    <t>Columna3</t>
  </si>
  <si>
    <t>Columna4</t>
  </si>
  <si>
    <t>Columna5</t>
  </si>
  <si>
    <t>Columna6</t>
  </si>
  <si>
    <t>Columna7</t>
  </si>
  <si>
    <t>Columna8</t>
  </si>
  <si>
    <t>Columna9</t>
  </si>
  <si>
    <t>Columna10</t>
  </si>
  <si>
    <t>Columna11</t>
  </si>
  <si>
    <t>Columna12</t>
  </si>
  <si>
    <t>Columna13</t>
  </si>
  <si>
    <t>Columna14</t>
  </si>
  <si>
    <t>Columna15</t>
  </si>
  <si>
    <t>Columna16</t>
  </si>
  <si>
    <t>Columna17</t>
  </si>
  <si>
    <t>Columna18</t>
  </si>
  <si>
    <t>Columna19</t>
  </si>
  <si>
    <t>Columna20</t>
  </si>
  <si>
    <t>Columna21</t>
  </si>
  <si>
    <t>Columna22</t>
  </si>
  <si>
    <t>Columna23</t>
  </si>
  <si>
    <t>Columna24</t>
  </si>
  <si>
    <t>Columna25</t>
  </si>
  <si>
    <t>Columna26</t>
  </si>
  <si>
    <t>Perú tiene una ventaja comparativa de 0.92 sin embargo existe tros paises con mayor ventaja com o Nepal con 0.94, San Vicente con 0.96</t>
  </si>
  <si>
    <t xml:space="preserve">Los paises con mayor capacidad de compras son Sudan, Bangladesh, Pakistan, sin embrago estos paises tienen actualmente problemas bélicos, por ejemplo Pakistan hace poco tuvo enfrentamientos con India, por tanto el pais que es mas adecuado para escoger seria Emiratos Arabes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</si>
</sst>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
      <b/>
      <sz val="10"/>
      <color theme="1"/>
      <name val="Aptos Narrow"/>
      <family val="2"/>
      <scheme val="minor"/>
    </font>
    <font>
      <b/>
      <sz val="8"/>
      <color rgb="FFFFFFFF"/>
      <name val="Aptos Narrow"/>
      <family val="2"/>
      <scheme val="minor"/>
    </font>
    <font>
      <sz val="8"/>
      <color rgb="FF002B54"/>
      <name val="Aptos Narrow"/>
      <family val="2"/>
      <scheme val="minor"/>
    </font>
    <font>
      <sz val="8"/>
      <color rgb="FF8A2BE2"/>
      <name val="Aptos Narrow"/>
      <family val="2"/>
      <scheme val="minor"/>
    </font>
    <font>
      <sz val="8"/>
      <color rgb="FFDAA520"/>
      <name val="Aptos Narrow"/>
      <family val="2"/>
      <scheme val="minor"/>
    </font>
    <font>
      <sz val="8"/>
      <name val="Aptos Narrow"/>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5D7B9D"/>
        <bgColor indexed="64"/>
      </patternFill>
    </fill>
    <fill>
      <patternFill patternType="solid">
        <fgColor rgb="FFF7F6F3"/>
        <bgColor indexed="64"/>
      </patternFill>
    </fill>
    <fill>
      <patternFill patternType="solid">
        <fgColor rgb="FFFFFFFF"/>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3" tint="0.499984740745262"/>
        <bgColor indexed="64"/>
      </patternFill>
    </fill>
    <fill>
      <patternFill patternType="solid">
        <fgColor rgb="FFFFFF00"/>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2B54"/>
      </left>
      <right style="thin">
        <color rgb="FF002B54"/>
      </right>
      <top style="thin">
        <color rgb="FF002B54"/>
      </top>
      <bottom style="thin">
        <color rgb="FF002B54"/>
      </bottom>
      <diagonal/>
    </border>
    <border>
      <left style="thin">
        <color rgb="FF002B54"/>
      </left>
      <right style="thin">
        <color rgb="FF000000"/>
      </right>
      <top style="thin">
        <color rgb="FF002B54"/>
      </top>
      <bottom style="thin">
        <color rgb="FF000000"/>
      </bottom>
      <diagonal/>
    </border>
    <border>
      <left style="thin">
        <color rgb="FF000000"/>
      </left>
      <right style="thin">
        <color rgb="FF000000"/>
      </right>
      <top style="thin">
        <color rgb="FF002B54"/>
      </top>
      <bottom style="thin">
        <color rgb="FF000000"/>
      </bottom>
      <diagonal/>
    </border>
    <border>
      <left style="thin">
        <color rgb="FF000000"/>
      </left>
      <right style="thin">
        <color rgb="FF002B54"/>
      </right>
      <top style="thin">
        <color rgb="FF002B54"/>
      </top>
      <bottom style="thin">
        <color rgb="FF000000"/>
      </bottom>
      <diagonal/>
    </border>
    <border>
      <left style="thin">
        <color rgb="FF002B54"/>
      </left>
      <right style="thin">
        <color rgb="FF000000"/>
      </right>
      <top style="thin">
        <color rgb="FF000000"/>
      </top>
      <bottom style="thin">
        <color rgb="FF000000"/>
      </bottom>
      <diagonal/>
    </border>
    <border>
      <left style="thin">
        <color rgb="FF000000"/>
      </left>
      <right style="thin">
        <color rgb="FF002B54"/>
      </right>
      <top style="thin">
        <color rgb="FF000000"/>
      </top>
      <bottom style="thin">
        <color rgb="FF000000"/>
      </bottom>
      <diagonal/>
    </border>
    <border>
      <left style="thin">
        <color rgb="FF002B54"/>
      </left>
      <right style="thin">
        <color rgb="FF000000"/>
      </right>
      <top style="thin">
        <color rgb="FF000000"/>
      </top>
      <bottom style="thin">
        <color rgb="FF002B54"/>
      </bottom>
      <diagonal/>
    </border>
    <border>
      <left style="thin">
        <color rgb="FF000000"/>
      </left>
      <right style="thin">
        <color rgb="FF000000"/>
      </right>
      <top style="thin">
        <color rgb="FF000000"/>
      </top>
      <bottom style="thin">
        <color rgb="FF002B54"/>
      </bottom>
      <diagonal/>
    </border>
    <border>
      <left style="thin">
        <color rgb="FF000000"/>
      </left>
      <right style="thin">
        <color rgb="FF002B54"/>
      </right>
      <top style="thin">
        <color rgb="FF000000"/>
      </top>
      <bottom style="thin">
        <color rgb="FF002B54"/>
      </bottom>
      <diagonal/>
    </border>
    <border>
      <left style="thin">
        <color rgb="FF000000"/>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5">
    <xf numFmtId="0" fontId="0" fillId="0" borderId="0" xfId="0"/>
    <xf numFmtId="0" fontId="0" fillId="0" borderId="0" xfId="0" applyAlignment="1">
      <alignment wrapText="1"/>
    </xf>
    <xf numFmtId="0" fontId="18" fillId="0" borderId="0" xfId="0" applyFont="1" applyAlignment="1">
      <alignment wrapText="1"/>
    </xf>
    <xf numFmtId="0" fontId="22" fillId="34" borderId="11" xfId="0" applyFont="1" applyFill="1" applyBorder="1" applyAlignment="1">
      <alignment horizontal="right" wrapText="1"/>
    </xf>
    <xf numFmtId="0" fontId="21" fillId="35" borderId="10" xfId="0" applyFont="1" applyFill="1" applyBorder="1" applyAlignment="1">
      <alignment horizontal="right" wrapText="1"/>
    </xf>
    <xf numFmtId="0" fontId="21" fillId="34" borderId="10" xfId="0" applyFont="1" applyFill="1" applyBorder="1" applyAlignment="1">
      <alignment horizontal="right" wrapText="1"/>
    </xf>
    <xf numFmtId="0" fontId="23" fillId="35" borderId="11" xfId="0" applyFont="1" applyFill="1" applyBorder="1" applyAlignment="1">
      <alignment horizontal="right" wrapText="1"/>
    </xf>
    <xf numFmtId="0" fontId="23" fillId="34" borderId="11" xfId="0" applyFont="1" applyFill="1" applyBorder="1" applyAlignment="1">
      <alignment horizontal="right" wrapText="1"/>
    </xf>
    <xf numFmtId="0" fontId="20" fillId="33" borderId="12" xfId="0" applyFont="1" applyFill="1" applyBorder="1" applyAlignment="1">
      <alignment horizontal="center" vertical="center" wrapText="1"/>
    </xf>
    <xf numFmtId="0" fontId="20" fillId="33" borderId="13" xfId="0" applyFont="1" applyFill="1" applyBorder="1" applyAlignment="1">
      <alignment horizontal="center" vertical="center" wrapText="1"/>
    </xf>
    <xf numFmtId="0" fontId="20" fillId="33" borderId="14" xfId="0" applyFont="1" applyFill="1" applyBorder="1" applyAlignment="1">
      <alignment horizontal="center" vertical="center" wrapText="1"/>
    </xf>
    <xf numFmtId="0" fontId="21" fillId="34" borderId="15" xfId="0" applyFont="1" applyFill="1" applyBorder="1" applyAlignment="1">
      <alignment horizontal="left" wrapText="1"/>
    </xf>
    <xf numFmtId="0" fontId="21" fillId="35" borderId="15" xfId="0" applyFont="1" applyFill="1" applyBorder="1" applyAlignment="1">
      <alignment horizontal="left" wrapText="1"/>
    </xf>
    <xf numFmtId="0" fontId="21" fillId="35" borderId="16" xfId="0" applyFont="1" applyFill="1" applyBorder="1" applyAlignment="1">
      <alignment horizontal="right" wrapText="1"/>
    </xf>
    <xf numFmtId="0" fontId="21" fillId="34" borderId="16" xfId="0" applyFont="1" applyFill="1" applyBorder="1" applyAlignment="1">
      <alignment horizontal="right" wrapText="1"/>
    </xf>
    <xf numFmtId="0" fontId="21" fillId="34" borderId="17" xfId="0" applyFont="1" applyFill="1" applyBorder="1" applyAlignment="1">
      <alignment horizontal="left" wrapText="1"/>
    </xf>
    <xf numFmtId="0" fontId="21" fillId="34" borderId="18" xfId="0" applyFont="1" applyFill="1" applyBorder="1" applyAlignment="1">
      <alignment horizontal="right" wrapText="1"/>
    </xf>
    <xf numFmtId="0" fontId="21" fillId="34" borderId="19" xfId="0" applyFont="1" applyFill="1" applyBorder="1" applyAlignment="1">
      <alignment horizontal="right" wrapText="1"/>
    </xf>
    <xf numFmtId="0" fontId="21" fillId="35" borderId="17" xfId="0" applyFont="1" applyFill="1" applyBorder="1" applyAlignment="1">
      <alignment horizontal="left" wrapText="1"/>
    </xf>
    <xf numFmtId="0" fontId="20" fillId="36" borderId="20" xfId="0" applyFont="1" applyFill="1" applyBorder="1" applyAlignment="1">
      <alignment horizontal="center" vertical="center" wrapText="1"/>
    </xf>
    <xf numFmtId="0" fontId="20" fillId="37" borderId="20" xfId="0" applyFont="1" applyFill="1" applyBorder="1" applyAlignment="1">
      <alignment horizontal="center" vertical="center" wrapText="1"/>
    </xf>
    <xf numFmtId="0" fontId="20" fillId="38" borderId="20" xfId="0" applyFont="1" applyFill="1" applyBorder="1" applyAlignment="1">
      <alignment horizontal="center" vertical="center" wrapText="1"/>
    </xf>
    <xf numFmtId="0" fontId="20" fillId="39" borderId="20" xfId="0" applyFont="1" applyFill="1" applyBorder="1" applyAlignment="1">
      <alignment horizontal="center" vertical="center" wrapText="1"/>
    </xf>
    <xf numFmtId="0" fontId="21" fillId="35" borderId="18" xfId="0" applyFont="1" applyFill="1" applyBorder="1" applyAlignment="1">
      <alignment horizontal="right" wrapText="1"/>
    </xf>
    <xf numFmtId="0" fontId="21" fillId="35" borderId="19" xfId="0" applyFont="1" applyFill="1" applyBorder="1" applyAlignment="1">
      <alignment horizontal="right" wrapText="1"/>
    </xf>
    <xf numFmtId="0" fontId="19" fillId="0" borderId="0" xfId="0" applyFont="1" applyAlignment="1">
      <alignment horizontal="center" wrapText="1"/>
    </xf>
    <xf numFmtId="0" fontId="18" fillId="0" borderId="0" xfId="0" applyFont="1" applyAlignment="1">
      <alignment horizontal="center" wrapText="1"/>
    </xf>
    <xf numFmtId="0" fontId="0" fillId="0" borderId="0" xfId="0" applyAlignment="1">
      <alignment horizontal="center"/>
    </xf>
    <xf numFmtId="0" fontId="0" fillId="0" borderId="0" xfId="0" applyAlignment="1">
      <alignment horizontal="left"/>
    </xf>
    <xf numFmtId="0" fontId="18" fillId="0" borderId="0" xfId="0" applyFont="1" applyAlignment="1">
      <alignment horizontal="center" vertical="center" wrapText="1"/>
    </xf>
    <xf numFmtId="0" fontId="0" fillId="0" borderId="0" xfId="0" applyAlignment="1">
      <alignment horizontal="center" vertical="center"/>
    </xf>
    <xf numFmtId="0" fontId="18" fillId="0" borderId="0" xfId="0" applyFont="1" applyAlignment="1">
      <alignment horizontal="left" vertical="center" wrapText="1"/>
    </xf>
    <xf numFmtId="0" fontId="0" fillId="0" borderId="0" xfId="0" applyAlignment="1">
      <alignment horizontal="left" vertical="center"/>
    </xf>
    <xf numFmtId="0" fontId="0" fillId="40" borderId="0" xfId="0" applyFill="1" applyAlignment="1">
      <alignment horizontal="left"/>
    </xf>
    <xf numFmtId="0" fontId="0" fillId="40" borderId="0" xfId="0" applyFill="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29">
    <dxf>
      <alignment horizontal="left" vertical="bottom"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theme="1"/>
        <name val="Aptos Narrow"/>
        <family val="2"/>
        <scheme val="minor"/>
      </font>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BE2EBC6-F0EC-46B1-8AC6-5FF7F69B22EA}" name="Tabla3" displayName="Tabla3" ref="A1:Z162" totalsRowShown="0">
  <autoFilter ref="A1:Z162" xr:uid="{7BE2EBC6-F0EC-46B1-8AC6-5FF7F69B22EA}"/>
  <sortState xmlns:xlrd2="http://schemas.microsoft.com/office/spreadsheetml/2017/richdata2" ref="A2:Z162">
    <sortCondition descending="1" ref="Z2:Z162"/>
  </sortState>
  <tableColumns count="26">
    <tableColumn id="1" xr3:uid="{8B888680-4466-420A-B7E0-02CBCE18F627}" name="Columna1" dataDxfId="0"/>
    <tableColumn id="2" xr3:uid="{3B110154-54DF-473D-AE92-878E6E6B9EC7}" name="Columna2"/>
    <tableColumn id="3" xr3:uid="{DC8B16A7-F13F-4621-96D5-A62CD926F8DC}" name="Columna3"/>
    <tableColumn id="4" xr3:uid="{3913EC48-A1DF-41E9-A1AA-6DBB24002BD9}" name="Columna4"/>
    <tableColumn id="5" xr3:uid="{AD437CAC-455A-417E-96EF-46413D374A96}" name="Columna5"/>
    <tableColumn id="6" xr3:uid="{A50CAF05-25C4-40A7-875D-8B413F704A10}" name="Columna6"/>
    <tableColumn id="7" xr3:uid="{670773A0-F592-4461-B592-4EB538242BDA}" name="Columna7"/>
    <tableColumn id="8" xr3:uid="{9C4A8DF0-CCA7-4413-9EC2-6B1C50932ED9}" name="Columna8"/>
    <tableColumn id="9" xr3:uid="{44D457AC-F1ED-4F42-A786-49932B1839F7}" name="Columna9"/>
    <tableColumn id="10" xr3:uid="{22ECD5B7-F9AB-46E9-9481-570EB668A71B}" name="Columna10"/>
    <tableColumn id="11" xr3:uid="{2DEB8ECE-EEE9-471C-982A-13E663FDD7DD}" name="Columna11"/>
    <tableColumn id="12" xr3:uid="{59FD63C0-179F-4179-AA71-116B508DCD03}" name="Columna12"/>
    <tableColumn id="13" xr3:uid="{F60710D3-027D-4C0D-9B89-06A75B0C1A69}" name="Columna13"/>
    <tableColumn id="14" xr3:uid="{1A68B234-1E58-4216-AC39-39F9F5E9841B}" name="Columna14"/>
    <tableColumn id="15" xr3:uid="{2747B325-4ADF-45DA-9316-F9A90E66BA51}" name="Columna15"/>
    <tableColumn id="16" xr3:uid="{E7827D0A-5D8A-4195-96BD-A883A4CFB262}" name="Columna16"/>
    <tableColumn id="17" xr3:uid="{8747647E-29DD-4212-8FE2-60A97A8A43AF}" name="Columna17"/>
    <tableColumn id="18" xr3:uid="{612186DF-F8C0-4FD7-A415-7EDCDD42DAE3}" name="Columna18"/>
    <tableColumn id="19" xr3:uid="{ACAB0702-1C20-444F-BE61-7BE53BA69B50}" name="Columna19"/>
    <tableColumn id="20" xr3:uid="{51C93461-2CFB-4BDC-9941-1DC69A5F33FA}" name="Columna20"/>
    <tableColumn id="21" xr3:uid="{77A42818-1854-494D-9A74-FE7F3D5D18F5}" name="Columna21"/>
    <tableColumn id="22" xr3:uid="{7F4A2468-0CDC-48B5-A4F6-5D4ABC624311}" name="Columna22"/>
    <tableColumn id="23" xr3:uid="{6DF2A82D-66E6-4EE3-94D2-A19716533651}" name="Columna23"/>
    <tableColumn id="24" xr3:uid="{C1437F1F-B636-4BC7-A51A-692F1D29070F}" name="Columna24"/>
    <tableColumn id="25" xr3:uid="{8D194CA1-B203-43F1-9867-167E5F6682DA}" name="Columna25"/>
    <tableColumn id="26" xr3:uid="{80F2F6E2-73CD-4A93-8106-8F1CAFC3B561}" name="Columna2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691EAC-73FA-46A2-9B77-3BFA376982F2}" name="Tabla2" displayName="Tabla2" ref="A1:Z220" totalsRowShown="0" headerRowDxfId="4" dataDxfId="3">
  <autoFilter ref="A1:Z220" xr:uid="{A9691EAC-73FA-46A2-9B77-3BFA376982F2}"/>
  <tableColumns count="26">
    <tableColumn id="1" xr3:uid="{B23D7338-8478-40E2-87DC-C3C59F5F5C4D}" name="Importadores" dataDxfId="1"/>
    <tableColumn id="2" xr3:uid="{C1233FF8-D51D-4C62-90FB-1627BA7B45C5}" name="Valor importado en 2020" dataDxfId="2"/>
    <tableColumn id="3" xr3:uid="{79A77C24-3745-4910-843E-821FD008E1B6}" name="Valor importado en 2021" dataDxfId="28"/>
    <tableColumn id="4" xr3:uid="{0E05FBC8-86EE-49CB-887D-2EF4CBE30D3A}" name="Valor importado en 2022" dataDxfId="27"/>
    <tableColumn id="5" xr3:uid="{208A909F-7A15-4FFF-9C81-0FB3A2B86954}" name="Valor importado en 2023" dataDxfId="26"/>
    <tableColumn id="6" xr3:uid="{F260B696-C8E7-48CE-A0A8-01EB823D46E2}" name="Valor importado en 2024" dataDxfId="25"/>
    <tableColumn id="7" xr3:uid="{40411018-8371-4AFD-8FEA-49989740FB05}" name="IMPO TOTAL 2020" dataDxfId="24"/>
    <tableColumn id="8" xr3:uid="{F0F42495-165A-45AC-A2F5-147E004A84C9}" name="IMPO TOTAL 2021" dataDxfId="23"/>
    <tableColumn id="9" xr3:uid="{F0A61990-35C7-487C-B0CA-5AA82B77CE8E}" name="IMPO TOTAL 2022" dataDxfId="22"/>
    <tableColumn id="10" xr3:uid="{FFB916F8-8499-4AD6-A2A2-F992581B08C0}" name="IMPO TOTAL 2023" dataDxfId="21"/>
    <tableColumn id="11" xr3:uid="{171C0E4A-CC69-464D-8309-E8652D6E51B3}" name="IMPO TOTAL 2024" dataDxfId="20"/>
    <tableColumn id="12" xr3:uid="{C822E100-5136-47CD-875A-70D8F8727998}" name="PARTICIPACION 2020" dataDxfId="19"/>
    <tableColumn id="13" xr3:uid="{21702862-061A-4E8A-B7C8-A9F4001EA663}" name="PARTICIPACION 2021" dataDxfId="18"/>
    <tableColumn id="14" xr3:uid="{27F66B37-B9BF-453B-90F6-DD9851F1523A}" name="PARTICIPACION 2022" dataDxfId="17"/>
    <tableColumn id="15" xr3:uid="{CA6F8730-EC3E-4E3C-BC1D-6FA7DFF7A22D}" name="PARTICIPACION 2023" dataDxfId="16"/>
    <tableColumn id="16" xr3:uid="{1CBF2658-6893-4FF8-AD35-B447A5199D42}" name="PARTICIPACION 2024" dataDxfId="15"/>
    <tableColumn id="17" xr3:uid="{234722B9-E3C3-4CA0-82DC-5FC0A0E0FA53}" name="CRC 2020" dataDxfId="14"/>
    <tableColumn id="18" xr3:uid="{35F22CCF-EB06-4343-BA0E-B8F2F40A3E1E}" name="CRC 2021" dataDxfId="13"/>
    <tableColumn id="19" xr3:uid="{42271D1B-F375-4797-962A-A504827C730E}" name="CRC 2022" dataDxfId="12"/>
    <tableColumn id="20" xr3:uid="{71FBA01E-9D60-49AB-BE02-E3A590129ABE}" name="CRC 2023" dataDxfId="11"/>
    <tableColumn id="21" xr3:uid="{D350F81A-8D53-419D-87B9-77B4782FA6B9}" name="CRC 2024" dataDxfId="10"/>
    <tableColumn id="22" xr3:uid="{2432FCFC-954E-4CE6-9D78-8BA4D2BC617E}" name="CRC NORMALIZADO 2020" dataDxfId="9"/>
    <tableColumn id="23" xr3:uid="{FEF4F72C-2FE0-42AC-8935-00B9D294E706}" name="CRC NORMALIZADO 2021" dataDxfId="8"/>
    <tableColumn id="24" xr3:uid="{7D38657F-F76F-4FDF-9CC8-4F5E3F753886}" name="CRC NORMALIZADO 2022" dataDxfId="7"/>
    <tableColumn id="25" xr3:uid="{E9580E68-A9BD-4EC1-B6ED-B66EF80056FE}" name="CRC NORMALIZADO 2023" dataDxfId="6"/>
    <tableColumn id="26" xr3:uid="{34CB162F-85F3-4F78-8823-86CB4BDE065A}" name="CRC NORMALIZADO 2024" dataDxfId="5"/>
  </tableColumns>
  <tableStyleInfo name="TableStyleMedium3"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5C0C4-8281-4938-86A1-234CB253A129}">
  <dimension ref="A1:F174"/>
  <sheetViews>
    <sheetView showGridLines="0" topLeftCell="A48" workbookViewId="0">
      <selection activeCell="A15" sqref="A15:F174"/>
    </sheetView>
  </sheetViews>
  <sheetFormatPr baseColWidth="10" defaultRowHeight="15" x14ac:dyDescent="0.25"/>
  <cols>
    <col min="1" max="1" width="45.7109375" bestFit="1" customWidth="1"/>
    <col min="2" max="6" width="17.42578125" bestFit="1" customWidth="1"/>
  </cols>
  <sheetData>
    <row r="1" spans="1:6" x14ac:dyDescent="0.25">
      <c r="A1" s="25" t="s">
        <v>264</v>
      </c>
      <c r="B1" s="25"/>
      <c r="C1" s="25"/>
      <c r="D1" s="25"/>
      <c r="E1" s="25"/>
      <c r="F1" s="25"/>
    </row>
    <row r="2" spans="1:6" x14ac:dyDescent="0.25">
      <c r="A2" s="26" t="s">
        <v>265</v>
      </c>
      <c r="B2" s="26"/>
      <c r="C2" s="26"/>
      <c r="D2" s="26"/>
      <c r="E2" s="26"/>
      <c r="F2" s="26"/>
    </row>
    <row r="3" spans="1:6" x14ac:dyDescent="0.25">
      <c r="A3" s="1"/>
    </row>
    <row r="4" spans="1:6" ht="27" x14ac:dyDescent="0.25">
      <c r="A4" s="2" t="s">
        <v>0</v>
      </c>
    </row>
    <row r="5" spans="1:6" ht="27" x14ac:dyDescent="0.25">
      <c r="A5" s="2" t="s">
        <v>1</v>
      </c>
    </row>
    <row r="6" spans="1:6" ht="40.5" x14ac:dyDescent="0.25">
      <c r="A6" s="2" t="s">
        <v>2</v>
      </c>
    </row>
    <row r="7" spans="1:6" x14ac:dyDescent="0.25">
      <c r="A7" s="1"/>
    </row>
    <row r="8" spans="1:6" x14ac:dyDescent="0.25">
      <c r="A8" s="1"/>
    </row>
    <row r="9" spans="1:6" x14ac:dyDescent="0.25">
      <c r="A9" s="1"/>
    </row>
    <row r="10" spans="1:6" x14ac:dyDescent="0.25">
      <c r="A10" s="1"/>
    </row>
    <row r="11" spans="1:6" x14ac:dyDescent="0.25">
      <c r="A11" s="1"/>
    </row>
    <row r="12" spans="1:6" x14ac:dyDescent="0.25">
      <c r="A12" s="2" t="s">
        <v>3</v>
      </c>
    </row>
    <row r="13" spans="1:6" x14ac:dyDescent="0.25">
      <c r="A13" s="1"/>
    </row>
    <row r="14" spans="1:6" x14ac:dyDescent="0.25">
      <c r="A14" s="8" t="s">
        <v>4</v>
      </c>
      <c r="B14" s="9" t="s">
        <v>5</v>
      </c>
      <c r="C14" s="9" t="s">
        <v>6</v>
      </c>
      <c r="D14" s="9" t="s">
        <v>7</v>
      </c>
      <c r="E14" s="9" t="s">
        <v>8</v>
      </c>
      <c r="F14" s="10" t="s">
        <v>9</v>
      </c>
    </row>
    <row r="15" spans="1:6" x14ac:dyDescent="0.25">
      <c r="A15" s="11" t="s">
        <v>10</v>
      </c>
      <c r="B15" s="3">
        <v>1399902</v>
      </c>
      <c r="C15" s="3">
        <v>1255649</v>
      </c>
      <c r="D15" s="3">
        <v>903337</v>
      </c>
      <c r="E15" s="3">
        <v>1394444</v>
      </c>
      <c r="F15" s="3">
        <v>1481862</v>
      </c>
    </row>
    <row r="16" spans="1:6" x14ac:dyDescent="0.25">
      <c r="A16" s="12" t="s">
        <v>11</v>
      </c>
      <c r="B16" s="4">
        <v>718584</v>
      </c>
      <c r="C16" s="4">
        <v>572549</v>
      </c>
      <c r="D16" s="4">
        <v>349782</v>
      </c>
      <c r="E16" s="4">
        <v>581508</v>
      </c>
      <c r="F16" s="13">
        <v>733131</v>
      </c>
    </row>
    <row r="17" spans="1:6" x14ac:dyDescent="0.25">
      <c r="A17" s="11" t="s">
        <v>12</v>
      </c>
      <c r="B17" s="5">
        <v>154418</v>
      </c>
      <c r="C17" s="5">
        <v>157347</v>
      </c>
      <c r="D17" s="5">
        <v>102410</v>
      </c>
      <c r="E17" s="5">
        <v>155475</v>
      </c>
      <c r="F17" s="14">
        <v>154825</v>
      </c>
    </row>
    <row r="18" spans="1:6" x14ac:dyDescent="0.25">
      <c r="A18" s="12" t="s">
        <v>13</v>
      </c>
      <c r="B18" s="4">
        <v>105643</v>
      </c>
      <c r="C18" s="4">
        <v>85760</v>
      </c>
      <c r="D18" s="4">
        <v>65889</v>
      </c>
      <c r="E18" s="4">
        <v>120189</v>
      </c>
      <c r="F18" s="13">
        <v>106869</v>
      </c>
    </row>
    <row r="19" spans="1:6" x14ac:dyDescent="0.25">
      <c r="A19" s="11" t="s">
        <v>15</v>
      </c>
      <c r="B19" s="5">
        <v>95262</v>
      </c>
      <c r="C19" s="5">
        <v>129675</v>
      </c>
      <c r="D19" s="5">
        <v>67481</v>
      </c>
      <c r="E19" s="5">
        <v>65067</v>
      </c>
      <c r="F19" s="14">
        <v>100415</v>
      </c>
    </row>
    <row r="20" spans="1:6" x14ac:dyDescent="0.25">
      <c r="A20" s="12" t="s">
        <v>14</v>
      </c>
      <c r="B20" s="4">
        <v>60035</v>
      </c>
      <c r="C20" s="4">
        <v>51783</v>
      </c>
      <c r="D20" s="4">
        <v>56625</v>
      </c>
      <c r="E20" s="4">
        <v>76309</v>
      </c>
      <c r="F20" s="13">
        <v>79392</v>
      </c>
    </row>
    <row r="21" spans="1:6" x14ac:dyDescent="0.25">
      <c r="A21" s="11" t="s">
        <v>16</v>
      </c>
      <c r="B21" s="5">
        <v>50250</v>
      </c>
      <c r="C21" s="5">
        <v>49704</v>
      </c>
      <c r="D21" s="5">
        <v>33002</v>
      </c>
      <c r="E21" s="5">
        <v>66087</v>
      </c>
      <c r="F21" s="14">
        <v>71137</v>
      </c>
    </row>
    <row r="22" spans="1:6" x14ac:dyDescent="0.25">
      <c r="A22" s="12" t="s">
        <v>33</v>
      </c>
      <c r="B22" s="4">
        <v>1609</v>
      </c>
      <c r="C22" s="4">
        <v>514</v>
      </c>
      <c r="D22" s="4">
        <v>621</v>
      </c>
      <c r="E22" s="4">
        <v>11153</v>
      </c>
      <c r="F22" s="13">
        <v>30629</v>
      </c>
    </row>
    <row r="23" spans="1:6" x14ac:dyDescent="0.25">
      <c r="A23" s="11" t="s">
        <v>18</v>
      </c>
      <c r="B23" s="5">
        <v>20691</v>
      </c>
      <c r="C23" s="5">
        <v>30663</v>
      </c>
      <c r="D23" s="5">
        <v>28211</v>
      </c>
      <c r="E23" s="5">
        <v>34529</v>
      </c>
      <c r="F23" s="14">
        <v>30169</v>
      </c>
    </row>
    <row r="24" spans="1:6" x14ac:dyDescent="0.25">
      <c r="A24" s="12" t="s">
        <v>17</v>
      </c>
      <c r="B24" s="4">
        <v>8299</v>
      </c>
      <c r="C24" s="4">
        <v>4201</v>
      </c>
      <c r="D24" s="4">
        <v>4761</v>
      </c>
      <c r="E24" s="4">
        <v>11686</v>
      </c>
      <c r="F24" s="13">
        <v>24444</v>
      </c>
    </row>
    <row r="25" spans="1:6" x14ac:dyDescent="0.25">
      <c r="A25" s="11" t="s">
        <v>23</v>
      </c>
      <c r="B25" s="5">
        <v>10419</v>
      </c>
      <c r="C25" s="5">
        <v>15317</v>
      </c>
      <c r="D25" s="5">
        <v>40901</v>
      </c>
      <c r="E25" s="5">
        <v>44308</v>
      </c>
      <c r="F25" s="7">
        <v>18578</v>
      </c>
    </row>
    <row r="26" spans="1:6" x14ac:dyDescent="0.25">
      <c r="A26" s="12" t="s">
        <v>21</v>
      </c>
      <c r="B26" s="4">
        <v>12532</v>
      </c>
      <c r="C26" s="4">
        <v>9967</v>
      </c>
      <c r="D26" s="4">
        <v>10933</v>
      </c>
      <c r="E26" s="4">
        <v>26962</v>
      </c>
      <c r="F26" s="6">
        <v>16409</v>
      </c>
    </row>
    <row r="27" spans="1:6" x14ac:dyDescent="0.25">
      <c r="A27" s="11" t="s">
        <v>19</v>
      </c>
      <c r="B27" s="5">
        <v>14894</v>
      </c>
      <c r="C27" s="5">
        <v>14460</v>
      </c>
      <c r="D27" s="5">
        <v>11996</v>
      </c>
      <c r="E27" s="5">
        <v>17477</v>
      </c>
      <c r="F27" s="14">
        <v>16113</v>
      </c>
    </row>
    <row r="28" spans="1:6" x14ac:dyDescent="0.25">
      <c r="A28" s="12" t="s">
        <v>20</v>
      </c>
      <c r="B28" s="4">
        <v>8326</v>
      </c>
      <c r="C28" s="4">
        <v>10415</v>
      </c>
      <c r="D28" s="4">
        <v>8993</v>
      </c>
      <c r="E28" s="4">
        <v>15084</v>
      </c>
      <c r="F28" s="13">
        <v>14995</v>
      </c>
    </row>
    <row r="29" spans="1:6" x14ac:dyDescent="0.25">
      <c r="A29" s="11" t="s">
        <v>22</v>
      </c>
      <c r="B29" s="5">
        <v>4440</v>
      </c>
      <c r="C29" s="5">
        <v>3562</v>
      </c>
      <c r="D29" s="5">
        <v>5448</v>
      </c>
      <c r="E29" s="5">
        <v>28405</v>
      </c>
      <c r="F29" s="14">
        <v>8509</v>
      </c>
    </row>
    <row r="30" spans="1:6" x14ac:dyDescent="0.25">
      <c r="A30" s="12" t="s">
        <v>24</v>
      </c>
      <c r="B30" s="4">
        <v>8775</v>
      </c>
      <c r="C30" s="4">
        <v>3816</v>
      </c>
      <c r="D30" s="4">
        <v>2928</v>
      </c>
      <c r="E30" s="4">
        <v>4687</v>
      </c>
      <c r="F30" s="13">
        <v>6069</v>
      </c>
    </row>
    <row r="31" spans="1:6" x14ac:dyDescent="0.25">
      <c r="A31" s="11" t="s">
        <v>34</v>
      </c>
      <c r="B31" s="5">
        <v>2991</v>
      </c>
      <c r="C31" s="5">
        <v>3357</v>
      </c>
      <c r="D31" s="5">
        <v>2761</v>
      </c>
      <c r="E31" s="5">
        <v>3567</v>
      </c>
      <c r="F31" s="14">
        <v>5328</v>
      </c>
    </row>
    <row r="32" spans="1:6" x14ac:dyDescent="0.25">
      <c r="A32" s="12" t="s">
        <v>25</v>
      </c>
      <c r="B32" s="4">
        <v>7233</v>
      </c>
      <c r="C32" s="4">
        <v>5731</v>
      </c>
      <c r="D32" s="4">
        <v>3488</v>
      </c>
      <c r="E32" s="4">
        <v>5277</v>
      </c>
      <c r="F32" s="13">
        <v>4842</v>
      </c>
    </row>
    <row r="33" spans="1:6" x14ac:dyDescent="0.25">
      <c r="A33" s="11" t="s">
        <v>30</v>
      </c>
      <c r="B33" s="5">
        <v>4453</v>
      </c>
      <c r="C33" s="5">
        <v>4856</v>
      </c>
      <c r="D33" s="5">
        <v>3184</v>
      </c>
      <c r="E33" s="5">
        <v>3197</v>
      </c>
      <c r="F33" s="14">
        <v>4659</v>
      </c>
    </row>
    <row r="34" spans="1:6" x14ac:dyDescent="0.25">
      <c r="A34" s="12" t="s">
        <v>26</v>
      </c>
      <c r="B34" s="4">
        <v>3858</v>
      </c>
      <c r="C34" s="4">
        <v>3171</v>
      </c>
      <c r="D34" s="4">
        <v>7355</v>
      </c>
      <c r="E34" s="6">
        <v>12182</v>
      </c>
      <c r="F34" s="6">
        <v>4380</v>
      </c>
    </row>
    <row r="35" spans="1:6" x14ac:dyDescent="0.25">
      <c r="A35" s="11" t="s">
        <v>27</v>
      </c>
      <c r="B35" s="5">
        <v>6434</v>
      </c>
      <c r="C35" s="5">
        <v>4531</v>
      </c>
      <c r="D35" s="5">
        <v>4473</v>
      </c>
      <c r="E35" s="5">
        <v>5444</v>
      </c>
      <c r="F35" s="14">
        <v>3868</v>
      </c>
    </row>
    <row r="36" spans="1:6" x14ac:dyDescent="0.25">
      <c r="A36" s="12" t="s">
        <v>31</v>
      </c>
      <c r="B36" s="4">
        <v>5167</v>
      </c>
      <c r="C36" s="4">
        <v>5282</v>
      </c>
      <c r="D36" s="4">
        <v>2883</v>
      </c>
      <c r="E36" s="4">
        <v>3074</v>
      </c>
      <c r="F36" s="13">
        <v>3774</v>
      </c>
    </row>
    <row r="37" spans="1:6" x14ac:dyDescent="0.25">
      <c r="A37" s="11" t="s">
        <v>28</v>
      </c>
      <c r="B37" s="5">
        <v>2187</v>
      </c>
      <c r="C37" s="5">
        <v>1400</v>
      </c>
      <c r="D37" s="5">
        <v>1552</v>
      </c>
      <c r="E37" s="5">
        <v>1875</v>
      </c>
      <c r="F37" s="7">
        <v>3130</v>
      </c>
    </row>
    <row r="38" spans="1:6" x14ac:dyDescent="0.25">
      <c r="A38" s="12" t="s">
        <v>32</v>
      </c>
      <c r="B38" s="4">
        <v>2581</v>
      </c>
      <c r="C38" s="4">
        <v>3333</v>
      </c>
      <c r="D38" s="4">
        <v>2242</v>
      </c>
      <c r="E38" s="4">
        <v>2465</v>
      </c>
      <c r="F38" s="13">
        <v>2780</v>
      </c>
    </row>
    <row r="39" spans="1:6" x14ac:dyDescent="0.25">
      <c r="A39" s="11" t="s">
        <v>29</v>
      </c>
      <c r="B39" s="5">
        <v>821</v>
      </c>
      <c r="C39" s="5">
        <v>1456</v>
      </c>
      <c r="D39" s="5">
        <v>2067</v>
      </c>
      <c r="E39" s="5">
        <v>3373</v>
      </c>
      <c r="F39" s="14">
        <v>2653</v>
      </c>
    </row>
    <row r="40" spans="1:6" x14ac:dyDescent="0.25">
      <c r="A40" s="12" t="s">
        <v>41</v>
      </c>
      <c r="B40" s="4">
        <v>2790</v>
      </c>
      <c r="C40" s="4">
        <v>3240</v>
      </c>
      <c r="D40" s="4">
        <v>1889</v>
      </c>
      <c r="E40" s="4">
        <v>1944</v>
      </c>
      <c r="F40" s="13">
        <v>2207</v>
      </c>
    </row>
    <row r="41" spans="1:6" x14ac:dyDescent="0.25">
      <c r="A41" s="11" t="s">
        <v>105</v>
      </c>
      <c r="B41" s="5">
        <v>724</v>
      </c>
      <c r="C41" s="5">
        <v>205</v>
      </c>
      <c r="D41" s="5">
        <v>309</v>
      </c>
      <c r="E41" s="5">
        <v>1202</v>
      </c>
      <c r="F41" s="14">
        <v>2091</v>
      </c>
    </row>
    <row r="42" spans="1:6" x14ac:dyDescent="0.25">
      <c r="A42" s="12" t="s">
        <v>37</v>
      </c>
      <c r="B42" s="4">
        <v>727</v>
      </c>
      <c r="C42" s="4">
        <v>1152</v>
      </c>
      <c r="D42" s="4">
        <v>804</v>
      </c>
      <c r="E42" s="4">
        <v>2014</v>
      </c>
      <c r="F42" s="13">
        <v>2025</v>
      </c>
    </row>
    <row r="43" spans="1:6" x14ac:dyDescent="0.25">
      <c r="A43" s="11" t="s">
        <v>36</v>
      </c>
      <c r="B43" s="5">
        <v>2348</v>
      </c>
      <c r="C43" s="5">
        <v>918</v>
      </c>
      <c r="D43" s="5">
        <v>933</v>
      </c>
      <c r="E43" s="5">
        <v>1439</v>
      </c>
      <c r="F43" s="14">
        <v>1739</v>
      </c>
    </row>
    <row r="44" spans="1:6" x14ac:dyDescent="0.25">
      <c r="A44" s="12" t="s">
        <v>35</v>
      </c>
      <c r="B44" s="4">
        <v>1834</v>
      </c>
      <c r="C44" s="4">
        <v>2446</v>
      </c>
      <c r="D44" s="6">
        <v>2142</v>
      </c>
      <c r="E44" s="6">
        <v>3428</v>
      </c>
      <c r="F44" s="6">
        <v>1692</v>
      </c>
    </row>
    <row r="45" spans="1:6" x14ac:dyDescent="0.25">
      <c r="A45" s="11" t="s">
        <v>38</v>
      </c>
      <c r="B45" s="5">
        <v>772</v>
      </c>
      <c r="C45" s="5">
        <v>700</v>
      </c>
      <c r="D45" s="5">
        <v>981</v>
      </c>
      <c r="E45" s="5">
        <v>1324</v>
      </c>
      <c r="F45" s="14">
        <v>1558</v>
      </c>
    </row>
    <row r="46" spans="1:6" x14ac:dyDescent="0.25">
      <c r="A46" s="12" t="s">
        <v>39</v>
      </c>
      <c r="B46" s="4">
        <v>28</v>
      </c>
      <c r="C46" s="4">
        <v>318</v>
      </c>
      <c r="D46" s="4">
        <v>875</v>
      </c>
      <c r="E46" s="4">
        <v>632</v>
      </c>
      <c r="F46" s="6">
        <v>1340</v>
      </c>
    </row>
    <row r="47" spans="1:6" x14ac:dyDescent="0.25">
      <c r="A47" s="11" t="s">
        <v>40</v>
      </c>
      <c r="B47" s="5">
        <v>1173</v>
      </c>
      <c r="C47" s="5">
        <v>2220</v>
      </c>
      <c r="D47" s="5">
        <v>1592</v>
      </c>
      <c r="E47" s="5">
        <v>1730</v>
      </c>
      <c r="F47" s="14">
        <v>1175</v>
      </c>
    </row>
    <row r="48" spans="1:6" x14ac:dyDescent="0.25">
      <c r="A48" s="12" t="s">
        <v>63</v>
      </c>
      <c r="B48" s="4">
        <v>3128</v>
      </c>
      <c r="C48" s="4">
        <v>2244</v>
      </c>
      <c r="D48" s="4">
        <v>1707</v>
      </c>
      <c r="E48" s="4">
        <v>1351</v>
      </c>
      <c r="F48" s="13">
        <v>1172</v>
      </c>
    </row>
    <row r="49" spans="1:6" x14ac:dyDescent="0.25">
      <c r="A49" s="11" t="s">
        <v>49</v>
      </c>
      <c r="B49" s="5">
        <v>458</v>
      </c>
      <c r="C49" s="5">
        <v>504</v>
      </c>
      <c r="D49" s="5">
        <v>590</v>
      </c>
      <c r="E49" s="5">
        <v>719</v>
      </c>
      <c r="F49" s="14">
        <v>1065</v>
      </c>
    </row>
    <row r="50" spans="1:6" x14ac:dyDescent="0.25">
      <c r="A50" s="12" t="s">
        <v>44</v>
      </c>
      <c r="B50" s="4">
        <v>396</v>
      </c>
      <c r="C50" s="4">
        <v>675</v>
      </c>
      <c r="D50" s="4">
        <v>232</v>
      </c>
      <c r="E50" s="4">
        <v>409</v>
      </c>
      <c r="F50" s="6">
        <v>1037</v>
      </c>
    </row>
    <row r="51" spans="1:6" x14ac:dyDescent="0.25">
      <c r="A51" s="11" t="s">
        <v>43</v>
      </c>
      <c r="B51" s="5">
        <v>1968</v>
      </c>
      <c r="C51" s="5">
        <v>1477</v>
      </c>
      <c r="D51" s="5">
        <v>1007</v>
      </c>
      <c r="E51" s="5">
        <v>2447</v>
      </c>
      <c r="F51" s="14">
        <v>999</v>
      </c>
    </row>
    <row r="52" spans="1:6" x14ac:dyDescent="0.25">
      <c r="A52" s="12" t="s">
        <v>42</v>
      </c>
      <c r="B52" s="4">
        <v>0</v>
      </c>
      <c r="C52" s="4">
        <v>0</v>
      </c>
      <c r="D52" s="4">
        <v>16</v>
      </c>
      <c r="E52" s="4">
        <v>21</v>
      </c>
      <c r="F52" s="13">
        <v>979</v>
      </c>
    </row>
    <row r="53" spans="1:6" x14ac:dyDescent="0.25">
      <c r="A53" s="11" t="s">
        <v>53</v>
      </c>
      <c r="B53" s="5">
        <v>1314</v>
      </c>
      <c r="C53" s="5">
        <v>1005</v>
      </c>
      <c r="D53" s="5">
        <v>1049</v>
      </c>
      <c r="E53" s="5">
        <v>385</v>
      </c>
      <c r="F53" s="14">
        <v>837</v>
      </c>
    </row>
    <row r="54" spans="1:6" x14ac:dyDescent="0.25">
      <c r="A54" s="12" t="s">
        <v>45</v>
      </c>
      <c r="B54" s="4">
        <v>2320</v>
      </c>
      <c r="C54" s="4">
        <v>937</v>
      </c>
      <c r="D54" s="4">
        <v>552</v>
      </c>
      <c r="E54" s="4">
        <v>961</v>
      </c>
      <c r="F54" s="13">
        <v>825</v>
      </c>
    </row>
    <row r="55" spans="1:6" x14ac:dyDescent="0.25">
      <c r="A55" s="11" t="s">
        <v>46</v>
      </c>
      <c r="B55" s="5">
        <v>1849</v>
      </c>
      <c r="C55" s="5">
        <v>3079</v>
      </c>
      <c r="D55" s="5">
        <v>3172</v>
      </c>
      <c r="E55" s="5">
        <v>4767</v>
      </c>
      <c r="F55" s="7">
        <v>824</v>
      </c>
    </row>
    <row r="56" spans="1:6" x14ac:dyDescent="0.25">
      <c r="A56" s="12" t="s">
        <v>47</v>
      </c>
      <c r="B56" s="4">
        <v>2269</v>
      </c>
      <c r="C56" s="4">
        <v>2047</v>
      </c>
      <c r="D56" s="4">
        <v>1204</v>
      </c>
      <c r="E56" s="4">
        <v>1046</v>
      </c>
      <c r="F56" s="13">
        <v>800</v>
      </c>
    </row>
    <row r="57" spans="1:6" x14ac:dyDescent="0.25">
      <c r="A57" s="11" t="s">
        <v>58</v>
      </c>
      <c r="B57" s="5">
        <v>45850</v>
      </c>
      <c r="C57" s="5">
        <v>42709</v>
      </c>
      <c r="D57" s="5">
        <v>47074</v>
      </c>
      <c r="E57" s="5">
        <v>47311</v>
      </c>
      <c r="F57" s="7">
        <v>736</v>
      </c>
    </row>
    <row r="58" spans="1:6" x14ac:dyDescent="0.25">
      <c r="A58" s="12" t="s">
        <v>48</v>
      </c>
      <c r="B58" s="4">
        <v>31</v>
      </c>
      <c r="C58" s="4">
        <v>452</v>
      </c>
      <c r="D58" s="4">
        <v>74</v>
      </c>
      <c r="E58" s="4">
        <v>148</v>
      </c>
      <c r="F58" s="6">
        <v>679</v>
      </c>
    </row>
    <row r="59" spans="1:6" x14ac:dyDescent="0.25">
      <c r="A59" s="11" t="s">
        <v>51</v>
      </c>
      <c r="B59" s="5">
        <v>221</v>
      </c>
      <c r="C59" s="5">
        <v>270</v>
      </c>
      <c r="D59" s="5">
        <v>342</v>
      </c>
      <c r="E59" s="5">
        <v>723</v>
      </c>
      <c r="F59" s="14">
        <v>645</v>
      </c>
    </row>
    <row r="60" spans="1:6" x14ac:dyDescent="0.25">
      <c r="A60" s="12" t="s">
        <v>60</v>
      </c>
      <c r="B60" s="4">
        <v>264</v>
      </c>
      <c r="C60" s="4">
        <v>278</v>
      </c>
      <c r="D60" s="4">
        <v>216</v>
      </c>
      <c r="E60" s="4">
        <v>526</v>
      </c>
      <c r="F60" s="13">
        <v>625</v>
      </c>
    </row>
    <row r="61" spans="1:6" x14ac:dyDescent="0.25">
      <c r="A61" s="11" t="s">
        <v>50</v>
      </c>
      <c r="B61" s="5">
        <v>599</v>
      </c>
      <c r="C61" s="5">
        <v>157</v>
      </c>
      <c r="D61" s="5">
        <v>2918</v>
      </c>
      <c r="E61" s="5">
        <v>4531</v>
      </c>
      <c r="F61" s="7">
        <v>606</v>
      </c>
    </row>
    <row r="62" spans="1:6" x14ac:dyDescent="0.25">
      <c r="A62" s="12" t="s">
        <v>52</v>
      </c>
      <c r="B62" s="4">
        <v>1129</v>
      </c>
      <c r="C62" s="4">
        <v>1048</v>
      </c>
      <c r="D62" s="4">
        <v>885</v>
      </c>
      <c r="E62" s="4">
        <v>569</v>
      </c>
      <c r="F62" s="13">
        <v>559</v>
      </c>
    </row>
    <row r="63" spans="1:6" x14ac:dyDescent="0.25">
      <c r="A63" s="11" t="s">
        <v>57</v>
      </c>
      <c r="B63" s="5">
        <v>486</v>
      </c>
      <c r="C63" s="5">
        <v>542</v>
      </c>
      <c r="D63" s="5">
        <v>701</v>
      </c>
      <c r="E63" s="5">
        <v>690</v>
      </c>
      <c r="F63" s="14">
        <v>546</v>
      </c>
    </row>
    <row r="64" spans="1:6" x14ac:dyDescent="0.25">
      <c r="A64" s="12" t="s">
        <v>77</v>
      </c>
      <c r="B64" s="4">
        <v>649</v>
      </c>
      <c r="C64" s="4">
        <v>421</v>
      </c>
      <c r="D64" s="4">
        <v>573</v>
      </c>
      <c r="E64" s="4">
        <v>637</v>
      </c>
      <c r="F64" s="13">
        <v>523</v>
      </c>
    </row>
    <row r="65" spans="1:6" x14ac:dyDescent="0.25">
      <c r="A65" s="11" t="s">
        <v>66</v>
      </c>
      <c r="B65" s="5">
        <v>562</v>
      </c>
      <c r="C65" s="5">
        <v>708</v>
      </c>
      <c r="D65" s="5">
        <v>509</v>
      </c>
      <c r="E65" s="5">
        <v>497</v>
      </c>
      <c r="F65" s="14">
        <v>503</v>
      </c>
    </row>
    <row r="66" spans="1:6" x14ac:dyDescent="0.25">
      <c r="A66" s="12" t="s">
        <v>54</v>
      </c>
      <c r="B66" s="4">
        <v>394</v>
      </c>
      <c r="C66" s="4">
        <v>864</v>
      </c>
      <c r="D66" s="4">
        <v>420</v>
      </c>
      <c r="E66" s="4">
        <v>377</v>
      </c>
      <c r="F66" s="13">
        <v>441</v>
      </c>
    </row>
    <row r="67" spans="1:6" x14ac:dyDescent="0.25">
      <c r="A67" s="11" t="s">
        <v>55</v>
      </c>
      <c r="B67" s="5">
        <v>671</v>
      </c>
      <c r="C67" s="5">
        <v>313</v>
      </c>
      <c r="D67" s="5">
        <v>315</v>
      </c>
      <c r="E67" s="5">
        <v>459</v>
      </c>
      <c r="F67" s="14">
        <v>390</v>
      </c>
    </row>
    <row r="68" spans="1:6" x14ac:dyDescent="0.25">
      <c r="A68" s="12" t="s">
        <v>76</v>
      </c>
      <c r="B68" s="4">
        <v>742</v>
      </c>
      <c r="C68" s="4">
        <v>752</v>
      </c>
      <c r="D68" s="4">
        <v>435</v>
      </c>
      <c r="E68" s="4">
        <v>404</v>
      </c>
      <c r="F68" s="13">
        <v>387</v>
      </c>
    </row>
    <row r="69" spans="1:6" x14ac:dyDescent="0.25">
      <c r="A69" s="11" t="s">
        <v>62</v>
      </c>
      <c r="B69" s="5">
        <v>254</v>
      </c>
      <c r="C69" s="5">
        <v>209</v>
      </c>
      <c r="D69" s="5">
        <v>168</v>
      </c>
      <c r="E69" s="5">
        <v>367</v>
      </c>
      <c r="F69" s="14">
        <v>348</v>
      </c>
    </row>
    <row r="70" spans="1:6" x14ac:dyDescent="0.25">
      <c r="A70" s="12" t="s">
        <v>80</v>
      </c>
      <c r="B70" s="4">
        <v>49</v>
      </c>
      <c r="C70" s="4">
        <v>33</v>
      </c>
      <c r="D70" s="4">
        <v>97</v>
      </c>
      <c r="E70" s="4">
        <v>37</v>
      </c>
      <c r="F70" s="13">
        <v>340</v>
      </c>
    </row>
    <row r="71" spans="1:6" x14ac:dyDescent="0.25">
      <c r="A71" s="11" t="s">
        <v>56</v>
      </c>
      <c r="B71" s="5">
        <v>88</v>
      </c>
      <c r="C71" s="5">
        <v>59</v>
      </c>
      <c r="D71" s="5">
        <v>179</v>
      </c>
      <c r="E71" s="5">
        <v>22</v>
      </c>
      <c r="F71" s="14">
        <v>318</v>
      </c>
    </row>
    <row r="72" spans="1:6" x14ac:dyDescent="0.25">
      <c r="A72" s="12" t="s">
        <v>70</v>
      </c>
      <c r="B72" s="4">
        <v>34</v>
      </c>
      <c r="C72" s="4">
        <v>122</v>
      </c>
      <c r="D72" s="4">
        <v>10</v>
      </c>
      <c r="E72" s="4">
        <v>50</v>
      </c>
      <c r="F72" s="6">
        <v>302</v>
      </c>
    </row>
    <row r="73" spans="1:6" x14ac:dyDescent="0.25">
      <c r="A73" s="11" t="s">
        <v>59</v>
      </c>
      <c r="B73" s="5">
        <v>22</v>
      </c>
      <c r="C73" s="5">
        <v>14</v>
      </c>
      <c r="D73" s="7">
        <v>313</v>
      </c>
      <c r="E73" s="7">
        <v>243</v>
      </c>
      <c r="F73" s="7">
        <v>300</v>
      </c>
    </row>
    <row r="74" spans="1:6" x14ac:dyDescent="0.25">
      <c r="A74" s="12" t="s">
        <v>68</v>
      </c>
      <c r="B74" s="4">
        <v>181</v>
      </c>
      <c r="C74" s="4">
        <v>213</v>
      </c>
      <c r="D74" s="4">
        <v>217</v>
      </c>
      <c r="E74" s="4">
        <v>632</v>
      </c>
      <c r="F74" s="13">
        <v>281</v>
      </c>
    </row>
    <row r="75" spans="1:6" x14ac:dyDescent="0.25">
      <c r="A75" s="11" t="s">
        <v>65</v>
      </c>
      <c r="B75" s="5">
        <v>576</v>
      </c>
      <c r="C75" s="5">
        <v>505</v>
      </c>
      <c r="D75" s="5">
        <v>570</v>
      </c>
      <c r="E75" s="5">
        <v>411</v>
      </c>
      <c r="F75" s="14">
        <v>270</v>
      </c>
    </row>
    <row r="76" spans="1:6" x14ac:dyDescent="0.25">
      <c r="A76" s="12" t="s">
        <v>64</v>
      </c>
      <c r="B76" s="4">
        <v>84</v>
      </c>
      <c r="C76" s="4">
        <v>72</v>
      </c>
      <c r="D76" s="4">
        <v>80</v>
      </c>
      <c r="E76" s="4">
        <v>65</v>
      </c>
      <c r="F76" s="13">
        <v>250</v>
      </c>
    </row>
    <row r="77" spans="1:6" x14ac:dyDescent="0.25">
      <c r="A77" s="11" t="s">
        <v>61</v>
      </c>
      <c r="B77" s="5">
        <v>25</v>
      </c>
      <c r="C77" s="5">
        <v>21</v>
      </c>
      <c r="D77" s="5">
        <v>1</v>
      </c>
      <c r="E77" s="5">
        <v>3</v>
      </c>
      <c r="F77" s="14">
        <v>239</v>
      </c>
    </row>
    <row r="78" spans="1:6" x14ac:dyDescent="0.25">
      <c r="A78" s="12" t="s">
        <v>79</v>
      </c>
      <c r="B78" s="4">
        <v>194</v>
      </c>
      <c r="C78" s="4">
        <v>267</v>
      </c>
      <c r="D78" s="4">
        <v>186</v>
      </c>
      <c r="E78" s="4">
        <v>170</v>
      </c>
      <c r="F78" s="13">
        <v>217</v>
      </c>
    </row>
    <row r="79" spans="1:6" x14ac:dyDescent="0.25">
      <c r="A79" s="11" t="s">
        <v>67</v>
      </c>
      <c r="B79" s="5">
        <v>1293</v>
      </c>
      <c r="C79" s="5">
        <v>1241</v>
      </c>
      <c r="D79" s="5">
        <v>934</v>
      </c>
      <c r="E79" s="5">
        <v>647</v>
      </c>
      <c r="F79" s="7">
        <v>206</v>
      </c>
    </row>
    <row r="80" spans="1:6" x14ac:dyDescent="0.25">
      <c r="A80" s="12" t="s">
        <v>89</v>
      </c>
      <c r="B80" s="6">
        <v>25</v>
      </c>
      <c r="C80" s="6">
        <v>73</v>
      </c>
      <c r="D80" s="6">
        <v>316</v>
      </c>
      <c r="E80" s="6">
        <v>458</v>
      </c>
      <c r="F80" s="6">
        <v>173</v>
      </c>
    </row>
    <row r="81" spans="1:6" x14ac:dyDescent="0.25">
      <c r="A81" s="11" t="s">
        <v>83</v>
      </c>
      <c r="B81" s="5">
        <v>13</v>
      </c>
      <c r="C81" s="5">
        <v>28</v>
      </c>
      <c r="D81" s="5">
        <v>60</v>
      </c>
      <c r="E81" s="5">
        <v>98</v>
      </c>
      <c r="F81" s="14">
        <v>155</v>
      </c>
    </row>
    <row r="82" spans="1:6" x14ac:dyDescent="0.25">
      <c r="A82" s="12" t="s">
        <v>69</v>
      </c>
      <c r="B82" s="4">
        <v>0</v>
      </c>
      <c r="C82" s="4">
        <v>0</v>
      </c>
      <c r="D82" s="4">
        <v>0</v>
      </c>
      <c r="E82" s="4">
        <v>319</v>
      </c>
      <c r="F82" s="6">
        <v>155</v>
      </c>
    </row>
    <row r="83" spans="1:6" x14ac:dyDescent="0.25">
      <c r="A83" s="11" t="s">
        <v>92</v>
      </c>
      <c r="B83" s="5">
        <v>157</v>
      </c>
      <c r="C83" s="5">
        <v>94</v>
      </c>
      <c r="D83" s="5">
        <v>97</v>
      </c>
      <c r="E83" s="5">
        <v>159</v>
      </c>
      <c r="F83" s="14">
        <v>134</v>
      </c>
    </row>
    <row r="84" spans="1:6" x14ac:dyDescent="0.25">
      <c r="A84" s="12" t="s">
        <v>90</v>
      </c>
      <c r="B84" s="4">
        <v>714</v>
      </c>
      <c r="C84" s="4">
        <v>363</v>
      </c>
      <c r="D84" s="6">
        <v>140</v>
      </c>
      <c r="E84" s="6">
        <v>132</v>
      </c>
      <c r="F84" s="6">
        <v>132</v>
      </c>
    </row>
    <row r="85" spans="1:6" x14ac:dyDescent="0.25">
      <c r="A85" s="11" t="s">
        <v>93</v>
      </c>
      <c r="B85" s="5">
        <v>214</v>
      </c>
      <c r="C85" s="5">
        <v>105</v>
      </c>
      <c r="D85" s="5">
        <v>75</v>
      </c>
      <c r="E85" s="5">
        <v>116</v>
      </c>
      <c r="F85" s="14">
        <v>123</v>
      </c>
    </row>
    <row r="86" spans="1:6" x14ac:dyDescent="0.25">
      <c r="A86" s="12" t="s">
        <v>71</v>
      </c>
      <c r="B86" s="4">
        <v>15</v>
      </c>
      <c r="C86" s="4">
        <v>1</v>
      </c>
      <c r="D86" s="4">
        <v>0</v>
      </c>
      <c r="E86" s="4">
        <v>3</v>
      </c>
      <c r="F86" s="6">
        <v>111</v>
      </c>
    </row>
    <row r="87" spans="1:6" x14ac:dyDescent="0.25">
      <c r="A87" s="11" t="s">
        <v>74</v>
      </c>
      <c r="B87" s="5">
        <v>1217</v>
      </c>
      <c r="C87" s="5">
        <v>1095</v>
      </c>
      <c r="D87" s="5">
        <v>614</v>
      </c>
      <c r="E87" s="5">
        <v>740</v>
      </c>
      <c r="F87" s="14">
        <v>110</v>
      </c>
    </row>
    <row r="88" spans="1:6" x14ac:dyDescent="0.25">
      <c r="A88" s="12" t="s">
        <v>85</v>
      </c>
      <c r="B88" s="4">
        <v>205</v>
      </c>
      <c r="C88" s="4">
        <v>141</v>
      </c>
      <c r="D88" s="4">
        <v>129</v>
      </c>
      <c r="E88" s="4">
        <v>154</v>
      </c>
      <c r="F88" s="13">
        <v>102</v>
      </c>
    </row>
    <row r="89" spans="1:6" x14ac:dyDescent="0.25">
      <c r="A89" s="11" t="s">
        <v>73</v>
      </c>
      <c r="B89" s="5">
        <v>162</v>
      </c>
      <c r="C89" s="5">
        <v>63</v>
      </c>
      <c r="D89" s="5">
        <v>62</v>
      </c>
      <c r="E89" s="5">
        <v>12</v>
      </c>
      <c r="F89" s="7">
        <v>100</v>
      </c>
    </row>
    <row r="90" spans="1:6" x14ac:dyDescent="0.25">
      <c r="A90" s="12" t="s">
        <v>72</v>
      </c>
      <c r="B90" s="4">
        <v>3822</v>
      </c>
      <c r="C90" s="4">
        <v>1273</v>
      </c>
      <c r="D90" s="4">
        <v>963</v>
      </c>
      <c r="E90" s="4">
        <v>2578</v>
      </c>
      <c r="F90" s="13">
        <v>90</v>
      </c>
    </row>
    <row r="91" spans="1:6" x14ac:dyDescent="0.25">
      <c r="A91" s="11" t="s">
        <v>97</v>
      </c>
      <c r="B91" s="5">
        <v>6</v>
      </c>
      <c r="C91" s="5">
        <v>10</v>
      </c>
      <c r="D91" s="5">
        <v>28</v>
      </c>
      <c r="E91" s="5">
        <v>28</v>
      </c>
      <c r="F91" s="14">
        <v>88</v>
      </c>
    </row>
    <row r="92" spans="1:6" x14ac:dyDescent="0.25">
      <c r="A92" s="12" t="s">
        <v>94</v>
      </c>
      <c r="B92" s="4">
        <v>67</v>
      </c>
      <c r="C92" s="4">
        <v>37</v>
      </c>
      <c r="D92" s="4">
        <v>54</v>
      </c>
      <c r="E92" s="4">
        <v>71</v>
      </c>
      <c r="F92" s="13">
        <v>75</v>
      </c>
    </row>
    <row r="93" spans="1:6" x14ac:dyDescent="0.25">
      <c r="A93" s="11" t="s">
        <v>150</v>
      </c>
      <c r="B93" s="5">
        <v>5</v>
      </c>
      <c r="C93" s="5">
        <v>15</v>
      </c>
      <c r="D93" s="5">
        <v>65</v>
      </c>
      <c r="E93" s="5">
        <v>75</v>
      </c>
      <c r="F93" s="7">
        <v>70</v>
      </c>
    </row>
    <row r="94" spans="1:6" x14ac:dyDescent="0.25">
      <c r="A94" s="12" t="s">
        <v>75</v>
      </c>
      <c r="B94" s="4">
        <v>0</v>
      </c>
      <c r="C94" s="4">
        <v>0</v>
      </c>
      <c r="D94" s="4">
        <v>0</v>
      </c>
      <c r="E94" s="4">
        <v>1035</v>
      </c>
      <c r="F94" s="6">
        <v>68</v>
      </c>
    </row>
    <row r="95" spans="1:6" x14ac:dyDescent="0.25">
      <c r="A95" s="11" t="s">
        <v>81</v>
      </c>
      <c r="B95" s="5">
        <v>41</v>
      </c>
      <c r="C95" s="5">
        <v>10</v>
      </c>
      <c r="D95" s="5">
        <v>15</v>
      </c>
      <c r="E95" s="5">
        <v>16</v>
      </c>
      <c r="F95" s="7">
        <v>68</v>
      </c>
    </row>
    <row r="96" spans="1:6" x14ac:dyDescent="0.25">
      <c r="A96" s="12" t="s">
        <v>108</v>
      </c>
      <c r="B96" s="4">
        <v>111</v>
      </c>
      <c r="C96" s="4">
        <v>266</v>
      </c>
      <c r="D96" s="4">
        <v>355</v>
      </c>
      <c r="E96" s="4">
        <v>362</v>
      </c>
      <c r="F96" s="6">
        <v>64</v>
      </c>
    </row>
    <row r="97" spans="1:6" x14ac:dyDescent="0.25">
      <c r="A97" s="11" t="s">
        <v>96</v>
      </c>
      <c r="B97" s="5">
        <v>91</v>
      </c>
      <c r="C97" s="5">
        <v>117</v>
      </c>
      <c r="D97" s="5">
        <v>42</v>
      </c>
      <c r="E97" s="5">
        <v>47</v>
      </c>
      <c r="F97" s="14">
        <v>60</v>
      </c>
    </row>
    <row r="98" spans="1:6" x14ac:dyDescent="0.25">
      <c r="A98" s="12" t="s">
        <v>110</v>
      </c>
      <c r="B98" s="4">
        <v>70</v>
      </c>
      <c r="C98" s="4">
        <v>84</v>
      </c>
      <c r="D98" s="4">
        <v>53</v>
      </c>
      <c r="E98" s="4">
        <v>41</v>
      </c>
      <c r="F98" s="13">
        <v>58</v>
      </c>
    </row>
    <row r="99" spans="1:6" x14ac:dyDescent="0.25">
      <c r="A99" s="11" t="s">
        <v>84</v>
      </c>
      <c r="B99" s="7">
        <v>37</v>
      </c>
      <c r="C99" s="7">
        <v>57</v>
      </c>
      <c r="D99" s="7">
        <v>1065</v>
      </c>
      <c r="E99" s="7">
        <v>88</v>
      </c>
      <c r="F99" s="7">
        <v>56</v>
      </c>
    </row>
    <row r="100" spans="1:6" x14ac:dyDescent="0.25">
      <c r="A100" s="12" t="s">
        <v>88</v>
      </c>
      <c r="B100" s="4">
        <v>100</v>
      </c>
      <c r="C100" s="4">
        <v>119</v>
      </c>
      <c r="D100" s="4">
        <v>61</v>
      </c>
      <c r="E100" s="4">
        <v>59</v>
      </c>
      <c r="F100" s="13">
        <v>55</v>
      </c>
    </row>
    <row r="101" spans="1:6" x14ac:dyDescent="0.25">
      <c r="A101" s="11" t="s">
        <v>78</v>
      </c>
      <c r="B101" s="5">
        <v>67</v>
      </c>
      <c r="C101" s="5">
        <v>47</v>
      </c>
      <c r="D101" s="5">
        <v>44</v>
      </c>
      <c r="E101" s="5">
        <v>59</v>
      </c>
      <c r="F101" s="14">
        <v>54</v>
      </c>
    </row>
    <row r="102" spans="1:6" x14ac:dyDescent="0.25">
      <c r="A102" s="12" t="s">
        <v>163</v>
      </c>
      <c r="B102" s="4">
        <v>7</v>
      </c>
      <c r="C102" s="4">
        <v>5</v>
      </c>
      <c r="D102" s="4">
        <v>3</v>
      </c>
      <c r="E102" s="4">
        <v>5</v>
      </c>
      <c r="F102" s="13">
        <v>54</v>
      </c>
    </row>
    <row r="103" spans="1:6" x14ac:dyDescent="0.25">
      <c r="A103" s="11" t="s">
        <v>111</v>
      </c>
      <c r="B103" s="5">
        <v>219</v>
      </c>
      <c r="C103" s="5">
        <v>343</v>
      </c>
      <c r="D103" s="5">
        <v>54</v>
      </c>
      <c r="E103" s="5">
        <v>198</v>
      </c>
      <c r="F103" s="7">
        <v>42</v>
      </c>
    </row>
    <row r="104" spans="1:6" x14ac:dyDescent="0.25">
      <c r="A104" s="12" t="s">
        <v>114</v>
      </c>
      <c r="B104" s="4"/>
      <c r="C104" s="6">
        <v>6</v>
      </c>
      <c r="D104" s="6">
        <v>4</v>
      </c>
      <c r="E104" s="6">
        <v>137</v>
      </c>
      <c r="F104" s="6">
        <v>41</v>
      </c>
    </row>
    <row r="105" spans="1:6" x14ac:dyDescent="0.25">
      <c r="A105" s="11" t="s">
        <v>82</v>
      </c>
      <c r="B105" s="5">
        <v>32</v>
      </c>
      <c r="C105" s="5">
        <v>4</v>
      </c>
      <c r="D105" s="5">
        <v>73</v>
      </c>
      <c r="E105" s="5">
        <v>0</v>
      </c>
      <c r="F105" s="14">
        <v>40</v>
      </c>
    </row>
    <row r="106" spans="1:6" x14ac:dyDescent="0.25">
      <c r="A106" s="12" t="s">
        <v>118</v>
      </c>
      <c r="B106" s="4">
        <v>40</v>
      </c>
      <c r="C106" s="4">
        <v>139</v>
      </c>
      <c r="D106" s="4">
        <v>40</v>
      </c>
      <c r="E106" s="4">
        <v>46</v>
      </c>
      <c r="F106" s="13">
        <v>39</v>
      </c>
    </row>
    <row r="107" spans="1:6" x14ac:dyDescent="0.25">
      <c r="A107" s="11" t="s">
        <v>133</v>
      </c>
      <c r="B107" s="5">
        <v>1</v>
      </c>
      <c r="C107" s="5">
        <v>16</v>
      </c>
      <c r="D107" s="5">
        <v>0</v>
      </c>
      <c r="E107" s="5">
        <v>0</v>
      </c>
      <c r="F107" s="7">
        <v>35</v>
      </c>
    </row>
    <row r="108" spans="1:6" x14ac:dyDescent="0.25">
      <c r="A108" s="12" t="s">
        <v>86</v>
      </c>
      <c r="B108" s="4"/>
      <c r="C108" s="4">
        <v>28</v>
      </c>
      <c r="D108" s="4">
        <v>11</v>
      </c>
      <c r="E108" s="4">
        <v>40</v>
      </c>
      <c r="F108" s="6">
        <v>32</v>
      </c>
    </row>
    <row r="109" spans="1:6" x14ac:dyDescent="0.25">
      <c r="A109" s="11" t="s">
        <v>137</v>
      </c>
      <c r="B109" s="5">
        <v>162</v>
      </c>
      <c r="C109" s="5">
        <v>124</v>
      </c>
      <c r="D109" s="5">
        <v>143</v>
      </c>
      <c r="E109" s="5">
        <v>108</v>
      </c>
      <c r="F109" s="7">
        <v>28</v>
      </c>
    </row>
    <row r="110" spans="1:6" x14ac:dyDescent="0.25">
      <c r="A110" s="12" t="s">
        <v>87</v>
      </c>
      <c r="B110" s="4">
        <v>177</v>
      </c>
      <c r="C110" s="4">
        <v>0</v>
      </c>
      <c r="D110" s="4">
        <v>0</v>
      </c>
      <c r="E110" s="4">
        <v>28</v>
      </c>
      <c r="F110" s="13">
        <v>24</v>
      </c>
    </row>
    <row r="111" spans="1:6" x14ac:dyDescent="0.25">
      <c r="A111" s="11" t="s">
        <v>91</v>
      </c>
      <c r="B111" s="5">
        <v>0</v>
      </c>
      <c r="C111" s="5">
        <v>111</v>
      </c>
      <c r="D111" s="5">
        <v>111</v>
      </c>
      <c r="E111" s="5">
        <v>158</v>
      </c>
      <c r="F111" s="14">
        <v>23</v>
      </c>
    </row>
    <row r="112" spans="1:6" x14ac:dyDescent="0.25">
      <c r="A112" s="12" t="s">
        <v>103</v>
      </c>
      <c r="B112" s="4">
        <v>0</v>
      </c>
      <c r="C112" s="4">
        <v>0</v>
      </c>
      <c r="D112" s="4">
        <v>1</v>
      </c>
      <c r="E112" s="4">
        <v>3</v>
      </c>
      <c r="F112" s="13">
        <v>20</v>
      </c>
    </row>
    <row r="113" spans="1:6" x14ac:dyDescent="0.25">
      <c r="A113" s="11" t="s">
        <v>120</v>
      </c>
      <c r="B113" s="5">
        <v>88</v>
      </c>
      <c r="C113" s="5">
        <v>56</v>
      </c>
      <c r="D113" s="5">
        <v>20</v>
      </c>
      <c r="E113" s="5">
        <v>80</v>
      </c>
      <c r="F113" s="14">
        <v>18</v>
      </c>
    </row>
    <row r="114" spans="1:6" x14ac:dyDescent="0.25">
      <c r="A114" s="12" t="s">
        <v>95</v>
      </c>
      <c r="B114" s="6">
        <v>2</v>
      </c>
      <c r="C114" s="6">
        <v>1</v>
      </c>
      <c r="D114" s="6">
        <v>15</v>
      </c>
      <c r="E114" s="6">
        <v>9</v>
      </c>
      <c r="F114" s="6">
        <v>16</v>
      </c>
    </row>
    <row r="115" spans="1:6" x14ac:dyDescent="0.25">
      <c r="A115" s="11" t="s">
        <v>115</v>
      </c>
      <c r="B115" s="5">
        <v>15</v>
      </c>
      <c r="C115" s="5">
        <v>23</v>
      </c>
      <c r="D115" s="5">
        <v>34</v>
      </c>
      <c r="E115" s="5">
        <v>24</v>
      </c>
      <c r="F115" s="14">
        <v>15</v>
      </c>
    </row>
    <row r="116" spans="1:6" x14ac:dyDescent="0.25">
      <c r="A116" s="12" t="s">
        <v>121</v>
      </c>
      <c r="B116" s="4">
        <v>63</v>
      </c>
      <c r="C116" s="4">
        <v>43</v>
      </c>
      <c r="D116" s="4">
        <v>29</v>
      </c>
      <c r="E116" s="4">
        <v>24</v>
      </c>
      <c r="F116" s="13">
        <v>15</v>
      </c>
    </row>
    <row r="117" spans="1:6" x14ac:dyDescent="0.25">
      <c r="A117" s="11" t="s">
        <v>122</v>
      </c>
      <c r="B117" s="5">
        <v>15</v>
      </c>
      <c r="C117" s="5">
        <v>42</v>
      </c>
      <c r="D117" s="5">
        <v>21</v>
      </c>
      <c r="E117" s="5">
        <v>22</v>
      </c>
      <c r="F117" s="14">
        <v>12</v>
      </c>
    </row>
    <row r="118" spans="1:6" x14ac:dyDescent="0.25">
      <c r="A118" s="12" t="s">
        <v>116</v>
      </c>
      <c r="B118" s="4">
        <v>5</v>
      </c>
      <c r="C118" s="4">
        <v>14</v>
      </c>
      <c r="D118" s="4">
        <v>47</v>
      </c>
      <c r="E118" s="4">
        <v>9</v>
      </c>
      <c r="F118" s="13">
        <v>11</v>
      </c>
    </row>
    <row r="119" spans="1:6" x14ac:dyDescent="0.25">
      <c r="A119" s="11" t="s">
        <v>99</v>
      </c>
      <c r="B119" s="5">
        <v>1208</v>
      </c>
      <c r="C119" s="5">
        <v>1270</v>
      </c>
      <c r="D119" s="5">
        <v>1340</v>
      </c>
      <c r="E119" s="5">
        <v>896</v>
      </c>
      <c r="F119" s="7">
        <v>11</v>
      </c>
    </row>
    <row r="120" spans="1:6" x14ac:dyDescent="0.25">
      <c r="A120" s="12" t="s">
        <v>100</v>
      </c>
      <c r="B120" s="4">
        <v>22</v>
      </c>
      <c r="C120" s="4">
        <v>12</v>
      </c>
      <c r="D120" s="4">
        <v>1</v>
      </c>
      <c r="E120" s="4">
        <v>53</v>
      </c>
      <c r="F120" s="13">
        <v>11</v>
      </c>
    </row>
    <row r="121" spans="1:6" x14ac:dyDescent="0.25">
      <c r="A121" s="11" t="s">
        <v>166</v>
      </c>
      <c r="B121" s="5">
        <v>10</v>
      </c>
      <c r="C121" s="5">
        <v>6</v>
      </c>
      <c r="D121" s="5">
        <v>11</v>
      </c>
      <c r="E121" s="5">
        <v>7</v>
      </c>
      <c r="F121" s="14">
        <v>10</v>
      </c>
    </row>
    <row r="122" spans="1:6" x14ac:dyDescent="0.25">
      <c r="A122" s="12" t="s">
        <v>98</v>
      </c>
      <c r="B122" s="4">
        <v>0</v>
      </c>
      <c r="C122" s="4">
        <v>0</v>
      </c>
      <c r="D122" s="4">
        <v>0</v>
      </c>
      <c r="E122" s="4">
        <v>0</v>
      </c>
      <c r="F122" s="6">
        <v>10</v>
      </c>
    </row>
    <row r="123" spans="1:6" x14ac:dyDescent="0.25">
      <c r="A123" s="11" t="s">
        <v>143</v>
      </c>
      <c r="B123" s="5">
        <v>5</v>
      </c>
      <c r="C123" s="5">
        <v>3</v>
      </c>
      <c r="D123" s="5">
        <v>0</v>
      </c>
      <c r="E123" s="5">
        <v>0</v>
      </c>
      <c r="F123" s="7">
        <v>10</v>
      </c>
    </row>
    <row r="124" spans="1:6" x14ac:dyDescent="0.25">
      <c r="A124" s="12" t="s">
        <v>109</v>
      </c>
      <c r="B124" s="4"/>
      <c r="C124" s="6">
        <v>13</v>
      </c>
      <c r="D124" s="4"/>
      <c r="E124" s="6">
        <v>8</v>
      </c>
      <c r="F124" s="6">
        <v>9</v>
      </c>
    </row>
    <row r="125" spans="1:6" x14ac:dyDescent="0.25">
      <c r="A125" s="11" t="s">
        <v>101</v>
      </c>
      <c r="B125" s="7">
        <v>300</v>
      </c>
      <c r="C125" s="7">
        <v>86</v>
      </c>
      <c r="D125" s="7">
        <v>79</v>
      </c>
      <c r="E125" s="7">
        <v>8</v>
      </c>
      <c r="F125" s="7">
        <v>8</v>
      </c>
    </row>
    <row r="126" spans="1:6" x14ac:dyDescent="0.25">
      <c r="A126" s="12" t="s">
        <v>132</v>
      </c>
      <c r="B126" s="4">
        <v>97</v>
      </c>
      <c r="C126" s="4">
        <v>79</v>
      </c>
      <c r="D126" s="4">
        <v>0</v>
      </c>
      <c r="E126" s="4">
        <v>217</v>
      </c>
      <c r="F126" s="6">
        <v>7</v>
      </c>
    </row>
    <row r="127" spans="1:6" x14ac:dyDescent="0.25">
      <c r="A127" s="11" t="s">
        <v>102</v>
      </c>
      <c r="B127" s="5">
        <v>103</v>
      </c>
      <c r="C127" s="5">
        <v>40</v>
      </c>
      <c r="D127" s="5">
        <v>6</v>
      </c>
      <c r="E127" s="5">
        <v>1</v>
      </c>
      <c r="F127" s="14">
        <v>7</v>
      </c>
    </row>
    <row r="128" spans="1:6" x14ac:dyDescent="0.25">
      <c r="A128" s="12" t="s">
        <v>104</v>
      </c>
      <c r="B128" s="4">
        <v>2</v>
      </c>
      <c r="C128" s="4">
        <v>2</v>
      </c>
      <c r="D128" s="4">
        <v>2</v>
      </c>
      <c r="E128" s="4">
        <v>3</v>
      </c>
      <c r="F128" s="13">
        <v>5</v>
      </c>
    </row>
    <row r="129" spans="1:6" x14ac:dyDescent="0.25">
      <c r="A129" s="11" t="s">
        <v>127</v>
      </c>
      <c r="B129" s="5">
        <v>6</v>
      </c>
      <c r="C129" s="5">
        <v>1</v>
      </c>
      <c r="D129" s="5">
        <v>0</v>
      </c>
      <c r="E129" s="5">
        <v>0</v>
      </c>
      <c r="F129" s="14">
        <v>4</v>
      </c>
    </row>
    <row r="130" spans="1:6" x14ac:dyDescent="0.25">
      <c r="A130" s="12" t="s">
        <v>113</v>
      </c>
      <c r="B130" s="4">
        <v>31</v>
      </c>
      <c r="C130" s="4">
        <v>12</v>
      </c>
      <c r="D130" s="4">
        <v>8</v>
      </c>
      <c r="E130" s="4">
        <v>4</v>
      </c>
      <c r="F130" s="13">
        <v>4</v>
      </c>
    </row>
    <row r="131" spans="1:6" x14ac:dyDescent="0.25">
      <c r="A131" s="11" t="s">
        <v>106</v>
      </c>
      <c r="B131" s="5">
        <v>0</v>
      </c>
      <c r="C131" s="5">
        <v>12</v>
      </c>
      <c r="D131" s="5">
        <v>15</v>
      </c>
      <c r="E131" s="5">
        <v>0</v>
      </c>
      <c r="F131" s="14">
        <v>4</v>
      </c>
    </row>
    <row r="132" spans="1:6" x14ac:dyDescent="0.25">
      <c r="A132" s="12" t="s">
        <v>130</v>
      </c>
      <c r="B132" s="4">
        <v>16</v>
      </c>
      <c r="C132" s="4">
        <v>135</v>
      </c>
      <c r="D132" s="4">
        <v>97</v>
      </c>
      <c r="E132" s="4">
        <v>92</v>
      </c>
      <c r="F132" s="6">
        <v>4</v>
      </c>
    </row>
    <row r="133" spans="1:6" x14ac:dyDescent="0.25">
      <c r="A133" s="11" t="s">
        <v>172</v>
      </c>
      <c r="B133" s="5">
        <v>0</v>
      </c>
      <c r="C133" s="5">
        <v>0</v>
      </c>
      <c r="D133" s="5">
        <v>0</v>
      </c>
      <c r="E133" s="5">
        <v>0</v>
      </c>
      <c r="F133" s="7">
        <v>3</v>
      </c>
    </row>
    <row r="134" spans="1:6" x14ac:dyDescent="0.25">
      <c r="A134" s="12" t="s">
        <v>107</v>
      </c>
      <c r="B134" s="4">
        <v>0</v>
      </c>
      <c r="C134" s="4">
        <v>0</v>
      </c>
      <c r="D134" s="4">
        <v>0</v>
      </c>
      <c r="E134" s="4">
        <v>0</v>
      </c>
      <c r="F134" s="6">
        <v>3</v>
      </c>
    </row>
    <row r="135" spans="1:6" x14ac:dyDescent="0.25">
      <c r="A135" s="11" t="s">
        <v>112</v>
      </c>
      <c r="B135" s="5">
        <v>0</v>
      </c>
      <c r="C135" s="5">
        <v>0</v>
      </c>
      <c r="D135" s="5">
        <v>0</v>
      </c>
      <c r="E135" s="5">
        <v>0</v>
      </c>
      <c r="F135" s="7">
        <v>2</v>
      </c>
    </row>
    <row r="136" spans="1:6" x14ac:dyDescent="0.25">
      <c r="A136" s="12" t="s">
        <v>173</v>
      </c>
      <c r="B136" s="4">
        <v>0</v>
      </c>
      <c r="C136" s="4">
        <v>0</v>
      </c>
      <c r="D136" s="4">
        <v>0</v>
      </c>
      <c r="E136" s="4">
        <v>2</v>
      </c>
      <c r="F136" s="13">
        <v>2</v>
      </c>
    </row>
    <row r="137" spans="1:6" x14ac:dyDescent="0.25">
      <c r="A137" s="11" t="s">
        <v>119</v>
      </c>
      <c r="B137" s="5">
        <v>0</v>
      </c>
      <c r="C137" s="5">
        <v>0</v>
      </c>
      <c r="D137" s="5">
        <v>0</v>
      </c>
      <c r="E137" s="5">
        <v>0</v>
      </c>
      <c r="F137" s="7">
        <v>2</v>
      </c>
    </row>
    <row r="138" spans="1:6" x14ac:dyDescent="0.25">
      <c r="A138" s="12" t="s">
        <v>145</v>
      </c>
      <c r="B138" s="4">
        <v>0</v>
      </c>
      <c r="C138" s="4">
        <v>1</v>
      </c>
      <c r="D138" s="4">
        <v>3</v>
      </c>
      <c r="E138" s="4">
        <v>1</v>
      </c>
      <c r="F138" s="6">
        <v>1</v>
      </c>
    </row>
    <row r="139" spans="1:6" x14ac:dyDescent="0.25">
      <c r="A139" s="11" t="s">
        <v>123</v>
      </c>
      <c r="B139" s="5"/>
      <c r="C139" s="5"/>
      <c r="D139" s="5"/>
      <c r="E139" s="5"/>
      <c r="F139" s="7">
        <v>1</v>
      </c>
    </row>
    <row r="140" spans="1:6" x14ac:dyDescent="0.25">
      <c r="A140" s="12" t="s">
        <v>124</v>
      </c>
      <c r="B140" s="4">
        <v>1</v>
      </c>
      <c r="C140" s="4"/>
      <c r="D140" s="6">
        <v>1</v>
      </c>
      <c r="E140" s="6">
        <v>2</v>
      </c>
      <c r="F140" s="6">
        <v>1</v>
      </c>
    </row>
    <row r="141" spans="1:6" x14ac:dyDescent="0.25">
      <c r="A141" s="11" t="s">
        <v>125</v>
      </c>
      <c r="B141" s="5">
        <v>0</v>
      </c>
      <c r="C141" s="5">
        <v>0</v>
      </c>
      <c r="D141" s="5">
        <v>0</v>
      </c>
      <c r="E141" s="5">
        <v>0</v>
      </c>
      <c r="F141" s="7">
        <v>1</v>
      </c>
    </row>
    <row r="142" spans="1:6" x14ac:dyDescent="0.25">
      <c r="A142" s="12" t="s">
        <v>184</v>
      </c>
      <c r="B142" s="4"/>
      <c r="C142" s="4"/>
      <c r="D142" s="4"/>
      <c r="E142" s="4"/>
      <c r="F142" s="6">
        <v>1</v>
      </c>
    </row>
    <row r="143" spans="1:6" x14ac:dyDescent="0.25">
      <c r="A143" s="11" t="s">
        <v>117</v>
      </c>
      <c r="B143" s="5">
        <v>0</v>
      </c>
      <c r="C143" s="5">
        <v>0</v>
      </c>
      <c r="D143" s="5">
        <v>8</v>
      </c>
      <c r="E143" s="5">
        <v>0</v>
      </c>
      <c r="F143" s="14">
        <v>1</v>
      </c>
    </row>
    <row r="144" spans="1:6" x14ac:dyDescent="0.25">
      <c r="A144" s="12" t="s">
        <v>198</v>
      </c>
      <c r="B144" s="4">
        <v>1</v>
      </c>
      <c r="C144" s="4">
        <v>0</v>
      </c>
      <c r="D144" s="4">
        <v>0</v>
      </c>
      <c r="E144" s="4">
        <v>0</v>
      </c>
      <c r="F144" s="13">
        <v>0</v>
      </c>
    </row>
    <row r="145" spans="1:6" x14ac:dyDescent="0.25">
      <c r="A145" s="11" t="s">
        <v>159</v>
      </c>
      <c r="B145" s="5">
        <v>0</v>
      </c>
      <c r="C145" s="5">
        <v>0</v>
      </c>
      <c r="D145" s="5">
        <v>0</v>
      </c>
      <c r="E145" s="5">
        <v>10</v>
      </c>
      <c r="F145" s="14">
        <v>0</v>
      </c>
    </row>
    <row r="146" spans="1:6" x14ac:dyDescent="0.25">
      <c r="A146" s="12" t="s">
        <v>155</v>
      </c>
      <c r="B146" s="4">
        <v>0</v>
      </c>
      <c r="C146" s="4">
        <v>1</v>
      </c>
      <c r="D146" s="4">
        <v>0</v>
      </c>
      <c r="E146" s="4">
        <v>0</v>
      </c>
      <c r="F146" s="13">
        <v>0</v>
      </c>
    </row>
    <row r="147" spans="1:6" x14ac:dyDescent="0.25">
      <c r="A147" s="11" t="s">
        <v>207</v>
      </c>
      <c r="B147" s="5">
        <v>0</v>
      </c>
      <c r="C147" s="5">
        <v>1</v>
      </c>
      <c r="D147" s="5">
        <v>0</v>
      </c>
      <c r="E147" s="5">
        <v>0</v>
      </c>
      <c r="F147" s="14">
        <v>0</v>
      </c>
    </row>
    <row r="148" spans="1:6" x14ac:dyDescent="0.25">
      <c r="A148" s="12" t="s">
        <v>128</v>
      </c>
      <c r="B148" s="4">
        <v>1</v>
      </c>
      <c r="C148" s="4">
        <v>1</v>
      </c>
      <c r="D148" s="4">
        <v>0</v>
      </c>
      <c r="E148" s="4">
        <v>0</v>
      </c>
      <c r="F148" s="13">
        <v>0</v>
      </c>
    </row>
    <row r="149" spans="1:6" x14ac:dyDescent="0.25">
      <c r="A149" s="11" t="s">
        <v>126</v>
      </c>
      <c r="B149" s="5">
        <v>0</v>
      </c>
      <c r="C149" s="5">
        <v>3</v>
      </c>
      <c r="D149" s="5">
        <v>15</v>
      </c>
      <c r="E149" s="5">
        <v>6</v>
      </c>
      <c r="F149" s="14">
        <v>0</v>
      </c>
    </row>
    <row r="150" spans="1:6" x14ac:dyDescent="0.25">
      <c r="A150" s="12" t="s">
        <v>149</v>
      </c>
      <c r="B150" s="4">
        <v>58</v>
      </c>
      <c r="C150" s="4">
        <v>59</v>
      </c>
      <c r="D150" s="4">
        <v>13</v>
      </c>
      <c r="E150" s="4">
        <v>52</v>
      </c>
      <c r="F150" s="13"/>
    </row>
    <row r="151" spans="1:6" x14ac:dyDescent="0.25">
      <c r="A151" s="11" t="s">
        <v>147</v>
      </c>
      <c r="B151" s="5">
        <v>12</v>
      </c>
      <c r="C151" s="5">
        <v>0</v>
      </c>
      <c r="D151" s="5">
        <v>0</v>
      </c>
      <c r="E151" s="5">
        <v>0</v>
      </c>
      <c r="F151" s="14"/>
    </row>
    <row r="152" spans="1:6" x14ac:dyDescent="0.25">
      <c r="A152" s="12" t="s">
        <v>148</v>
      </c>
      <c r="B152" s="4"/>
      <c r="C152" s="4"/>
      <c r="D152" s="6">
        <v>27</v>
      </c>
      <c r="E152" s="4"/>
      <c r="F152" s="13"/>
    </row>
    <row r="153" spans="1:6" x14ac:dyDescent="0.25">
      <c r="A153" s="11" t="s">
        <v>131</v>
      </c>
      <c r="B153" s="5">
        <v>3</v>
      </c>
      <c r="C153" s="5">
        <v>5</v>
      </c>
      <c r="D153" s="5">
        <v>281</v>
      </c>
      <c r="E153" s="5">
        <v>559</v>
      </c>
      <c r="F153" s="14"/>
    </row>
    <row r="154" spans="1:6" x14ac:dyDescent="0.25">
      <c r="A154" s="12" t="s">
        <v>196</v>
      </c>
      <c r="B154" s="6">
        <v>5</v>
      </c>
      <c r="C154" s="4"/>
      <c r="D154" s="6">
        <v>2</v>
      </c>
      <c r="E154" s="6">
        <v>11</v>
      </c>
      <c r="F154" s="13"/>
    </row>
    <row r="155" spans="1:6" x14ac:dyDescent="0.25">
      <c r="A155" s="11" t="s">
        <v>146</v>
      </c>
      <c r="B155" s="5">
        <v>682</v>
      </c>
      <c r="C155" s="5">
        <v>347</v>
      </c>
      <c r="D155" s="5">
        <v>245</v>
      </c>
      <c r="E155" s="5">
        <v>247</v>
      </c>
      <c r="F155" s="14"/>
    </row>
    <row r="156" spans="1:6" x14ac:dyDescent="0.25">
      <c r="A156" s="12" t="s">
        <v>206</v>
      </c>
      <c r="B156" s="4"/>
      <c r="C156" s="6">
        <v>2</v>
      </c>
      <c r="D156" s="4"/>
      <c r="E156" s="4"/>
      <c r="F156" s="13"/>
    </row>
    <row r="157" spans="1:6" x14ac:dyDescent="0.25">
      <c r="A157" s="11" t="s">
        <v>151</v>
      </c>
      <c r="B157" s="5"/>
      <c r="C157" s="5"/>
      <c r="D157" s="7">
        <v>2</v>
      </c>
      <c r="E157" s="5"/>
      <c r="F157" s="14"/>
    </row>
    <row r="158" spans="1:6" x14ac:dyDescent="0.25">
      <c r="A158" s="12" t="s">
        <v>152</v>
      </c>
      <c r="B158" s="4">
        <v>10</v>
      </c>
      <c r="C158" s="4">
        <v>11</v>
      </c>
      <c r="D158" s="4">
        <v>2</v>
      </c>
      <c r="E158" s="4"/>
      <c r="F158" s="13"/>
    </row>
    <row r="159" spans="1:6" x14ac:dyDescent="0.25">
      <c r="A159" s="11" t="s">
        <v>182</v>
      </c>
      <c r="B159" s="7">
        <v>1</v>
      </c>
      <c r="C159" s="5"/>
      <c r="D159" s="5"/>
      <c r="E159" s="5"/>
      <c r="F159" s="14"/>
    </row>
    <row r="160" spans="1:6" x14ac:dyDescent="0.25">
      <c r="A160" s="12" t="s">
        <v>191</v>
      </c>
      <c r="B160" s="4"/>
      <c r="C160" s="4"/>
      <c r="D160" s="4"/>
      <c r="E160" s="6">
        <v>3</v>
      </c>
      <c r="F160" s="13"/>
    </row>
    <row r="161" spans="1:6" x14ac:dyDescent="0.25">
      <c r="A161" s="11" t="s">
        <v>144</v>
      </c>
      <c r="B161" s="5"/>
      <c r="C161" s="7">
        <v>1</v>
      </c>
      <c r="D161" s="7">
        <v>2</v>
      </c>
      <c r="E161" s="5"/>
      <c r="F161" s="14"/>
    </row>
    <row r="162" spans="1:6" x14ac:dyDescent="0.25">
      <c r="A162" s="12" t="s">
        <v>158</v>
      </c>
      <c r="B162" s="4"/>
      <c r="C162" s="6">
        <v>18</v>
      </c>
      <c r="D162" s="4"/>
      <c r="E162" s="4"/>
      <c r="F162" s="13"/>
    </row>
    <row r="163" spans="1:6" x14ac:dyDescent="0.25">
      <c r="A163" s="11" t="s">
        <v>134</v>
      </c>
      <c r="B163" s="5"/>
      <c r="C163" s="5"/>
      <c r="D163" s="7">
        <v>1</v>
      </c>
      <c r="E163" s="5"/>
      <c r="F163" s="14"/>
    </row>
    <row r="164" spans="1:6" x14ac:dyDescent="0.25">
      <c r="A164" s="12" t="s">
        <v>129</v>
      </c>
      <c r="B164" s="4"/>
      <c r="C164" s="6">
        <v>2</v>
      </c>
      <c r="D164" s="4"/>
      <c r="E164" s="4"/>
      <c r="F164" s="13"/>
    </row>
    <row r="165" spans="1:6" x14ac:dyDescent="0.25">
      <c r="A165" s="11" t="s">
        <v>169</v>
      </c>
      <c r="B165" s="5"/>
      <c r="C165" s="5"/>
      <c r="D165" s="7">
        <v>40</v>
      </c>
      <c r="E165" s="5"/>
      <c r="F165" s="14"/>
    </row>
    <row r="166" spans="1:6" x14ac:dyDescent="0.25">
      <c r="A166" s="12" t="s">
        <v>135</v>
      </c>
      <c r="B166" s="4">
        <v>843</v>
      </c>
      <c r="C166" s="4">
        <v>1267</v>
      </c>
      <c r="D166" s="4"/>
      <c r="E166" s="4"/>
      <c r="F166" s="13"/>
    </row>
    <row r="167" spans="1:6" x14ac:dyDescent="0.25">
      <c r="A167" s="11" t="s">
        <v>139</v>
      </c>
      <c r="B167" s="5"/>
      <c r="C167" s="7">
        <v>4</v>
      </c>
      <c r="D167" s="5"/>
      <c r="E167" s="5"/>
      <c r="F167" s="14"/>
    </row>
    <row r="168" spans="1:6" x14ac:dyDescent="0.25">
      <c r="A168" s="12" t="s">
        <v>138</v>
      </c>
      <c r="B168" s="4">
        <v>0</v>
      </c>
      <c r="C168" s="4">
        <v>3</v>
      </c>
      <c r="D168" s="4">
        <v>0</v>
      </c>
      <c r="E168" s="4"/>
      <c r="F168" s="13"/>
    </row>
    <row r="169" spans="1:6" x14ac:dyDescent="0.25">
      <c r="A169" s="11" t="s">
        <v>140</v>
      </c>
      <c r="B169" s="5">
        <v>6</v>
      </c>
      <c r="C169" s="5">
        <v>0</v>
      </c>
      <c r="D169" s="5">
        <v>0</v>
      </c>
      <c r="E169" s="5">
        <v>0</v>
      </c>
      <c r="F169" s="14"/>
    </row>
    <row r="170" spans="1:6" x14ac:dyDescent="0.25">
      <c r="A170" s="12" t="s">
        <v>141</v>
      </c>
      <c r="B170" s="4">
        <v>0</v>
      </c>
      <c r="C170" s="4">
        <v>9</v>
      </c>
      <c r="D170" s="4">
        <v>0</v>
      </c>
      <c r="E170" s="6">
        <v>1</v>
      </c>
      <c r="F170" s="13"/>
    </row>
    <row r="171" spans="1:6" x14ac:dyDescent="0.25">
      <c r="A171" s="11" t="s">
        <v>136</v>
      </c>
      <c r="B171" s="5">
        <v>0</v>
      </c>
      <c r="C171" s="5">
        <v>2</v>
      </c>
      <c r="D171" s="5">
        <v>0</v>
      </c>
      <c r="E171" s="5">
        <v>1</v>
      </c>
      <c r="F171" s="14"/>
    </row>
    <row r="172" spans="1:6" x14ac:dyDescent="0.25">
      <c r="A172" s="12" t="s">
        <v>142</v>
      </c>
      <c r="B172" s="4"/>
      <c r="C172" s="6">
        <v>1</v>
      </c>
      <c r="D172" s="4"/>
      <c r="E172" s="4"/>
      <c r="F172" s="13"/>
    </row>
    <row r="173" spans="1:6" x14ac:dyDescent="0.25">
      <c r="A173" s="11" t="s">
        <v>167</v>
      </c>
      <c r="B173" s="5"/>
      <c r="C173" s="5"/>
      <c r="D173" s="7">
        <v>25</v>
      </c>
      <c r="E173" s="5"/>
      <c r="F173" s="14"/>
    </row>
    <row r="174" spans="1:6" x14ac:dyDescent="0.25">
      <c r="A174" s="18" t="s">
        <v>211</v>
      </c>
      <c r="B174" s="23"/>
      <c r="C174" s="23"/>
      <c r="D174" s="6">
        <v>10</v>
      </c>
      <c r="E174" s="6">
        <v>1</v>
      </c>
      <c r="F174" s="24"/>
    </row>
  </sheetData>
  <mergeCells count="2">
    <mergeCell ref="A1:F1"/>
    <mergeCell ref="A2:F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5E3F1-BA3E-4283-8614-9E63055C0D12}">
  <dimension ref="A1:F235"/>
  <sheetViews>
    <sheetView topLeftCell="A191" workbookViewId="0">
      <selection activeCell="H232" sqref="H232"/>
    </sheetView>
  </sheetViews>
  <sheetFormatPr baseColWidth="10" defaultRowHeight="15" x14ac:dyDescent="0.25"/>
  <sheetData>
    <row r="1" spans="1:6" ht="33.75" x14ac:dyDescent="0.25">
      <c r="A1" s="8" t="s">
        <v>4</v>
      </c>
      <c r="B1" s="9" t="s">
        <v>5</v>
      </c>
      <c r="C1" s="9" t="s">
        <v>6</v>
      </c>
      <c r="D1" s="9" t="s">
        <v>7</v>
      </c>
      <c r="E1" s="9" t="s">
        <v>8</v>
      </c>
      <c r="F1" s="10" t="s">
        <v>9</v>
      </c>
    </row>
    <row r="2" spans="1:6" x14ac:dyDescent="0.25">
      <c r="A2" s="11" t="s">
        <v>10</v>
      </c>
      <c r="B2" s="3">
        <v>17507541851</v>
      </c>
      <c r="C2" s="3">
        <v>22166126034</v>
      </c>
      <c r="D2" s="3">
        <v>24722312663</v>
      </c>
      <c r="E2" s="3">
        <v>23669609969</v>
      </c>
      <c r="F2" s="3">
        <v>23879911094</v>
      </c>
    </row>
    <row r="3" spans="1:6" x14ac:dyDescent="0.25">
      <c r="A3" s="12" t="s">
        <v>11</v>
      </c>
      <c r="B3" s="4">
        <v>2588402392</v>
      </c>
      <c r="C3" s="4">
        <v>3361814264</v>
      </c>
      <c r="D3" s="4">
        <v>3593601450</v>
      </c>
      <c r="E3" s="4">
        <v>3388716312</v>
      </c>
      <c r="F3" s="13">
        <v>3575457663</v>
      </c>
    </row>
    <row r="4" spans="1:6" ht="23.25" x14ac:dyDescent="0.25">
      <c r="A4" s="11" t="s">
        <v>20</v>
      </c>
      <c r="B4" s="5">
        <v>1424934919</v>
      </c>
      <c r="C4" s="5">
        <v>1754300368</v>
      </c>
      <c r="D4" s="5">
        <v>2062937261</v>
      </c>
      <c r="E4" s="5">
        <v>2019159665</v>
      </c>
      <c r="F4" s="14">
        <v>2064516772</v>
      </c>
    </row>
    <row r="5" spans="1:6" x14ac:dyDescent="0.25">
      <c r="A5" s="12" t="s">
        <v>18</v>
      </c>
      <c r="B5" s="4">
        <v>1379900278</v>
      </c>
      <c r="C5" s="4">
        <v>1631098969</v>
      </c>
      <c r="D5" s="4">
        <v>1645377162</v>
      </c>
      <c r="E5" s="4">
        <v>1681974764</v>
      </c>
      <c r="F5" s="13">
        <v>1684013664</v>
      </c>
    </row>
    <row r="6" spans="1:6" x14ac:dyDescent="0.25">
      <c r="A6" s="11" t="s">
        <v>12</v>
      </c>
      <c r="B6" s="5">
        <v>551352792</v>
      </c>
      <c r="C6" s="5">
        <v>696873257</v>
      </c>
      <c r="D6" s="5">
        <v>768259270</v>
      </c>
      <c r="E6" s="5">
        <v>741804035</v>
      </c>
      <c r="F6" s="14">
        <v>725520286</v>
      </c>
    </row>
    <row r="7" spans="1:6" x14ac:dyDescent="0.25">
      <c r="A7" s="12" t="s">
        <v>60</v>
      </c>
      <c r="B7" s="4">
        <v>640953137</v>
      </c>
      <c r="C7" s="4">
        <v>757461387</v>
      </c>
      <c r="D7" s="4">
        <v>752071999</v>
      </c>
      <c r="E7" s="4">
        <v>719844077</v>
      </c>
      <c r="F7" s="13">
        <v>707995434</v>
      </c>
    </row>
    <row r="8" spans="1:6" ht="23.25" x14ac:dyDescent="0.25">
      <c r="A8" s="11" t="s">
        <v>118</v>
      </c>
      <c r="B8" s="5">
        <v>512788606</v>
      </c>
      <c r="C8" s="5">
        <v>644438622</v>
      </c>
      <c r="D8" s="5">
        <v>683584759</v>
      </c>
      <c r="E8" s="5">
        <v>632225745</v>
      </c>
      <c r="F8" s="14">
        <v>683691488</v>
      </c>
    </row>
    <row r="9" spans="1:6" x14ac:dyDescent="0.25">
      <c r="A9" s="12" t="s">
        <v>24</v>
      </c>
      <c r="B9" s="4">
        <v>498803832</v>
      </c>
      <c r="C9" s="4">
        <v>615910260</v>
      </c>
      <c r="D9" s="4">
        <v>659387209</v>
      </c>
      <c r="E9" s="4">
        <v>677095229</v>
      </c>
      <c r="F9" s="13">
        <v>674873608</v>
      </c>
    </row>
    <row r="10" spans="1:6" x14ac:dyDescent="0.25">
      <c r="A10" s="11" t="s">
        <v>28</v>
      </c>
      <c r="B10" s="5">
        <v>416982170</v>
      </c>
      <c r="C10" s="5">
        <v>494460765</v>
      </c>
      <c r="D10" s="5">
        <v>577730713</v>
      </c>
      <c r="E10" s="5">
        <v>592997234</v>
      </c>
      <c r="F10" s="7">
        <v>669295575</v>
      </c>
    </row>
    <row r="11" spans="1:6" ht="23.25" x14ac:dyDescent="0.25">
      <c r="A11" s="12" t="s">
        <v>92</v>
      </c>
      <c r="B11" s="4">
        <v>551515756</v>
      </c>
      <c r="C11" s="4">
        <v>672153980</v>
      </c>
      <c r="D11" s="4">
        <v>611481903</v>
      </c>
      <c r="E11" s="4">
        <v>576144442</v>
      </c>
      <c r="F11" s="13">
        <v>640570014</v>
      </c>
    </row>
    <row r="12" spans="1:6" x14ac:dyDescent="0.25">
      <c r="A12" s="11" t="s">
        <v>30</v>
      </c>
      <c r="B12" s="5">
        <v>478282779</v>
      </c>
      <c r="C12" s="5">
        <v>573227524</v>
      </c>
      <c r="D12" s="5">
        <v>608745460</v>
      </c>
      <c r="E12" s="5">
        <v>637660373</v>
      </c>
      <c r="F12" s="14">
        <v>626820762</v>
      </c>
    </row>
    <row r="13" spans="1:6" x14ac:dyDescent="0.25">
      <c r="A13" s="12" t="s">
        <v>77</v>
      </c>
      <c r="B13" s="4">
        <v>389926388</v>
      </c>
      <c r="C13" s="4">
        <v>503963502</v>
      </c>
      <c r="D13" s="4">
        <v>598582866</v>
      </c>
      <c r="E13" s="4">
        <v>568413103</v>
      </c>
      <c r="F13" s="13">
        <v>569244052</v>
      </c>
    </row>
    <row r="14" spans="1:6" x14ac:dyDescent="0.25">
      <c r="A14" s="11" t="s">
        <v>34</v>
      </c>
      <c r="B14" s="5">
        <v>419478288</v>
      </c>
      <c r="C14" s="5">
        <v>549499377</v>
      </c>
      <c r="D14" s="5">
        <v>636424483</v>
      </c>
      <c r="E14" s="5">
        <v>568505277</v>
      </c>
      <c r="F14" s="14">
        <v>549570742</v>
      </c>
    </row>
    <row r="15" spans="1:6" x14ac:dyDescent="0.25">
      <c r="A15" s="12" t="s">
        <v>31</v>
      </c>
      <c r="B15" s="4">
        <v>402566008</v>
      </c>
      <c r="C15" s="4">
        <v>468502713</v>
      </c>
      <c r="D15" s="4">
        <v>530481545</v>
      </c>
      <c r="E15" s="4">
        <v>519684227</v>
      </c>
      <c r="F15" s="13">
        <v>512910100</v>
      </c>
    </row>
    <row r="16" spans="1:6" x14ac:dyDescent="0.25">
      <c r="A16" s="11" t="s">
        <v>49</v>
      </c>
      <c r="B16" s="5">
        <v>373909153</v>
      </c>
      <c r="C16" s="5">
        <v>457749966</v>
      </c>
      <c r="D16" s="5">
        <v>515077895</v>
      </c>
      <c r="E16" s="5">
        <v>475472598</v>
      </c>
      <c r="F16" s="14">
        <v>504878086</v>
      </c>
    </row>
    <row r="17" spans="1:6" x14ac:dyDescent="0.25">
      <c r="A17" s="12" t="s">
        <v>21</v>
      </c>
      <c r="B17" s="4">
        <v>281441457</v>
      </c>
      <c r="C17" s="4">
        <v>335792598</v>
      </c>
      <c r="D17" s="4">
        <v>370909157</v>
      </c>
      <c r="E17" s="4">
        <v>353077513</v>
      </c>
      <c r="F17" s="6">
        <v>499816774</v>
      </c>
    </row>
    <row r="18" spans="1:6" x14ac:dyDescent="0.25">
      <c r="A18" s="11" t="s">
        <v>27</v>
      </c>
      <c r="B18" s="5">
        <v>346633936</v>
      </c>
      <c r="C18" s="5">
        <v>447557398</v>
      </c>
      <c r="D18" s="5">
        <v>478224690</v>
      </c>
      <c r="E18" s="5">
        <v>432943057</v>
      </c>
      <c r="F18" s="14">
        <v>474618994</v>
      </c>
    </row>
    <row r="19" spans="1:6" x14ac:dyDescent="0.25">
      <c r="A19" s="12" t="s">
        <v>88</v>
      </c>
      <c r="B19" s="4">
        <v>318985767</v>
      </c>
      <c r="C19" s="4">
        <v>380557523</v>
      </c>
      <c r="D19" s="4">
        <v>402112025</v>
      </c>
      <c r="E19" s="4">
        <v>420656666</v>
      </c>
      <c r="F19" s="13">
        <v>446846629</v>
      </c>
    </row>
    <row r="20" spans="1:6" x14ac:dyDescent="0.25">
      <c r="A20" s="11" t="s">
        <v>15</v>
      </c>
      <c r="B20" s="5">
        <v>275488745</v>
      </c>
      <c r="C20" s="5">
        <v>394813673</v>
      </c>
      <c r="D20" s="5">
        <v>452684214</v>
      </c>
      <c r="E20" s="5">
        <v>431245536</v>
      </c>
      <c r="F20" s="14">
        <v>441700612</v>
      </c>
    </row>
    <row r="21" spans="1:6" x14ac:dyDescent="0.25">
      <c r="A21" s="12" t="s">
        <v>19</v>
      </c>
      <c r="B21" s="4">
        <v>312080513</v>
      </c>
      <c r="C21" s="4">
        <v>391558519</v>
      </c>
      <c r="D21" s="4">
        <v>424286055</v>
      </c>
      <c r="E21" s="4">
        <v>420169591</v>
      </c>
      <c r="F21" s="13">
        <v>403702939</v>
      </c>
    </row>
    <row r="22" spans="1:6" ht="23.25" x14ac:dyDescent="0.25">
      <c r="A22" s="11" t="s">
        <v>90</v>
      </c>
      <c r="B22" s="5">
        <v>337105352</v>
      </c>
      <c r="C22" s="5">
        <v>492314339</v>
      </c>
      <c r="D22" s="7">
        <v>575226571</v>
      </c>
      <c r="E22" s="7">
        <v>421884417</v>
      </c>
      <c r="F22" s="7">
        <v>386035772</v>
      </c>
    </row>
    <row r="23" spans="1:6" x14ac:dyDescent="0.25">
      <c r="A23" s="12" t="s">
        <v>32</v>
      </c>
      <c r="B23" s="4">
        <v>254169032</v>
      </c>
      <c r="C23" s="4">
        <v>317832125</v>
      </c>
      <c r="D23" s="4">
        <v>365750694</v>
      </c>
      <c r="E23" s="4">
        <v>381932840</v>
      </c>
      <c r="F23" s="13">
        <v>380333187</v>
      </c>
    </row>
    <row r="24" spans="1:6" x14ac:dyDescent="0.25">
      <c r="A24" s="11" t="s">
        <v>53</v>
      </c>
      <c r="B24" s="5">
        <v>254531426</v>
      </c>
      <c r="C24" s="5">
        <v>345599938</v>
      </c>
      <c r="D24" s="5">
        <v>402166083</v>
      </c>
      <c r="E24" s="5">
        <v>370869477</v>
      </c>
      <c r="F24" s="14">
        <v>345858153</v>
      </c>
    </row>
    <row r="25" spans="1:6" x14ac:dyDescent="0.25">
      <c r="A25" s="12" t="s">
        <v>16</v>
      </c>
      <c r="B25" s="4">
        <v>209180242</v>
      </c>
      <c r="C25" s="4">
        <v>280814577</v>
      </c>
      <c r="D25" s="4">
        <v>334463079</v>
      </c>
      <c r="E25" s="4">
        <v>339695766</v>
      </c>
      <c r="F25" s="13">
        <v>337046162</v>
      </c>
    </row>
    <row r="26" spans="1:6" x14ac:dyDescent="0.25">
      <c r="A26" s="11" t="s">
        <v>29</v>
      </c>
      <c r="B26" s="5">
        <v>233553703</v>
      </c>
      <c r="C26" s="5">
        <v>299288393</v>
      </c>
      <c r="D26" s="5">
        <v>353149561</v>
      </c>
      <c r="E26" s="5">
        <v>312964855</v>
      </c>
      <c r="F26" s="14">
        <v>330045621</v>
      </c>
    </row>
    <row r="27" spans="1:6" x14ac:dyDescent="0.25">
      <c r="A27" s="12" t="s">
        <v>33</v>
      </c>
      <c r="B27" s="4">
        <v>173110415</v>
      </c>
      <c r="C27" s="4">
        <v>276204569</v>
      </c>
      <c r="D27" s="4">
        <v>411184942</v>
      </c>
      <c r="E27" s="4">
        <v>320978141</v>
      </c>
      <c r="F27" s="13">
        <v>305358131</v>
      </c>
    </row>
    <row r="28" spans="1:6" x14ac:dyDescent="0.25">
      <c r="A28" s="11" t="s">
        <v>14</v>
      </c>
      <c r="B28" s="5">
        <v>229277734</v>
      </c>
      <c r="C28" s="5">
        <v>267492416</v>
      </c>
      <c r="D28" s="5">
        <v>284106705</v>
      </c>
      <c r="E28" s="5">
        <v>280087768</v>
      </c>
      <c r="F28" s="14">
        <v>299249160</v>
      </c>
    </row>
    <row r="29" spans="1:6" ht="23.25" x14ac:dyDescent="0.25">
      <c r="A29" s="12" t="s">
        <v>58</v>
      </c>
      <c r="B29" s="4">
        <v>335296908</v>
      </c>
      <c r="C29" s="4">
        <v>425159797</v>
      </c>
      <c r="D29" s="4">
        <v>515621189</v>
      </c>
      <c r="E29" s="4">
        <v>570245384</v>
      </c>
      <c r="F29" s="6">
        <v>296147744</v>
      </c>
    </row>
    <row r="30" spans="1:6" x14ac:dyDescent="0.25">
      <c r="A30" s="11" t="s">
        <v>22</v>
      </c>
      <c r="B30" s="5">
        <v>163306490</v>
      </c>
      <c r="C30" s="5">
        <v>231587887</v>
      </c>
      <c r="D30" s="5">
        <v>291979103</v>
      </c>
      <c r="E30" s="5">
        <v>258797196</v>
      </c>
      <c r="F30" s="14">
        <v>264703354</v>
      </c>
    </row>
    <row r="31" spans="1:6" x14ac:dyDescent="0.25">
      <c r="A31" s="12" t="s">
        <v>37</v>
      </c>
      <c r="B31" s="4">
        <v>169657940</v>
      </c>
      <c r="C31" s="4">
        <v>225264314</v>
      </c>
      <c r="D31" s="4">
        <v>254171899</v>
      </c>
      <c r="E31" s="4">
        <v>255627429</v>
      </c>
      <c r="F31" s="13">
        <v>261801501</v>
      </c>
    </row>
    <row r="32" spans="1:6" ht="23.25" x14ac:dyDescent="0.25">
      <c r="A32" s="11" t="s">
        <v>47</v>
      </c>
      <c r="B32" s="5">
        <v>192307380</v>
      </c>
      <c r="C32" s="5">
        <v>227168411</v>
      </c>
      <c r="D32" s="5">
        <v>241689131</v>
      </c>
      <c r="E32" s="5">
        <v>253327521</v>
      </c>
      <c r="F32" s="14">
        <v>259292432</v>
      </c>
    </row>
    <row r="33" spans="1:6" x14ac:dyDescent="0.25">
      <c r="A33" s="12" t="s">
        <v>83</v>
      </c>
      <c r="B33" s="4">
        <v>185185365</v>
      </c>
      <c r="C33" s="4">
        <v>195997876</v>
      </c>
      <c r="D33" s="4">
        <v>219836715</v>
      </c>
      <c r="E33" s="4">
        <v>212869514</v>
      </c>
      <c r="F33" s="13">
        <v>242218972</v>
      </c>
    </row>
    <row r="34" spans="1:6" x14ac:dyDescent="0.25">
      <c r="A34" s="11" t="s">
        <v>63</v>
      </c>
      <c r="B34" s="5">
        <v>169238399</v>
      </c>
      <c r="C34" s="5">
        <v>203023624</v>
      </c>
      <c r="D34" s="5">
        <v>212249157</v>
      </c>
      <c r="E34" s="5">
        <v>224181574</v>
      </c>
      <c r="F34" s="14">
        <v>213878140</v>
      </c>
    </row>
    <row r="35" spans="1:6" x14ac:dyDescent="0.25">
      <c r="A35" s="12" t="s">
        <v>76</v>
      </c>
      <c r="B35" s="4">
        <v>154935587</v>
      </c>
      <c r="C35" s="4">
        <v>189635063</v>
      </c>
      <c r="D35" s="4">
        <v>197527811</v>
      </c>
      <c r="E35" s="4">
        <v>197533884</v>
      </c>
      <c r="F35" s="13">
        <v>195761855</v>
      </c>
    </row>
    <row r="36" spans="1:6" x14ac:dyDescent="0.25">
      <c r="A36" s="11" t="s">
        <v>122</v>
      </c>
      <c r="B36" s="5">
        <v>82429462</v>
      </c>
      <c r="C36" s="5">
        <v>160479746</v>
      </c>
      <c r="D36" s="5">
        <v>271667221</v>
      </c>
      <c r="E36" s="5">
        <v>177454635</v>
      </c>
      <c r="F36" s="14">
        <v>168052921</v>
      </c>
    </row>
    <row r="37" spans="1:6" x14ac:dyDescent="0.25">
      <c r="A37" s="12" t="s">
        <v>36</v>
      </c>
      <c r="B37" s="4">
        <v>119970720</v>
      </c>
      <c r="C37" s="4">
        <v>141157092</v>
      </c>
      <c r="D37" s="4">
        <v>149934115</v>
      </c>
      <c r="E37" s="4">
        <v>158075487</v>
      </c>
      <c r="F37" s="13">
        <v>167705355</v>
      </c>
    </row>
    <row r="38" spans="1:6" x14ac:dyDescent="0.25">
      <c r="A38" s="11" t="s">
        <v>43</v>
      </c>
      <c r="B38" s="5">
        <v>106871154</v>
      </c>
      <c r="C38" s="5">
        <v>125384922</v>
      </c>
      <c r="D38" s="5">
        <v>129811334</v>
      </c>
      <c r="E38" s="5">
        <v>136074398</v>
      </c>
      <c r="F38" s="14">
        <v>133654778</v>
      </c>
    </row>
    <row r="39" spans="1:6" x14ac:dyDescent="0.25">
      <c r="A39" s="12" t="s">
        <v>93</v>
      </c>
      <c r="B39" s="4">
        <v>86265125</v>
      </c>
      <c r="C39" s="4">
        <v>103994252</v>
      </c>
      <c r="D39" s="4">
        <v>108594464</v>
      </c>
      <c r="E39" s="4">
        <v>117590707</v>
      </c>
      <c r="F39" s="13">
        <v>115616351</v>
      </c>
    </row>
    <row r="40" spans="1:6" x14ac:dyDescent="0.25">
      <c r="A40" s="11" t="s">
        <v>41</v>
      </c>
      <c r="B40" s="5">
        <v>85686133</v>
      </c>
      <c r="C40" s="5">
        <v>123734050</v>
      </c>
      <c r="D40" s="5">
        <v>123614816</v>
      </c>
      <c r="E40" s="5">
        <v>110662795</v>
      </c>
      <c r="F40" s="14">
        <v>110390555</v>
      </c>
    </row>
    <row r="41" spans="1:6" x14ac:dyDescent="0.25">
      <c r="A41" s="12" t="s">
        <v>129</v>
      </c>
      <c r="B41" s="6">
        <v>65055419</v>
      </c>
      <c r="C41" s="6">
        <v>87911709</v>
      </c>
      <c r="D41" s="6">
        <v>134470047</v>
      </c>
      <c r="E41" s="6">
        <v>114688074</v>
      </c>
      <c r="F41" s="6">
        <v>108491307</v>
      </c>
    </row>
    <row r="42" spans="1:6" x14ac:dyDescent="0.25">
      <c r="A42" s="11" t="s">
        <v>106</v>
      </c>
      <c r="B42" s="5">
        <v>69964786</v>
      </c>
      <c r="C42" s="5">
        <v>92887987</v>
      </c>
      <c r="D42" s="5">
        <v>102625791</v>
      </c>
      <c r="E42" s="5">
        <v>100290449</v>
      </c>
      <c r="F42" s="14">
        <v>103312004</v>
      </c>
    </row>
    <row r="43" spans="1:6" x14ac:dyDescent="0.25">
      <c r="A43" s="12" t="s">
        <v>96</v>
      </c>
      <c r="B43" s="4">
        <v>70503421</v>
      </c>
      <c r="C43" s="4">
        <v>87489809</v>
      </c>
      <c r="D43" s="4">
        <v>96928059</v>
      </c>
      <c r="E43" s="4">
        <v>100671174</v>
      </c>
      <c r="F43" s="13">
        <v>100300263</v>
      </c>
    </row>
    <row r="44" spans="1:6" x14ac:dyDescent="0.25">
      <c r="A44" s="11" t="s">
        <v>125</v>
      </c>
      <c r="B44" s="5">
        <v>51504158</v>
      </c>
      <c r="C44" s="5">
        <v>87203291</v>
      </c>
      <c r="D44" s="5">
        <v>130964473</v>
      </c>
      <c r="E44" s="5">
        <v>97751494</v>
      </c>
      <c r="F44" s="7">
        <v>88182863</v>
      </c>
    </row>
    <row r="45" spans="1:6" x14ac:dyDescent="0.25">
      <c r="A45" s="12" t="s">
        <v>62</v>
      </c>
      <c r="B45" s="4">
        <v>61400262</v>
      </c>
      <c r="C45" s="4">
        <v>75242767</v>
      </c>
      <c r="D45" s="4">
        <v>82559524</v>
      </c>
      <c r="E45" s="4">
        <v>83908918</v>
      </c>
      <c r="F45" s="13">
        <v>85813704</v>
      </c>
    </row>
    <row r="46" spans="1:6" x14ac:dyDescent="0.25">
      <c r="A46" s="11" t="s">
        <v>102</v>
      </c>
      <c r="B46" s="5">
        <v>46949697</v>
      </c>
      <c r="C46" s="5">
        <v>60321024</v>
      </c>
      <c r="D46" s="5">
        <v>76139805</v>
      </c>
      <c r="E46" s="5">
        <v>78735591</v>
      </c>
      <c r="F46" s="14">
        <v>81618417</v>
      </c>
    </row>
    <row r="47" spans="1:6" x14ac:dyDescent="0.25">
      <c r="A47" s="12" t="s">
        <v>153</v>
      </c>
      <c r="B47" s="4">
        <v>54883822</v>
      </c>
      <c r="C47" s="4">
        <v>77838728</v>
      </c>
      <c r="D47" s="4">
        <v>88268232</v>
      </c>
      <c r="E47" s="4">
        <v>66700666</v>
      </c>
      <c r="F47" s="13">
        <v>79720583</v>
      </c>
    </row>
    <row r="48" spans="1:6" x14ac:dyDescent="0.25">
      <c r="A48" s="11" t="s">
        <v>74</v>
      </c>
      <c r="B48" s="5">
        <v>44791710</v>
      </c>
      <c r="C48" s="5">
        <v>57453555</v>
      </c>
      <c r="D48" s="5">
        <v>69988673</v>
      </c>
      <c r="E48" s="5">
        <v>73097825</v>
      </c>
      <c r="F48" s="14">
        <v>79073154</v>
      </c>
    </row>
    <row r="49" spans="1:6" x14ac:dyDescent="0.25">
      <c r="A49" s="12" t="s">
        <v>113</v>
      </c>
      <c r="B49" s="4">
        <v>65606976</v>
      </c>
      <c r="C49" s="4">
        <v>81500265</v>
      </c>
      <c r="D49" s="4">
        <v>86228240</v>
      </c>
      <c r="E49" s="4">
        <v>82567753</v>
      </c>
      <c r="F49" s="13">
        <v>78154637</v>
      </c>
    </row>
    <row r="50" spans="1:6" x14ac:dyDescent="0.25">
      <c r="A50" s="11" t="s">
        <v>13</v>
      </c>
      <c r="B50" s="5">
        <v>38757234</v>
      </c>
      <c r="C50" s="5">
        <v>56260115</v>
      </c>
      <c r="D50" s="5">
        <v>63648101</v>
      </c>
      <c r="E50" s="5">
        <v>64605821</v>
      </c>
      <c r="F50" s="14">
        <v>74664216</v>
      </c>
    </row>
    <row r="51" spans="1:6" x14ac:dyDescent="0.25">
      <c r="A51" s="12" t="s">
        <v>42</v>
      </c>
      <c r="B51" s="4">
        <v>63879430</v>
      </c>
      <c r="C51" s="4">
        <v>74619723</v>
      </c>
      <c r="D51" s="4">
        <v>78929719</v>
      </c>
      <c r="E51" s="4">
        <v>72923286</v>
      </c>
      <c r="F51" s="13">
        <v>72983914</v>
      </c>
    </row>
    <row r="52" spans="1:6" x14ac:dyDescent="0.25">
      <c r="A52" s="11" t="s">
        <v>146</v>
      </c>
      <c r="B52" s="5">
        <v>33479359</v>
      </c>
      <c r="C52" s="5">
        <v>44590927</v>
      </c>
      <c r="D52" s="5">
        <v>66063353</v>
      </c>
      <c r="E52" s="5">
        <v>59010531</v>
      </c>
      <c r="F52" s="7">
        <v>67321553</v>
      </c>
    </row>
    <row r="53" spans="1:6" x14ac:dyDescent="0.25">
      <c r="A53" s="12" t="s">
        <v>82</v>
      </c>
      <c r="B53" s="4">
        <v>50153246</v>
      </c>
      <c r="C53" s="4">
        <v>60159734</v>
      </c>
      <c r="D53" s="4">
        <v>72568881</v>
      </c>
      <c r="E53" s="4">
        <v>59915951</v>
      </c>
      <c r="F53" s="13">
        <v>61702646</v>
      </c>
    </row>
    <row r="54" spans="1:6" x14ac:dyDescent="0.25">
      <c r="A54" s="11" t="s">
        <v>130</v>
      </c>
      <c r="B54" s="5">
        <v>40149524</v>
      </c>
      <c r="C54" s="5">
        <v>63129694</v>
      </c>
      <c r="D54" s="5">
        <v>99712377</v>
      </c>
      <c r="E54" s="5">
        <v>83983279</v>
      </c>
      <c r="F54" s="7">
        <v>59549263</v>
      </c>
    </row>
    <row r="55" spans="1:6" x14ac:dyDescent="0.25">
      <c r="A55" s="12" t="s">
        <v>89</v>
      </c>
      <c r="B55" s="6">
        <v>42079930</v>
      </c>
      <c r="C55" s="6">
        <v>53835876</v>
      </c>
      <c r="D55" s="6">
        <v>67438274</v>
      </c>
      <c r="E55" s="6">
        <v>56865095</v>
      </c>
      <c r="F55" s="6">
        <v>57522809</v>
      </c>
    </row>
    <row r="56" spans="1:6" x14ac:dyDescent="0.25">
      <c r="A56" s="11" t="s">
        <v>23</v>
      </c>
      <c r="B56" s="5">
        <v>33361475</v>
      </c>
      <c r="C56" s="5">
        <v>47570421</v>
      </c>
      <c r="D56" s="5">
        <v>63338596</v>
      </c>
      <c r="E56" s="5">
        <v>60650575</v>
      </c>
      <c r="F56" s="7">
        <v>56766427</v>
      </c>
    </row>
    <row r="57" spans="1:6" x14ac:dyDescent="0.25">
      <c r="A57" s="12" t="s">
        <v>55</v>
      </c>
      <c r="B57" s="4">
        <v>35070462</v>
      </c>
      <c r="C57" s="4">
        <v>47244277</v>
      </c>
      <c r="D57" s="4">
        <v>57568025</v>
      </c>
      <c r="E57" s="4">
        <v>55051587</v>
      </c>
      <c r="F57" s="13">
        <v>53357149</v>
      </c>
    </row>
    <row r="58" spans="1:6" x14ac:dyDescent="0.25">
      <c r="A58" s="11" t="s">
        <v>97</v>
      </c>
      <c r="B58" s="5">
        <v>31045676</v>
      </c>
      <c r="C58" s="5">
        <v>40488600</v>
      </c>
      <c r="D58" s="5">
        <v>57259330</v>
      </c>
      <c r="E58" s="5">
        <v>49542894</v>
      </c>
      <c r="F58" s="14">
        <v>49551988</v>
      </c>
    </row>
    <row r="59" spans="1:6" x14ac:dyDescent="0.25">
      <c r="A59" s="12" t="s">
        <v>73</v>
      </c>
      <c r="B59" s="4">
        <v>27704922</v>
      </c>
      <c r="C59" s="4">
        <v>36578743</v>
      </c>
      <c r="D59" s="4">
        <v>42331463</v>
      </c>
      <c r="E59" s="4">
        <v>42477876</v>
      </c>
      <c r="F59" s="6">
        <v>47487556</v>
      </c>
    </row>
    <row r="60" spans="1:6" x14ac:dyDescent="0.25">
      <c r="A60" s="11" t="s">
        <v>114</v>
      </c>
      <c r="B60" s="7">
        <v>22650197</v>
      </c>
      <c r="C60" s="7">
        <v>39118633</v>
      </c>
      <c r="D60" s="7">
        <v>66244497</v>
      </c>
      <c r="E60" s="7">
        <v>57044198</v>
      </c>
      <c r="F60" s="7">
        <v>47096935</v>
      </c>
    </row>
    <row r="61" spans="1:6" x14ac:dyDescent="0.25">
      <c r="A61" s="12" t="s">
        <v>85</v>
      </c>
      <c r="B61" s="4">
        <v>31918087</v>
      </c>
      <c r="C61" s="4">
        <v>41213065</v>
      </c>
      <c r="D61" s="4">
        <v>50068471</v>
      </c>
      <c r="E61" s="4">
        <v>48001673</v>
      </c>
      <c r="F61" s="13">
        <v>46416985</v>
      </c>
    </row>
    <row r="62" spans="1:6" x14ac:dyDescent="0.25">
      <c r="A62" s="11" t="s">
        <v>64</v>
      </c>
      <c r="B62" s="5">
        <v>37468046</v>
      </c>
      <c r="C62" s="5">
        <v>43361858</v>
      </c>
      <c r="D62" s="5">
        <v>43996272</v>
      </c>
      <c r="E62" s="5">
        <v>39763418</v>
      </c>
      <c r="F62" s="14">
        <v>42530609</v>
      </c>
    </row>
    <row r="63" spans="1:6" x14ac:dyDescent="0.25">
      <c r="A63" s="12" t="s">
        <v>121</v>
      </c>
      <c r="B63" s="4">
        <v>49191564</v>
      </c>
      <c r="C63" s="4">
        <v>68072095</v>
      </c>
      <c r="D63" s="4">
        <v>44443214</v>
      </c>
      <c r="E63" s="4">
        <v>36185539</v>
      </c>
      <c r="F63" s="13">
        <v>40409549</v>
      </c>
    </row>
    <row r="64" spans="1:6" x14ac:dyDescent="0.25">
      <c r="A64" s="11" t="s">
        <v>45</v>
      </c>
      <c r="B64" s="5">
        <v>32790372</v>
      </c>
      <c r="C64" s="5">
        <v>40698383</v>
      </c>
      <c r="D64" s="5">
        <v>46501899</v>
      </c>
      <c r="E64" s="5">
        <v>42625692</v>
      </c>
      <c r="F64" s="14">
        <v>39720644</v>
      </c>
    </row>
    <row r="65" spans="1:6" x14ac:dyDescent="0.25">
      <c r="A65" s="12" t="s">
        <v>70</v>
      </c>
      <c r="B65" s="4">
        <v>29322920</v>
      </c>
      <c r="C65" s="4">
        <v>43636852</v>
      </c>
      <c r="D65" s="4">
        <v>52115728</v>
      </c>
      <c r="E65" s="4">
        <v>42051584</v>
      </c>
      <c r="F65" s="6">
        <v>38846217</v>
      </c>
    </row>
    <row r="66" spans="1:6" x14ac:dyDescent="0.25">
      <c r="A66" s="11" t="s">
        <v>136</v>
      </c>
      <c r="B66" s="5">
        <v>21043779</v>
      </c>
      <c r="C66" s="5">
        <v>33743794</v>
      </c>
      <c r="D66" s="5">
        <v>51268600</v>
      </c>
      <c r="E66" s="5">
        <v>38732408</v>
      </c>
      <c r="F66" s="7">
        <v>36720802</v>
      </c>
    </row>
    <row r="67" spans="1:6" x14ac:dyDescent="0.25">
      <c r="A67" s="12" t="s">
        <v>72</v>
      </c>
      <c r="B67" s="4">
        <v>20226568</v>
      </c>
      <c r="C67" s="4">
        <v>26269228</v>
      </c>
      <c r="D67" s="4">
        <v>35380362</v>
      </c>
      <c r="E67" s="4">
        <v>31126424</v>
      </c>
      <c r="F67" s="13">
        <v>34420386</v>
      </c>
    </row>
    <row r="68" spans="1:6" x14ac:dyDescent="0.25">
      <c r="A68" s="11" t="s">
        <v>105</v>
      </c>
      <c r="B68" s="5">
        <v>22245688</v>
      </c>
      <c r="C68" s="5">
        <v>28880006</v>
      </c>
      <c r="D68" s="5">
        <v>31175925</v>
      </c>
      <c r="E68" s="5">
        <v>28950086</v>
      </c>
      <c r="F68" s="14">
        <v>32460566</v>
      </c>
    </row>
    <row r="69" spans="1:6" x14ac:dyDescent="0.25">
      <c r="A69" s="12" t="s">
        <v>127</v>
      </c>
      <c r="B69" s="4">
        <v>13127295</v>
      </c>
      <c r="C69" s="4">
        <v>14034977</v>
      </c>
      <c r="D69" s="4">
        <v>15286928</v>
      </c>
      <c r="E69" s="4">
        <v>21016917</v>
      </c>
      <c r="F69" s="13">
        <v>31856439</v>
      </c>
    </row>
    <row r="70" spans="1:6" x14ac:dyDescent="0.25">
      <c r="A70" s="11" t="s">
        <v>110</v>
      </c>
      <c r="B70" s="5">
        <v>19384734</v>
      </c>
      <c r="C70" s="5">
        <v>25566161</v>
      </c>
      <c r="D70" s="5">
        <v>28565681</v>
      </c>
      <c r="E70" s="5">
        <v>30790286</v>
      </c>
      <c r="F70" s="14">
        <v>31115484</v>
      </c>
    </row>
    <row r="71" spans="1:6" x14ac:dyDescent="0.25">
      <c r="A71" s="12" t="s">
        <v>148</v>
      </c>
      <c r="B71" s="6">
        <v>9465167</v>
      </c>
      <c r="C71" s="6">
        <v>33190868</v>
      </c>
      <c r="D71" s="6">
        <v>40248130</v>
      </c>
      <c r="E71" s="6">
        <v>35743253</v>
      </c>
      <c r="F71" s="6">
        <v>29754476</v>
      </c>
    </row>
    <row r="72" spans="1:6" ht="34.5" x14ac:dyDescent="0.25">
      <c r="A72" s="11" t="s">
        <v>154</v>
      </c>
      <c r="B72" s="5">
        <v>14230247</v>
      </c>
      <c r="C72" s="5">
        <v>22334312</v>
      </c>
      <c r="D72" s="5">
        <v>29367288</v>
      </c>
      <c r="E72" s="5">
        <v>28517775</v>
      </c>
      <c r="F72" s="7">
        <v>28388372</v>
      </c>
    </row>
    <row r="73" spans="1:6" x14ac:dyDescent="0.25">
      <c r="A73" s="12" t="s">
        <v>116</v>
      </c>
      <c r="B73" s="4">
        <v>17716469</v>
      </c>
      <c r="C73" s="4">
        <v>17571783</v>
      </c>
      <c r="D73" s="4">
        <v>20575773</v>
      </c>
      <c r="E73" s="4">
        <v>23775412</v>
      </c>
      <c r="F73" s="13">
        <v>26664502</v>
      </c>
    </row>
    <row r="74" spans="1:6" x14ac:dyDescent="0.25">
      <c r="A74" s="11" t="s">
        <v>155</v>
      </c>
      <c r="B74" s="5">
        <v>13732637</v>
      </c>
      <c r="C74" s="5">
        <v>22206671</v>
      </c>
      <c r="D74" s="5">
        <v>38146630</v>
      </c>
      <c r="E74" s="5">
        <v>33898555</v>
      </c>
      <c r="F74" s="14">
        <v>26554057</v>
      </c>
    </row>
    <row r="75" spans="1:6" x14ac:dyDescent="0.25">
      <c r="A75" s="12" t="s">
        <v>51</v>
      </c>
      <c r="B75" s="4">
        <v>17144989</v>
      </c>
      <c r="C75" s="4">
        <v>21919900</v>
      </c>
      <c r="D75" s="4">
        <v>25592614</v>
      </c>
      <c r="E75" s="4">
        <v>24975484</v>
      </c>
      <c r="F75" s="13">
        <v>25968345</v>
      </c>
    </row>
    <row r="76" spans="1:6" x14ac:dyDescent="0.25">
      <c r="A76" s="11" t="s">
        <v>61</v>
      </c>
      <c r="B76" s="5">
        <v>2805741</v>
      </c>
      <c r="C76" s="5">
        <v>4243572</v>
      </c>
      <c r="D76" s="5">
        <v>7866427</v>
      </c>
      <c r="E76" s="5">
        <v>10811756</v>
      </c>
      <c r="F76" s="14">
        <v>22414584</v>
      </c>
    </row>
    <row r="77" spans="1:6" x14ac:dyDescent="0.25">
      <c r="A77" s="12" t="s">
        <v>38</v>
      </c>
      <c r="B77" s="4">
        <v>12454042</v>
      </c>
      <c r="C77" s="4">
        <v>15356712</v>
      </c>
      <c r="D77" s="4">
        <v>16395306</v>
      </c>
      <c r="E77" s="4">
        <v>18356186</v>
      </c>
      <c r="F77" s="13">
        <v>20548862</v>
      </c>
    </row>
    <row r="78" spans="1:6" x14ac:dyDescent="0.25">
      <c r="A78" s="11" t="s">
        <v>143</v>
      </c>
      <c r="B78" s="5">
        <v>13828833</v>
      </c>
      <c r="C78" s="5">
        <v>16432745</v>
      </c>
      <c r="D78" s="5">
        <v>18545385</v>
      </c>
      <c r="E78" s="5">
        <v>20039656</v>
      </c>
      <c r="F78" s="7">
        <v>20339219</v>
      </c>
    </row>
    <row r="79" spans="1:6" x14ac:dyDescent="0.25">
      <c r="A79" s="12" t="s">
        <v>66</v>
      </c>
      <c r="B79" s="4">
        <v>15196527</v>
      </c>
      <c r="C79" s="4">
        <v>19458822</v>
      </c>
      <c r="D79" s="4">
        <v>22494202</v>
      </c>
      <c r="E79" s="4">
        <v>20594420</v>
      </c>
      <c r="F79" s="13">
        <v>20220063</v>
      </c>
    </row>
    <row r="80" spans="1:6" x14ac:dyDescent="0.25">
      <c r="A80" s="11" t="s">
        <v>25</v>
      </c>
      <c r="B80" s="5">
        <v>11625662</v>
      </c>
      <c r="C80" s="5">
        <v>14345396</v>
      </c>
      <c r="D80" s="5">
        <v>15319907</v>
      </c>
      <c r="E80" s="5">
        <v>18106174</v>
      </c>
      <c r="F80" s="14">
        <v>19882386</v>
      </c>
    </row>
    <row r="81" spans="1:6" x14ac:dyDescent="0.25">
      <c r="A81" s="12" t="s">
        <v>79</v>
      </c>
      <c r="B81" s="4">
        <v>16901599</v>
      </c>
      <c r="C81" s="4">
        <v>22303231</v>
      </c>
      <c r="D81" s="4">
        <v>23600194</v>
      </c>
      <c r="E81" s="4">
        <v>20108197</v>
      </c>
      <c r="F81" s="13">
        <v>19773052</v>
      </c>
    </row>
    <row r="82" spans="1:6" x14ac:dyDescent="0.25">
      <c r="A82" s="11" t="s">
        <v>78</v>
      </c>
      <c r="B82" s="5">
        <v>13824679</v>
      </c>
      <c r="C82" s="5">
        <v>16816056</v>
      </c>
      <c r="D82" s="5">
        <v>17395555</v>
      </c>
      <c r="E82" s="5">
        <v>17197406</v>
      </c>
      <c r="F82" s="14">
        <v>16215423</v>
      </c>
    </row>
    <row r="83" spans="1:6" x14ac:dyDescent="0.25">
      <c r="A83" s="12" t="s">
        <v>86</v>
      </c>
      <c r="B83" s="4"/>
      <c r="C83" s="4">
        <v>14823232</v>
      </c>
      <c r="D83" s="4">
        <v>17378757</v>
      </c>
      <c r="E83" s="4">
        <v>16874662</v>
      </c>
      <c r="F83" s="6">
        <v>15860376</v>
      </c>
    </row>
    <row r="84" spans="1:6" x14ac:dyDescent="0.25">
      <c r="A84" s="11" t="s">
        <v>156</v>
      </c>
      <c r="B84" s="5">
        <v>7576311</v>
      </c>
      <c r="C84" s="5">
        <v>9247110</v>
      </c>
      <c r="D84" s="5">
        <v>12557709</v>
      </c>
      <c r="E84" s="5">
        <v>15184463</v>
      </c>
      <c r="F84" s="14">
        <v>15765101</v>
      </c>
    </row>
    <row r="85" spans="1:6" x14ac:dyDescent="0.25">
      <c r="A85" s="12" t="s">
        <v>17</v>
      </c>
      <c r="B85" s="4">
        <v>16949755</v>
      </c>
      <c r="C85" s="4">
        <v>15153408</v>
      </c>
      <c r="D85" s="4">
        <v>17084513</v>
      </c>
      <c r="E85" s="4">
        <v>14752993</v>
      </c>
      <c r="F85" s="13">
        <v>14923806</v>
      </c>
    </row>
    <row r="86" spans="1:6" x14ac:dyDescent="0.25">
      <c r="A86" s="11" t="s">
        <v>80</v>
      </c>
      <c r="B86" s="5">
        <v>11401650</v>
      </c>
      <c r="C86" s="5">
        <v>13594246</v>
      </c>
      <c r="D86" s="5">
        <v>15655882</v>
      </c>
      <c r="E86" s="5">
        <v>14194336</v>
      </c>
      <c r="F86" s="14">
        <v>14588300</v>
      </c>
    </row>
    <row r="87" spans="1:6" ht="23.25" x14ac:dyDescent="0.25">
      <c r="A87" s="12" t="s">
        <v>157</v>
      </c>
      <c r="B87" s="4">
        <v>10398225</v>
      </c>
      <c r="C87" s="4">
        <v>9657481</v>
      </c>
      <c r="D87" s="4">
        <v>10928905</v>
      </c>
      <c r="E87" s="4">
        <v>9933997</v>
      </c>
      <c r="F87" s="6">
        <v>13940759</v>
      </c>
    </row>
    <row r="88" spans="1:6" x14ac:dyDescent="0.25">
      <c r="A88" s="11" t="s">
        <v>158</v>
      </c>
      <c r="B88" s="7">
        <v>2514683</v>
      </c>
      <c r="C88" s="7">
        <v>3423084</v>
      </c>
      <c r="D88" s="7">
        <v>14433172</v>
      </c>
      <c r="E88" s="7">
        <v>15261471</v>
      </c>
      <c r="F88" s="7">
        <v>13708355</v>
      </c>
    </row>
    <row r="89" spans="1:6" ht="34.5" x14ac:dyDescent="0.25">
      <c r="A89" s="12" t="s">
        <v>142</v>
      </c>
      <c r="B89" s="6">
        <v>5921390</v>
      </c>
      <c r="C89" s="6">
        <v>4838857</v>
      </c>
      <c r="D89" s="6">
        <v>4972327</v>
      </c>
      <c r="E89" s="6">
        <v>7625161</v>
      </c>
      <c r="F89" s="6">
        <v>13604535</v>
      </c>
    </row>
    <row r="90" spans="1:6" x14ac:dyDescent="0.25">
      <c r="A90" s="11" t="s">
        <v>91</v>
      </c>
      <c r="B90" s="5">
        <v>9656808</v>
      </c>
      <c r="C90" s="5">
        <v>13373218</v>
      </c>
      <c r="D90" s="5">
        <v>15466804</v>
      </c>
      <c r="E90" s="5">
        <v>16738253</v>
      </c>
      <c r="F90" s="14">
        <v>13181447</v>
      </c>
    </row>
    <row r="91" spans="1:6" x14ac:dyDescent="0.25">
      <c r="A91" s="12" t="s">
        <v>87</v>
      </c>
      <c r="B91" s="4">
        <v>2512497</v>
      </c>
      <c r="C91" s="4">
        <v>2964798</v>
      </c>
      <c r="D91" s="4">
        <v>5306984</v>
      </c>
      <c r="E91" s="4">
        <v>8371155</v>
      </c>
      <c r="F91" s="13">
        <v>13028124</v>
      </c>
    </row>
    <row r="92" spans="1:6" ht="23.25" x14ac:dyDescent="0.25">
      <c r="A92" s="11" t="s">
        <v>56</v>
      </c>
      <c r="B92" s="5">
        <v>9848863</v>
      </c>
      <c r="C92" s="5">
        <v>11831534</v>
      </c>
      <c r="D92" s="5">
        <v>12390307</v>
      </c>
      <c r="E92" s="5">
        <v>11931954</v>
      </c>
      <c r="F92" s="14">
        <v>12923946</v>
      </c>
    </row>
    <row r="93" spans="1:6" x14ac:dyDescent="0.25">
      <c r="A93" s="12" t="s">
        <v>137</v>
      </c>
      <c r="B93" s="4">
        <v>11559667</v>
      </c>
      <c r="C93" s="4">
        <v>19331738</v>
      </c>
      <c r="D93" s="4">
        <v>22252183</v>
      </c>
      <c r="E93" s="4">
        <v>12406928</v>
      </c>
      <c r="F93" s="6">
        <v>12403360</v>
      </c>
    </row>
    <row r="94" spans="1:6" ht="23.25" x14ac:dyDescent="0.25">
      <c r="A94" s="11" t="s">
        <v>81</v>
      </c>
      <c r="B94" s="5">
        <v>33036571</v>
      </c>
      <c r="C94" s="5">
        <v>69495784</v>
      </c>
      <c r="D94" s="5">
        <v>93458233</v>
      </c>
      <c r="E94" s="5">
        <v>104487285</v>
      </c>
      <c r="F94" s="7">
        <v>12301138</v>
      </c>
    </row>
    <row r="95" spans="1:6" x14ac:dyDescent="0.25">
      <c r="A95" s="12" t="s">
        <v>57</v>
      </c>
      <c r="B95" s="4">
        <v>10706858</v>
      </c>
      <c r="C95" s="4">
        <v>13331249</v>
      </c>
      <c r="D95" s="4">
        <v>12770025</v>
      </c>
      <c r="E95" s="4">
        <v>11617429</v>
      </c>
      <c r="F95" s="13">
        <v>12023926</v>
      </c>
    </row>
    <row r="96" spans="1:6" x14ac:dyDescent="0.25">
      <c r="A96" s="11" t="s">
        <v>120</v>
      </c>
      <c r="B96" s="5">
        <v>8060547</v>
      </c>
      <c r="C96" s="5">
        <v>11217517</v>
      </c>
      <c r="D96" s="5">
        <v>11689732</v>
      </c>
      <c r="E96" s="5">
        <v>10535675</v>
      </c>
      <c r="F96" s="14">
        <v>11275830</v>
      </c>
    </row>
    <row r="97" spans="1:6" ht="23.25" x14ac:dyDescent="0.25">
      <c r="A97" s="12" t="s">
        <v>159</v>
      </c>
      <c r="B97" s="4">
        <v>6614320</v>
      </c>
      <c r="C97" s="4">
        <v>10575072</v>
      </c>
      <c r="D97" s="4">
        <v>14238438</v>
      </c>
      <c r="E97" s="4">
        <v>11218109</v>
      </c>
      <c r="F97" s="13">
        <v>11258495</v>
      </c>
    </row>
    <row r="98" spans="1:6" ht="34.5" x14ac:dyDescent="0.25">
      <c r="A98" s="11" t="s">
        <v>35</v>
      </c>
      <c r="B98" s="5">
        <v>6132785</v>
      </c>
      <c r="C98" s="5">
        <v>7164608</v>
      </c>
      <c r="D98" s="7">
        <v>10222849</v>
      </c>
      <c r="E98" s="7">
        <v>10293431</v>
      </c>
      <c r="F98" s="7">
        <v>10940546</v>
      </c>
    </row>
    <row r="99" spans="1:6" x14ac:dyDescent="0.25">
      <c r="A99" s="12" t="s">
        <v>160</v>
      </c>
      <c r="B99" s="4">
        <v>8517932</v>
      </c>
      <c r="C99" s="4">
        <v>10570970</v>
      </c>
      <c r="D99" s="4">
        <v>9948328</v>
      </c>
      <c r="E99" s="4">
        <v>11868906</v>
      </c>
      <c r="F99" s="13">
        <v>10800832</v>
      </c>
    </row>
    <row r="100" spans="1:6" x14ac:dyDescent="0.25">
      <c r="A100" s="11" t="s">
        <v>104</v>
      </c>
      <c r="B100" s="5">
        <v>7010245</v>
      </c>
      <c r="C100" s="5">
        <v>9541027</v>
      </c>
      <c r="D100" s="5">
        <v>11190032</v>
      </c>
      <c r="E100" s="5">
        <v>9189874</v>
      </c>
      <c r="F100" s="14">
        <v>10248403</v>
      </c>
    </row>
    <row r="101" spans="1:6" x14ac:dyDescent="0.25">
      <c r="A101" s="12" t="s">
        <v>95</v>
      </c>
      <c r="B101" s="6">
        <v>12137304</v>
      </c>
      <c r="C101" s="6">
        <v>10229924</v>
      </c>
      <c r="D101" s="6">
        <v>11429863</v>
      </c>
      <c r="E101" s="6">
        <v>18027777</v>
      </c>
      <c r="F101" s="6">
        <v>9609781</v>
      </c>
    </row>
    <row r="102" spans="1:6" x14ac:dyDescent="0.25">
      <c r="A102" s="11" t="s">
        <v>108</v>
      </c>
      <c r="B102" s="5">
        <v>7943245</v>
      </c>
      <c r="C102" s="5">
        <v>9356550</v>
      </c>
      <c r="D102" s="5">
        <v>12779807</v>
      </c>
      <c r="E102" s="5">
        <v>12589565</v>
      </c>
      <c r="F102" s="7">
        <v>9601965</v>
      </c>
    </row>
    <row r="103" spans="1:6" ht="34.5" x14ac:dyDescent="0.25">
      <c r="A103" s="12" t="s">
        <v>161</v>
      </c>
      <c r="B103" s="6">
        <v>224174</v>
      </c>
      <c r="C103" s="6">
        <v>190798</v>
      </c>
      <c r="D103" s="6">
        <v>731794</v>
      </c>
      <c r="E103" s="6">
        <v>37688</v>
      </c>
      <c r="F103" s="6">
        <v>9361187</v>
      </c>
    </row>
    <row r="104" spans="1:6" ht="23.25" x14ac:dyDescent="0.25">
      <c r="A104" s="11" t="s">
        <v>162</v>
      </c>
      <c r="B104" s="5">
        <v>7015198</v>
      </c>
      <c r="C104" s="5">
        <v>11030013</v>
      </c>
      <c r="D104" s="5">
        <v>13652813</v>
      </c>
      <c r="E104" s="5">
        <v>10910868</v>
      </c>
      <c r="F104" s="14">
        <v>9059167</v>
      </c>
    </row>
    <row r="105" spans="1:6" ht="23.25" x14ac:dyDescent="0.25">
      <c r="A105" s="12" t="s">
        <v>115</v>
      </c>
      <c r="B105" s="4">
        <v>6148985</v>
      </c>
      <c r="C105" s="4">
        <v>8614111</v>
      </c>
      <c r="D105" s="4">
        <v>9678153</v>
      </c>
      <c r="E105" s="4">
        <v>9228186</v>
      </c>
      <c r="F105" s="13">
        <v>8893857</v>
      </c>
    </row>
    <row r="106" spans="1:6" ht="23.25" x14ac:dyDescent="0.25">
      <c r="A106" s="11" t="s">
        <v>163</v>
      </c>
      <c r="B106" s="5">
        <v>6633216</v>
      </c>
      <c r="C106" s="5">
        <v>8186315</v>
      </c>
      <c r="D106" s="5">
        <v>8729356</v>
      </c>
      <c r="E106" s="5">
        <v>8994858</v>
      </c>
      <c r="F106" s="14">
        <v>8423005</v>
      </c>
    </row>
    <row r="107" spans="1:6" x14ac:dyDescent="0.25">
      <c r="A107" s="12" t="s">
        <v>68</v>
      </c>
      <c r="B107" s="4">
        <v>6025429</v>
      </c>
      <c r="C107" s="4">
        <v>6742108</v>
      </c>
      <c r="D107" s="4">
        <v>7390793</v>
      </c>
      <c r="E107" s="4">
        <v>7216731</v>
      </c>
      <c r="F107" s="13">
        <v>8255798</v>
      </c>
    </row>
    <row r="108" spans="1:6" x14ac:dyDescent="0.25">
      <c r="A108" s="11" t="s">
        <v>54</v>
      </c>
      <c r="B108" s="5">
        <v>3460033</v>
      </c>
      <c r="C108" s="5">
        <v>5111686</v>
      </c>
      <c r="D108" s="5">
        <v>8199019</v>
      </c>
      <c r="E108" s="5">
        <v>8276429</v>
      </c>
      <c r="F108" s="14">
        <v>8211289</v>
      </c>
    </row>
    <row r="109" spans="1:6" x14ac:dyDescent="0.25">
      <c r="A109" s="12" t="s">
        <v>141</v>
      </c>
      <c r="B109" s="4">
        <v>4977501</v>
      </c>
      <c r="C109" s="4">
        <v>2362230</v>
      </c>
      <c r="D109" s="4">
        <v>8917437</v>
      </c>
      <c r="E109" s="6">
        <v>11923697</v>
      </c>
      <c r="F109" s="6">
        <v>7960614</v>
      </c>
    </row>
    <row r="110" spans="1:6" ht="23.25" x14ac:dyDescent="0.25">
      <c r="A110" s="11" t="s">
        <v>94</v>
      </c>
      <c r="B110" s="5">
        <v>5505147</v>
      </c>
      <c r="C110" s="5">
        <v>8579957</v>
      </c>
      <c r="D110" s="5">
        <v>13220758</v>
      </c>
      <c r="E110" s="5">
        <v>7820638</v>
      </c>
      <c r="F110" s="14">
        <v>7910706</v>
      </c>
    </row>
    <row r="111" spans="1:6" x14ac:dyDescent="0.25">
      <c r="A111" s="12" t="s">
        <v>164</v>
      </c>
      <c r="B111" s="4">
        <v>7380926</v>
      </c>
      <c r="C111" s="4">
        <v>8054148</v>
      </c>
      <c r="D111" s="4">
        <v>10532700</v>
      </c>
      <c r="E111" s="4">
        <v>12704277</v>
      </c>
      <c r="F111" s="6">
        <v>7869277</v>
      </c>
    </row>
    <row r="112" spans="1:6" ht="34.5" x14ac:dyDescent="0.25">
      <c r="A112" s="11" t="s">
        <v>39</v>
      </c>
      <c r="B112" s="5">
        <v>5984824</v>
      </c>
      <c r="C112" s="5">
        <v>6390863</v>
      </c>
      <c r="D112" s="5">
        <v>6824846</v>
      </c>
      <c r="E112" s="5">
        <v>7274329</v>
      </c>
      <c r="F112" s="7">
        <v>7789205</v>
      </c>
    </row>
    <row r="113" spans="1:6" x14ac:dyDescent="0.25">
      <c r="A113" s="12" t="s">
        <v>44</v>
      </c>
      <c r="B113" s="4">
        <v>5087343</v>
      </c>
      <c r="C113" s="4">
        <v>6495086</v>
      </c>
      <c r="D113" s="4">
        <v>7359829</v>
      </c>
      <c r="E113" s="4">
        <v>7378486</v>
      </c>
      <c r="F113" s="6">
        <v>7769133</v>
      </c>
    </row>
    <row r="114" spans="1:6" x14ac:dyDescent="0.25">
      <c r="A114" s="11" t="s">
        <v>131</v>
      </c>
      <c r="B114" s="5">
        <v>1964466</v>
      </c>
      <c r="C114" s="5">
        <v>1658949</v>
      </c>
      <c r="D114" s="5">
        <v>2254702</v>
      </c>
      <c r="E114" s="5">
        <v>3308874</v>
      </c>
      <c r="F114" s="7">
        <v>7262395</v>
      </c>
    </row>
    <row r="115" spans="1:6" x14ac:dyDescent="0.25">
      <c r="A115" s="12" t="s">
        <v>40</v>
      </c>
      <c r="B115" s="4">
        <v>4666296</v>
      </c>
      <c r="C115" s="4">
        <v>4975949</v>
      </c>
      <c r="D115" s="4">
        <v>6479173</v>
      </c>
      <c r="E115" s="4">
        <v>7170971</v>
      </c>
      <c r="F115" s="13">
        <v>6970520</v>
      </c>
    </row>
    <row r="116" spans="1:6" x14ac:dyDescent="0.25">
      <c r="A116" s="11" t="s">
        <v>128</v>
      </c>
      <c r="B116" s="5">
        <v>4595669</v>
      </c>
      <c r="C116" s="5">
        <v>5976689</v>
      </c>
      <c r="D116" s="5">
        <v>7423913</v>
      </c>
      <c r="E116" s="5">
        <v>6632834</v>
      </c>
      <c r="F116" s="14">
        <v>6946842</v>
      </c>
    </row>
    <row r="117" spans="1:6" x14ac:dyDescent="0.25">
      <c r="A117" s="12" t="s">
        <v>59</v>
      </c>
      <c r="B117" s="4">
        <v>3155095</v>
      </c>
      <c r="C117" s="4">
        <v>4319099</v>
      </c>
      <c r="D117" s="6">
        <v>7840704</v>
      </c>
      <c r="E117" s="6">
        <v>7094193</v>
      </c>
      <c r="F117" s="6">
        <v>6703706</v>
      </c>
    </row>
    <row r="118" spans="1:6" x14ac:dyDescent="0.25">
      <c r="A118" s="11" t="s">
        <v>135</v>
      </c>
      <c r="B118" s="5">
        <v>29179441</v>
      </c>
      <c r="C118" s="5">
        <v>39889023</v>
      </c>
      <c r="D118" s="7">
        <v>11246065</v>
      </c>
      <c r="E118" s="7">
        <v>7876248</v>
      </c>
      <c r="F118" s="7">
        <v>6642494</v>
      </c>
    </row>
    <row r="119" spans="1:6" x14ac:dyDescent="0.25">
      <c r="A119" s="12" t="s">
        <v>165</v>
      </c>
      <c r="B119" s="4">
        <v>5424088</v>
      </c>
      <c r="C119" s="4">
        <v>4460521</v>
      </c>
      <c r="D119" s="4">
        <v>6004803</v>
      </c>
      <c r="E119" s="4">
        <v>5702643</v>
      </c>
      <c r="F119" s="13">
        <v>6527693</v>
      </c>
    </row>
    <row r="120" spans="1:6" x14ac:dyDescent="0.25">
      <c r="A120" s="11" t="s">
        <v>166</v>
      </c>
      <c r="B120" s="5">
        <v>4805450</v>
      </c>
      <c r="C120" s="5">
        <v>6394889</v>
      </c>
      <c r="D120" s="5">
        <v>7115105</v>
      </c>
      <c r="E120" s="5">
        <v>6498114</v>
      </c>
      <c r="F120" s="14">
        <v>6447499</v>
      </c>
    </row>
    <row r="121" spans="1:6" x14ac:dyDescent="0.25">
      <c r="A121" s="12" t="s">
        <v>65</v>
      </c>
      <c r="B121" s="4">
        <v>4381069</v>
      </c>
      <c r="C121" s="4">
        <v>5062869</v>
      </c>
      <c r="D121" s="4">
        <v>4548742</v>
      </c>
      <c r="E121" s="4">
        <v>4469324</v>
      </c>
      <c r="F121" s="13">
        <v>5643566</v>
      </c>
    </row>
    <row r="122" spans="1:6" x14ac:dyDescent="0.25">
      <c r="A122" s="11" t="s">
        <v>145</v>
      </c>
      <c r="B122" s="5">
        <v>3934554</v>
      </c>
      <c r="C122" s="5">
        <v>4486066</v>
      </c>
      <c r="D122" s="5">
        <v>5725131</v>
      </c>
      <c r="E122" s="5">
        <v>5316530</v>
      </c>
      <c r="F122" s="7">
        <v>4715944</v>
      </c>
    </row>
    <row r="123" spans="1:6" x14ac:dyDescent="0.25">
      <c r="A123" s="12" t="s">
        <v>167</v>
      </c>
      <c r="B123" s="6">
        <v>3090593</v>
      </c>
      <c r="C123" s="6">
        <v>4050906</v>
      </c>
      <c r="D123" s="6">
        <v>5809851</v>
      </c>
      <c r="E123" s="6">
        <v>5094780</v>
      </c>
      <c r="F123" s="6">
        <v>4480113</v>
      </c>
    </row>
    <row r="124" spans="1:6" x14ac:dyDescent="0.25">
      <c r="A124" s="11" t="s">
        <v>168</v>
      </c>
      <c r="B124" s="5">
        <v>3077931</v>
      </c>
      <c r="C124" s="5">
        <v>3985818</v>
      </c>
      <c r="D124" s="5">
        <v>4527820</v>
      </c>
      <c r="E124" s="5">
        <v>5017795</v>
      </c>
      <c r="F124" s="14">
        <v>4408806</v>
      </c>
    </row>
    <row r="125" spans="1:6" ht="23.25" x14ac:dyDescent="0.25">
      <c r="A125" s="12" t="s">
        <v>169</v>
      </c>
      <c r="B125" s="6">
        <v>3237944</v>
      </c>
      <c r="C125" s="6">
        <v>5217039</v>
      </c>
      <c r="D125" s="6">
        <v>10037890</v>
      </c>
      <c r="E125" s="6">
        <v>5165869</v>
      </c>
      <c r="F125" s="6">
        <v>4398949</v>
      </c>
    </row>
    <row r="126" spans="1:6" x14ac:dyDescent="0.25">
      <c r="A126" s="11" t="s">
        <v>170</v>
      </c>
      <c r="B126" s="5">
        <v>2946811</v>
      </c>
      <c r="C126" s="5">
        <v>3266989</v>
      </c>
      <c r="D126" s="5">
        <v>3778019</v>
      </c>
      <c r="E126" s="5">
        <v>4071589</v>
      </c>
      <c r="F126" s="14">
        <v>4149553</v>
      </c>
    </row>
    <row r="127" spans="1:6" x14ac:dyDescent="0.25">
      <c r="A127" s="12" t="s">
        <v>119</v>
      </c>
      <c r="B127" s="4">
        <v>4394831</v>
      </c>
      <c r="C127" s="4">
        <v>6036173</v>
      </c>
      <c r="D127" s="4">
        <v>6586208</v>
      </c>
      <c r="E127" s="4">
        <v>7225586</v>
      </c>
      <c r="F127" s="6">
        <v>4051471</v>
      </c>
    </row>
    <row r="128" spans="1:6" x14ac:dyDescent="0.25">
      <c r="A128" s="11" t="s">
        <v>171</v>
      </c>
      <c r="B128" s="5">
        <v>2829642</v>
      </c>
      <c r="C128" s="5">
        <v>3068873</v>
      </c>
      <c r="D128" s="5">
        <v>3268742</v>
      </c>
      <c r="E128" s="5">
        <v>3467883</v>
      </c>
      <c r="F128" s="14">
        <v>3772880</v>
      </c>
    </row>
    <row r="129" spans="1:6" x14ac:dyDescent="0.25">
      <c r="A129" s="12" t="s">
        <v>172</v>
      </c>
      <c r="B129" s="4">
        <v>2415632</v>
      </c>
      <c r="C129" s="4">
        <v>3562297</v>
      </c>
      <c r="D129" s="4">
        <v>4306235</v>
      </c>
      <c r="E129" s="4">
        <v>4374857</v>
      </c>
      <c r="F129" s="6">
        <v>3766568</v>
      </c>
    </row>
    <row r="130" spans="1:6" x14ac:dyDescent="0.25">
      <c r="A130" s="11" t="s">
        <v>117</v>
      </c>
      <c r="B130" s="5">
        <v>4294764</v>
      </c>
      <c r="C130" s="5">
        <v>7424962</v>
      </c>
      <c r="D130" s="5">
        <v>8308478</v>
      </c>
      <c r="E130" s="5">
        <v>5502717</v>
      </c>
      <c r="F130" s="14">
        <v>3691979</v>
      </c>
    </row>
    <row r="131" spans="1:6" ht="23.25" x14ac:dyDescent="0.25">
      <c r="A131" s="12" t="s">
        <v>173</v>
      </c>
      <c r="B131" s="4">
        <v>2467107</v>
      </c>
      <c r="C131" s="4">
        <v>3144505</v>
      </c>
      <c r="D131" s="4">
        <v>4332145</v>
      </c>
      <c r="E131" s="4">
        <v>4048617</v>
      </c>
      <c r="F131" s="13">
        <v>3555062</v>
      </c>
    </row>
    <row r="132" spans="1:6" x14ac:dyDescent="0.25">
      <c r="A132" s="11" t="s">
        <v>139</v>
      </c>
      <c r="B132" s="7">
        <v>1708940</v>
      </c>
      <c r="C132" s="7">
        <v>2991245</v>
      </c>
      <c r="D132" s="7">
        <v>4741921</v>
      </c>
      <c r="E132" s="7">
        <v>4436044</v>
      </c>
      <c r="F132" s="7">
        <v>3470799</v>
      </c>
    </row>
    <row r="133" spans="1:6" x14ac:dyDescent="0.25">
      <c r="A133" s="12" t="s">
        <v>48</v>
      </c>
      <c r="B133" s="4">
        <v>2526221</v>
      </c>
      <c r="C133" s="4">
        <v>3057629</v>
      </c>
      <c r="D133" s="4">
        <v>3083778</v>
      </c>
      <c r="E133" s="4">
        <v>2857941</v>
      </c>
      <c r="F133" s="6">
        <v>3295705</v>
      </c>
    </row>
    <row r="134" spans="1:6" x14ac:dyDescent="0.25">
      <c r="A134" s="11" t="s">
        <v>50</v>
      </c>
      <c r="B134" s="5">
        <v>4148958</v>
      </c>
      <c r="C134" s="5">
        <v>3965317</v>
      </c>
      <c r="D134" s="5">
        <v>3577444</v>
      </c>
      <c r="E134" s="5">
        <v>6305023</v>
      </c>
      <c r="F134" s="7">
        <v>3278304</v>
      </c>
    </row>
    <row r="135" spans="1:6" x14ac:dyDescent="0.25">
      <c r="A135" s="12" t="s">
        <v>100</v>
      </c>
      <c r="B135" s="4">
        <v>2554547</v>
      </c>
      <c r="C135" s="4">
        <v>3291376</v>
      </c>
      <c r="D135" s="4">
        <v>3887489</v>
      </c>
      <c r="E135" s="4">
        <v>3043750</v>
      </c>
      <c r="F135" s="13">
        <v>3194208</v>
      </c>
    </row>
    <row r="136" spans="1:6" x14ac:dyDescent="0.25">
      <c r="A136" s="11" t="s">
        <v>144</v>
      </c>
      <c r="B136" s="7">
        <v>4164579</v>
      </c>
      <c r="C136" s="7">
        <v>5645453</v>
      </c>
      <c r="D136" s="7">
        <v>6063384</v>
      </c>
      <c r="E136" s="7">
        <v>5012014</v>
      </c>
      <c r="F136" s="7">
        <v>2751172</v>
      </c>
    </row>
    <row r="137" spans="1:6" x14ac:dyDescent="0.25">
      <c r="A137" s="12" t="s">
        <v>52</v>
      </c>
      <c r="B137" s="4">
        <v>1956910</v>
      </c>
      <c r="C137" s="4">
        <v>2718729</v>
      </c>
      <c r="D137" s="4">
        <v>3509026</v>
      </c>
      <c r="E137" s="4">
        <v>3227416</v>
      </c>
      <c r="F137" s="13">
        <v>2557063</v>
      </c>
    </row>
    <row r="138" spans="1:6" x14ac:dyDescent="0.25">
      <c r="A138" s="11" t="s">
        <v>174</v>
      </c>
      <c r="B138" s="5">
        <v>339360</v>
      </c>
      <c r="C138" s="5">
        <v>543424</v>
      </c>
      <c r="D138" s="5">
        <v>574311</v>
      </c>
      <c r="E138" s="5">
        <v>700703</v>
      </c>
      <c r="F138" s="7">
        <v>2503753</v>
      </c>
    </row>
    <row r="139" spans="1:6" x14ac:dyDescent="0.25">
      <c r="A139" s="12" t="s">
        <v>147</v>
      </c>
      <c r="B139" s="4">
        <v>418057</v>
      </c>
      <c r="C139" s="4">
        <v>171669</v>
      </c>
      <c r="D139" s="4">
        <v>202889</v>
      </c>
      <c r="E139" s="4">
        <v>153703</v>
      </c>
      <c r="F139" s="6">
        <v>2370813</v>
      </c>
    </row>
    <row r="140" spans="1:6" x14ac:dyDescent="0.25">
      <c r="A140" s="11" t="s">
        <v>175</v>
      </c>
      <c r="B140" s="5">
        <v>22138</v>
      </c>
      <c r="C140" s="5">
        <v>17082</v>
      </c>
      <c r="D140" s="5">
        <v>37915</v>
      </c>
      <c r="E140" s="5">
        <v>45326</v>
      </c>
      <c r="F140" s="7">
        <v>2236568</v>
      </c>
    </row>
    <row r="141" spans="1:6" x14ac:dyDescent="0.25">
      <c r="A141" s="12" t="s">
        <v>176</v>
      </c>
      <c r="B141" s="4">
        <v>1024582</v>
      </c>
      <c r="C141" s="4">
        <v>1392425</v>
      </c>
      <c r="D141" s="4">
        <v>1366738</v>
      </c>
      <c r="E141" s="4">
        <v>1221552</v>
      </c>
      <c r="F141" s="6">
        <v>2210701</v>
      </c>
    </row>
    <row r="142" spans="1:6" x14ac:dyDescent="0.25">
      <c r="A142" s="11" t="s">
        <v>177</v>
      </c>
      <c r="B142" s="5">
        <v>1752118</v>
      </c>
      <c r="C142" s="5">
        <v>2068469</v>
      </c>
      <c r="D142" s="5">
        <v>1990597</v>
      </c>
      <c r="E142" s="5">
        <v>2095602</v>
      </c>
      <c r="F142" s="7">
        <v>1977829</v>
      </c>
    </row>
    <row r="143" spans="1:6" x14ac:dyDescent="0.25">
      <c r="A143" s="12" t="s">
        <v>178</v>
      </c>
      <c r="B143" s="6">
        <v>791813</v>
      </c>
      <c r="C143" s="6">
        <v>1662471</v>
      </c>
      <c r="D143" s="6">
        <v>1577206</v>
      </c>
      <c r="E143" s="6">
        <v>1136966</v>
      </c>
      <c r="F143" s="6">
        <v>1803507</v>
      </c>
    </row>
    <row r="144" spans="1:6" x14ac:dyDescent="0.25">
      <c r="A144" s="11" t="s">
        <v>179</v>
      </c>
      <c r="B144" s="5">
        <v>1311879</v>
      </c>
      <c r="C144" s="5">
        <v>1786916</v>
      </c>
      <c r="D144" s="5">
        <v>2330041</v>
      </c>
      <c r="E144" s="5">
        <v>1293140</v>
      </c>
      <c r="F144" s="7">
        <v>1765803</v>
      </c>
    </row>
    <row r="145" spans="1:6" x14ac:dyDescent="0.25">
      <c r="A145" s="12" t="s">
        <v>126</v>
      </c>
      <c r="B145" s="4">
        <v>1548472</v>
      </c>
      <c r="C145" s="4">
        <v>1684826</v>
      </c>
      <c r="D145" s="4">
        <v>1880859</v>
      </c>
      <c r="E145" s="4">
        <v>1860980</v>
      </c>
      <c r="F145" s="13">
        <v>1753473</v>
      </c>
    </row>
    <row r="146" spans="1:6" x14ac:dyDescent="0.25">
      <c r="A146" s="11" t="s">
        <v>101</v>
      </c>
      <c r="B146" s="7">
        <v>1822291</v>
      </c>
      <c r="C146" s="7">
        <v>1986135</v>
      </c>
      <c r="D146" s="7">
        <v>1666286</v>
      </c>
      <c r="E146" s="7">
        <v>1700344</v>
      </c>
      <c r="F146" s="7">
        <v>1595871</v>
      </c>
    </row>
    <row r="147" spans="1:6" x14ac:dyDescent="0.25">
      <c r="A147" s="12" t="s">
        <v>180</v>
      </c>
      <c r="B147" s="6">
        <v>1395052</v>
      </c>
      <c r="C147" s="6">
        <v>1667839</v>
      </c>
      <c r="D147" s="6">
        <v>1626366</v>
      </c>
      <c r="E147" s="6">
        <v>1754546</v>
      </c>
      <c r="F147" s="6">
        <v>1587493</v>
      </c>
    </row>
    <row r="148" spans="1:6" x14ac:dyDescent="0.25">
      <c r="A148" s="11" t="s">
        <v>181</v>
      </c>
      <c r="B148" s="7">
        <v>1370072</v>
      </c>
      <c r="C148" s="7">
        <v>1439846</v>
      </c>
      <c r="D148" s="7">
        <v>1533226</v>
      </c>
      <c r="E148" s="7">
        <v>1669957</v>
      </c>
      <c r="F148" s="7">
        <v>1556576</v>
      </c>
    </row>
    <row r="149" spans="1:6" x14ac:dyDescent="0.25">
      <c r="A149" s="12" t="s">
        <v>111</v>
      </c>
      <c r="B149" s="4">
        <v>3807461</v>
      </c>
      <c r="C149" s="4">
        <v>4229977</v>
      </c>
      <c r="D149" s="4">
        <v>3491761</v>
      </c>
      <c r="E149" s="4">
        <v>4560694</v>
      </c>
      <c r="F149" s="6">
        <v>1521500</v>
      </c>
    </row>
    <row r="150" spans="1:6" x14ac:dyDescent="0.25">
      <c r="A150" s="11" t="s">
        <v>182</v>
      </c>
      <c r="B150" s="7">
        <v>605299</v>
      </c>
      <c r="C150" s="7">
        <v>1050031</v>
      </c>
      <c r="D150" s="7">
        <v>1375093</v>
      </c>
      <c r="E150" s="7">
        <v>1494051</v>
      </c>
      <c r="F150" s="7">
        <v>1508793</v>
      </c>
    </row>
    <row r="151" spans="1:6" x14ac:dyDescent="0.25">
      <c r="A151" s="12" t="s">
        <v>183</v>
      </c>
      <c r="B151" s="4">
        <v>1388641</v>
      </c>
      <c r="C151" s="4">
        <v>2291326</v>
      </c>
      <c r="D151" s="4">
        <v>2836282</v>
      </c>
      <c r="E151" s="4">
        <v>2310900</v>
      </c>
      <c r="F151" s="13">
        <v>1484158</v>
      </c>
    </row>
    <row r="152" spans="1:6" ht="23.25" x14ac:dyDescent="0.25">
      <c r="A152" s="11" t="s">
        <v>184</v>
      </c>
      <c r="B152" s="7">
        <v>1895763</v>
      </c>
      <c r="C152" s="7">
        <v>2055265</v>
      </c>
      <c r="D152" s="7">
        <v>3057459</v>
      </c>
      <c r="E152" s="7">
        <v>2422287</v>
      </c>
      <c r="F152" s="7">
        <v>1379628</v>
      </c>
    </row>
    <row r="153" spans="1:6" x14ac:dyDescent="0.25">
      <c r="A153" s="12" t="s">
        <v>103</v>
      </c>
      <c r="B153" s="4">
        <v>980130</v>
      </c>
      <c r="C153" s="4">
        <v>1069303</v>
      </c>
      <c r="D153" s="4">
        <v>1351193</v>
      </c>
      <c r="E153" s="4">
        <v>1455976</v>
      </c>
      <c r="F153" s="13">
        <v>1366135</v>
      </c>
    </row>
    <row r="154" spans="1:6" x14ac:dyDescent="0.25">
      <c r="A154" s="11" t="s">
        <v>138</v>
      </c>
      <c r="B154" s="5">
        <v>1702812</v>
      </c>
      <c r="C154" s="5">
        <v>1966040</v>
      </c>
      <c r="D154" s="5">
        <v>2170009</v>
      </c>
      <c r="E154" s="7">
        <v>1642593</v>
      </c>
      <c r="F154" s="7">
        <v>1295994</v>
      </c>
    </row>
    <row r="155" spans="1:6" x14ac:dyDescent="0.25">
      <c r="A155" s="12" t="s">
        <v>71</v>
      </c>
      <c r="B155" s="4">
        <v>1247237</v>
      </c>
      <c r="C155" s="4">
        <v>633014</v>
      </c>
      <c r="D155" s="4">
        <v>446135</v>
      </c>
      <c r="E155" s="4">
        <v>467409</v>
      </c>
      <c r="F155" s="6">
        <v>1274642</v>
      </c>
    </row>
    <row r="156" spans="1:6" x14ac:dyDescent="0.25">
      <c r="A156" s="11" t="s">
        <v>26</v>
      </c>
      <c r="B156" s="5">
        <v>855421</v>
      </c>
      <c r="C156" s="5">
        <v>1665728</v>
      </c>
      <c r="D156" s="5">
        <v>1299593</v>
      </c>
      <c r="E156" s="7">
        <v>1237904</v>
      </c>
      <c r="F156" s="7">
        <v>1264116</v>
      </c>
    </row>
    <row r="157" spans="1:6" x14ac:dyDescent="0.25">
      <c r="A157" s="12" t="s">
        <v>99</v>
      </c>
      <c r="B157" s="4">
        <v>1250599</v>
      </c>
      <c r="C157" s="4">
        <v>1480710</v>
      </c>
      <c r="D157" s="4">
        <v>1901416</v>
      </c>
      <c r="E157" s="4">
        <v>1521868</v>
      </c>
      <c r="F157" s="6">
        <v>1155416</v>
      </c>
    </row>
    <row r="158" spans="1:6" x14ac:dyDescent="0.25">
      <c r="A158" s="11" t="s">
        <v>185</v>
      </c>
      <c r="B158" s="5">
        <v>845407</v>
      </c>
      <c r="C158" s="5">
        <v>1026204</v>
      </c>
      <c r="D158" s="5">
        <v>899971</v>
      </c>
      <c r="E158" s="5">
        <v>1054475</v>
      </c>
      <c r="F158" s="14">
        <v>1112834</v>
      </c>
    </row>
    <row r="159" spans="1:6" x14ac:dyDescent="0.25">
      <c r="A159" s="12" t="s">
        <v>112</v>
      </c>
      <c r="B159" s="4">
        <v>818488</v>
      </c>
      <c r="C159" s="4">
        <v>977659</v>
      </c>
      <c r="D159" s="4">
        <v>917187</v>
      </c>
      <c r="E159" s="4">
        <v>831235</v>
      </c>
      <c r="F159" s="6">
        <v>934653</v>
      </c>
    </row>
    <row r="160" spans="1:6" x14ac:dyDescent="0.25">
      <c r="A160" s="11" t="s">
        <v>149</v>
      </c>
      <c r="B160" s="5">
        <v>781981</v>
      </c>
      <c r="C160" s="5">
        <v>1019154</v>
      </c>
      <c r="D160" s="5">
        <v>944241</v>
      </c>
      <c r="E160" s="5">
        <v>1032089</v>
      </c>
      <c r="F160" s="7">
        <v>824060</v>
      </c>
    </row>
    <row r="161" spans="1:6" ht="23.25" x14ac:dyDescent="0.25">
      <c r="A161" s="12" t="s">
        <v>84</v>
      </c>
      <c r="B161" s="6">
        <v>956674</v>
      </c>
      <c r="C161" s="6">
        <v>1110651</v>
      </c>
      <c r="D161" s="6">
        <v>1076509</v>
      </c>
      <c r="E161" s="6">
        <v>1245851</v>
      </c>
      <c r="F161" s="6">
        <v>819570</v>
      </c>
    </row>
    <row r="162" spans="1:6" x14ac:dyDescent="0.25">
      <c r="A162" s="11" t="s">
        <v>134</v>
      </c>
      <c r="B162" s="7">
        <v>1047836</v>
      </c>
      <c r="C162" s="7">
        <v>1387528</v>
      </c>
      <c r="D162" s="7">
        <v>1309157</v>
      </c>
      <c r="E162" s="7">
        <v>1055677</v>
      </c>
      <c r="F162" s="7">
        <v>798494</v>
      </c>
    </row>
    <row r="163" spans="1:6" x14ac:dyDescent="0.25">
      <c r="A163" s="12" t="s">
        <v>46</v>
      </c>
      <c r="B163" s="4">
        <v>827647</v>
      </c>
      <c r="C163" s="4">
        <v>815880</v>
      </c>
      <c r="D163" s="4">
        <v>1070466</v>
      </c>
      <c r="E163" s="4">
        <v>1078446</v>
      </c>
      <c r="F163" s="6">
        <v>710553</v>
      </c>
    </row>
    <row r="164" spans="1:6" x14ac:dyDescent="0.25">
      <c r="A164" s="11" t="s">
        <v>186</v>
      </c>
      <c r="B164" s="7">
        <v>553507</v>
      </c>
      <c r="C164" s="7">
        <v>535720</v>
      </c>
      <c r="D164" s="7">
        <v>572502</v>
      </c>
      <c r="E164" s="7">
        <v>561307</v>
      </c>
      <c r="F164" s="7">
        <v>669105</v>
      </c>
    </row>
    <row r="165" spans="1:6" x14ac:dyDescent="0.25">
      <c r="A165" s="12" t="s">
        <v>187</v>
      </c>
      <c r="B165" s="4">
        <v>365985</v>
      </c>
      <c r="C165" s="4">
        <v>437051</v>
      </c>
      <c r="D165" s="4">
        <v>736364</v>
      </c>
      <c r="E165" s="4">
        <v>722520</v>
      </c>
      <c r="F165" s="13">
        <v>660692</v>
      </c>
    </row>
    <row r="166" spans="1:6" x14ac:dyDescent="0.25">
      <c r="A166" s="11" t="s">
        <v>150</v>
      </c>
      <c r="B166" s="5">
        <v>3989356</v>
      </c>
      <c r="C166" s="5">
        <v>4173796</v>
      </c>
      <c r="D166" s="5">
        <v>3904608</v>
      </c>
      <c r="E166" s="5">
        <v>4006274</v>
      </c>
      <c r="F166" s="7">
        <v>643663</v>
      </c>
    </row>
    <row r="167" spans="1:6" x14ac:dyDescent="0.25">
      <c r="A167" s="12" t="s">
        <v>188</v>
      </c>
      <c r="B167" s="4">
        <v>345439</v>
      </c>
      <c r="C167" s="4">
        <v>407156</v>
      </c>
      <c r="D167" s="4">
        <v>575471</v>
      </c>
      <c r="E167" s="4">
        <v>547770</v>
      </c>
      <c r="F167" s="13">
        <v>594542</v>
      </c>
    </row>
    <row r="168" spans="1:6" x14ac:dyDescent="0.25">
      <c r="A168" s="11" t="s">
        <v>152</v>
      </c>
      <c r="B168" s="5">
        <v>1431176</v>
      </c>
      <c r="C168" s="5">
        <v>1562504</v>
      </c>
      <c r="D168" s="5">
        <v>1435898</v>
      </c>
      <c r="E168" s="7">
        <v>1393861</v>
      </c>
      <c r="F168" s="7">
        <v>587484</v>
      </c>
    </row>
    <row r="169" spans="1:6" x14ac:dyDescent="0.25">
      <c r="A169" s="12" t="s">
        <v>189</v>
      </c>
      <c r="B169" s="6">
        <v>647316</v>
      </c>
      <c r="C169" s="6">
        <v>670367</v>
      </c>
      <c r="D169" s="6">
        <v>837381</v>
      </c>
      <c r="E169" s="6">
        <v>570481</v>
      </c>
      <c r="F169" s="6">
        <v>565166</v>
      </c>
    </row>
    <row r="170" spans="1:6" x14ac:dyDescent="0.25">
      <c r="A170" s="11" t="s">
        <v>109</v>
      </c>
      <c r="B170" s="7">
        <v>1636389</v>
      </c>
      <c r="C170" s="7">
        <v>2216075</v>
      </c>
      <c r="D170" s="7">
        <v>2141340</v>
      </c>
      <c r="E170" s="7">
        <v>1071443</v>
      </c>
      <c r="F170" s="7">
        <v>560184</v>
      </c>
    </row>
    <row r="171" spans="1:6" x14ac:dyDescent="0.25">
      <c r="A171" s="12" t="s">
        <v>67</v>
      </c>
      <c r="B171" s="4">
        <v>279938</v>
      </c>
      <c r="C171" s="4">
        <v>454189</v>
      </c>
      <c r="D171" s="4">
        <v>437882</v>
      </c>
      <c r="E171" s="4">
        <v>435626</v>
      </c>
      <c r="F171" s="6">
        <v>474092</v>
      </c>
    </row>
    <row r="172" spans="1:6" x14ac:dyDescent="0.25">
      <c r="A172" s="11" t="s">
        <v>190</v>
      </c>
      <c r="B172" s="5">
        <v>345206</v>
      </c>
      <c r="C172" s="5">
        <v>350173</v>
      </c>
      <c r="D172" s="5">
        <v>497642</v>
      </c>
      <c r="E172" s="5">
        <v>461037</v>
      </c>
      <c r="F172" s="14">
        <v>461264</v>
      </c>
    </row>
    <row r="173" spans="1:6" x14ac:dyDescent="0.25">
      <c r="A173" s="12" t="s">
        <v>191</v>
      </c>
      <c r="B173" s="6">
        <v>856964</v>
      </c>
      <c r="C173" s="6">
        <v>508817</v>
      </c>
      <c r="D173" s="6">
        <v>511007</v>
      </c>
      <c r="E173" s="6">
        <v>653024</v>
      </c>
      <c r="F173" s="6">
        <v>459996</v>
      </c>
    </row>
    <row r="174" spans="1:6" x14ac:dyDescent="0.25">
      <c r="A174" s="11" t="s">
        <v>192</v>
      </c>
      <c r="B174" s="7">
        <v>475002</v>
      </c>
      <c r="C174" s="7">
        <v>522006</v>
      </c>
      <c r="D174" s="7">
        <v>751989</v>
      </c>
      <c r="E174" s="7">
        <v>1049476</v>
      </c>
      <c r="F174" s="7">
        <v>448192</v>
      </c>
    </row>
    <row r="175" spans="1:6" ht="45.75" x14ac:dyDescent="0.25">
      <c r="A175" s="12" t="s">
        <v>193</v>
      </c>
      <c r="B175" s="6">
        <v>188594</v>
      </c>
      <c r="C175" s="6">
        <v>166622</v>
      </c>
      <c r="D175" s="6">
        <v>370531</v>
      </c>
      <c r="E175" s="6">
        <v>386888</v>
      </c>
      <c r="F175" s="6">
        <v>387925</v>
      </c>
    </row>
    <row r="176" spans="1:6" ht="34.5" x14ac:dyDescent="0.25">
      <c r="A176" s="11" t="s">
        <v>194</v>
      </c>
      <c r="B176" s="7">
        <v>132408</v>
      </c>
      <c r="C176" s="7">
        <v>203664</v>
      </c>
      <c r="D176" s="7">
        <v>203058</v>
      </c>
      <c r="E176" s="7">
        <v>193288</v>
      </c>
      <c r="F176" s="7">
        <v>332218</v>
      </c>
    </row>
    <row r="177" spans="1:6" ht="23.25" x14ac:dyDescent="0.25">
      <c r="A177" s="12" t="s">
        <v>195</v>
      </c>
      <c r="B177" s="6">
        <v>419043</v>
      </c>
      <c r="C177" s="6">
        <v>337434</v>
      </c>
      <c r="D177" s="6">
        <v>405348</v>
      </c>
      <c r="E177" s="6">
        <v>364776</v>
      </c>
      <c r="F177" s="6">
        <v>326154</v>
      </c>
    </row>
    <row r="178" spans="1:6" x14ac:dyDescent="0.25">
      <c r="A178" s="11" t="s">
        <v>196</v>
      </c>
      <c r="B178" s="7">
        <v>211861</v>
      </c>
      <c r="C178" s="7">
        <v>312871</v>
      </c>
      <c r="D178" s="7">
        <v>224030</v>
      </c>
      <c r="E178" s="7">
        <v>209615</v>
      </c>
      <c r="F178" s="7">
        <v>316293</v>
      </c>
    </row>
    <row r="179" spans="1:6" ht="23.25" x14ac:dyDescent="0.25">
      <c r="A179" s="12" t="s">
        <v>197</v>
      </c>
      <c r="B179" s="4">
        <v>21770</v>
      </c>
      <c r="C179" s="4">
        <v>19147</v>
      </c>
      <c r="D179" s="4">
        <v>21827</v>
      </c>
      <c r="E179" s="4">
        <v>30497</v>
      </c>
      <c r="F179" s="6">
        <v>279012</v>
      </c>
    </row>
    <row r="180" spans="1:6" x14ac:dyDescent="0.25">
      <c r="A180" s="11" t="s">
        <v>198</v>
      </c>
      <c r="B180" s="5">
        <v>211873</v>
      </c>
      <c r="C180" s="5">
        <v>257479</v>
      </c>
      <c r="D180" s="5">
        <v>286430</v>
      </c>
      <c r="E180" s="5">
        <v>253373</v>
      </c>
      <c r="F180" s="14">
        <v>277036</v>
      </c>
    </row>
    <row r="181" spans="1:6" x14ac:dyDescent="0.25">
      <c r="A181" s="12" t="s">
        <v>199</v>
      </c>
      <c r="B181" s="4">
        <v>162558</v>
      </c>
      <c r="C181" s="4">
        <v>151581</v>
      </c>
      <c r="D181" s="4">
        <v>158393</v>
      </c>
      <c r="E181" s="4">
        <v>162344</v>
      </c>
      <c r="F181" s="6">
        <v>276239</v>
      </c>
    </row>
    <row r="182" spans="1:6" ht="23.25" x14ac:dyDescent="0.25">
      <c r="A182" s="11" t="s">
        <v>200</v>
      </c>
      <c r="B182" s="7">
        <v>561149</v>
      </c>
      <c r="C182" s="7">
        <v>259340</v>
      </c>
      <c r="D182" s="7">
        <v>374676</v>
      </c>
      <c r="E182" s="7">
        <v>448144</v>
      </c>
      <c r="F182" s="7">
        <v>249385</v>
      </c>
    </row>
    <row r="183" spans="1:6" x14ac:dyDescent="0.25">
      <c r="A183" s="12" t="s">
        <v>201</v>
      </c>
      <c r="B183" s="4">
        <v>19104</v>
      </c>
      <c r="C183" s="4">
        <v>28633</v>
      </c>
      <c r="D183" s="4">
        <v>33527</v>
      </c>
      <c r="E183" s="4">
        <v>22285</v>
      </c>
      <c r="F183" s="6">
        <v>222803</v>
      </c>
    </row>
    <row r="184" spans="1:6" x14ac:dyDescent="0.25">
      <c r="A184" s="11" t="s">
        <v>202</v>
      </c>
      <c r="B184" s="5">
        <v>82143</v>
      </c>
      <c r="C184" s="7">
        <v>446198</v>
      </c>
      <c r="D184" s="7">
        <v>383333</v>
      </c>
      <c r="E184" s="7">
        <v>509177</v>
      </c>
      <c r="F184" s="7">
        <v>211752</v>
      </c>
    </row>
    <row r="185" spans="1:6" x14ac:dyDescent="0.25">
      <c r="A185" s="12" t="s">
        <v>203</v>
      </c>
      <c r="B185" s="6">
        <v>181811</v>
      </c>
      <c r="C185" s="6">
        <v>207766</v>
      </c>
      <c r="D185" s="6">
        <v>225657</v>
      </c>
      <c r="E185" s="6">
        <v>102816</v>
      </c>
      <c r="F185" s="6">
        <v>211696</v>
      </c>
    </row>
    <row r="186" spans="1:6" x14ac:dyDescent="0.25">
      <c r="A186" s="11" t="s">
        <v>204</v>
      </c>
      <c r="B186" s="5"/>
      <c r="C186" s="5">
        <v>3829300</v>
      </c>
      <c r="D186" s="5">
        <v>4608302</v>
      </c>
      <c r="E186" s="5">
        <v>4784716</v>
      </c>
      <c r="F186" s="7">
        <v>207563</v>
      </c>
    </row>
    <row r="187" spans="1:6" ht="23.25" x14ac:dyDescent="0.25">
      <c r="A187" s="12" t="s">
        <v>205</v>
      </c>
      <c r="B187" s="4">
        <v>80621</v>
      </c>
      <c r="C187" s="4">
        <v>143139</v>
      </c>
      <c r="D187" s="4">
        <v>146444</v>
      </c>
      <c r="E187" s="4">
        <v>244186</v>
      </c>
      <c r="F187" s="6">
        <v>200912</v>
      </c>
    </row>
    <row r="188" spans="1:6" x14ac:dyDescent="0.25">
      <c r="A188" s="11" t="s">
        <v>206</v>
      </c>
      <c r="B188" s="7">
        <v>111409</v>
      </c>
      <c r="C188" s="7">
        <v>209149</v>
      </c>
      <c r="D188" s="7">
        <v>222598</v>
      </c>
      <c r="E188" s="7">
        <v>223195</v>
      </c>
      <c r="F188" s="7">
        <v>192396</v>
      </c>
    </row>
    <row r="189" spans="1:6" x14ac:dyDescent="0.25">
      <c r="A189" s="12" t="s">
        <v>207</v>
      </c>
      <c r="B189" s="4">
        <v>162313</v>
      </c>
      <c r="C189" s="4">
        <v>113150</v>
      </c>
      <c r="D189" s="4">
        <v>188869</v>
      </c>
      <c r="E189" s="4">
        <v>217474</v>
      </c>
      <c r="F189" s="13">
        <v>184439</v>
      </c>
    </row>
    <row r="190" spans="1:6" x14ac:dyDescent="0.25">
      <c r="A190" s="11" t="s">
        <v>208</v>
      </c>
      <c r="B190" s="7">
        <v>176264</v>
      </c>
      <c r="C190" s="7">
        <v>107268</v>
      </c>
      <c r="D190" s="7">
        <v>413498</v>
      </c>
      <c r="E190" s="7">
        <v>197263</v>
      </c>
      <c r="F190" s="7">
        <v>156927</v>
      </c>
    </row>
    <row r="191" spans="1:6" x14ac:dyDescent="0.25">
      <c r="A191" s="12" t="s">
        <v>209</v>
      </c>
      <c r="B191" s="4">
        <v>65944</v>
      </c>
      <c r="C191" s="4">
        <v>88347</v>
      </c>
      <c r="D191" s="4">
        <v>105514</v>
      </c>
      <c r="E191" s="4">
        <v>111005</v>
      </c>
      <c r="F191" s="6">
        <v>133363</v>
      </c>
    </row>
    <row r="192" spans="1:6" x14ac:dyDescent="0.25">
      <c r="A192" s="11" t="s">
        <v>210</v>
      </c>
      <c r="B192" s="5">
        <v>9271</v>
      </c>
      <c r="C192" s="5">
        <v>8876</v>
      </c>
      <c r="D192" s="7">
        <v>126398</v>
      </c>
      <c r="E192" s="7">
        <v>90947</v>
      </c>
      <c r="F192" s="7">
        <v>108950</v>
      </c>
    </row>
    <row r="193" spans="1:6" x14ac:dyDescent="0.25">
      <c r="A193" s="12" t="s">
        <v>107</v>
      </c>
      <c r="B193" s="4">
        <v>166781</v>
      </c>
      <c r="C193" s="4">
        <v>163974</v>
      </c>
      <c r="D193" s="4">
        <v>386143</v>
      </c>
      <c r="E193" s="4">
        <v>252365</v>
      </c>
      <c r="F193" s="6">
        <v>104618</v>
      </c>
    </row>
    <row r="194" spans="1:6" ht="34.5" x14ac:dyDescent="0.25">
      <c r="A194" s="11" t="s">
        <v>211</v>
      </c>
      <c r="B194" s="7">
        <v>126798</v>
      </c>
      <c r="C194" s="7">
        <v>220078</v>
      </c>
      <c r="D194" s="7">
        <v>172882</v>
      </c>
      <c r="E194" s="7">
        <v>1030401</v>
      </c>
      <c r="F194" s="7">
        <v>94736</v>
      </c>
    </row>
    <row r="195" spans="1:6" ht="23.25" x14ac:dyDescent="0.25">
      <c r="A195" s="12" t="s">
        <v>132</v>
      </c>
      <c r="B195" s="4">
        <v>1054621</v>
      </c>
      <c r="C195" s="4">
        <v>1357640</v>
      </c>
      <c r="D195" s="4">
        <v>1525160</v>
      </c>
      <c r="E195" s="4">
        <v>1521388</v>
      </c>
      <c r="F195" s="6">
        <v>93162</v>
      </c>
    </row>
    <row r="196" spans="1:6" x14ac:dyDescent="0.25">
      <c r="A196" s="11" t="s">
        <v>212</v>
      </c>
      <c r="B196" s="5">
        <v>249889</v>
      </c>
      <c r="C196" s="5">
        <v>458303</v>
      </c>
      <c r="D196" s="5">
        <v>471774</v>
      </c>
      <c r="E196" s="5">
        <v>163722</v>
      </c>
      <c r="F196" s="7">
        <v>90019</v>
      </c>
    </row>
    <row r="197" spans="1:6" x14ac:dyDescent="0.25">
      <c r="A197" s="12" t="s">
        <v>213</v>
      </c>
      <c r="B197" s="4">
        <v>5714</v>
      </c>
      <c r="C197" s="4">
        <v>8433</v>
      </c>
      <c r="D197" s="4">
        <v>6645</v>
      </c>
      <c r="E197" s="4">
        <v>5766</v>
      </c>
      <c r="F197" s="6">
        <v>86956</v>
      </c>
    </row>
    <row r="198" spans="1:6" ht="23.25" x14ac:dyDescent="0.25">
      <c r="A198" s="11" t="s">
        <v>98</v>
      </c>
      <c r="B198" s="5">
        <v>41044</v>
      </c>
      <c r="C198" s="5">
        <v>58015</v>
      </c>
      <c r="D198" s="5">
        <v>117824</v>
      </c>
      <c r="E198" s="5">
        <v>113585</v>
      </c>
      <c r="F198" s="7">
        <v>84954</v>
      </c>
    </row>
    <row r="199" spans="1:6" x14ac:dyDescent="0.25">
      <c r="A199" s="12" t="s">
        <v>124</v>
      </c>
      <c r="B199" s="4">
        <v>67437</v>
      </c>
      <c r="C199" s="6">
        <v>68087</v>
      </c>
      <c r="D199" s="6">
        <v>68381</v>
      </c>
      <c r="E199" s="6">
        <v>82601</v>
      </c>
      <c r="F199" s="6">
        <v>84895</v>
      </c>
    </row>
    <row r="200" spans="1:6" x14ac:dyDescent="0.25">
      <c r="A200" s="11" t="s">
        <v>214</v>
      </c>
      <c r="B200" s="7">
        <v>14932</v>
      </c>
      <c r="C200" s="7">
        <v>133540</v>
      </c>
      <c r="D200" s="7">
        <v>79627</v>
      </c>
      <c r="E200" s="7">
        <v>53520</v>
      </c>
      <c r="F200" s="7">
        <v>80674</v>
      </c>
    </row>
    <row r="201" spans="1:6" x14ac:dyDescent="0.25">
      <c r="A201" s="12" t="s">
        <v>215</v>
      </c>
      <c r="B201" s="4">
        <v>53118</v>
      </c>
      <c r="C201" s="4">
        <v>45416</v>
      </c>
      <c r="D201" s="4">
        <v>42340</v>
      </c>
      <c r="E201" s="4">
        <v>43800</v>
      </c>
      <c r="F201" s="13">
        <v>68245</v>
      </c>
    </row>
    <row r="202" spans="1:6" ht="23.25" x14ac:dyDescent="0.25">
      <c r="A202" s="11" t="s">
        <v>69</v>
      </c>
      <c r="B202" s="5">
        <v>55215</v>
      </c>
      <c r="C202" s="5">
        <v>34591</v>
      </c>
      <c r="D202" s="5">
        <v>44931</v>
      </c>
      <c r="E202" s="5">
        <v>40799</v>
      </c>
      <c r="F202" s="7">
        <v>51621</v>
      </c>
    </row>
    <row r="203" spans="1:6" x14ac:dyDescent="0.25">
      <c r="A203" s="12" t="s">
        <v>216</v>
      </c>
      <c r="B203" s="4">
        <v>27900</v>
      </c>
      <c r="C203" s="4">
        <v>26401</v>
      </c>
      <c r="D203" s="4">
        <v>54185</v>
      </c>
      <c r="E203" s="4">
        <v>83330</v>
      </c>
      <c r="F203" s="13">
        <v>49642</v>
      </c>
    </row>
    <row r="204" spans="1:6" ht="23.25" x14ac:dyDescent="0.25">
      <c r="A204" s="11" t="s">
        <v>217</v>
      </c>
      <c r="B204" s="5">
        <v>12463</v>
      </c>
      <c r="C204" s="5">
        <v>19175</v>
      </c>
      <c r="D204" s="5">
        <v>22589</v>
      </c>
      <c r="E204" s="5">
        <v>16555</v>
      </c>
      <c r="F204" s="7">
        <v>48955</v>
      </c>
    </row>
    <row r="205" spans="1:6" x14ac:dyDescent="0.25">
      <c r="A205" s="12" t="s">
        <v>140</v>
      </c>
      <c r="B205" s="4">
        <v>22993</v>
      </c>
      <c r="C205" s="4">
        <v>35354</v>
      </c>
      <c r="D205" s="4">
        <v>54638</v>
      </c>
      <c r="E205" s="4">
        <v>28530</v>
      </c>
      <c r="F205" s="6">
        <v>48400</v>
      </c>
    </row>
    <row r="206" spans="1:6" ht="23.25" x14ac:dyDescent="0.25">
      <c r="A206" s="11" t="s">
        <v>218</v>
      </c>
      <c r="B206" s="7">
        <v>71134</v>
      </c>
      <c r="C206" s="7">
        <v>73059</v>
      </c>
      <c r="D206" s="7">
        <v>54237</v>
      </c>
      <c r="E206" s="7">
        <v>88849</v>
      </c>
      <c r="F206" s="7">
        <v>48019</v>
      </c>
    </row>
    <row r="207" spans="1:6" ht="23.25" x14ac:dyDescent="0.25">
      <c r="A207" s="12" t="s">
        <v>219</v>
      </c>
      <c r="B207" s="6">
        <v>32373</v>
      </c>
      <c r="C207" s="6">
        <v>18909</v>
      </c>
      <c r="D207" s="6">
        <v>6043</v>
      </c>
      <c r="E207" s="6">
        <v>189622</v>
      </c>
      <c r="F207" s="6">
        <v>45503</v>
      </c>
    </row>
    <row r="208" spans="1:6" x14ac:dyDescent="0.25">
      <c r="A208" s="11" t="s">
        <v>220</v>
      </c>
      <c r="B208" s="5">
        <v>37390</v>
      </c>
      <c r="C208" s="5">
        <v>28992</v>
      </c>
      <c r="D208" s="5">
        <v>43481</v>
      </c>
      <c r="E208" s="5">
        <v>42948</v>
      </c>
      <c r="F208" s="7">
        <v>35614</v>
      </c>
    </row>
    <row r="209" spans="1:6" x14ac:dyDescent="0.25">
      <c r="A209" s="12" t="s">
        <v>221</v>
      </c>
      <c r="B209" s="6">
        <v>28776</v>
      </c>
      <c r="C209" s="6">
        <v>31866</v>
      </c>
      <c r="D209" s="6">
        <v>27971</v>
      </c>
      <c r="E209" s="6">
        <v>30742</v>
      </c>
      <c r="F209" s="6">
        <v>35130</v>
      </c>
    </row>
    <row r="210" spans="1:6" x14ac:dyDescent="0.25">
      <c r="A210" s="11" t="s">
        <v>222</v>
      </c>
      <c r="B210" s="7">
        <v>45091</v>
      </c>
      <c r="C210" s="7">
        <v>29409</v>
      </c>
      <c r="D210" s="7">
        <v>330049</v>
      </c>
      <c r="E210" s="7">
        <v>166361</v>
      </c>
      <c r="F210" s="7">
        <v>33010</v>
      </c>
    </row>
    <row r="211" spans="1:6" x14ac:dyDescent="0.25">
      <c r="A211" s="12" t="s">
        <v>223</v>
      </c>
      <c r="B211" s="6">
        <v>13628</v>
      </c>
      <c r="C211" s="6">
        <v>40558</v>
      </c>
      <c r="D211" s="6">
        <v>41821</v>
      </c>
      <c r="E211" s="6">
        <v>39818</v>
      </c>
      <c r="F211" s="6">
        <v>31443</v>
      </c>
    </row>
    <row r="212" spans="1:6" x14ac:dyDescent="0.25">
      <c r="A212" s="11" t="s">
        <v>75</v>
      </c>
      <c r="B212" s="5">
        <v>13145</v>
      </c>
      <c r="C212" s="5">
        <v>14145</v>
      </c>
      <c r="D212" s="5">
        <v>7866</v>
      </c>
      <c r="E212" s="5">
        <v>22042</v>
      </c>
      <c r="F212" s="7">
        <v>28683</v>
      </c>
    </row>
    <row r="213" spans="1:6" x14ac:dyDescent="0.25">
      <c r="A213" s="12" t="s">
        <v>133</v>
      </c>
      <c r="B213" s="4">
        <v>24620</v>
      </c>
      <c r="C213" s="4">
        <v>35163</v>
      </c>
      <c r="D213" s="4">
        <v>37472</v>
      </c>
      <c r="E213" s="4">
        <v>46055</v>
      </c>
      <c r="F213" s="6">
        <v>28116</v>
      </c>
    </row>
    <row r="214" spans="1:6" ht="23.25" x14ac:dyDescent="0.25">
      <c r="A214" s="11" t="s">
        <v>224</v>
      </c>
      <c r="B214" s="7">
        <v>110533</v>
      </c>
      <c r="C214" s="7">
        <v>51354</v>
      </c>
      <c r="D214" s="7">
        <v>59562</v>
      </c>
      <c r="E214" s="7">
        <v>31040</v>
      </c>
      <c r="F214" s="7">
        <v>25583</v>
      </c>
    </row>
    <row r="215" spans="1:6" x14ac:dyDescent="0.25">
      <c r="A215" s="12" t="s">
        <v>225</v>
      </c>
      <c r="B215" s="4">
        <v>16963</v>
      </c>
      <c r="C215" s="4">
        <v>12793</v>
      </c>
      <c r="D215" s="4">
        <v>61864</v>
      </c>
      <c r="E215" s="4">
        <v>11934</v>
      </c>
      <c r="F215" s="6">
        <v>22697</v>
      </c>
    </row>
    <row r="216" spans="1:6" x14ac:dyDescent="0.25">
      <c r="A216" s="11" t="s">
        <v>226</v>
      </c>
      <c r="B216" s="7">
        <v>15493</v>
      </c>
      <c r="C216" s="7">
        <v>5784</v>
      </c>
      <c r="D216" s="7">
        <v>8245</v>
      </c>
      <c r="E216" s="7">
        <v>6024</v>
      </c>
      <c r="F216" s="7">
        <v>20937</v>
      </c>
    </row>
    <row r="217" spans="1:6" ht="34.5" x14ac:dyDescent="0.25">
      <c r="A217" s="12" t="s">
        <v>227</v>
      </c>
      <c r="B217" s="6">
        <v>34954</v>
      </c>
      <c r="C217" s="6">
        <v>18699</v>
      </c>
      <c r="D217" s="6">
        <v>24043</v>
      </c>
      <c r="E217" s="6">
        <v>23786</v>
      </c>
      <c r="F217" s="6">
        <v>15831</v>
      </c>
    </row>
    <row r="218" spans="1:6" ht="34.5" x14ac:dyDescent="0.25">
      <c r="A218" s="11" t="s">
        <v>228</v>
      </c>
      <c r="B218" s="7">
        <v>13529</v>
      </c>
      <c r="C218" s="7">
        <v>4025</v>
      </c>
      <c r="D218" s="7">
        <v>6060</v>
      </c>
      <c r="E218" s="7">
        <v>35619</v>
      </c>
      <c r="F218" s="7">
        <v>15611</v>
      </c>
    </row>
    <row r="219" spans="1:6" x14ac:dyDescent="0.25">
      <c r="A219" s="12" t="s">
        <v>229</v>
      </c>
      <c r="B219" s="6">
        <v>15310</v>
      </c>
      <c r="C219" s="6">
        <v>14854</v>
      </c>
      <c r="D219" s="6">
        <v>16570</v>
      </c>
      <c r="E219" s="6">
        <v>11746</v>
      </c>
      <c r="F219" s="6">
        <v>11621</v>
      </c>
    </row>
    <row r="220" spans="1:6" ht="23.25" x14ac:dyDescent="0.25">
      <c r="A220" s="11" t="s">
        <v>230</v>
      </c>
      <c r="B220" s="7">
        <v>7892</v>
      </c>
      <c r="C220" s="7">
        <v>9919</v>
      </c>
      <c r="D220" s="7">
        <v>8828</v>
      </c>
      <c r="E220" s="7">
        <v>4373</v>
      </c>
      <c r="F220" s="7">
        <v>8357</v>
      </c>
    </row>
    <row r="221" spans="1:6" ht="23.25" x14ac:dyDescent="0.25">
      <c r="A221" s="12" t="s">
        <v>231</v>
      </c>
      <c r="B221" s="6">
        <v>11428</v>
      </c>
      <c r="C221" s="6">
        <v>9004</v>
      </c>
      <c r="D221" s="6">
        <v>9110</v>
      </c>
      <c r="E221" s="6">
        <v>8476</v>
      </c>
      <c r="F221" s="6">
        <v>7757</v>
      </c>
    </row>
    <row r="222" spans="1:6" x14ac:dyDescent="0.25">
      <c r="A222" s="11" t="s">
        <v>232</v>
      </c>
      <c r="B222" s="7">
        <v>80159</v>
      </c>
      <c r="C222" s="7">
        <v>7905</v>
      </c>
      <c r="D222" s="7">
        <v>7453</v>
      </c>
      <c r="E222" s="7">
        <v>9365</v>
      </c>
      <c r="F222" s="7">
        <v>7169</v>
      </c>
    </row>
    <row r="223" spans="1:6" ht="23.25" x14ac:dyDescent="0.25">
      <c r="A223" s="12" t="s">
        <v>233</v>
      </c>
      <c r="B223" s="6">
        <v>8150</v>
      </c>
      <c r="C223" s="6">
        <v>22541</v>
      </c>
      <c r="D223" s="6">
        <v>11357</v>
      </c>
      <c r="E223" s="6">
        <v>11977</v>
      </c>
      <c r="F223" s="6">
        <v>4932</v>
      </c>
    </row>
    <row r="224" spans="1:6" x14ac:dyDescent="0.25">
      <c r="A224" s="11" t="s">
        <v>123</v>
      </c>
      <c r="B224" s="7">
        <v>8974</v>
      </c>
      <c r="C224" s="7">
        <v>7709</v>
      </c>
      <c r="D224" s="7">
        <v>13463</v>
      </c>
      <c r="E224" s="7">
        <v>13262</v>
      </c>
      <c r="F224" s="7">
        <v>4172</v>
      </c>
    </row>
    <row r="225" spans="1:6" ht="23.25" x14ac:dyDescent="0.25">
      <c r="A225" s="12" t="s">
        <v>234</v>
      </c>
      <c r="B225" s="6">
        <v>7517</v>
      </c>
      <c r="C225" s="6">
        <v>6645</v>
      </c>
      <c r="D225" s="6">
        <v>508</v>
      </c>
      <c r="E225" s="6">
        <v>6956</v>
      </c>
      <c r="F225" s="6">
        <v>4130</v>
      </c>
    </row>
    <row r="226" spans="1:6" ht="23.25" x14ac:dyDescent="0.25">
      <c r="A226" s="11" t="s">
        <v>235</v>
      </c>
      <c r="B226" s="7">
        <v>4969</v>
      </c>
      <c r="C226" s="7">
        <v>9159</v>
      </c>
      <c r="D226" s="7">
        <v>3746</v>
      </c>
      <c r="E226" s="7">
        <v>6567</v>
      </c>
      <c r="F226" s="7">
        <v>4049</v>
      </c>
    </row>
    <row r="227" spans="1:6" x14ac:dyDescent="0.25">
      <c r="A227" s="12" t="s">
        <v>236</v>
      </c>
      <c r="B227" s="6">
        <v>1546</v>
      </c>
      <c r="C227" s="6">
        <v>3312</v>
      </c>
      <c r="D227" s="6">
        <v>3808</v>
      </c>
      <c r="E227" s="6">
        <v>2059</v>
      </c>
      <c r="F227" s="6">
        <v>3439</v>
      </c>
    </row>
    <row r="228" spans="1:6" x14ac:dyDescent="0.25">
      <c r="A228" s="11" t="s">
        <v>237</v>
      </c>
      <c r="B228" s="7">
        <v>2530</v>
      </c>
      <c r="C228" s="7">
        <v>2262</v>
      </c>
      <c r="D228" s="7">
        <v>1986</v>
      </c>
      <c r="E228" s="7">
        <v>2167</v>
      </c>
      <c r="F228" s="7">
        <v>3365</v>
      </c>
    </row>
    <row r="229" spans="1:6" ht="23.25" x14ac:dyDescent="0.25">
      <c r="A229" s="12" t="s">
        <v>238</v>
      </c>
      <c r="B229" s="6">
        <v>8054</v>
      </c>
      <c r="C229" s="6">
        <v>3443</v>
      </c>
      <c r="D229" s="6">
        <v>2977</v>
      </c>
      <c r="E229" s="6">
        <v>2643</v>
      </c>
      <c r="F229" s="6">
        <v>2676</v>
      </c>
    </row>
    <row r="230" spans="1:6" x14ac:dyDescent="0.25">
      <c r="A230" s="11" t="s">
        <v>151</v>
      </c>
      <c r="B230" s="7">
        <v>3434</v>
      </c>
      <c r="C230" s="7">
        <v>6676</v>
      </c>
      <c r="D230" s="7">
        <v>462357</v>
      </c>
      <c r="E230" s="7">
        <v>1636</v>
      </c>
      <c r="F230" s="7">
        <v>898</v>
      </c>
    </row>
    <row r="231" spans="1:6" ht="23.25" x14ac:dyDescent="0.25">
      <c r="A231" s="12" t="s">
        <v>239</v>
      </c>
      <c r="B231" s="6">
        <v>1691</v>
      </c>
      <c r="C231" s="6">
        <v>701</v>
      </c>
      <c r="D231" s="6">
        <v>614</v>
      </c>
      <c r="E231" s="6">
        <v>2110</v>
      </c>
      <c r="F231" s="6">
        <v>328</v>
      </c>
    </row>
    <row r="232" spans="1:6" x14ac:dyDescent="0.25">
      <c r="A232" s="11" t="s">
        <v>240</v>
      </c>
      <c r="B232" s="7">
        <v>29</v>
      </c>
      <c r="C232" s="7">
        <v>45</v>
      </c>
      <c r="D232" s="7">
        <v>485</v>
      </c>
      <c r="E232" s="7">
        <v>416</v>
      </c>
      <c r="F232" s="7">
        <v>304</v>
      </c>
    </row>
    <row r="233" spans="1:6" x14ac:dyDescent="0.25">
      <c r="A233" s="12" t="s">
        <v>241</v>
      </c>
      <c r="B233" s="6">
        <v>80</v>
      </c>
      <c r="C233" s="6">
        <v>29</v>
      </c>
      <c r="D233" s="6">
        <v>350</v>
      </c>
      <c r="E233" s="6">
        <v>42</v>
      </c>
      <c r="F233" s="6">
        <v>142</v>
      </c>
    </row>
    <row r="234" spans="1:6" ht="23.25" x14ac:dyDescent="0.25">
      <c r="A234" s="11" t="s">
        <v>242</v>
      </c>
      <c r="B234" s="5"/>
      <c r="C234" s="7">
        <v>23</v>
      </c>
      <c r="D234" s="7">
        <v>15</v>
      </c>
      <c r="E234" s="7">
        <v>29</v>
      </c>
      <c r="F234" s="7">
        <v>20</v>
      </c>
    </row>
    <row r="235" spans="1:6" ht="34.5" x14ac:dyDescent="0.25">
      <c r="A235" s="18" t="s">
        <v>243</v>
      </c>
      <c r="B235" s="6">
        <v>4</v>
      </c>
      <c r="C235" s="6">
        <v>146</v>
      </c>
      <c r="D235" s="6">
        <v>7</v>
      </c>
      <c r="E235" s="6">
        <v>68</v>
      </c>
      <c r="F235" s="6">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8D37E-1F9F-492E-8DBA-A90A6016C37F}">
  <dimension ref="A1:Z161"/>
  <sheetViews>
    <sheetView topLeftCell="D130" workbookViewId="0">
      <selection sqref="A1:Z161"/>
    </sheetView>
  </sheetViews>
  <sheetFormatPr baseColWidth="10" defaultRowHeight="15" x14ac:dyDescent="0.25"/>
  <cols>
    <col min="7" max="12" width="12" bestFit="1" customWidth="1"/>
  </cols>
  <sheetData>
    <row r="1" spans="1:26" ht="33.75" x14ac:dyDescent="0.25">
      <c r="A1" s="8" t="s">
        <v>4</v>
      </c>
      <c r="B1" s="9" t="s">
        <v>5</v>
      </c>
      <c r="C1" s="9" t="s">
        <v>6</v>
      </c>
      <c r="D1" s="9" t="s">
        <v>7</v>
      </c>
      <c r="E1" s="9" t="s">
        <v>8</v>
      </c>
      <c r="F1" s="10" t="s">
        <v>9</v>
      </c>
      <c r="G1" s="19" t="s">
        <v>244</v>
      </c>
      <c r="H1" s="19" t="s">
        <v>245</v>
      </c>
      <c r="I1" s="19" t="s">
        <v>246</v>
      </c>
      <c r="J1" s="19" t="s">
        <v>247</v>
      </c>
      <c r="K1" s="19" t="s">
        <v>248</v>
      </c>
      <c r="L1" s="20" t="s">
        <v>249</v>
      </c>
      <c r="M1" s="20" t="s">
        <v>250</v>
      </c>
      <c r="N1" s="20" t="s">
        <v>251</v>
      </c>
      <c r="O1" s="20" t="s">
        <v>252</v>
      </c>
      <c r="P1" s="20" t="s">
        <v>253</v>
      </c>
      <c r="Q1" s="21" t="s">
        <v>254</v>
      </c>
      <c r="R1" s="21" t="s">
        <v>255</v>
      </c>
      <c r="S1" s="21" t="s">
        <v>256</v>
      </c>
      <c r="T1" s="21" t="s">
        <v>257</v>
      </c>
      <c r="U1" s="21" t="s">
        <v>258</v>
      </c>
      <c r="V1" s="22" t="s">
        <v>259</v>
      </c>
      <c r="W1" s="22" t="s">
        <v>260</v>
      </c>
      <c r="X1" s="22" t="s">
        <v>261</v>
      </c>
      <c r="Y1" s="22" t="s">
        <v>262</v>
      </c>
      <c r="Z1" s="22" t="s">
        <v>263</v>
      </c>
    </row>
    <row r="2" spans="1:26" x14ac:dyDescent="0.25">
      <c r="A2" s="11" t="s">
        <v>10</v>
      </c>
      <c r="B2" s="3">
        <v>1399902</v>
      </c>
      <c r="C2" s="3">
        <v>1255649</v>
      </c>
      <c r="D2" s="3">
        <v>903337</v>
      </c>
      <c r="E2" s="3">
        <v>1394444</v>
      </c>
      <c r="F2" s="3">
        <v>1481862</v>
      </c>
      <c r="G2">
        <f t="shared" ref="G2:G33" si="0">VLOOKUP(A2,EXPOTOTAL,2,FALSE)</f>
        <v>17507541851</v>
      </c>
      <c r="H2">
        <f t="shared" ref="H2:H33" si="1">VLOOKUP(A2,EXPOTOTAL,3,FALSE)</f>
        <v>22166126034</v>
      </c>
      <c r="I2">
        <f t="shared" ref="I2:I33" si="2">VLOOKUP(A2,EXPOTOTAL,4,FALSE)</f>
        <v>24722312663</v>
      </c>
      <c r="J2">
        <f t="shared" ref="J2:J33" si="3">VLOOKUP(A2,EXPOTOTAL,5,FALSE)</f>
        <v>23669609969</v>
      </c>
      <c r="K2">
        <f t="shared" ref="K2:K33" si="4">VLOOKUP(A2,EXPOTOTAL,6,FALSE)</f>
        <v>23879911094</v>
      </c>
      <c r="L2">
        <f>B2/G2</f>
        <v>7.9959940231131882E-5</v>
      </c>
      <c r="M2">
        <f t="shared" ref="M2:P2" si="5">C2/H2</f>
        <v>5.664720114259006E-5</v>
      </c>
      <c r="N2">
        <f t="shared" si="5"/>
        <v>3.6539340486214124E-5</v>
      </c>
      <c r="O2">
        <f t="shared" si="5"/>
        <v>5.8912842325086811E-5</v>
      </c>
      <c r="P2">
        <f t="shared" si="5"/>
        <v>6.2054753644888086E-5</v>
      </c>
    </row>
    <row r="3" spans="1:26" x14ac:dyDescent="0.25">
      <c r="A3" s="12" t="s">
        <v>11</v>
      </c>
      <c r="B3" s="4">
        <v>718584</v>
      </c>
      <c r="C3" s="4">
        <v>572549</v>
      </c>
      <c r="D3" s="4">
        <v>349782</v>
      </c>
      <c r="E3" s="4">
        <v>581508</v>
      </c>
      <c r="F3" s="13">
        <v>733131</v>
      </c>
      <c r="G3">
        <f t="shared" si="0"/>
        <v>2588402392</v>
      </c>
      <c r="H3">
        <f t="shared" si="1"/>
        <v>3361814264</v>
      </c>
      <c r="I3">
        <f t="shared" si="2"/>
        <v>3593601450</v>
      </c>
      <c r="J3">
        <f t="shared" si="3"/>
        <v>3388716312</v>
      </c>
      <c r="K3">
        <f t="shared" si="4"/>
        <v>3575457663</v>
      </c>
      <c r="L3">
        <f t="shared" ref="L3:L66" si="6">B3/G3</f>
        <v>2.7761680418042202E-4</v>
      </c>
      <c r="M3">
        <f t="shared" ref="M3:M66" si="7">C3/H3</f>
        <v>1.7030952784368339E-4</v>
      </c>
      <c r="N3">
        <f t="shared" ref="N3:N66" si="8">D3/I3</f>
        <v>9.7334666870195079E-5</v>
      </c>
      <c r="O3">
        <f t="shared" ref="O3:O66" si="9">E3/J3</f>
        <v>1.7160126326915736E-4</v>
      </c>
      <c r="P3">
        <f t="shared" ref="P3:P66" si="10">F3/K3</f>
        <v>2.0504535897227318E-4</v>
      </c>
      <c r="Q3">
        <f>L3/$L$2</f>
        <v>3.4719486204960135</v>
      </c>
      <c r="R3">
        <f>M3/$M$2</f>
        <v>3.0064950149079226</v>
      </c>
      <c r="S3">
        <f>N3/$N$2</f>
        <v>2.6638320663428048</v>
      </c>
      <c r="T3">
        <f>O3/$O$2</f>
        <v>2.9127989161046557</v>
      </c>
      <c r="U3">
        <f>P3/$P$2</f>
        <v>3.304265135684159</v>
      </c>
      <c r="V3">
        <f>(Q3-1)/(Q3+1)</f>
        <v>0.55276767026492213</v>
      </c>
      <c r="W3">
        <f t="shared" ref="W3:Z3" si="11">(R3-1)/(R3+1)</f>
        <v>0.5008105607125124</v>
      </c>
      <c r="X3">
        <f t="shared" si="11"/>
        <v>0.45412345222569739</v>
      </c>
      <c r="Y3">
        <f t="shared" si="11"/>
        <v>0.48885694284768455</v>
      </c>
      <c r="Z3">
        <f t="shared" si="11"/>
        <v>0.53534460890451119</v>
      </c>
    </row>
    <row r="4" spans="1:26" x14ac:dyDescent="0.25">
      <c r="A4" s="11" t="s">
        <v>12</v>
      </c>
      <c r="B4" s="5">
        <v>154418</v>
      </c>
      <c r="C4" s="5">
        <v>157347</v>
      </c>
      <c r="D4" s="5">
        <v>102410</v>
      </c>
      <c r="E4" s="5">
        <v>155475</v>
      </c>
      <c r="F4" s="14">
        <v>154825</v>
      </c>
      <c r="G4">
        <f t="shared" si="0"/>
        <v>551352792</v>
      </c>
      <c r="H4">
        <f t="shared" si="1"/>
        <v>696873257</v>
      </c>
      <c r="I4">
        <f t="shared" si="2"/>
        <v>768259270</v>
      </c>
      <c r="J4">
        <f t="shared" si="3"/>
        <v>741804035</v>
      </c>
      <c r="K4">
        <f t="shared" si="4"/>
        <v>725520286</v>
      </c>
      <c r="L4">
        <f t="shared" si="6"/>
        <v>2.8007113093570765E-4</v>
      </c>
      <c r="M4">
        <f t="shared" si="7"/>
        <v>2.2578998177856608E-4</v>
      </c>
      <c r="N4">
        <f t="shared" si="8"/>
        <v>1.3330135281023033E-4</v>
      </c>
      <c r="O4">
        <f t="shared" si="9"/>
        <v>2.0959039404524135E-4</v>
      </c>
      <c r="P4">
        <f t="shared" si="10"/>
        <v>2.1339858166281514E-4</v>
      </c>
      <c r="Q4">
        <f t="shared" ref="Q4:Q67" si="12">L4/$L$2</f>
        <v>3.502643075096544</v>
      </c>
      <c r="R4">
        <f t="shared" ref="R4:R67" si="13">M4/$M$2</f>
        <v>3.9858982831334702</v>
      </c>
      <c r="S4">
        <f t="shared" ref="S4:S67" si="14">N4/$N$2</f>
        <v>3.6481597926082823</v>
      </c>
      <c r="T4">
        <f t="shared" ref="T4:T67" si="15">O4/$O$2</f>
        <v>3.5576350719712537</v>
      </c>
      <c r="U4">
        <f t="shared" ref="U4:U67" si="16">P4/$P$2</f>
        <v>3.438875656230961</v>
      </c>
      <c r="V4">
        <f t="shared" ref="V4:V67" si="17">(Q4-1)/(Q4+1)</f>
        <v>0.5558164467750718</v>
      </c>
      <c r="W4">
        <f t="shared" ref="W4:W67" si="18">(R4-1)/(R4+1)</f>
        <v>0.59886867191701576</v>
      </c>
      <c r="X4">
        <f t="shared" ref="X4:X67" si="19">(S4-1)/(S4+1)</f>
        <v>0.56972219346234776</v>
      </c>
      <c r="Y4">
        <f t="shared" ref="Y4:Y67" si="20">(T4-1)/(T4+1)</f>
        <v>0.56117592382512405</v>
      </c>
      <c r="Z4">
        <f t="shared" ref="Z4:Z67" si="21">(U4-1)/(U4+1)</f>
        <v>0.54943545282856721</v>
      </c>
    </row>
    <row r="5" spans="1:26" x14ac:dyDescent="0.25">
      <c r="A5" s="12" t="s">
        <v>13</v>
      </c>
      <c r="B5" s="4">
        <v>105643</v>
      </c>
      <c r="C5" s="4">
        <v>85760</v>
      </c>
      <c r="D5" s="4">
        <v>65889</v>
      </c>
      <c r="E5" s="4">
        <v>120189</v>
      </c>
      <c r="F5" s="13">
        <v>106869</v>
      </c>
      <c r="G5">
        <f t="shared" si="0"/>
        <v>38757234</v>
      </c>
      <c r="H5">
        <f t="shared" si="1"/>
        <v>56260115</v>
      </c>
      <c r="I5">
        <f t="shared" si="2"/>
        <v>63648101</v>
      </c>
      <c r="J5">
        <f t="shared" si="3"/>
        <v>64605821</v>
      </c>
      <c r="K5">
        <f t="shared" si="4"/>
        <v>74664216</v>
      </c>
      <c r="L5">
        <f t="shared" si="6"/>
        <v>2.7257621119195453E-3</v>
      </c>
      <c r="M5">
        <f t="shared" si="7"/>
        <v>1.5243481105575414E-3</v>
      </c>
      <c r="N5">
        <f t="shared" si="8"/>
        <v>1.0352076332960823E-3</v>
      </c>
      <c r="O5">
        <f t="shared" si="9"/>
        <v>1.8603432034398262E-3</v>
      </c>
      <c r="P5">
        <f t="shared" si="10"/>
        <v>1.4313282282372053E-3</v>
      </c>
      <c r="Q5">
        <f t="shared" si="12"/>
        <v>34.089096415535934</v>
      </c>
      <c r="R5">
        <f t="shared" si="13"/>
        <v>26.909504438189515</v>
      </c>
      <c r="S5">
        <f t="shared" si="14"/>
        <v>28.331316863440769</v>
      </c>
      <c r="T5">
        <f t="shared" si="15"/>
        <v>31.577889132801825</v>
      </c>
      <c r="U5">
        <f t="shared" si="16"/>
        <v>23.065569423223625</v>
      </c>
      <c r="V5">
        <f t="shared" si="17"/>
        <v>0.94300223703923913</v>
      </c>
      <c r="W5">
        <f t="shared" si="18"/>
        <v>0.92833982400406467</v>
      </c>
      <c r="X5">
        <f t="shared" si="19"/>
        <v>0.93181349445333472</v>
      </c>
      <c r="Y5">
        <f t="shared" si="20"/>
        <v>0.93860866823362554</v>
      </c>
      <c r="Z5">
        <f t="shared" si="21"/>
        <v>0.91689371795749108</v>
      </c>
    </row>
    <row r="6" spans="1:26" x14ac:dyDescent="0.25">
      <c r="A6" s="11" t="s">
        <v>15</v>
      </c>
      <c r="B6" s="5">
        <v>95262</v>
      </c>
      <c r="C6" s="5">
        <v>129675</v>
      </c>
      <c r="D6" s="5">
        <v>67481</v>
      </c>
      <c r="E6" s="5">
        <v>65067</v>
      </c>
      <c r="F6" s="14">
        <v>100415</v>
      </c>
      <c r="G6">
        <f t="shared" si="0"/>
        <v>275488745</v>
      </c>
      <c r="H6">
        <f t="shared" si="1"/>
        <v>394813673</v>
      </c>
      <c r="I6">
        <f t="shared" si="2"/>
        <v>452684214</v>
      </c>
      <c r="J6">
        <f t="shared" si="3"/>
        <v>431245536</v>
      </c>
      <c r="K6">
        <f t="shared" si="4"/>
        <v>441700612</v>
      </c>
      <c r="L6">
        <f t="shared" si="6"/>
        <v>3.4579271105975674E-4</v>
      </c>
      <c r="M6">
        <f t="shared" si="7"/>
        <v>3.2844607182588631E-4</v>
      </c>
      <c r="N6">
        <f t="shared" si="8"/>
        <v>1.4906859553092346E-4</v>
      </c>
      <c r="O6">
        <f t="shared" si="9"/>
        <v>1.5088156182096687E-4</v>
      </c>
      <c r="P6">
        <f t="shared" si="10"/>
        <v>2.2733724444103781E-4</v>
      </c>
      <c r="Q6">
        <f t="shared" si="12"/>
        <v>4.3245744063866196</v>
      </c>
      <c r="R6">
        <f t="shared" si="13"/>
        <v>5.7980988504469098</v>
      </c>
      <c r="S6">
        <f t="shared" si="14"/>
        <v>4.0796739499763373</v>
      </c>
      <c r="T6">
        <f t="shared" si="15"/>
        <v>2.5610979858752647</v>
      </c>
      <c r="U6">
        <f t="shared" si="16"/>
        <v>3.6634944317398848</v>
      </c>
      <c r="V6">
        <f t="shared" si="17"/>
        <v>0.62438312485574854</v>
      </c>
      <c r="W6">
        <f t="shared" si="18"/>
        <v>0.70580010029296369</v>
      </c>
      <c r="X6">
        <f t="shared" si="19"/>
        <v>0.60627394204911189</v>
      </c>
      <c r="Y6">
        <f t="shared" si="20"/>
        <v>0.43837546511418729</v>
      </c>
      <c r="Z6">
        <f t="shared" si="21"/>
        <v>0.5711370455622421</v>
      </c>
    </row>
    <row r="7" spans="1:26" x14ac:dyDescent="0.25">
      <c r="A7" s="12" t="s">
        <v>14</v>
      </c>
      <c r="B7" s="4">
        <v>60035</v>
      </c>
      <c r="C7" s="4">
        <v>51783</v>
      </c>
      <c r="D7" s="4">
        <v>56625</v>
      </c>
      <c r="E7" s="4">
        <v>76309</v>
      </c>
      <c r="F7" s="13">
        <v>79392</v>
      </c>
      <c r="G7">
        <f t="shared" si="0"/>
        <v>229277734</v>
      </c>
      <c r="H7">
        <f t="shared" si="1"/>
        <v>267492416</v>
      </c>
      <c r="I7">
        <f t="shared" si="2"/>
        <v>284106705</v>
      </c>
      <c r="J7">
        <f t="shared" si="3"/>
        <v>280087768</v>
      </c>
      <c r="K7">
        <f t="shared" si="4"/>
        <v>299249160</v>
      </c>
      <c r="L7">
        <f t="shared" si="6"/>
        <v>2.6184400444222812E-4</v>
      </c>
      <c r="M7">
        <f t="shared" si="7"/>
        <v>1.9358679686828952E-4</v>
      </c>
      <c r="N7">
        <f t="shared" si="8"/>
        <v>1.9930891810525909E-4</v>
      </c>
      <c r="O7">
        <f t="shared" si="9"/>
        <v>2.7244674247966442E-4</v>
      </c>
      <c r="P7">
        <f t="shared" si="10"/>
        <v>2.6530400285835391E-4</v>
      </c>
      <c r="Q7">
        <f t="shared" si="12"/>
        <v>3.2746898470076751</v>
      </c>
      <c r="R7">
        <f t="shared" si="13"/>
        <v>3.4174115042506799</v>
      </c>
      <c r="S7">
        <f t="shared" si="14"/>
        <v>5.4546391766555304</v>
      </c>
      <c r="T7">
        <f t="shared" si="15"/>
        <v>4.6245730426020986</v>
      </c>
      <c r="U7">
        <f t="shared" si="16"/>
        <v>4.2753211845231291</v>
      </c>
      <c r="V7">
        <f t="shared" si="17"/>
        <v>0.53212979851625497</v>
      </c>
      <c r="W7">
        <f t="shared" si="18"/>
        <v>0.54724616484665545</v>
      </c>
      <c r="X7">
        <f t="shared" si="19"/>
        <v>0.69014534426131946</v>
      </c>
      <c r="Y7">
        <f t="shared" si="20"/>
        <v>0.64441745447139942</v>
      </c>
      <c r="Z7">
        <f t="shared" si="21"/>
        <v>0.62087616468402895</v>
      </c>
    </row>
    <row r="8" spans="1:26" x14ac:dyDescent="0.25">
      <c r="A8" s="11" t="s">
        <v>16</v>
      </c>
      <c r="B8" s="5">
        <v>50250</v>
      </c>
      <c r="C8" s="5">
        <v>49704</v>
      </c>
      <c r="D8" s="5">
        <v>33002</v>
      </c>
      <c r="E8" s="5">
        <v>66087</v>
      </c>
      <c r="F8" s="14">
        <v>71137</v>
      </c>
      <c r="G8">
        <f t="shared" si="0"/>
        <v>209180242</v>
      </c>
      <c r="H8">
        <f t="shared" si="1"/>
        <v>280814577</v>
      </c>
      <c r="I8">
        <f t="shared" si="2"/>
        <v>334463079</v>
      </c>
      <c r="J8">
        <f t="shared" si="3"/>
        <v>339695766</v>
      </c>
      <c r="K8">
        <f t="shared" si="4"/>
        <v>337046162</v>
      </c>
      <c r="L8">
        <f t="shared" si="6"/>
        <v>2.4022345284407885E-4</v>
      </c>
      <c r="M8">
        <f t="shared" si="7"/>
        <v>1.7699935854825657E-4</v>
      </c>
      <c r="N8">
        <f t="shared" si="8"/>
        <v>9.8671578634842384E-5</v>
      </c>
      <c r="O8">
        <f t="shared" si="9"/>
        <v>1.9454761175916453E-4</v>
      </c>
      <c r="P8">
        <f t="shared" si="10"/>
        <v>2.1106010992049214E-4</v>
      </c>
      <c r="Q8">
        <f t="shared" si="12"/>
        <v>3.0042975538712247</v>
      </c>
      <c r="R8">
        <f t="shared" si="13"/>
        <v>3.1245914180776717</v>
      </c>
      <c r="S8">
        <f t="shared" si="14"/>
        <v>2.7004203502816382</v>
      </c>
      <c r="T8">
        <f t="shared" si="15"/>
        <v>3.3022954602263432</v>
      </c>
      <c r="U8">
        <f t="shared" si="16"/>
        <v>3.401191649688851</v>
      </c>
      <c r="V8">
        <f t="shared" si="17"/>
        <v>0.5005366176980367</v>
      </c>
      <c r="W8">
        <f t="shared" si="18"/>
        <v>0.51510348607277801</v>
      </c>
      <c r="X8">
        <f t="shared" si="19"/>
        <v>0.4595208623129044</v>
      </c>
      <c r="Y8">
        <f t="shared" si="20"/>
        <v>0.53513188052993921</v>
      </c>
      <c r="Z8">
        <f t="shared" si="21"/>
        <v>0.54557761642999725</v>
      </c>
    </row>
    <row r="9" spans="1:26" x14ac:dyDescent="0.25">
      <c r="A9" s="12" t="s">
        <v>33</v>
      </c>
      <c r="B9" s="4">
        <v>1609</v>
      </c>
      <c r="C9" s="4">
        <v>514</v>
      </c>
      <c r="D9" s="4">
        <v>621</v>
      </c>
      <c r="E9" s="4">
        <v>11153</v>
      </c>
      <c r="F9" s="13">
        <v>30629</v>
      </c>
      <c r="G9">
        <f t="shared" si="0"/>
        <v>173110415</v>
      </c>
      <c r="H9">
        <f t="shared" si="1"/>
        <v>276204569</v>
      </c>
      <c r="I9">
        <f t="shared" si="2"/>
        <v>411184942</v>
      </c>
      <c r="J9">
        <f t="shared" si="3"/>
        <v>320978141</v>
      </c>
      <c r="K9">
        <f t="shared" si="4"/>
        <v>305358131</v>
      </c>
      <c r="L9">
        <f t="shared" si="6"/>
        <v>9.2946458478538108E-6</v>
      </c>
      <c r="M9">
        <f t="shared" si="7"/>
        <v>1.860939527035847E-6</v>
      </c>
      <c r="N9">
        <f t="shared" si="8"/>
        <v>1.5102693133154668E-6</v>
      </c>
      <c r="O9">
        <f t="shared" si="9"/>
        <v>3.4746914432406785E-5</v>
      </c>
      <c r="P9">
        <f t="shared" si="10"/>
        <v>1.0030517248613891E-4</v>
      </c>
      <c r="Q9">
        <f t="shared" si="12"/>
        <v>0.11624128058358654</v>
      </c>
      <c r="R9">
        <f t="shared" si="13"/>
        <v>3.285139405831481E-2</v>
      </c>
      <c r="S9">
        <f t="shared" si="14"/>
        <v>4.1332692194739368E-2</v>
      </c>
      <c r="T9">
        <f t="shared" si="15"/>
        <v>0.58980203740077453</v>
      </c>
      <c r="U9">
        <f t="shared" si="16"/>
        <v>1.6163978840386839</v>
      </c>
      <c r="V9">
        <f t="shared" si="17"/>
        <v>-0.79172732167222126</v>
      </c>
      <c r="W9">
        <f t="shared" si="18"/>
        <v>-0.93638698800756992</v>
      </c>
      <c r="X9">
        <f t="shared" si="19"/>
        <v>-0.92061577917500015</v>
      </c>
      <c r="Y9">
        <f t="shared" si="20"/>
        <v>-0.25801826450661308</v>
      </c>
      <c r="Z9">
        <f t="shared" si="21"/>
        <v>0.23559027004226482</v>
      </c>
    </row>
    <row r="10" spans="1:26" x14ac:dyDescent="0.25">
      <c r="A10" s="11" t="s">
        <v>18</v>
      </c>
      <c r="B10" s="5">
        <v>20691</v>
      </c>
      <c r="C10" s="5">
        <v>30663</v>
      </c>
      <c r="D10" s="5">
        <v>28211</v>
      </c>
      <c r="E10" s="5">
        <v>34529</v>
      </c>
      <c r="F10" s="14">
        <v>30169</v>
      </c>
      <c r="G10">
        <f t="shared" si="0"/>
        <v>1379900278</v>
      </c>
      <c r="H10">
        <f t="shared" si="1"/>
        <v>1631098969</v>
      </c>
      <c r="I10">
        <f t="shared" si="2"/>
        <v>1645377162</v>
      </c>
      <c r="J10">
        <f t="shared" si="3"/>
        <v>1681974764</v>
      </c>
      <c r="K10">
        <f t="shared" si="4"/>
        <v>1684013664</v>
      </c>
      <c r="L10">
        <f t="shared" si="6"/>
        <v>1.4994561802675425E-5</v>
      </c>
      <c r="M10">
        <f t="shared" si="7"/>
        <v>1.8798981902857178E-5</v>
      </c>
      <c r="N10">
        <f t="shared" si="8"/>
        <v>1.7145612964330182E-5</v>
      </c>
      <c r="O10">
        <f t="shared" si="9"/>
        <v>2.0528845461322274E-5</v>
      </c>
      <c r="P10">
        <f t="shared" si="10"/>
        <v>1.7914937773331511E-5</v>
      </c>
      <c r="Q10">
        <f t="shared" si="12"/>
        <v>0.18752592559889619</v>
      </c>
      <c r="R10">
        <f t="shared" si="13"/>
        <v>0.3318607366944244</v>
      </c>
      <c r="S10">
        <f t="shared" si="14"/>
        <v>0.46923706712218921</v>
      </c>
      <c r="T10">
        <f t="shared" si="15"/>
        <v>0.3484612972506419</v>
      </c>
      <c r="U10">
        <f t="shared" si="16"/>
        <v>0.28869565538606079</v>
      </c>
      <c r="V10">
        <f t="shared" si="17"/>
        <v>-0.6841737572940606</v>
      </c>
      <c r="W10">
        <f t="shared" si="18"/>
        <v>-0.50165850294817282</v>
      </c>
      <c r="X10">
        <f t="shared" si="19"/>
        <v>-0.36125070947020271</v>
      </c>
      <c r="Y10">
        <f t="shared" si="20"/>
        <v>-0.48317197095517012</v>
      </c>
      <c r="Z10">
        <f t="shared" si="21"/>
        <v>-0.55195681124636864</v>
      </c>
    </row>
    <row r="11" spans="1:26" x14ac:dyDescent="0.25">
      <c r="A11" s="12" t="s">
        <v>17</v>
      </c>
      <c r="B11" s="4">
        <v>8299</v>
      </c>
      <c r="C11" s="4">
        <v>4201</v>
      </c>
      <c r="D11" s="4">
        <v>4761</v>
      </c>
      <c r="E11" s="4">
        <v>11686</v>
      </c>
      <c r="F11" s="13">
        <v>24444</v>
      </c>
      <c r="G11">
        <f t="shared" si="0"/>
        <v>16949755</v>
      </c>
      <c r="H11">
        <f t="shared" si="1"/>
        <v>15153408</v>
      </c>
      <c r="I11">
        <f t="shared" si="2"/>
        <v>17084513</v>
      </c>
      <c r="J11">
        <f t="shared" si="3"/>
        <v>14752993</v>
      </c>
      <c r="K11">
        <f t="shared" si="4"/>
        <v>14923806</v>
      </c>
      <c r="L11">
        <f t="shared" si="6"/>
        <v>4.8962359632926853E-4</v>
      </c>
      <c r="M11">
        <f t="shared" si="7"/>
        <v>2.7723136603990337E-4</v>
      </c>
      <c r="N11">
        <f t="shared" si="8"/>
        <v>2.7867343950629438E-4</v>
      </c>
      <c r="O11">
        <f t="shared" si="9"/>
        <v>7.921104551462879E-4</v>
      </c>
      <c r="P11">
        <f t="shared" si="10"/>
        <v>1.6379199783218838E-3</v>
      </c>
      <c r="Q11">
        <f t="shared" si="12"/>
        <v>6.1233612095502385</v>
      </c>
      <c r="R11">
        <f t="shared" si="13"/>
        <v>4.8939993582748729</v>
      </c>
      <c r="S11">
        <f t="shared" si="14"/>
        <v>7.626668565937436</v>
      </c>
      <c r="T11">
        <f t="shared" si="15"/>
        <v>13.445463228125119</v>
      </c>
      <c r="U11">
        <f t="shared" si="16"/>
        <v>26.394754343800567</v>
      </c>
      <c r="V11">
        <f t="shared" si="17"/>
        <v>0.71923366776366549</v>
      </c>
      <c r="W11">
        <f t="shared" si="18"/>
        <v>0.66067183275272967</v>
      </c>
      <c r="X11">
        <f t="shared" si="19"/>
        <v>0.76816079292798634</v>
      </c>
      <c r="Y11">
        <f t="shared" si="20"/>
        <v>0.86154822670511333</v>
      </c>
      <c r="Z11">
        <f t="shared" si="21"/>
        <v>0.92699332233827458</v>
      </c>
    </row>
    <row r="12" spans="1:26" x14ac:dyDescent="0.25">
      <c r="A12" s="11" t="s">
        <v>23</v>
      </c>
      <c r="B12" s="5">
        <v>10419</v>
      </c>
      <c r="C12" s="5">
        <v>15317</v>
      </c>
      <c r="D12" s="5">
        <v>40901</v>
      </c>
      <c r="E12" s="5">
        <v>44308</v>
      </c>
      <c r="F12" s="7">
        <v>18578</v>
      </c>
      <c r="G12">
        <f t="shared" si="0"/>
        <v>33361475</v>
      </c>
      <c r="H12">
        <f t="shared" si="1"/>
        <v>47570421</v>
      </c>
      <c r="I12">
        <f t="shared" si="2"/>
        <v>63338596</v>
      </c>
      <c r="J12">
        <f t="shared" si="3"/>
        <v>60650575</v>
      </c>
      <c r="K12">
        <f t="shared" si="4"/>
        <v>56766427</v>
      </c>
      <c r="L12">
        <f t="shared" si="6"/>
        <v>3.1230633537635851E-4</v>
      </c>
      <c r="M12">
        <f t="shared" si="7"/>
        <v>3.2198579869621084E-4</v>
      </c>
      <c r="N12">
        <f t="shared" si="8"/>
        <v>6.4575160459824524E-4</v>
      </c>
      <c r="O12">
        <f t="shared" si="9"/>
        <v>7.3054542351824367E-4</v>
      </c>
      <c r="P12">
        <f t="shared" si="10"/>
        <v>3.2727090609384313E-4</v>
      </c>
      <c r="Q12">
        <f t="shared" si="12"/>
        <v>3.9057850027602203</v>
      </c>
      <c r="R12">
        <f t="shared" si="13"/>
        <v>5.6840548553444172</v>
      </c>
      <c r="S12">
        <f t="shared" si="14"/>
        <v>17.672776684129808</v>
      </c>
      <c r="T12">
        <f t="shared" si="15"/>
        <v>12.400444362996828</v>
      </c>
      <c r="U12">
        <f t="shared" si="16"/>
        <v>5.2739054926665219</v>
      </c>
      <c r="V12">
        <f t="shared" si="17"/>
        <v>0.59231804922663589</v>
      </c>
      <c r="W12">
        <f t="shared" si="18"/>
        <v>0.7007804329432088</v>
      </c>
      <c r="X12">
        <f t="shared" si="19"/>
        <v>0.89289220163491689</v>
      </c>
      <c r="Y12">
        <f t="shared" si="20"/>
        <v>0.85075121795791497</v>
      </c>
      <c r="Z12">
        <f t="shared" si="21"/>
        <v>0.68121929755910871</v>
      </c>
    </row>
    <row r="13" spans="1:26" x14ac:dyDescent="0.25">
      <c r="A13" s="12" t="s">
        <v>21</v>
      </c>
      <c r="B13" s="4">
        <v>12532</v>
      </c>
      <c r="C13" s="4">
        <v>9967</v>
      </c>
      <c r="D13" s="4">
        <v>10933</v>
      </c>
      <c r="E13" s="4">
        <v>26962</v>
      </c>
      <c r="F13" s="6">
        <v>16409</v>
      </c>
      <c r="G13">
        <f t="shared" si="0"/>
        <v>281441457</v>
      </c>
      <c r="H13">
        <f t="shared" si="1"/>
        <v>335792598</v>
      </c>
      <c r="I13">
        <f t="shared" si="2"/>
        <v>370909157</v>
      </c>
      <c r="J13">
        <f t="shared" si="3"/>
        <v>353077513</v>
      </c>
      <c r="K13">
        <f t="shared" si="4"/>
        <v>499816774</v>
      </c>
      <c r="L13">
        <f t="shared" si="6"/>
        <v>4.4527910470560133E-5</v>
      </c>
      <c r="M13">
        <f t="shared" si="7"/>
        <v>2.968201222827431E-5</v>
      </c>
      <c r="N13">
        <f t="shared" si="8"/>
        <v>2.9476220237938208E-5</v>
      </c>
      <c r="O13">
        <f t="shared" si="9"/>
        <v>7.6362835375471785E-5</v>
      </c>
      <c r="P13">
        <f t="shared" si="10"/>
        <v>3.2830030630384563E-5</v>
      </c>
      <c r="Q13">
        <f t="shared" si="12"/>
        <v>0.55687773579930067</v>
      </c>
      <c r="R13">
        <f t="shared" si="13"/>
        <v>0.5239802078404534</v>
      </c>
      <c r="S13">
        <f t="shared" si="14"/>
        <v>0.80669820105426504</v>
      </c>
      <c r="T13">
        <f t="shared" si="15"/>
        <v>1.2962001553768907</v>
      </c>
      <c r="U13">
        <f t="shared" si="16"/>
        <v>0.52904940720990223</v>
      </c>
      <c r="V13">
        <f t="shared" si="17"/>
        <v>-0.28462239134866968</v>
      </c>
      <c r="W13">
        <f t="shared" si="18"/>
        <v>-0.31235300150917805</v>
      </c>
      <c r="X13">
        <f t="shared" si="19"/>
        <v>-0.10699174816963745</v>
      </c>
      <c r="Y13">
        <f t="shared" si="20"/>
        <v>0.12899579101730066</v>
      </c>
      <c r="Z13">
        <f t="shared" si="21"/>
        <v>-0.30800220749534446</v>
      </c>
    </row>
    <row r="14" spans="1:26" x14ac:dyDescent="0.25">
      <c r="A14" s="11" t="s">
        <v>19</v>
      </c>
      <c r="B14" s="5">
        <v>14894</v>
      </c>
      <c r="C14" s="5">
        <v>14460</v>
      </c>
      <c r="D14" s="5">
        <v>11996</v>
      </c>
      <c r="E14" s="5">
        <v>17477</v>
      </c>
      <c r="F14" s="14">
        <v>16113</v>
      </c>
      <c r="G14">
        <f t="shared" si="0"/>
        <v>312080513</v>
      </c>
      <c r="H14">
        <f t="shared" si="1"/>
        <v>391558519</v>
      </c>
      <c r="I14">
        <f t="shared" si="2"/>
        <v>424286055</v>
      </c>
      <c r="J14">
        <f t="shared" si="3"/>
        <v>420169591</v>
      </c>
      <c r="K14">
        <f t="shared" si="4"/>
        <v>403702939</v>
      </c>
      <c r="L14">
        <f t="shared" si="6"/>
        <v>4.772486387190731E-5</v>
      </c>
      <c r="M14">
        <f t="shared" si="7"/>
        <v>3.6929345930026871E-5</v>
      </c>
      <c r="N14">
        <f t="shared" si="8"/>
        <v>2.8273377969021395E-5</v>
      </c>
      <c r="O14">
        <f t="shared" si="9"/>
        <v>4.159510915200905E-5</v>
      </c>
      <c r="P14">
        <f t="shared" si="10"/>
        <v>3.9913011383848259E-5</v>
      </c>
      <c r="Q14">
        <f t="shared" si="12"/>
        <v>0.59685967415625885</v>
      </c>
      <c r="R14">
        <f t="shared" si="13"/>
        <v>0.65191827990000428</v>
      </c>
      <c r="S14">
        <f t="shared" si="14"/>
        <v>0.77377909926120914</v>
      </c>
      <c r="T14">
        <f t="shared" si="15"/>
        <v>0.70604485389591598</v>
      </c>
      <c r="U14">
        <f t="shared" si="16"/>
        <v>0.64319023184352275</v>
      </c>
      <c r="V14">
        <f t="shared" si="17"/>
        <v>-0.25245820429196481</v>
      </c>
      <c r="W14">
        <f t="shared" si="18"/>
        <v>-0.21071364384990413</v>
      </c>
      <c r="X14">
        <f t="shared" si="19"/>
        <v>-0.12753611812937324</v>
      </c>
      <c r="Y14">
        <f t="shared" si="20"/>
        <v>-0.17230212056430369</v>
      </c>
      <c r="Z14">
        <f t="shared" si="21"/>
        <v>-0.21714452851643742</v>
      </c>
    </row>
    <row r="15" spans="1:26" ht="23.25" x14ac:dyDescent="0.25">
      <c r="A15" s="12" t="s">
        <v>20</v>
      </c>
      <c r="B15" s="4">
        <v>8326</v>
      </c>
      <c r="C15" s="4">
        <v>10415</v>
      </c>
      <c r="D15" s="4">
        <v>8993</v>
      </c>
      <c r="E15" s="4">
        <v>15084</v>
      </c>
      <c r="F15" s="13">
        <v>14995</v>
      </c>
      <c r="G15">
        <f t="shared" si="0"/>
        <v>1424934919</v>
      </c>
      <c r="H15">
        <f t="shared" si="1"/>
        <v>1754300368</v>
      </c>
      <c r="I15">
        <f t="shared" si="2"/>
        <v>2062937261</v>
      </c>
      <c r="J15">
        <f t="shared" si="3"/>
        <v>2019159665</v>
      </c>
      <c r="K15">
        <f t="shared" si="4"/>
        <v>2064516772</v>
      </c>
      <c r="L15">
        <f t="shared" si="6"/>
        <v>5.8430738758532733E-6</v>
      </c>
      <c r="M15">
        <f t="shared" si="7"/>
        <v>5.9368396598318444E-6</v>
      </c>
      <c r="N15">
        <f t="shared" si="8"/>
        <v>4.3593182255289148E-6</v>
      </c>
      <c r="O15">
        <f t="shared" si="9"/>
        <v>7.4704344888941706E-6</v>
      </c>
      <c r="P15">
        <f t="shared" si="10"/>
        <v>7.2632008629668815E-6</v>
      </c>
      <c r="Q15">
        <f t="shared" si="12"/>
        <v>7.3075015551078551E-2</v>
      </c>
      <c r="R15">
        <f t="shared" si="13"/>
        <v>0.10480375976366194</v>
      </c>
      <c r="S15">
        <f t="shared" si="14"/>
        <v>0.1193047867728657</v>
      </c>
      <c r="T15">
        <f t="shared" si="15"/>
        <v>0.12680485602225036</v>
      </c>
      <c r="U15">
        <f t="shared" si="16"/>
        <v>0.11704503581677188</v>
      </c>
      <c r="V15">
        <f t="shared" si="17"/>
        <v>-0.86380259629183365</v>
      </c>
      <c r="W15">
        <f t="shared" si="18"/>
        <v>-0.81027624347317317</v>
      </c>
      <c r="X15">
        <f t="shared" si="19"/>
        <v>-0.78682341363545771</v>
      </c>
      <c r="Y15">
        <f t="shared" si="20"/>
        <v>-0.77493022799016698</v>
      </c>
      <c r="Z15">
        <f t="shared" si="21"/>
        <v>-0.79043810757157218</v>
      </c>
    </row>
    <row r="16" spans="1:26" x14ac:dyDescent="0.25">
      <c r="A16" s="11" t="s">
        <v>22</v>
      </c>
      <c r="B16" s="5">
        <v>4440</v>
      </c>
      <c r="C16" s="5">
        <v>3562</v>
      </c>
      <c r="D16" s="5">
        <v>5448</v>
      </c>
      <c r="E16" s="5">
        <v>28405</v>
      </c>
      <c r="F16" s="14">
        <v>8509</v>
      </c>
      <c r="G16">
        <f t="shared" si="0"/>
        <v>163306490</v>
      </c>
      <c r="H16">
        <f t="shared" si="1"/>
        <v>231587887</v>
      </c>
      <c r="I16">
        <f t="shared" si="2"/>
        <v>291979103</v>
      </c>
      <c r="J16">
        <f t="shared" si="3"/>
        <v>258797196</v>
      </c>
      <c r="K16">
        <f t="shared" si="4"/>
        <v>264703354</v>
      </c>
      <c r="L16">
        <f t="shared" si="6"/>
        <v>2.7188141757256556E-5</v>
      </c>
      <c r="M16">
        <f t="shared" si="7"/>
        <v>1.5380769893202574E-5</v>
      </c>
      <c r="N16">
        <f t="shared" si="8"/>
        <v>1.8658869569854114E-5</v>
      </c>
      <c r="O16">
        <f t="shared" si="9"/>
        <v>1.0975775796272538E-4</v>
      </c>
      <c r="P16">
        <f t="shared" si="10"/>
        <v>3.2145418149858426E-5</v>
      </c>
      <c r="Q16">
        <f t="shared" si="12"/>
        <v>0.34002203701836975</v>
      </c>
      <c r="R16">
        <f t="shared" si="13"/>
        <v>0.27151862021367512</v>
      </c>
      <c r="S16">
        <f t="shared" si="14"/>
        <v>0.51065151482123472</v>
      </c>
      <c r="T16">
        <f t="shared" si="15"/>
        <v>1.8630531753513329</v>
      </c>
      <c r="U16">
        <f t="shared" si="16"/>
        <v>0.5180170133913099</v>
      </c>
      <c r="V16">
        <f t="shared" si="17"/>
        <v>-0.49251276826023044</v>
      </c>
      <c r="W16">
        <f t="shared" si="18"/>
        <v>-0.57292230582034709</v>
      </c>
      <c r="X16">
        <f t="shared" si="19"/>
        <v>-0.32393207856192635</v>
      </c>
      <c r="Y16">
        <f t="shared" si="20"/>
        <v>0.30144503873750977</v>
      </c>
      <c r="Z16">
        <f t="shared" si="21"/>
        <v>-0.3175082903266816</v>
      </c>
    </row>
    <row r="17" spans="1:26" x14ac:dyDescent="0.25">
      <c r="A17" s="12" t="s">
        <v>24</v>
      </c>
      <c r="B17" s="4">
        <v>8775</v>
      </c>
      <c r="C17" s="4">
        <v>3816</v>
      </c>
      <c r="D17" s="4">
        <v>2928</v>
      </c>
      <c r="E17" s="4">
        <v>4687</v>
      </c>
      <c r="F17" s="13">
        <v>6069</v>
      </c>
      <c r="G17">
        <f t="shared" si="0"/>
        <v>498803832</v>
      </c>
      <c r="H17">
        <f t="shared" si="1"/>
        <v>615910260</v>
      </c>
      <c r="I17">
        <f t="shared" si="2"/>
        <v>659387209</v>
      </c>
      <c r="J17">
        <f t="shared" si="3"/>
        <v>677095229</v>
      </c>
      <c r="K17">
        <f t="shared" si="4"/>
        <v>674873608</v>
      </c>
      <c r="L17">
        <f t="shared" si="6"/>
        <v>1.7592086181086116E-5</v>
      </c>
      <c r="M17">
        <f t="shared" si="7"/>
        <v>6.1957077967819534E-6</v>
      </c>
      <c r="N17">
        <f t="shared" si="8"/>
        <v>4.4404865002469286E-6</v>
      </c>
      <c r="O17">
        <f t="shared" si="9"/>
        <v>6.9222168452172034E-6</v>
      </c>
      <c r="P17">
        <f t="shared" si="10"/>
        <v>8.9927949886580842E-6</v>
      </c>
      <c r="Q17">
        <f t="shared" si="12"/>
        <v>0.22001124725999671</v>
      </c>
      <c r="R17">
        <f t="shared" si="13"/>
        <v>0.10937359078317685</v>
      </c>
      <c r="S17">
        <f t="shared" si="14"/>
        <v>0.12152618085491372</v>
      </c>
      <c r="T17">
        <f t="shared" si="15"/>
        <v>0.11749928491006656</v>
      </c>
      <c r="U17">
        <f t="shared" si="16"/>
        <v>0.1449171007932748</v>
      </c>
      <c r="V17">
        <f t="shared" si="17"/>
        <v>-0.63932914921216288</v>
      </c>
      <c r="W17">
        <f t="shared" si="18"/>
        <v>-0.80281919149352909</v>
      </c>
      <c r="X17">
        <f t="shared" si="19"/>
        <v>-0.78328427293194869</v>
      </c>
      <c r="Y17">
        <f t="shared" si="20"/>
        <v>-0.78971031749783605</v>
      </c>
      <c r="Z17">
        <f t="shared" si="21"/>
        <v>-0.74685136470952074</v>
      </c>
    </row>
    <row r="18" spans="1:26" x14ac:dyDescent="0.25">
      <c r="A18" s="11" t="s">
        <v>34</v>
      </c>
      <c r="B18" s="5">
        <v>2991</v>
      </c>
      <c r="C18" s="5">
        <v>3357</v>
      </c>
      <c r="D18" s="5">
        <v>2761</v>
      </c>
      <c r="E18" s="5">
        <v>3567</v>
      </c>
      <c r="F18" s="14">
        <v>5328</v>
      </c>
      <c r="G18">
        <f t="shared" si="0"/>
        <v>419478288</v>
      </c>
      <c r="H18">
        <f t="shared" si="1"/>
        <v>549499377</v>
      </c>
      <c r="I18">
        <f t="shared" si="2"/>
        <v>636424483</v>
      </c>
      <c r="J18">
        <f t="shared" si="3"/>
        <v>568505277</v>
      </c>
      <c r="K18">
        <f t="shared" si="4"/>
        <v>549570742</v>
      </c>
      <c r="L18">
        <f t="shared" si="6"/>
        <v>7.1302856084889909E-6</v>
      </c>
      <c r="M18">
        <f t="shared" si="7"/>
        <v>6.1091970992352918E-6</v>
      </c>
      <c r="N18">
        <f t="shared" si="8"/>
        <v>4.3382994742519983E-6</v>
      </c>
      <c r="O18">
        <f t="shared" si="9"/>
        <v>6.2743480919351255E-6</v>
      </c>
      <c r="P18">
        <f t="shared" si="10"/>
        <v>9.69483924964841E-6</v>
      </c>
      <c r="Q18">
        <f t="shared" si="12"/>
        <v>8.9173223340065236E-2</v>
      </c>
      <c r="R18">
        <f t="shared" si="13"/>
        <v>0.10784640681288854</v>
      </c>
      <c r="S18">
        <f t="shared" si="14"/>
        <v>0.11872955057546233</v>
      </c>
      <c r="T18">
        <f t="shared" si="15"/>
        <v>0.10650221317302365</v>
      </c>
      <c r="U18">
        <f t="shared" si="16"/>
        <v>0.15623040428341217</v>
      </c>
      <c r="V18">
        <f t="shared" si="17"/>
        <v>-0.8362552045365087</v>
      </c>
      <c r="W18">
        <f t="shared" si="18"/>
        <v>-0.80530440655009772</v>
      </c>
      <c r="X18">
        <f t="shared" si="19"/>
        <v>-0.7877421750155984</v>
      </c>
      <c r="Y18">
        <f t="shared" si="20"/>
        <v>-0.80749751441053852</v>
      </c>
      <c r="Z18">
        <f t="shared" si="21"/>
        <v>-0.72975904507503786</v>
      </c>
    </row>
    <row r="19" spans="1:26" x14ac:dyDescent="0.25">
      <c r="A19" s="12" t="s">
        <v>25</v>
      </c>
      <c r="B19" s="4">
        <v>7233</v>
      </c>
      <c r="C19" s="4">
        <v>5731</v>
      </c>
      <c r="D19" s="4">
        <v>3488</v>
      </c>
      <c r="E19" s="4">
        <v>5277</v>
      </c>
      <c r="F19" s="13">
        <v>4842</v>
      </c>
      <c r="G19">
        <f t="shared" si="0"/>
        <v>11625662</v>
      </c>
      <c r="H19">
        <f t="shared" si="1"/>
        <v>14345396</v>
      </c>
      <c r="I19">
        <f t="shared" si="2"/>
        <v>15319907</v>
      </c>
      <c r="J19">
        <f t="shared" si="3"/>
        <v>18106174</v>
      </c>
      <c r="K19">
        <f t="shared" si="4"/>
        <v>19882386</v>
      </c>
      <c r="L19">
        <f t="shared" si="6"/>
        <v>6.2215811882368509E-4</v>
      </c>
      <c r="M19">
        <f t="shared" si="7"/>
        <v>3.9950099669608282E-4</v>
      </c>
      <c r="N19">
        <f t="shared" si="8"/>
        <v>2.2767762232499191E-4</v>
      </c>
      <c r="O19">
        <f t="shared" si="9"/>
        <v>2.9144754711845803E-4</v>
      </c>
      <c r="P19">
        <f t="shared" si="10"/>
        <v>2.4353213945247818E-4</v>
      </c>
      <c r="Q19">
        <f t="shared" si="12"/>
        <v>7.7808727348379367</v>
      </c>
      <c r="R19">
        <f t="shared" si="13"/>
        <v>7.0524401671756909</v>
      </c>
      <c r="S19">
        <f t="shared" si="14"/>
        <v>6.2310271421262264</v>
      </c>
      <c r="T19">
        <f t="shared" si="15"/>
        <v>4.9470970269983248</v>
      </c>
      <c r="U19">
        <f t="shared" si="16"/>
        <v>3.9244719404754216</v>
      </c>
      <c r="V19">
        <f t="shared" si="17"/>
        <v>0.7722322073903839</v>
      </c>
      <c r="W19">
        <f t="shared" si="18"/>
        <v>0.75162808310546203</v>
      </c>
      <c r="X19">
        <f t="shared" si="19"/>
        <v>0.72341412074800815</v>
      </c>
      <c r="Y19">
        <f t="shared" si="20"/>
        <v>0.66370146797328122</v>
      </c>
      <c r="Z19">
        <f t="shared" si="21"/>
        <v>0.59386508357139411</v>
      </c>
    </row>
    <row r="20" spans="1:26" x14ac:dyDescent="0.25">
      <c r="A20" s="11" t="s">
        <v>30</v>
      </c>
      <c r="B20" s="5">
        <v>4453</v>
      </c>
      <c r="C20" s="5">
        <v>4856</v>
      </c>
      <c r="D20" s="5">
        <v>3184</v>
      </c>
      <c r="E20" s="5">
        <v>3197</v>
      </c>
      <c r="F20" s="14">
        <v>4659</v>
      </c>
      <c r="G20">
        <f t="shared" si="0"/>
        <v>478282779</v>
      </c>
      <c r="H20">
        <f t="shared" si="1"/>
        <v>573227524</v>
      </c>
      <c r="I20">
        <f t="shared" si="2"/>
        <v>608745460</v>
      </c>
      <c r="J20">
        <f t="shared" si="3"/>
        <v>637660373</v>
      </c>
      <c r="K20">
        <f t="shared" si="4"/>
        <v>626820762</v>
      </c>
      <c r="L20">
        <f t="shared" si="6"/>
        <v>9.3103916668511282E-6</v>
      </c>
      <c r="M20">
        <f t="shared" si="7"/>
        <v>8.4713308358165997E-6</v>
      </c>
      <c r="N20">
        <f t="shared" si="8"/>
        <v>5.2304291517837353E-6</v>
      </c>
      <c r="O20">
        <f t="shared" si="9"/>
        <v>5.0136407018034979E-6</v>
      </c>
      <c r="P20">
        <f t="shared" si="10"/>
        <v>7.4327467793735911E-6</v>
      </c>
      <c r="Q20">
        <f t="shared" si="12"/>
        <v>0.11643820192884771</v>
      </c>
      <c r="R20">
        <f t="shared" si="13"/>
        <v>0.14954544381624268</v>
      </c>
      <c r="S20">
        <f t="shared" si="14"/>
        <v>0.14314514389653848</v>
      </c>
      <c r="T20">
        <f t="shared" si="15"/>
        <v>8.5102678871573356E-2</v>
      </c>
      <c r="U20">
        <f t="shared" si="16"/>
        <v>0.11977723450338573</v>
      </c>
      <c r="V20">
        <f t="shared" si="17"/>
        <v>-0.7914112904275763</v>
      </c>
      <c r="W20">
        <f t="shared" si="18"/>
        <v>-0.73981812616335707</v>
      </c>
      <c r="X20">
        <f t="shared" si="19"/>
        <v>-0.74955910951322902</v>
      </c>
      <c r="Y20">
        <f t="shared" si="20"/>
        <v>-0.84314354663639035</v>
      </c>
      <c r="Z20">
        <f t="shared" si="21"/>
        <v>-0.78606953095183052</v>
      </c>
    </row>
    <row r="21" spans="1:26" x14ac:dyDescent="0.25">
      <c r="A21" s="12" t="s">
        <v>26</v>
      </c>
      <c r="B21" s="4">
        <v>3858</v>
      </c>
      <c r="C21" s="4">
        <v>3171</v>
      </c>
      <c r="D21" s="4">
        <v>7355</v>
      </c>
      <c r="E21" s="6">
        <v>12182</v>
      </c>
      <c r="F21" s="6">
        <v>4380</v>
      </c>
      <c r="G21">
        <f t="shared" si="0"/>
        <v>855421</v>
      </c>
      <c r="H21">
        <f t="shared" si="1"/>
        <v>1665728</v>
      </c>
      <c r="I21">
        <f t="shared" si="2"/>
        <v>1299593</v>
      </c>
      <c r="J21">
        <f t="shared" si="3"/>
        <v>1237904</v>
      </c>
      <c r="K21">
        <f t="shared" si="4"/>
        <v>1264116</v>
      </c>
      <c r="L21">
        <f t="shared" si="6"/>
        <v>4.5100599587805301E-3</v>
      </c>
      <c r="M21">
        <f t="shared" si="7"/>
        <v>1.9036721481538402E-3</v>
      </c>
      <c r="N21">
        <f t="shared" si="8"/>
        <v>5.6594641553163183E-3</v>
      </c>
      <c r="O21">
        <f t="shared" si="9"/>
        <v>9.8408277216973199E-3</v>
      </c>
      <c r="P21">
        <f t="shared" si="10"/>
        <v>3.4648718946678945E-3</v>
      </c>
      <c r="Q21">
        <f t="shared" si="12"/>
        <v>56.403993621603128</v>
      </c>
      <c r="R21">
        <f t="shared" si="13"/>
        <v>33.605758267950314</v>
      </c>
      <c r="S21">
        <f t="shared" si="14"/>
        <v>154.88687206742469</v>
      </c>
      <c r="T21">
        <f t="shared" si="15"/>
        <v>167.0404504911624</v>
      </c>
      <c r="U21">
        <f t="shared" si="16"/>
        <v>55.835720732948587</v>
      </c>
      <c r="V21">
        <f t="shared" si="17"/>
        <v>0.96515921848253894</v>
      </c>
      <c r="W21">
        <f t="shared" si="18"/>
        <v>0.94220615007149622</v>
      </c>
      <c r="X21">
        <f t="shared" si="19"/>
        <v>0.98717018326511197</v>
      </c>
      <c r="Y21">
        <f t="shared" si="20"/>
        <v>0.98809810379492413</v>
      </c>
      <c r="Z21">
        <f t="shared" si="21"/>
        <v>0.96481086235543123</v>
      </c>
    </row>
    <row r="22" spans="1:26" x14ac:dyDescent="0.25">
      <c r="A22" s="11" t="s">
        <v>27</v>
      </c>
      <c r="B22" s="5">
        <v>6434</v>
      </c>
      <c r="C22" s="5">
        <v>4531</v>
      </c>
      <c r="D22" s="5">
        <v>4473</v>
      </c>
      <c r="E22" s="5">
        <v>5444</v>
      </c>
      <c r="F22" s="14">
        <v>3868</v>
      </c>
      <c r="G22">
        <f t="shared" si="0"/>
        <v>346633936</v>
      </c>
      <c r="H22">
        <f t="shared" si="1"/>
        <v>447557398</v>
      </c>
      <c r="I22">
        <f t="shared" si="2"/>
        <v>478224690</v>
      </c>
      <c r="J22">
        <f t="shared" si="3"/>
        <v>432943057</v>
      </c>
      <c r="K22">
        <f t="shared" si="4"/>
        <v>474618994</v>
      </c>
      <c r="L22">
        <f t="shared" si="6"/>
        <v>1.8561367863301185E-5</v>
      </c>
      <c r="M22">
        <f t="shared" si="7"/>
        <v>1.012384114361126E-5</v>
      </c>
      <c r="N22">
        <f t="shared" si="8"/>
        <v>9.353343927098369E-6</v>
      </c>
      <c r="O22">
        <f t="shared" si="9"/>
        <v>1.2574401903389341E-5</v>
      </c>
      <c r="P22">
        <f t="shared" si="10"/>
        <v>8.1496949108614906E-6</v>
      </c>
      <c r="Q22">
        <f t="shared" si="12"/>
        <v>0.2321333383897958</v>
      </c>
      <c r="R22">
        <f t="shared" si="13"/>
        <v>0.17871741126499671</v>
      </c>
      <c r="S22">
        <f t="shared" si="14"/>
        <v>0.25598009714015718</v>
      </c>
      <c r="T22">
        <f t="shared" si="15"/>
        <v>0.21344076108232166</v>
      </c>
      <c r="U22">
        <f t="shared" si="16"/>
        <v>0.13133071089925827</v>
      </c>
      <c r="V22">
        <f t="shared" si="17"/>
        <v>-0.62320094561655559</v>
      </c>
      <c r="W22">
        <f t="shared" si="18"/>
        <v>-0.69675952937150964</v>
      </c>
      <c r="X22">
        <f t="shared" si="19"/>
        <v>-0.59238192114187327</v>
      </c>
      <c r="Y22">
        <f t="shared" si="20"/>
        <v>-0.64820571728290322</v>
      </c>
      <c r="Z22">
        <f t="shared" si="21"/>
        <v>-0.7678296723778183</v>
      </c>
    </row>
    <row r="23" spans="1:26" x14ac:dyDescent="0.25">
      <c r="A23" s="12" t="s">
        <v>31</v>
      </c>
      <c r="B23" s="4">
        <v>5167</v>
      </c>
      <c r="C23" s="4">
        <v>5282</v>
      </c>
      <c r="D23" s="4">
        <v>2883</v>
      </c>
      <c r="E23" s="4">
        <v>3074</v>
      </c>
      <c r="F23" s="13">
        <v>3774</v>
      </c>
      <c r="G23">
        <f t="shared" si="0"/>
        <v>402566008</v>
      </c>
      <c r="H23">
        <f t="shared" si="1"/>
        <v>468502713</v>
      </c>
      <c r="I23">
        <f t="shared" si="2"/>
        <v>530481545</v>
      </c>
      <c r="J23">
        <f t="shared" si="3"/>
        <v>519684227</v>
      </c>
      <c r="K23">
        <f t="shared" si="4"/>
        <v>512910100</v>
      </c>
      <c r="L23">
        <f t="shared" si="6"/>
        <v>1.2835162177925366E-5</v>
      </c>
      <c r="M23">
        <f t="shared" si="7"/>
        <v>1.1274214328829298E-5</v>
      </c>
      <c r="N23">
        <f t="shared" si="8"/>
        <v>5.434684820185403E-6</v>
      </c>
      <c r="O23">
        <f t="shared" si="9"/>
        <v>5.9151304586352202E-6</v>
      </c>
      <c r="P23">
        <f t="shared" si="10"/>
        <v>7.3580145916409132E-6</v>
      </c>
      <c r="Q23">
        <f t="shared" si="12"/>
        <v>0.16051990710378344</v>
      </c>
      <c r="R23">
        <f t="shared" si="13"/>
        <v>0.19902509040915009</v>
      </c>
      <c r="S23">
        <f t="shared" si="14"/>
        <v>0.14873516456149086</v>
      </c>
      <c r="T23">
        <f t="shared" si="15"/>
        <v>0.10040477127202509</v>
      </c>
      <c r="U23">
        <f t="shared" si="16"/>
        <v>0.11857294017711482</v>
      </c>
      <c r="V23">
        <f t="shared" si="17"/>
        <v>-0.72336552587989611</v>
      </c>
      <c r="W23">
        <f t="shared" si="18"/>
        <v>-0.66802180871588657</v>
      </c>
      <c r="X23">
        <f t="shared" si="19"/>
        <v>-0.74104533551339857</v>
      </c>
      <c r="Y23">
        <f t="shared" si="20"/>
        <v>-0.81751302085693234</v>
      </c>
      <c r="Z23">
        <f t="shared" si="21"/>
        <v>-0.78799247520087523</v>
      </c>
    </row>
    <row r="24" spans="1:26" x14ac:dyDescent="0.25">
      <c r="A24" s="11" t="s">
        <v>28</v>
      </c>
      <c r="B24" s="5">
        <v>2187</v>
      </c>
      <c r="C24" s="5">
        <v>1400</v>
      </c>
      <c r="D24" s="5">
        <v>1552</v>
      </c>
      <c r="E24" s="5">
        <v>1875</v>
      </c>
      <c r="F24" s="7">
        <v>3130</v>
      </c>
      <c r="G24">
        <f t="shared" si="0"/>
        <v>416982170</v>
      </c>
      <c r="H24">
        <f t="shared" si="1"/>
        <v>494460765</v>
      </c>
      <c r="I24">
        <f t="shared" si="2"/>
        <v>577730713</v>
      </c>
      <c r="J24">
        <f t="shared" si="3"/>
        <v>592997234</v>
      </c>
      <c r="K24">
        <f t="shared" si="4"/>
        <v>669295575</v>
      </c>
      <c r="L24">
        <f t="shared" si="6"/>
        <v>5.2448285738452554E-6</v>
      </c>
      <c r="M24">
        <f t="shared" si="7"/>
        <v>2.8313672167699697E-6</v>
      </c>
      <c r="N24">
        <f t="shared" si="8"/>
        <v>2.686372673422332E-6</v>
      </c>
      <c r="O24">
        <f t="shared" si="9"/>
        <v>3.1619034499577447E-6</v>
      </c>
      <c r="P24">
        <f t="shared" si="10"/>
        <v>4.6765586340534223E-6</v>
      </c>
      <c r="Q24">
        <f t="shared" si="12"/>
        <v>6.5593202779849202E-2</v>
      </c>
      <c r="R24">
        <f t="shared" si="13"/>
        <v>4.9982473267178119E-2</v>
      </c>
      <c r="S24">
        <f t="shared" si="14"/>
        <v>7.3520009876365172E-2</v>
      </c>
      <c r="T24">
        <f t="shared" si="15"/>
        <v>5.3670869120692785E-2</v>
      </c>
      <c r="U24">
        <f t="shared" si="16"/>
        <v>7.5361811293544079E-2</v>
      </c>
      <c r="V24">
        <f t="shared" si="17"/>
        <v>-0.87688884912416121</v>
      </c>
      <c r="W24">
        <f t="shared" si="18"/>
        <v>-0.90479369981929292</v>
      </c>
      <c r="X24">
        <f t="shared" si="19"/>
        <v>-0.86303001490427311</v>
      </c>
      <c r="Y24">
        <f t="shared" si="20"/>
        <v>-0.89812593155302456</v>
      </c>
      <c r="Z24">
        <f t="shared" si="21"/>
        <v>-0.85983915273522316</v>
      </c>
    </row>
    <row r="25" spans="1:26" x14ac:dyDescent="0.25">
      <c r="A25" s="12" t="s">
        <v>32</v>
      </c>
      <c r="B25" s="4">
        <v>2581</v>
      </c>
      <c r="C25" s="4">
        <v>3333</v>
      </c>
      <c r="D25" s="4">
        <v>2242</v>
      </c>
      <c r="E25" s="4">
        <v>2465</v>
      </c>
      <c r="F25" s="13">
        <v>2780</v>
      </c>
      <c r="G25">
        <f t="shared" si="0"/>
        <v>254169032</v>
      </c>
      <c r="H25">
        <f t="shared" si="1"/>
        <v>317832125</v>
      </c>
      <c r="I25">
        <f t="shared" si="2"/>
        <v>365750694</v>
      </c>
      <c r="J25">
        <f t="shared" si="3"/>
        <v>381932840</v>
      </c>
      <c r="K25">
        <f t="shared" si="4"/>
        <v>380333187</v>
      </c>
      <c r="L25">
        <f t="shared" si="6"/>
        <v>1.015465959676787E-5</v>
      </c>
      <c r="M25">
        <f t="shared" si="7"/>
        <v>1.0486668079886513E-5</v>
      </c>
      <c r="N25">
        <f t="shared" si="8"/>
        <v>6.1298584986417007E-6</v>
      </c>
      <c r="O25">
        <f t="shared" si="9"/>
        <v>6.4540142712001405E-6</v>
      </c>
      <c r="P25">
        <f t="shared" si="10"/>
        <v>7.3093805511113604E-6</v>
      </c>
      <c r="Q25">
        <f t="shared" si="12"/>
        <v>0.12699683825944405</v>
      </c>
      <c r="R25">
        <f t="shared" si="13"/>
        <v>0.18512243973872414</v>
      </c>
      <c r="S25">
        <f t="shared" si="14"/>
        <v>0.16776051283559501</v>
      </c>
      <c r="T25">
        <f t="shared" si="15"/>
        <v>0.10955190780961238</v>
      </c>
      <c r="U25">
        <f t="shared" si="16"/>
        <v>0.11778921229692914</v>
      </c>
      <c r="V25">
        <f t="shared" si="17"/>
        <v>-0.77462787126256638</v>
      </c>
      <c r="W25">
        <f t="shared" si="18"/>
        <v>-0.68758934346136114</v>
      </c>
      <c r="X25">
        <f t="shared" si="19"/>
        <v>-0.71267993566894405</v>
      </c>
      <c r="Y25">
        <f t="shared" si="20"/>
        <v>-0.80252945889502214</v>
      </c>
      <c r="Z25">
        <f t="shared" si="21"/>
        <v>-0.78924611008745427</v>
      </c>
    </row>
    <row r="26" spans="1:26" x14ac:dyDescent="0.25">
      <c r="A26" s="11" t="s">
        <v>29</v>
      </c>
      <c r="B26" s="5">
        <v>821</v>
      </c>
      <c r="C26" s="5">
        <v>1456</v>
      </c>
      <c r="D26" s="5">
        <v>2067</v>
      </c>
      <c r="E26" s="5">
        <v>3373</v>
      </c>
      <c r="F26" s="14">
        <v>2653</v>
      </c>
      <c r="G26">
        <f t="shared" si="0"/>
        <v>233553703</v>
      </c>
      <c r="H26">
        <f t="shared" si="1"/>
        <v>299288393</v>
      </c>
      <c r="I26">
        <f t="shared" si="2"/>
        <v>353149561</v>
      </c>
      <c r="J26">
        <f t="shared" si="3"/>
        <v>312964855</v>
      </c>
      <c r="K26">
        <f t="shared" si="4"/>
        <v>330045621</v>
      </c>
      <c r="L26">
        <f t="shared" si="6"/>
        <v>3.5152514794423963E-6</v>
      </c>
      <c r="M26">
        <f t="shared" si="7"/>
        <v>4.8648729254261454E-6</v>
      </c>
      <c r="N26">
        <f t="shared" si="8"/>
        <v>5.8530442290426633E-6</v>
      </c>
      <c r="O26">
        <f t="shared" si="9"/>
        <v>1.0777567979637842E-5</v>
      </c>
      <c r="P26">
        <f t="shared" si="10"/>
        <v>8.0382826833506146E-6</v>
      </c>
      <c r="Q26">
        <f t="shared" si="12"/>
        <v>4.396265766684198E-2</v>
      </c>
      <c r="R26">
        <f t="shared" si="13"/>
        <v>8.5880199326714882E-2</v>
      </c>
      <c r="S26">
        <f t="shared" si="14"/>
        <v>0.16018472559051661</v>
      </c>
      <c r="T26">
        <f t="shared" si="15"/>
        <v>0.18294089292392601</v>
      </c>
      <c r="U26">
        <f t="shared" si="16"/>
        <v>0.12953532503489018</v>
      </c>
      <c r="V26">
        <f t="shared" si="17"/>
        <v>-0.91577733677736262</v>
      </c>
      <c r="W26">
        <f t="shared" si="18"/>
        <v>-0.84182380454130445</v>
      </c>
      <c r="X26">
        <f t="shared" si="19"/>
        <v>-0.72386341233895313</v>
      </c>
      <c r="Y26">
        <f t="shared" si="20"/>
        <v>-0.69070154896455882</v>
      </c>
      <c r="Z26">
        <f t="shared" si="21"/>
        <v>-0.7706396211541432</v>
      </c>
    </row>
    <row r="27" spans="1:26" x14ac:dyDescent="0.25">
      <c r="A27" s="12" t="s">
        <v>41</v>
      </c>
      <c r="B27" s="4">
        <v>2790</v>
      </c>
      <c r="C27" s="4">
        <v>3240</v>
      </c>
      <c r="D27" s="4">
        <v>1889</v>
      </c>
      <c r="E27" s="4">
        <v>1944</v>
      </c>
      <c r="F27" s="13">
        <v>2207</v>
      </c>
      <c r="G27">
        <f t="shared" si="0"/>
        <v>85686133</v>
      </c>
      <c r="H27">
        <f t="shared" si="1"/>
        <v>123734050</v>
      </c>
      <c r="I27">
        <f t="shared" si="2"/>
        <v>123614816</v>
      </c>
      <c r="J27">
        <f t="shared" si="3"/>
        <v>110662795</v>
      </c>
      <c r="K27">
        <f t="shared" si="4"/>
        <v>110390555</v>
      </c>
      <c r="L27">
        <f t="shared" si="6"/>
        <v>3.256069450584262E-5</v>
      </c>
      <c r="M27">
        <f t="shared" si="7"/>
        <v>2.6185193162270207E-5</v>
      </c>
      <c r="N27">
        <f t="shared" si="8"/>
        <v>1.5281339738433944E-5</v>
      </c>
      <c r="O27">
        <f t="shared" si="9"/>
        <v>1.75668796364668E-5</v>
      </c>
      <c r="P27">
        <f t="shared" si="10"/>
        <v>1.9992652451108702E-5</v>
      </c>
      <c r="Q27">
        <f t="shared" si="12"/>
        <v>0.40721259185190495</v>
      </c>
      <c r="R27">
        <f t="shared" si="13"/>
        <v>0.46225043133830901</v>
      </c>
      <c r="S27">
        <f t="shared" si="14"/>
        <v>0.41821607984959169</v>
      </c>
      <c r="T27">
        <f t="shared" si="15"/>
        <v>0.29818421490396008</v>
      </c>
      <c r="U27">
        <f t="shared" si="16"/>
        <v>0.32217761374926746</v>
      </c>
      <c r="V27">
        <f t="shared" si="17"/>
        <v>-0.42124936315982026</v>
      </c>
      <c r="W27">
        <f t="shared" si="18"/>
        <v>-0.36775476836038368</v>
      </c>
      <c r="X27">
        <f t="shared" si="19"/>
        <v>-0.41022234088060056</v>
      </c>
      <c r="Y27">
        <f t="shared" si="20"/>
        <v>-0.54061340219574339</v>
      </c>
      <c r="Z27">
        <f t="shared" si="21"/>
        <v>-0.51265607525198365</v>
      </c>
    </row>
    <row r="28" spans="1:26" x14ac:dyDescent="0.25">
      <c r="A28" s="11" t="s">
        <v>105</v>
      </c>
      <c r="B28" s="5">
        <v>724</v>
      </c>
      <c r="C28" s="5">
        <v>205</v>
      </c>
      <c r="D28" s="5">
        <v>309</v>
      </c>
      <c r="E28" s="5">
        <v>1202</v>
      </c>
      <c r="F28" s="14">
        <v>2091</v>
      </c>
      <c r="G28">
        <f t="shared" si="0"/>
        <v>22245688</v>
      </c>
      <c r="H28">
        <f t="shared" si="1"/>
        <v>28880006</v>
      </c>
      <c r="I28">
        <f t="shared" si="2"/>
        <v>31175925</v>
      </c>
      <c r="J28">
        <f t="shared" si="3"/>
        <v>28950086</v>
      </c>
      <c r="K28">
        <f t="shared" si="4"/>
        <v>32460566</v>
      </c>
      <c r="L28">
        <f t="shared" si="6"/>
        <v>3.2545633113257723E-5</v>
      </c>
      <c r="M28">
        <f t="shared" si="7"/>
        <v>7.0983364754148595E-6</v>
      </c>
      <c r="N28">
        <f t="shared" si="8"/>
        <v>9.9114942058655846E-6</v>
      </c>
      <c r="O28">
        <f t="shared" si="9"/>
        <v>4.1519738490586866E-5</v>
      </c>
      <c r="P28">
        <f t="shared" si="10"/>
        <v>6.4416621694150371E-5</v>
      </c>
      <c r="Q28">
        <f t="shared" si="12"/>
        <v>0.40702423012300221</v>
      </c>
      <c r="R28">
        <f t="shared" si="13"/>
        <v>0.12530780572101369</v>
      </c>
      <c r="S28">
        <f t="shared" si="14"/>
        <v>0.27125542152587778</v>
      </c>
      <c r="T28">
        <f t="shared" si="15"/>
        <v>0.70476549512713882</v>
      </c>
      <c r="U28">
        <f t="shared" si="16"/>
        <v>1.0380610333702751</v>
      </c>
      <c r="V28">
        <f t="shared" si="17"/>
        <v>-0.42143962924160849</v>
      </c>
      <c r="W28">
        <f t="shared" si="18"/>
        <v>-0.77729150178474804</v>
      </c>
      <c r="X28">
        <f t="shared" si="19"/>
        <v>-0.57324796113704346</v>
      </c>
      <c r="Y28">
        <f t="shared" si="20"/>
        <v>-0.1731818867267976</v>
      </c>
      <c r="Z28">
        <f t="shared" si="21"/>
        <v>1.8675119511673707E-2</v>
      </c>
    </row>
    <row r="29" spans="1:26" x14ac:dyDescent="0.25">
      <c r="A29" s="12" t="s">
        <v>37</v>
      </c>
      <c r="B29" s="4">
        <v>727</v>
      </c>
      <c r="C29" s="4">
        <v>1152</v>
      </c>
      <c r="D29" s="4">
        <v>804</v>
      </c>
      <c r="E29" s="4">
        <v>2014</v>
      </c>
      <c r="F29" s="13">
        <v>2025</v>
      </c>
      <c r="G29">
        <f t="shared" si="0"/>
        <v>169657940</v>
      </c>
      <c r="H29">
        <f t="shared" si="1"/>
        <v>225264314</v>
      </c>
      <c r="I29">
        <f t="shared" si="2"/>
        <v>254171899</v>
      </c>
      <c r="J29">
        <f t="shared" si="3"/>
        <v>255627429</v>
      </c>
      <c r="K29">
        <f t="shared" si="4"/>
        <v>261801501</v>
      </c>
      <c r="L29">
        <f t="shared" si="6"/>
        <v>4.2850926988739816E-6</v>
      </c>
      <c r="M29">
        <f t="shared" si="7"/>
        <v>5.1139924453369032E-6</v>
      </c>
      <c r="N29">
        <f t="shared" si="8"/>
        <v>3.1632135698840572E-6</v>
      </c>
      <c r="O29">
        <f t="shared" si="9"/>
        <v>7.87865374180953E-6</v>
      </c>
      <c r="P29">
        <f t="shared" si="10"/>
        <v>7.7348677997075351E-6</v>
      </c>
      <c r="Q29">
        <f t="shared" si="12"/>
        <v>5.3590494020974877E-2</v>
      </c>
      <c r="R29">
        <f t="shared" si="13"/>
        <v>9.0277936812167767E-2</v>
      </c>
      <c r="S29">
        <f t="shared" si="14"/>
        <v>8.6570078381067159E-2</v>
      </c>
      <c r="T29">
        <f t="shared" si="15"/>
        <v>0.13373406257220369</v>
      </c>
      <c r="U29">
        <f t="shared" si="16"/>
        <v>0.1246458545943275</v>
      </c>
      <c r="V29">
        <f t="shared" si="17"/>
        <v>-0.89827073360077614</v>
      </c>
      <c r="W29">
        <f t="shared" si="18"/>
        <v>-0.8343946368829056</v>
      </c>
      <c r="X29">
        <f t="shared" si="19"/>
        <v>-0.8406544039753937</v>
      </c>
      <c r="Y29">
        <f t="shared" si="20"/>
        <v>-0.76408213003887482</v>
      </c>
      <c r="Z29">
        <f t="shared" si="21"/>
        <v>-0.77833759118902601</v>
      </c>
    </row>
    <row r="30" spans="1:26" x14ac:dyDescent="0.25">
      <c r="A30" s="11" t="s">
        <v>36</v>
      </c>
      <c r="B30" s="5">
        <v>2348</v>
      </c>
      <c r="C30" s="5">
        <v>918</v>
      </c>
      <c r="D30" s="5">
        <v>933</v>
      </c>
      <c r="E30" s="5">
        <v>1439</v>
      </c>
      <c r="F30" s="14">
        <v>1739</v>
      </c>
      <c r="G30">
        <f t="shared" si="0"/>
        <v>119970720</v>
      </c>
      <c r="H30">
        <f t="shared" si="1"/>
        <v>141157092</v>
      </c>
      <c r="I30">
        <f t="shared" si="2"/>
        <v>149934115</v>
      </c>
      <c r="J30">
        <f t="shared" si="3"/>
        <v>158075487</v>
      </c>
      <c r="K30">
        <f t="shared" si="4"/>
        <v>167705355</v>
      </c>
      <c r="L30">
        <f t="shared" si="6"/>
        <v>1.9571442098538709E-5</v>
      </c>
      <c r="M30">
        <f t="shared" si="7"/>
        <v>6.5033926881973451E-6</v>
      </c>
      <c r="N30">
        <f t="shared" si="8"/>
        <v>6.2227332318598736E-6</v>
      </c>
      <c r="O30">
        <f t="shared" si="9"/>
        <v>9.1032457170288526E-6</v>
      </c>
      <c r="P30">
        <f t="shared" si="10"/>
        <v>1.0369376696409009E-5</v>
      </c>
      <c r="Q30">
        <f t="shared" si="12"/>
        <v>0.244765591894711</v>
      </c>
      <c r="R30">
        <f t="shared" si="13"/>
        <v>0.11480518996564837</v>
      </c>
      <c r="S30">
        <f t="shared" si="14"/>
        <v>0.17030228649604773</v>
      </c>
      <c r="T30">
        <f t="shared" si="15"/>
        <v>0.15452056559750171</v>
      </c>
      <c r="U30">
        <f t="shared" si="16"/>
        <v>0.16710044093879362</v>
      </c>
      <c r="V30">
        <f t="shared" si="17"/>
        <v>-0.60672821696148782</v>
      </c>
      <c r="W30">
        <f t="shared" si="18"/>
        <v>-0.79403542251326265</v>
      </c>
      <c r="X30">
        <f t="shared" si="19"/>
        <v>-0.70896017471529926</v>
      </c>
      <c r="Y30">
        <f t="shared" si="20"/>
        <v>-0.73232080882416795</v>
      </c>
      <c r="Z30">
        <f t="shared" si="21"/>
        <v>-0.71364856857670089</v>
      </c>
    </row>
    <row r="31" spans="1:26" ht="34.5" x14ac:dyDescent="0.25">
      <c r="A31" s="12" t="s">
        <v>35</v>
      </c>
      <c r="B31" s="4">
        <v>1834</v>
      </c>
      <c r="C31" s="4">
        <v>2446</v>
      </c>
      <c r="D31" s="6">
        <v>2142</v>
      </c>
      <c r="E31" s="6">
        <v>3428</v>
      </c>
      <c r="F31" s="6">
        <v>1692</v>
      </c>
      <c r="G31">
        <f t="shared" si="0"/>
        <v>6132785</v>
      </c>
      <c r="H31">
        <f t="shared" si="1"/>
        <v>7164608</v>
      </c>
      <c r="I31">
        <f t="shared" si="2"/>
        <v>10222849</v>
      </c>
      <c r="J31">
        <f t="shared" si="3"/>
        <v>10293431</v>
      </c>
      <c r="K31">
        <f t="shared" si="4"/>
        <v>10940546</v>
      </c>
      <c r="L31">
        <f t="shared" si="6"/>
        <v>2.9904847471417959E-4</v>
      </c>
      <c r="M31">
        <f t="shared" si="7"/>
        <v>3.4140039482969618E-4</v>
      </c>
      <c r="N31">
        <f t="shared" si="8"/>
        <v>2.0953063084468918E-4</v>
      </c>
      <c r="O31">
        <f t="shared" si="9"/>
        <v>3.3302792820003361E-4</v>
      </c>
      <c r="P31">
        <f t="shared" si="10"/>
        <v>1.5465407302341219E-4</v>
      </c>
      <c r="Q31">
        <f t="shared" si="12"/>
        <v>3.7399787174646613</v>
      </c>
      <c r="R31">
        <f t="shared" si="13"/>
        <v>6.0267831056707779</v>
      </c>
      <c r="S31">
        <f t="shared" si="14"/>
        <v>5.7343845853961897</v>
      </c>
      <c r="T31">
        <f t="shared" si="15"/>
        <v>5.6528918832731412</v>
      </c>
      <c r="U31">
        <f t="shared" si="16"/>
        <v>2.492219595430659</v>
      </c>
      <c r="V31">
        <f t="shared" si="17"/>
        <v>0.57805717721243954</v>
      </c>
      <c r="W31">
        <f t="shared" si="18"/>
        <v>0.71537473550507724</v>
      </c>
      <c r="X31">
        <f t="shared" si="19"/>
        <v>0.70301666401157303</v>
      </c>
      <c r="Y31">
        <f t="shared" si="20"/>
        <v>0.69937885131901101</v>
      </c>
      <c r="Z31">
        <f t="shared" si="21"/>
        <v>0.42729832837062443</v>
      </c>
    </row>
    <row r="32" spans="1:26" x14ac:dyDescent="0.25">
      <c r="A32" s="11" t="s">
        <v>38</v>
      </c>
      <c r="B32" s="5">
        <v>772</v>
      </c>
      <c r="C32" s="5">
        <v>700</v>
      </c>
      <c r="D32" s="5">
        <v>981</v>
      </c>
      <c r="E32" s="5">
        <v>1324</v>
      </c>
      <c r="F32" s="14">
        <v>1558</v>
      </c>
      <c r="G32">
        <f t="shared" si="0"/>
        <v>12454042</v>
      </c>
      <c r="H32">
        <f t="shared" si="1"/>
        <v>15356712</v>
      </c>
      <c r="I32">
        <f t="shared" si="2"/>
        <v>16395306</v>
      </c>
      <c r="J32">
        <f t="shared" si="3"/>
        <v>18356186</v>
      </c>
      <c r="K32">
        <f t="shared" si="4"/>
        <v>20548862</v>
      </c>
      <c r="L32">
        <f t="shared" si="6"/>
        <v>6.1987907219198394E-5</v>
      </c>
      <c r="M32">
        <f t="shared" si="7"/>
        <v>4.5582674207864286E-5</v>
      </c>
      <c r="N32">
        <f t="shared" si="8"/>
        <v>5.9834198885949427E-5</v>
      </c>
      <c r="O32">
        <f t="shared" si="9"/>
        <v>7.2128273269839386E-5</v>
      </c>
      <c r="P32">
        <f t="shared" si="10"/>
        <v>7.5819283812407712E-5</v>
      </c>
      <c r="Q32">
        <f t="shared" si="12"/>
        <v>0.77523703794695686</v>
      </c>
      <c r="R32">
        <f t="shared" si="13"/>
        <v>0.80467654691580282</v>
      </c>
      <c r="S32">
        <f t="shared" si="14"/>
        <v>1.6375281570427958</v>
      </c>
      <c r="T32">
        <f t="shared" si="15"/>
        <v>1.2243217339918611</v>
      </c>
      <c r="U32">
        <f t="shared" si="16"/>
        <v>1.2218126631569266</v>
      </c>
      <c r="V32">
        <f t="shared" si="17"/>
        <v>-0.12661011304325825</v>
      </c>
      <c r="W32">
        <f t="shared" si="18"/>
        <v>-0.10823183435170447</v>
      </c>
      <c r="X32">
        <f t="shared" si="19"/>
        <v>0.24171425633521737</v>
      </c>
      <c r="Y32">
        <f t="shared" si="20"/>
        <v>0.10084949967614797</v>
      </c>
      <c r="Z32">
        <f t="shared" si="21"/>
        <v>9.9834098002555119E-2</v>
      </c>
    </row>
    <row r="33" spans="1:26" ht="34.5" x14ac:dyDescent="0.25">
      <c r="A33" s="12" t="s">
        <v>39</v>
      </c>
      <c r="B33" s="4">
        <v>28</v>
      </c>
      <c r="C33" s="4">
        <v>318</v>
      </c>
      <c r="D33" s="4">
        <v>875</v>
      </c>
      <c r="E33" s="4">
        <v>632</v>
      </c>
      <c r="F33" s="6">
        <v>1340</v>
      </c>
      <c r="G33">
        <f t="shared" si="0"/>
        <v>5984824</v>
      </c>
      <c r="H33">
        <f t="shared" si="1"/>
        <v>6390863</v>
      </c>
      <c r="I33">
        <f t="shared" si="2"/>
        <v>6824846</v>
      </c>
      <c r="J33">
        <f t="shared" si="3"/>
        <v>7274329</v>
      </c>
      <c r="K33">
        <f t="shared" si="4"/>
        <v>7789205</v>
      </c>
      <c r="L33">
        <f t="shared" si="6"/>
        <v>4.678500153053791E-6</v>
      </c>
      <c r="M33">
        <f t="shared" si="7"/>
        <v>4.975853808789204E-5</v>
      </c>
      <c r="N33">
        <f t="shared" si="8"/>
        <v>1.2820802110406594E-4</v>
      </c>
      <c r="O33">
        <f t="shared" si="9"/>
        <v>8.6880865575367846E-5</v>
      </c>
      <c r="P33">
        <f t="shared" si="10"/>
        <v>1.7203296100179672E-4</v>
      </c>
      <c r="Q33">
        <f t="shared" si="12"/>
        <v>5.8510550902491139E-2</v>
      </c>
      <c r="R33">
        <f t="shared" si="13"/>
        <v>0.87839358493002762</v>
      </c>
      <c r="S33">
        <f t="shared" si="14"/>
        <v>3.5087666990715762</v>
      </c>
      <c r="T33">
        <f t="shared" si="15"/>
        <v>1.4747355949310805</v>
      </c>
      <c r="U33">
        <f t="shared" si="16"/>
        <v>2.7722769150976778</v>
      </c>
      <c r="V33">
        <f t="shared" si="17"/>
        <v>-0.8894473921821473</v>
      </c>
      <c r="W33">
        <f t="shared" si="18"/>
        <v>-6.4739581760497961E-2</v>
      </c>
      <c r="X33">
        <f t="shared" si="19"/>
        <v>0.55641971885308894</v>
      </c>
      <c r="Y33">
        <f t="shared" si="20"/>
        <v>0.19183285515570467</v>
      </c>
      <c r="Z33">
        <f t="shared" si="21"/>
        <v>0.46981622902723386</v>
      </c>
    </row>
    <row r="34" spans="1:26" x14ac:dyDescent="0.25">
      <c r="A34" s="11" t="s">
        <v>40</v>
      </c>
      <c r="B34" s="5">
        <v>1173</v>
      </c>
      <c r="C34" s="5">
        <v>2220</v>
      </c>
      <c r="D34" s="5">
        <v>1592</v>
      </c>
      <c r="E34" s="5">
        <v>1730</v>
      </c>
      <c r="F34" s="14">
        <v>1175</v>
      </c>
      <c r="G34">
        <f t="shared" ref="G34:G65" si="22">VLOOKUP(A34,EXPOTOTAL,2,FALSE)</f>
        <v>4666296</v>
      </c>
      <c r="H34">
        <f t="shared" ref="H34:H65" si="23">VLOOKUP(A34,EXPOTOTAL,3,FALSE)</f>
        <v>4975949</v>
      </c>
      <c r="I34">
        <f t="shared" ref="I34:I65" si="24">VLOOKUP(A34,EXPOTOTAL,4,FALSE)</f>
        <v>6479173</v>
      </c>
      <c r="J34">
        <f t="shared" ref="J34:J65" si="25">VLOOKUP(A34,EXPOTOTAL,5,FALSE)</f>
        <v>7170971</v>
      </c>
      <c r="K34">
        <f t="shared" ref="K34:K65" si="26">VLOOKUP(A34,EXPOTOTAL,6,FALSE)</f>
        <v>6970520</v>
      </c>
      <c r="L34">
        <f t="shared" si="6"/>
        <v>2.5137710938183091E-4</v>
      </c>
      <c r="M34">
        <f t="shared" si="7"/>
        <v>4.4614605173807045E-4</v>
      </c>
      <c r="N34">
        <f t="shared" si="8"/>
        <v>2.4571037075256364E-4</v>
      </c>
      <c r="O34">
        <f t="shared" si="9"/>
        <v>2.4125045269322661E-4</v>
      </c>
      <c r="P34">
        <f t="shared" si="10"/>
        <v>1.6856705095172239E-4</v>
      </c>
      <c r="Q34">
        <f t="shared" si="12"/>
        <v>3.1437881100861413</v>
      </c>
      <c r="R34">
        <f t="shared" si="13"/>
        <v>7.8758710534532765</v>
      </c>
      <c r="S34">
        <f t="shared" si="14"/>
        <v>6.7245431220978755</v>
      </c>
      <c r="T34">
        <f t="shared" si="15"/>
        <v>4.095040116414399</v>
      </c>
      <c r="U34">
        <f t="shared" si="16"/>
        <v>2.7164244646970492</v>
      </c>
      <c r="V34">
        <f t="shared" si="17"/>
        <v>0.5173498386339006</v>
      </c>
      <c r="W34">
        <f t="shared" si="18"/>
        <v>0.7746700027574337</v>
      </c>
      <c r="X34">
        <f t="shared" si="19"/>
        <v>0.74108501067480237</v>
      </c>
      <c r="Y34">
        <f t="shared" si="20"/>
        <v>0.60746138316816889</v>
      </c>
      <c r="Z34">
        <f t="shared" si="21"/>
        <v>0.46184833863883373</v>
      </c>
    </row>
    <row r="35" spans="1:26" x14ac:dyDescent="0.25">
      <c r="A35" s="12" t="s">
        <v>63</v>
      </c>
      <c r="B35" s="4">
        <v>3128</v>
      </c>
      <c r="C35" s="4">
        <v>2244</v>
      </c>
      <c r="D35" s="4">
        <v>1707</v>
      </c>
      <c r="E35" s="4">
        <v>1351</v>
      </c>
      <c r="F35" s="13">
        <v>1172</v>
      </c>
      <c r="G35">
        <f t="shared" si="22"/>
        <v>169238399</v>
      </c>
      <c r="H35">
        <f t="shared" si="23"/>
        <v>203023624</v>
      </c>
      <c r="I35">
        <f t="shared" si="24"/>
        <v>212249157</v>
      </c>
      <c r="J35">
        <f t="shared" si="25"/>
        <v>224181574</v>
      </c>
      <c r="K35">
        <f t="shared" si="26"/>
        <v>213878140</v>
      </c>
      <c r="L35">
        <f t="shared" si="6"/>
        <v>1.8482803066460113E-5</v>
      </c>
      <c r="M35">
        <f t="shared" si="7"/>
        <v>1.1052900917579916E-5</v>
      </c>
      <c r="N35">
        <f t="shared" si="8"/>
        <v>8.0424347692462211E-6</v>
      </c>
      <c r="O35">
        <f t="shared" si="9"/>
        <v>6.0263650392605418E-6</v>
      </c>
      <c r="P35">
        <f t="shared" si="10"/>
        <v>5.4797559021225826E-6</v>
      </c>
      <c r="Q35">
        <f t="shared" si="12"/>
        <v>0.23115078641922188</v>
      </c>
      <c r="R35">
        <f t="shared" si="13"/>
        <v>0.19511821757544556</v>
      </c>
      <c r="S35">
        <f t="shared" si="14"/>
        <v>0.22010344637393059</v>
      </c>
      <c r="T35">
        <f t="shared" si="15"/>
        <v>0.10229289237152184</v>
      </c>
      <c r="U35">
        <f t="shared" si="16"/>
        <v>8.830517535337909E-2</v>
      </c>
      <c r="V35">
        <f t="shared" si="17"/>
        <v>-0.62449638343403979</v>
      </c>
      <c r="W35">
        <f t="shared" si="18"/>
        <v>-0.67347461580615042</v>
      </c>
      <c r="X35">
        <f t="shared" si="19"/>
        <v>-0.63920527062182475</v>
      </c>
      <c r="Y35">
        <f t="shared" si="20"/>
        <v>-0.81439979686080644</v>
      </c>
      <c r="Z35">
        <f t="shared" si="21"/>
        <v>-0.83771982831064662</v>
      </c>
    </row>
    <row r="36" spans="1:26" x14ac:dyDescent="0.25">
      <c r="A36" s="11" t="s">
        <v>49</v>
      </c>
      <c r="B36" s="5">
        <v>458</v>
      </c>
      <c r="C36" s="5">
        <v>504</v>
      </c>
      <c r="D36" s="5">
        <v>590</v>
      </c>
      <c r="E36" s="5">
        <v>719</v>
      </c>
      <c r="F36" s="14">
        <v>1065</v>
      </c>
      <c r="G36">
        <f t="shared" si="22"/>
        <v>373909153</v>
      </c>
      <c r="H36">
        <f t="shared" si="23"/>
        <v>457749966</v>
      </c>
      <c r="I36">
        <f t="shared" si="24"/>
        <v>515077895</v>
      </c>
      <c r="J36">
        <f t="shared" si="25"/>
        <v>475472598</v>
      </c>
      <c r="K36">
        <f t="shared" si="26"/>
        <v>504878086</v>
      </c>
      <c r="L36">
        <f t="shared" si="6"/>
        <v>1.2248964656930984E-6</v>
      </c>
      <c r="M36">
        <f t="shared" si="7"/>
        <v>1.1010377661065736E-6</v>
      </c>
      <c r="N36">
        <f t="shared" si="8"/>
        <v>1.1454578146864564E-6</v>
      </c>
      <c r="O36">
        <f t="shared" si="9"/>
        <v>1.5121796777024783E-6</v>
      </c>
      <c r="P36">
        <f t="shared" si="10"/>
        <v>2.1094201343490276E-6</v>
      </c>
      <c r="Q36">
        <f t="shared" si="12"/>
        <v>1.5318876704414956E-2</v>
      </c>
      <c r="R36">
        <f t="shared" si="13"/>
        <v>1.9436754930487837E-2</v>
      </c>
      <c r="S36">
        <f t="shared" si="14"/>
        <v>3.1348617666447059E-2</v>
      </c>
      <c r="T36">
        <f t="shared" si="15"/>
        <v>2.5668082170575361E-2</v>
      </c>
      <c r="U36">
        <f t="shared" si="16"/>
        <v>3.3992885483363711E-2</v>
      </c>
      <c r="V36">
        <f t="shared" si="17"/>
        <v>-0.96982450133471765</v>
      </c>
      <c r="W36">
        <f t="shared" si="18"/>
        <v>-0.96186765910394667</v>
      </c>
      <c r="X36">
        <f t="shared" si="19"/>
        <v>-0.93920849433554843</v>
      </c>
      <c r="Y36">
        <f t="shared" si="20"/>
        <v>-0.94994856013018347</v>
      </c>
      <c r="Z36">
        <f t="shared" si="21"/>
        <v>-0.9342492855403487</v>
      </c>
    </row>
    <row r="37" spans="1:26" x14ac:dyDescent="0.25">
      <c r="A37" s="12" t="s">
        <v>44</v>
      </c>
      <c r="B37" s="4">
        <v>396</v>
      </c>
      <c r="C37" s="4">
        <v>675</v>
      </c>
      <c r="D37" s="4">
        <v>232</v>
      </c>
      <c r="E37" s="4">
        <v>409</v>
      </c>
      <c r="F37" s="6">
        <v>1037</v>
      </c>
      <c r="G37">
        <f t="shared" si="22"/>
        <v>5087343</v>
      </c>
      <c r="H37">
        <f t="shared" si="23"/>
        <v>6495086</v>
      </c>
      <c r="I37">
        <f t="shared" si="24"/>
        <v>7359829</v>
      </c>
      <c r="J37">
        <f t="shared" si="25"/>
        <v>7378486</v>
      </c>
      <c r="K37">
        <f t="shared" si="26"/>
        <v>7769133</v>
      </c>
      <c r="L37">
        <f t="shared" si="6"/>
        <v>7.7840239983818665E-5</v>
      </c>
      <c r="M37">
        <f t="shared" si="7"/>
        <v>1.0392472093518085E-4</v>
      </c>
      <c r="N37">
        <f t="shared" si="8"/>
        <v>3.1522471513944142E-5</v>
      </c>
      <c r="O37">
        <f t="shared" si="9"/>
        <v>5.5431425904989179E-5</v>
      </c>
      <c r="P37">
        <f t="shared" si="10"/>
        <v>1.3347692721954945E-4</v>
      </c>
      <c r="Q37">
        <f t="shared" si="12"/>
        <v>0.97349047233919861</v>
      </c>
      <c r="R37">
        <f t="shared" si="13"/>
        <v>1.8345958642084665</v>
      </c>
      <c r="S37">
        <f t="shared" si="14"/>
        <v>0.86269952042066034</v>
      </c>
      <c r="T37">
        <f t="shared" si="15"/>
        <v>0.94090564497148454</v>
      </c>
      <c r="U37">
        <f t="shared" si="16"/>
        <v>2.1509541071322089</v>
      </c>
      <c r="V37">
        <f t="shared" si="17"/>
        <v>-1.3432812588843854E-2</v>
      </c>
      <c r="W37">
        <f t="shared" si="18"/>
        <v>0.29443204752629498</v>
      </c>
      <c r="X37">
        <f t="shared" si="19"/>
        <v>-7.3710482057961005E-2</v>
      </c>
      <c r="Y37">
        <f t="shared" si="20"/>
        <v>-3.0446794351707735E-2</v>
      </c>
      <c r="Z37">
        <f t="shared" si="21"/>
        <v>0.36527161869067387</v>
      </c>
    </row>
    <row r="38" spans="1:26" x14ac:dyDescent="0.25">
      <c r="A38" s="11" t="s">
        <v>43</v>
      </c>
      <c r="B38" s="5">
        <v>1968</v>
      </c>
      <c r="C38" s="5">
        <v>1477</v>
      </c>
      <c r="D38" s="5">
        <v>1007</v>
      </c>
      <c r="E38" s="5">
        <v>2447</v>
      </c>
      <c r="F38" s="14">
        <v>999</v>
      </c>
      <c r="G38">
        <f t="shared" si="22"/>
        <v>106871154</v>
      </c>
      <c r="H38">
        <f t="shared" si="23"/>
        <v>125384922</v>
      </c>
      <c r="I38">
        <f t="shared" si="24"/>
        <v>129811334</v>
      </c>
      <c r="J38">
        <f t="shared" si="25"/>
        <v>136074398</v>
      </c>
      <c r="K38">
        <f t="shared" si="26"/>
        <v>133654778</v>
      </c>
      <c r="L38">
        <f t="shared" si="6"/>
        <v>1.8414697758386701E-5</v>
      </c>
      <c r="M38">
        <f t="shared" si="7"/>
        <v>1.1779725795099989E-5</v>
      </c>
      <c r="N38">
        <f t="shared" si="8"/>
        <v>7.7574119991710435E-6</v>
      </c>
      <c r="O38">
        <f t="shared" si="9"/>
        <v>1.7982809668575568E-5</v>
      </c>
      <c r="P38">
        <f t="shared" si="10"/>
        <v>7.4744802613790579E-6</v>
      </c>
      <c r="Q38">
        <f t="shared" si="12"/>
        <v>0.23029904356052855</v>
      </c>
      <c r="R38">
        <f t="shared" si="13"/>
        <v>0.20794894641746794</v>
      </c>
      <c r="S38">
        <f t="shared" si="14"/>
        <v>0.21230301083561776</v>
      </c>
      <c r="T38">
        <f t="shared" si="15"/>
        <v>0.30524430597567626</v>
      </c>
      <c r="U38">
        <f t="shared" si="16"/>
        <v>0.12044976125684428</v>
      </c>
      <c r="V38">
        <f t="shared" si="17"/>
        <v>-0.62562103129978053</v>
      </c>
      <c r="W38">
        <f t="shared" si="18"/>
        <v>-0.65569911371800527</v>
      </c>
      <c r="X38">
        <f t="shared" si="19"/>
        <v>-0.64975256361149969</v>
      </c>
      <c r="Y38">
        <f t="shared" si="20"/>
        <v>-0.53228019524282899</v>
      </c>
      <c r="Z38">
        <f t="shared" si="21"/>
        <v>-0.78499747972326417</v>
      </c>
    </row>
    <row r="39" spans="1:26" x14ac:dyDescent="0.25">
      <c r="A39" s="12" t="s">
        <v>42</v>
      </c>
      <c r="B39" s="4">
        <v>0</v>
      </c>
      <c r="C39" s="4">
        <v>0</v>
      </c>
      <c r="D39" s="4">
        <v>16</v>
      </c>
      <c r="E39" s="4">
        <v>21</v>
      </c>
      <c r="F39" s="13">
        <v>979</v>
      </c>
      <c r="G39">
        <f t="shared" si="22"/>
        <v>63879430</v>
      </c>
      <c r="H39">
        <f t="shared" si="23"/>
        <v>74619723</v>
      </c>
      <c r="I39">
        <f t="shared" si="24"/>
        <v>78929719</v>
      </c>
      <c r="J39">
        <f t="shared" si="25"/>
        <v>72923286</v>
      </c>
      <c r="K39">
        <f t="shared" si="26"/>
        <v>72983914</v>
      </c>
      <c r="L39">
        <f t="shared" si="6"/>
        <v>0</v>
      </c>
      <c r="M39">
        <f t="shared" si="7"/>
        <v>0</v>
      </c>
      <c r="N39">
        <f t="shared" si="8"/>
        <v>2.0271198482285234E-7</v>
      </c>
      <c r="O39">
        <f t="shared" si="9"/>
        <v>2.8797385789773652E-7</v>
      </c>
      <c r="P39">
        <f t="shared" si="10"/>
        <v>1.3413914742911706E-5</v>
      </c>
      <c r="Q39">
        <f t="shared" si="12"/>
        <v>0</v>
      </c>
      <c r="R39">
        <f t="shared" si="13"/>
        <v>0</v>
      </c>
      <c r="S39">
        <f t="shared" si="14"/>
        <v>5.5477734990683055E-3</v>
      </c>
      <c r="T39">
        <f t="shared" si="15"/>
        <v>4.8881338352114922E-3</v>
      </c>
      <c r="U39">
        <f t="shared" si="16"/>
        <v>0.21616256539625647</v>
      </c>
      <c r="V39">
        <f t="shared" si="17"/>
        <v>-1</v>
      </c>
      <c r="W39">
        <f t="shared" si="18"/>
        <v>-1</v>
      </c>
      <c r="X39">
        <f t="shared" si="19"/>
        <v>-0.98896566897112526</v>
      </c>
      <c r="Y39">
        <f t="shared" si="20"/>
        <v>-0.99027128757794025</v>
      </c>
      <c r="Z39">
        <f t="shared" si="21"/>
        <v>-0.64451698885202036</v>
      </c>
    </row>
    <row r="40" spans="1:26" x14ac:dyDescent="0.25">
      <c r="A40" s="11" t="s">
        <v>53</v>
      </c>
      <c r="B40" s="5">
        <v>1314</v>
      </c>
      <c r="C40" s="5">
        <v>1005</v>
      </c>
      <c r="D40" s="5">
        <v>1049</v>
      </c>
      <c r="E40" s="5">
        <v>385</v>
      </c>
      <c r="F40" s="14">
        <v>837</v>
      </c>
      <c r="G40">
        <f t="shared" si="22"/>
        <v>254531426</v>
      </c>
      <c r="H40">
        <f t="shared" si="23"/>
        <v>345599938</v>
      </c>
      <c r="I40">
        <f t="shared" si="24"/>
        <v>402166083</v>
      </c>
      <c r="J40">
        <f t="shared" si="25"/>
        <v>370869477</v>
      </c>
      <c r="K40">
        <f t="shared" si="26"/>
        <v>345858153</v>
      </c>
      <c r="L40">
        <f t="shared" si="6"/>
        <v>5.1624273695775388E-6</v>
      </c>
      <c r="M40">
        <f t="shared" si="7"/>
        <v>2.9079866327985278E-6</v>
      </c>
      <c r="N40">
        <f t="shared" si="8"/>
        <v>2.6083751075547561E-6</v>
      </c>
      <c r="O40">
        <f t="shared" si="9"/>
        <v>1.0381010675623759E-6</v>
      </c>
      <c r="P40">
        <f t="shared" si="10"/>
        <v>2.4200672811665654E-6</v>
      </c>
      <c r="Q40">
        <f t="shared" si="12"/>
        <v>6.4562671691037368E-2</v>
      </c>
      <c r="R40">
        <f t="shared" si="13"/>
        <v>5.1335045229836875E-2</v>
      </c>
      <c r="S40">
        <f t="shared" si="14"/>
        <v>7.138539100175785E-2</v>
      </c>
      <c r="T40">
        <f t="shared" si="15"/>
        <v>1.7620963895003283E-2</v>
      </c>
      <c r="U40">
        <f t="shared" si="16"/>
        <v>3.8998902405052487E-2</v>
      </c>
      <c r="V40">
        <f t="shared" si="17"/>
        <v>-0.87870573821928055</v>
      </c>
      <c r="W40">
        <f t="shared" si="18"/>
        <v>-0.90234312940911365</v>
      </c>
      <c r="X40">
        <f t="shared" si="19"/>
        <v>-0.86674189959784365</v>
      </c>
      <c r="Y40">
        <f t="shared" si="20"/>
        <v>-0.96536831586574612</v>
      </c>
      <c r="Z40">
        <f t="shared" si="21"/>
        <v>-0.92492984869420236</v>
      </c>
    </row>
    <row r="41" spans="1:26" x14ac:dyDescent="0.25">
      <c r="A41" s="12" t="s">
        <v>45</v>
      </c>
      <c r="B41" s="4">
        <v>2320</v>
      </c>
      <c r="C41" s="4">
        <v>937</v>
      </c>
      <c r="D41" s="4">
        <v>552</v>
      </c>
      <c r="E41" s="4">
        <v>961</v>
      </c>
      <c r="F41" s="13">
        <v>825</v>
      </c>
      <c r="G41">
        <f t="shared" si="22"/>
        <v>32790372</v>
      </c>
      <c r="H41">
        <f t="shared" si="23"/>
        <v>40698383</v>
      </c>
      <c r="I41">
        <f t="shared" si="24"/>
        <v>46501899</v>
      </c>
      <c r="J41">
        <f t="shared" si="25"/>
        <v>42625692</v>
      </c>
      <c r="K41">
        <f t="shared" si="26"/>
        <v>39720644</v>
      </c>
      <c r="L41">
        <f t="shared" si="6"/>
        <v>7.0752475757213129E-5</v>
      </c>
      <c r="M41">
        <f t="shared" si="7"/>
        <v>2.3023027720781928E-5</v>
      </c>
      <c r="N41">
        <f t="shared" si="8"/>
        <v>1.1870482966727874E-5</v>
      </c>
      <c r="O41">
        <f t="shared" si="9"/>
        <v>2.2545088534867658E-5</v>
      </c>
      <c r="P41">
        <f t="shared" si="10"/>
        <v>2.0770055994056894E-5</v>
      </c>
      <c r="Q41">
        <f t="shared" si="12"/>
        <v>0.88484903256175917</v>
      </c>
      <c r="R41">
        <f t="shared" si="13"/>
        <v>0.40642833637674858</v>
      </c>
      <c r="S41">
        <f t="shared" si="14"/>
        <v>0.3248685610843598</v>
      </c>
      <c r="T41">
        <f t="shared" si="15"/>
        <v>0.38268546627680361</v>
      </c>
      <c r="U41">
        <f t="shared" si="16"/>
        <v>0.33470531706426132</v>
      </c>
      <c r="V41">
        <f t="shared" si="17"/>
        <v>-6.1092939248155821E-2</v>
      </c>
      <c r="W41">
        <f t="shared" si="18"/>
        <v>-0.42204188316655739</v>
      </c>
      <c r="X41">
        <f t="shared" si="19"/>
        <v>-0.5095837117329346</v>
      </c>
      <c r="Y41">
        <f t="shared" si="20"/>
        <v>-0.44646056444453475</v>
      </c>
      <c r="Z41">
        <f t="shared" si="21"/>
        <v>-0.49845810489395626</v>
      </c>
    </row>
    <row r="42" spans="1:26" x14ac:dyDescent="0.25">
      <c r="A42" s="11" t="s">
        <v>46</v>
      </c>
      <c r="B42" s="5">
        <v>1849</v>
      </c>
      <c r="C42" s="5">
        <v>3079</v>
      </c>
      <c r="D42" s="5">
        <v>3172</v>
      </c>
      <c r="E42" s="5">
        <v>4767</v>
      </c>
      <c r="F42" s="7">
        <v>824</v>
      </c>
      <c r="G42">
        <f t="shared" si="22"/>
        <v>827647</v>
      </c>
      <c r="H42">
        <f t="shared" si="23"/>
        <v>815880</v>
      </c>
      <c r="I42">
        <f t="shared" si="24"/>
        <v>1070466</v>
      </c>
      <c r="J42">
        <f t="shared" si="25"/>
        <v>1078446</v>
      </c>
      <c r="K42">
        <f t="shared" si="26"/>
        <v>710553</v>
      </c>
      <c r="L42">
        <f t="shared" si="6"/>
        <v>2.2340442241680328E-3</v>
      </c>
      <c r="M42">
        <f t="shared" si="7"/>
        <v>3.77383929009168E-3</v>
      </c>
      <c r="N42">
        <f t="shared" si="8"/>
        <v>2.963195468141912E-3</v>
      </c>
      <c r="O42">
        <f t="shared" si="9"/>
        <v>4.4202491362571698E-3</v>
      </c>
      <c r="P42">
        <f t="shared" si="10"/>
        <v>1.1596601520224388E-3</v>
      </c>
      <c r="Q42">
        <f t="shared" si="12"/>
        <v>27.939543447760386</v>
      </c>
      <c r="R42">
        <f t="shared" si="13"/>
        <v>66.620048545599332</v>
      </c>
      <c r="S42">
        <f t="shared" si="14"/>
        <v>81.096030434919641</v>
      </c>
      <c r="T42">
        <f t="shared" si="15"/>
        <v>75.030315323538517</v>
      </c>
      <c r="U42">
        <f t="shared" si="16"/>
        <v>18.687692463637209</v>
      </c>
      <c r="V42">
        <f t="shared" si="17"/>
        <v>0.93089040939397483</v>
      </c>
      <c r="W42">
        <f t="shared" si="18"/>
        <v>0.97042297302328451</v>
      </c>
      <c r="X42">
        <f t="shared" si="19"/>
        <v>0.97563828617042003</v>
      </c>
      <c r="Y42">
        <f t="shared" si="20"/>
        <v>0.97369470333656749</v>
      </c>
      <c r="Z42">
        <f t="shared" si="21"/>
        <v>0.89841369151341821</v>
      </c>
    </row>
    <row r="43" spans="1:26" ht="23.25" x14ac:dyDescent="0.25">
      <c r="A43" s="12" t="s">
        <v>47</v>
      </c>
      <c r="B43" s="4">
        <v>2269</v>
      </c>
      <c r="C43" s="4">
        <v>2047</v>
      </c>
      <c r="D43" s="4">
        <v>1204</v>
      </c>
      <c r="E43" s="4">
        <v>1046</v>
      </c>
      <c r="F43" s="13">
        <v>800</v>
      </c>
      <c r="G43">
        <f t="shared" si="22"/>
        <v>192307380</v>
      </c>
      <c r="H43">
        <f t="shared" si="23"/>
        <v>227168411</v>
      </c>
      <c r="I43">
        <f t="shared" si="24"/>
        <v>241689131</v>
      </c>
      <c r="J43">
        <f t="shared" si="25"/>
        <v>253327521</v>
      </c>
      <c r="K43">
        <f t="shared" si="26"/>
        <v>259292432</v>
      </c>
      <c r="L43">
        <f t="shared" si="6"/>
        <v>1.1798819161282319E-5</v>
      </c>
      <c r="M43">
        <f t="shared" si="7"/>
        <v>9.0109359439063905E-6</v>
      </c>
      <c r="N43">
        <f t="shared" si="8"/>
        <v>4.9816058960466868E-6</v>
      </c>
      <c r="O43">
        <f t="shared" si="9"/>
        <v>4.1290421027725604E-6</v>
      </c>
      <c r="P43">
        <f t="shared" si="10"/>
        <v>3.0853195129119694E-6</v>
      </c>
      <c r="Q43">
        <f t="shared" si="12"/>
        <v>0.14755912932371759</v>
      </c>
      <c r="R43">
        <f t="shared" si="13"/>
        <v>0.15907115907146807</v>
      </c>
      <c r="S43">
        <f t="shared" si="14"/>
        <v>0.13633540807684227</v>
      </c>
      <c r="T43">
        <f t="shared" si="15"/>
        <v>7.0087300829725765E-2</v>
      </c>
      <c r="U43">
        <f t="shared" si="16"/>
        <v>4.9719309669133308E-2</v>
      </c>
      <c r="V43">
        <f t="shared" si="17"/>
        <v>-0.74282958402208432</v>
      </c>
      <c r="W43">
        <f t="shared" si="18"/>
        <v>-0.72551959760796747</v>
      </c>
      <c r="X43">
        <f t="shared" si="19"/>
        <v>-0.76004372105665674</v>
      </c>
      <c r="Y43">
        <f t="shared" si="20"/>
        <v>-0.86900638709499423</v>
      </c>
      <c r="Z43">
        <f t="shared" si="21"/>
        <v>-0.90527122972558327</v>
      </c>
    </row>
    <row r="44" spans="1:26" ht="23.25" x14ac:dyDescent="0.25">
      <c r="A44" s="11" t="s">
        <v>58</v>
      </c>
      <c r="B44" s="5">
        <v>45850</v>
      </c>
      <c r="C44" s="5">
        <v>42709</v>
      </c>
      <c r="D44" s="5">
        <v>47074</v>
      </c>
      <c r="E44" s="5">
        <v>47311</v>
      </c>
      <c r="F44" s="7">
        <v>736</v>
      </c>
      <c r="G44">
        <f t="shared" si="22"/>
        <v>335296908</v>
      </c>
      <c r="H44">
        <f t="shared" si="23"/>
        <v>425159797</v>
      </c>
      <c r="I44">
        <f t="shared" si="24"/>
        <v>515621189</v>
      </c>
      <c r="J44">
        <f t="shared" si="25"/>
        <v>570245384</v>
      </c>
      <c r="K44">
        <f t="shared" si="26"/>
        <v>296147744</v>
      </c>
      <c r="L44">
        <f t="shared" si="6"/>
        <v>1.3674447603316401E-4</v>
      </c>
      <c r="M44">
        <f t="shared" si="7"/>
        <v>1.004539947129573E-4</v>
      </c>
      <c r="N44">
        <f t="shared" si="8"/>
        <v>9.1295705072353027E-5</v>
      </c>
      <c r="O44">
        <f t="shared" si="9"/>
        <v>8.296603765231004E-5</v>
      </c>
      <c r="P44">
        <f t="shared" si="10"/>
        <v>2.4852460128820027E-6</v>
      </c>
      <c r="Q44">
        <f t="shared" si="12"/>
        <v>1.7101623092499942</v>
      </c>
      <c r="R44">
        <f t="shared" si="13"/>
        <v>1.7733267078826815</v>
      </c>
      <c r="S44">
        <f t="shared" si="14"/>
        <v>2.4985591928458</v>
      </c>
      <c r="T44">
        <f t="shared" si="15"/>
        <v>1.4082844143641102</v>
      </c>
      <c r="U44">
        <f t="shared" si="16"/>
        <v>4.0049244689681095E-2</v>
      </c>
      <c r="V44">
        <f t="shared" si="17"/>
        <v>0.26203681854262206</v>
      </c>
      <c r="W44">
        <f t="shared" si="18"/>
        <v>0.27884443101659812</v>
      </c>
      <c r="X44">
        <f t="shared" si="19"/>
        <v>0.42833609787429122</v>
      </c>
      <c r="Y44">
        <f t="shared" si="20"/>
        <v>0.16953330425962779</v>
      </c>
      <c r="Z44">
        <f t="shared" si="21"/>
        <v>-0.92298586842081576</v>
      </c>
    </row>
    <row r="45" spans="1:26" x14ac:dyDescent="0.25">
      <c r="A45" s="12" t="s">
        <v>48</v>
      </c>
      <c r="B45" s="4">
        <v>31</v>
      </c>
      <c r="C45" s="4">
        <v>452</v>
      </c>
      <c r="D45" s="4">
        <v>74</v>
      </c>
      <c r="E45" s="4">
        <v>148</v>
      </c>
      <c r="F45" s="6">
        <v>679</v>
      </c>
      <c r="G45">
        <f t="shared" si="22"/>
        <v>2526221</v>
      </c>
      <c r="H45">
        <f t="shared" si="23"/>
        <v>3057629</v>
      </c>
      <c r="I45">
        <f t="shared" si="24"/>
        <v>3083778</v>
      </c>
      <c r="J45">
        <f t="shared" si="25"/>
        <v>2857941</v>
      </c>
      <c r="K45">
        <f t="shared" si="26"/>
        <v>3295705</v>
      </c>
      <c r="L45">
        <f t="shared" si="6"/>
        <v>1.227129376250138E-5</v>
      </c>
      <c r="M45">
        <f t="shared" si="7"/>
        <v>1.4782696003995253E-4</v>
      </c>
      <c r="N45">
        <f t="shared" si="8"/>
        <v>2.3996539309898442E-5</v>
      </c>
      <c r="O45">
        <f t="shared" si="9"/>
        <v>5.1785533711157788E-5</v>
      </c>
      <c r="P45">
        <f t="shared" si="10"/>
        <v>2.0602572135552182E-4</v>
      </c>
      <c r="Q45">
        <f t="shared" si="12"/>
        <v>0.15346802069924048</v>
      </c>
      <c r="R45">
        <f t="shared" si="13"/>
        <v>2.6096074838339929</v>
      </c>
      <c r="S45">
        <f t="shared" si="14"/>
        <v>0.65673159369015055</v>
      </c>
      <c r="T45">
        <f t="shared" si="15"/>
        <v>0.87901944070870253</v>
      </c>
      <c r="U45">
        <f t="shared" si="16"/>
        <v>3.3200634803018625</v>
      </c>
      <c r="V45">
        <f t="shared" si="17"/>
        <v>-0.73390155956606917</v>
      </c>
      <c r="W45">
        <f t="shared" si="18"/>
        <v>0.44592313459089095</v>
      </c>
      <c r="X45">
        <f t="shared" si="19"/>
        <v>-0.20719614910298442</v>
      </c>
      <c r="Y45">
        <f t="shared" si="20"/>
        <v>-6.4384942843203216E-2</v>
      </c>
      <c r="Z45">
        <f t="shared" si="21"/>
        <v>0.53704383995296034</v>
      </c>
    </row>
    <row r="46" spans="1:26" x14ac:dyDescent="0.25">
      <c r="A46" s="11" t="s">
        <v>51</v>
      </c>
      <c r="B46" s="5">
        <v>221</v>
      </c>
      <c r="C46" s="5">
        <v>270</v>
      </c>
      <c r="D46" s="5">
        <v>342</v>
      </c>
      <c r="E46" s="5">
        <v>723</v>
      </c>
      <c r="F46" s="14">
        <v>645</v>
      </c>
      <c r="G46">
        <f t="shared" si="22"/>
        <v>17144989</v>
      </c>
      <c r="H46">
        <f t="shared" si="23"/>
        <v>21919900</v>
      </c>
      <c r="I46">
        <f t="shared" si="24"/>
        <v>25592614</v>
      </c>
      <c r="J46">
        <f t="shared" si="25"/>
        <v>24975484</v>
      </c>
      <c r="K46">
        <f t="shared" si="26"/>
        <v>25968345</v>
      </c>
      <c r="L46">
        <f t="shared" si="6"/>
        <v>1.2890063679830882E-5</v>
      </c>
      <c r="M46">
        <f t="shared" si="7"/>
        <v>1.231757444148924E-5</v>
      </c>
      <c r="N46">
        <f t="shared" si="8"/>
        <v>1.3363230500799958E-5</v>
      </c>
      <c r="O46">
        <f t="shared" si="9"/>
        <v>2.89483879471565E-5</v>
      </c>
      <c r="P46">
        <f t="shared" si="10"/>
        <v>2.4837932490499493E-5</v>
      </c>
      <c r="Q46">
        <f t="shared" si="12"/>
        <v>0.16120651969687466</v>
      </c>
      <c r="R46">
        <f t="shared" si="13"/>
        <v>0.21744365463853962</v>
      </c>
      <c r="S46">
        <f t="shared" si="14"/>
        <v>0.36572172138251241</v>
      </c>
      <c r="T46">
        <f t="shared" si="15"/>
        <v>0.49137652852355129</v>
      </c>
      <c r="U46">
        <f t="shared" si="16"/>
        <v>0.40025833689770163</v>
      </c>
      <c r="V46">
        <f t="shared" si="17"/>
        <v>-0.72234651293732566</v>
      </c>
      <c r="W46">
        <f t="shared" si="18"/>
        <v>-0.64278649971180979</v>
      </c>
      <c r="X46">
        <f t="shared" si="19"/>
        <v>-0.46442717333031164</v>
      </c>
      <c r="Y46">
        <f t="shared" si="20"/>
        <v>-0.34104296383152893</v>
      </c>
      <c r="Z46">
        <f t="shared" si="21"/>
        <v>-0.42830786812598959</v>
      </c>
    </row>
    <row r="47" spans="1:26" x14ac:dyDescent="0.25">
      <c r="A47" s="12" t="s">
        <v>60</v>
      </c>
      <c r="B47" s="4">
        <v>264</v>
      </c>
      <c r="C47" s="4">
        <v>278</v>
      </c>
      <c r="D47" s="4">
        <v>216</v>
      </c>
      <c r="E47" s="4">
        <v>526</v>
      </c>
      <c r="F47" s="13">
        <v>625</v>
      </c>
      <c r="G47">
        <f t="shared" si="22"/>
        <v>640953137</v>
      </c>
      <c r="H47">
        <f t="shared" si="23"/>
        <v>757461387</v>
      </c>
      <c r="I47">
        <f t="shared" si="24"/>
        <v>752071999</v>
      </c>
      <c r="J47">
        <f t="shared" si="25"/>
        <v>719844077</v>
      </c>
      <c r="K47">
        <f t="shared" si="26"/>
        <v>707995434</v>
      </c>
      <c r="L47">
        <f t="shared" si="6"/>
        <v>4.1188658695963292E-7</v>
      </c>
      <c r="M47">
        <f t="shared" si="7"/>
        <v>3.6701540800785399E-7</v>
      </c>
      <c r="N47">
        <f t="shared" si="8"/>
        <v>2.8720654443617972E-7</v>
      </c>
      <c r="O47">
        <f t="shared" si="9"/>
        <v>7.3071379873283313E-7</v>
      </c>
      <c r="P47">
        <f t="shared" si="10"/>
        <v>8.8277405472646029E-7</v>
      </c>
      <c r="Q47">
        <f t="shared" si="12"/>
        <v>5.1511617663674483E-3</v>
      </c>
      <c r="R47">
        <f t="shared" si="13"/>
        <v>6.4789680797117857E-3</v>
      </c>
      <c r="S47">
        <f t="shared" si="14"/>
        <v>7.8602005568365278E-3</v>
      </c>
      <c r="T47">
        <f t="shared" si="15"/>
        <v>1.2403302402228077E-2</v>
      </c>
      <c r="U47">
        <f t="shared" si="16"/>
        <v>1.4225728133225471E-2</v>
      </c>
      <c r="V47">
        <f t="shared" si="17"/>
        <v>-0.9897504734366217</v>
      </c>
      <c r="W47">
        <f t="shared" si="18"/>
        <v>-0.9871254774611472</v>
      </c>
      <c r="X47">
        <f t="shared" si="19"/>
        <v>-0.98440220071693718</v>
      </c>
      <c r="Y47">
        <f t="shared" si="20"/>
        <v>-0.97549730947578384</v>
      </c>
      <c r="Z47">
        <f t="shared" si="21"/>
        <v>-0.97194760941549141</v>
      </c>
    </row>
    <row r="48" spans="1:26" x14ac:dyDescent="0.25">
      <c r="A48" s="11" t="s">
        <v>50</v>
      </c>
      <c r="B48" s="5">
        <v>599</v>
      </c>
      <c r="C48" s="5">
        <v>157</v>
      </c>
      <c r="D48" s="5">
        <v>2918</v>
      </c>
      <c r="E48" s="5">
        <v>4531</v>
      </c>
      <c r="F48" s="7">
        <v>606</v>
      </c>
      <c r="G48">
        <f t="shared" si="22"/>
        <v>4148958</v>
      </c>
      <c r="H48">
        <f t="shared" si="23"/>
        <v>3965317</v>
      </c>
      <c r="I48">
        <f t="shared" si="24"/>
        <v>3577444</v>
      </c>
      <c r="J48">
        <f t="shared" si="25"/>
        <v>6305023</v>
      </c>
      <c r="K48">
        <f t="shared" si="26"/>
        <v>3278304</v>
      </c>
      <c r="L48">
        <f t="shared" si="6"/>
        <v>1.4437359934711317E-4</v>
      </c>
      <c r="M48">
        <f t="shared" si="7"/>
        <v>3.9593303637514985E-5</v>
      </c>
      <c r="N48">
        <f t="shared" si="8"/>
        <v>8.1566615717814175E-4</v>
      </c>
      <c r="O48">
        <f t="shared" si="9"/>
        <v>7.1863338167045543E-4</v>
      </c>
      <c r="P48">
        <f t="shared" si="10"/>
        <v>1.848516794049606E-4</v>
      </c>
      <c r="Q48">
        <f t="shared" si="12"/>
        <v>1.805574127866872</v>
      </c>
      <c r="R48">
        <f t="shared" si="13"/>
        <v>0.6989454525361688</v>
      </c>
      <c r="S48">
        <f t="shared" si="14"/>
        <v>22.322957840081521</v>
      </c>
      <c r="T48">
        <f t="shared" si="15"/>
        <v>12.198246652316762</v>
      </c>
      <c r="U48">
        <f t="shared" si="16"/>
        <v>2.978848009981395</v>
      </c>
      <c r="V48">
        <f t="shared" si="17"/>
        <v>0.28713343192944413</v>
      </c>
      <c r="W48">
        <f t="shared" si="18"/>
        <v>-0.17720083185391267</v>
      </c>
      <c r="X48">
        <f t="shared" si="19"/>
        <v>0.91424758327338251</v>
      </c>
      <c r="Y48">
        <f t="shared" si="20"/>
        <v>0.8484647201491019</v>
      </c>
      <c r="Z48">
        <f t="shared" si="21"/>
        <v>0.49734194546190974</v>
      </c>
    </row>
    <row r="49" spans="1:26" x14ac:dyDescent="0.25">
      <c r="A49" s="12" t="s">
        <v>52</v>
      </c>
      <c r="B49" s="4">
        <v>1129</v>
      </c>
      <c r="C49" s="4">
        <v>1048</v>
      </c>
      <c r="D49" s="4">
        <v>885</v>
      </c>
      <c r="E49" s="4">
        <v>569</v>
      </c>
      <c r="F49" s="13">
        <v>559</v>
      </c>
      <c r="G49">
        <f t="shared" si="22"/>
        <v>1956910</v>
      </c>
      <c r="H49">
        <f t="shared" si="23"/>
        <v>2718729</v>
      </c>
      <c r="I49">
        <f t="shared" si="24"/>
        <v>3509026</v>
      </c>
      <c r="J49">
        <f t="shared" si="25"/>
        <v>3227416</v>
      </c>
      <c r="K49">
        <f t="shared" si="26"/>
        <v>2557063</v>
      </c>
      <c r="L49">
        <f t="shared" si="6"/>
        <v>5.7692995589986253E-4</v>
      </c>
      <c r="M49">
        <f t="shared" si="7"/>
        <v>3.8547424182402881E-4</v>
      </c>
      <c r="N49">
        <f t="shared" si="8"/>
        <v>2.5220673771012242E-4</v>
      </c>
      <c r="O49">
        <f t="shared" si="9"/>
        <v>1.7630203233794467E-4</v>
      </c>
      <c r="P49">
        <f t="shared" si="10"/>
        <v>2.1861017894357707E-4</v>
      </c>
      <c r="Q49">
        <f t="shared" si="12"/>
        <v>7.2152374580595122</v>
      </c>
      <c r="R49">
        <f t="shared" si="13"/>
        <v>6.8048241404500907</v>
      </c>
      <c r="S49">
        <f t="shared" si="14"/>
        <v>6.9023341514682546</v>
      </c>
      <c r="T49">
        <f t="shared" si="15"/>
        <v>2.9925908406369675</v>
      </c>
      <c r="U49">
        <f t="shared" si="16"/>
        <v>3.5228595087910017</v>
      </c>
      <c r="V49">
        <f t="shared" si="17"/>
        <v>0.75654994633929773</v>
      </c>
      <c r="W49">
        <f t="shared" si="18"/>
        <v>0.74374823006778679</v>
      </c>
      <c r="X49">
        <f t="shared" si="19"/>
        <v>0.74691022150355413</v>
      </c>
      <c r="Y49">
        <f t="shared" si="20"/>
        <v>0.49907213640731457</v>
      </c>
      <c r="Z49">
        <f t="shared" si="21"/>
        <v>0.55780187376755008</v>
      </c>
    </row>
    <row r="50" spans="1:26" x14ac:dyDescent="0.25">
      <c r="A50" s="11" t="s">
        <v>57</v>
      </c>
      <c r="B50" s="5">
        <v>486</v>
      </c>
      <c r="C50" s="5">
        <v>542</v>
      </c>
      <c r="D50" s="5">
        <v>701</v>
      </c>
      <c r="E50" s="5">
        <v>690</v>
      </c>
      <c r="F50" s="14">
        <v>546</v>
      </c>
      <c r="G50">
        <f t="shared" si="22"/>
        <v>10706858</v>
      </c>
      <c r="H50">
        <f t="shared" si="23"/>
        <v>13331249</v>
      </c>
      <c r="I50">
        <f t="shared" si="24"/>
        <v>12770025</v>
      </c>
      <c r="J50">
        <f t="shared" si="25"/>
        <v>11617429</v>
      </c>
      <c r="K50">
        <f t="shared" si="26"/>
        <v>12023926</v>
      </c>
      <c r="L50">
        <f t="shared" si="6"/>
        <v>4.5391467786347777E-5</v>
      </c>
      <c r="M50">
        <f t="shared" si="7"/>
        <v>4.0656355604789916E-5</v>
      </c>
      <c r="N50">
        <f t="shared" si="8"/>
        <v>5.4894176009835531E-5</v>
      </c>
      <c r="O50">
        <f t="shared" si="9"/>
        <v>5.9393519857104357E-5</v>
      </c>
      <c r="P50">
        <f t="shared" si="10"/>
        <v>4.5409461102804524E-5</v>
      </c>
      <c r="Q50">
        <f t="shared" si="12"/>
        <v>0.56767761025257624</v>
      </c>
      <c r="R50">
        <f t="shared" si="13"/>
        <v>0.71771163949391548</v>
      </c>
      <c r="S50">
        <f t="shared" si="14"/>
        <v>1.5023307831882318</v>
      </c>
      <c r="T50">
        <f t="shared" si="15"/>
        <v>1.0081591298780854</v>
      </c>
      <c r="U50">
        <f t="shared" si="16"/>
        <v>0.73176442473146841</v>
      </c>
      <c r="V50">
        <f t="shared" si="17"/>
        <v>-0.27577251018962384</v>
      </c>
      <c r="W50">
        <f t="shared" si="18"/>
        <v>-0.16433978440598698</v>
      </c>
      <c r="X50">
        <f t="shared" si="19"/>
        <v>0.20074515590149503</v>
      </c>
      <c r="Y50">
        <f t="shared" si="20"/>
        <v>4.0629897086794931E-3</v>
      </c>
      <c r="Z50">
        <f t="shared" si="21"/>
        <v>-0.15489149184371589</v>
      </c>
    </row>
    <row r="51" spans="1:26" x14ac:dyDescent="0.25">
      <c r="A51" s="12" t="s">
        <v>77</v>
      </c>
      <c r="B51" s="4">
        <v>649</v>
      </c>
      <c r="C51" s="4">
        <v>421</v>
      </c>
      <c r="D51" s="4">
        <v>573</v>
      </c>
      <c r="E51" s="4">
        <v>637</v>
      </c>
      <c r="F51" s="13">
        <v>523</v>
      </c>
      <c r="G51">
        <f t="shared" si="22"/>
        <v>389926388</v>
      </c>
      <c r="H51">
        <f t="shared" si="23"/>
        <v>503963502</v>
      </c>
      <c r="I51">
        <f t="shared" si="24"/>
        <v>598582866</v>
      </c>
      <c r="J51">
        <f t="shared" si="25"/>
        <v>568413103</v>
      </c>
      <c r="K51">
        <f t="shared" si="26"/>
        <v>569244052</v>
      </c>
      <c r="L51">
        <f t="shared" si="6"/>
        <v>1.6644167206247145E-6</v>
      </c>
      <c r="M51">
        <f t="shared" si="7"/>
        <v>8.3537795560441195E-7</v>
      </c>
      <c r="N51">
        <f t="shared" si="8"/>
        <v>9.5726094505351239E-7</v>
      </c>
      <c r="O51">
        <f t="shared" si="9"/>
        <v>1.1206638211505127E-6</v>
      </c>
      <c r="P51">
        <f t="shared" si="10"/>
        <v>9.187623448369382E-7</v>
      </c>
      <c r="Q51">
        <f t="shared" si="12"/>
        <v>2.0815632375581549E-2</v>
      </c>
      <c r="R51">
        <f t="shared" si="13"/>
        <v>1.4747029663506802E-2</v>
      </c>
      <c r="S51">
        <f t="shared" si="14"/>
        <v>2.6198090395601857E-2</v>
      </c>
      <c r="T51">
        <f t="shared" si="15"/>
        <v>1.9022402873834884E-2</v>
      </c>
      <c r="U51">
        <f t="shared" si="16"/>
        <v>1.4805672263153422E-2</v>
      </c>
      <c r="V51">
        <f t="shared" si="17"/>
        <v>-0.95921764574247237</v>
      </c>
      <c r="W51">
        <f t="shared" si="18"/>
        <v>-0.97093456943964251</v>
      </c>
      <c r="X51">
        <f t="shared" si="19"/>
        <v>-0.94894145557120968</v>
      </c>
      <c r="Y51">
        <f t="shared" si="20"/>
        <v>-0.96266538827765102</v>
      </c>
      <c r="Z51">
        <f t="shared" si="21"/>
        <v>-0.97082067499655433</v>
      </c>
    </row>
    <row r="52" spans="1:26" x14ac:dyDescent="0.25">
      <c r="A52" s="11" t="s">
        <v>66</v>
      </c>
      <c r="B52" s="5">
        <v>562</v>
      </c>
      <c r="C52" s="5">
        <v>708</v>
      </c>
      <c r="D52" s="5">
        <v>509</v>
      </c>
      <c r="E52" s="5">
        <v>497</v>
      </c>
      <c r="F52" s="14">
        <v>503</v>
      </c>
      <c r="G52">
        <f t="shared" si="22"/>
        <v>15196527</v>
      </c>
      <c r="H52">
        <f t="shared" si="23"/>
        <v>19458822</v>
      </c>
      <c r="I52">
        <f t="shared" si="24"/>
        <v>22494202</v>
      </c>
      <c r="J52">
        <f t="shared" si="25"/>
        <v>20594420</v>
      </c>
      <c r="K52">
        <f t="shared" si="26"/>
        <v>20220063</v>
      </c>
      <c r="L52">
        <f t="shared" si="6"/>
        <v>3.698213414157064E-5</v>
      </c>
      <c r="M52">
        <f t="shared" si="7"/>
        <v>3.6384525229738983E-5</v>
      </c>
      <c r="N52">
        <f t="shared" si="8"/>
        <v>2.2628053220114233E-5</v>
      </c>
      <c r="O52">
        <f t="shared" si="9"/>
        <v>2.413275052174327E-5</v>
      </c>
      <c r="P52">
        <f t="shared" si="10"/>
        <v>2.4876282531859569E-5</v>
      </c>
      <c r="Q52">
        <f t="shared" si="12"/>
        <v>0.46250827645281162</v>
      </c>
      <c r="R52">
        <f t="shared" si="13"/>
        <v>0.64230049315505133</v>
      </c>
      <c r="S52">
        <f t="shared" si="14"/>
        <v>0.61927919111324792</v>
      </c>
      <c r="T52">
        <f t="shared" si="15"/>
        <v>0.40963480235050276</v>
      </c>
      <c r="U52">
        <f t="shared" si="16"/>
        <v>0.40087634017879648</v>
      </c>
      <c r="V52">
        <f t="shared" si="17"/>
        <v>-0.36751362860716824</v>
      </c>
      <c r="W52">
        <f t="shared" si="18"/>
        <v>-0.21780393316314853</v>
      </c>
      <c r="X52">
        <f t="shared" si="19"/>
        <v>-0.23511745903744247</v>
      </c>
      <c r="Y52">
        <f t="shared" si="20"/>
        <v>-0.41880719507285841</v>
      </c>
      <c r="Z52">
        <f t="shared" si="21"/>
        <v>-0.4276777632954642</v>
      </c>
    </row>
    <row r="53" spans="1:26" x14ac:dyDescent="0.25">
      <c r="A53" s="12" t="s">
        <v>54</v>
      </c>
      <c r="B53" s="4">
        <v>394</v>
      </c>
      <c r="C53" s="4">
        <v>864</v>
      </c>
      <c r="D53" s="4">
        <v>420</v>
      </c>
      <c r="E53" s="4">
        <v>377</v>
      </c>
      <c r="F53" s="13">
        <v>441</v>
      </c>
      <c r="G53">
        <f t="shared" si="22"/>
        <v>3460033</v>
      </c>
      <c r="H53">
        <f t="shared" si="23"/>
        <v>5111686</v>
      </c>
      <c r="I53">
        <f t="shared" si="24"/>
        <v>8199019</v>
      </c>
      <c r="J53">
        <f t="shared" si="25"/>
        <v>8276429</v>
      </c>
      <c r="K53">
        <f t="shared" si="26"/>
        <v>8211289</v>
      </c>
      <c r="L53">
        <f t="shared" si="6"/>
        <v>1.1387174630993404E-4</v>
      </c>
      <c r="M53">
        <f t="shared" si="7"/>
        <v>1.6902446668281269E-4</v>
      </c>
      <c r="N53">
        <f t="shared" si="8"/>
        <v>5.1225640530897662E-5</v>
      </c>
      <c r="O53">
        <f t="shared" si="9"/>
        <v>4.5551046230203874E-5</v>
      </c>
      <c r="P53">
        <f t="shared" si="10"/>
        <v>5.3706549605062006E-5</v>
      </c>
      <c r="Q53">
        <f t="shared" si="12"/>
        <v>1.4241099478160792</v>
      </c>
      <c r="R53">
        <f t="shared" si="13"/>
        <v>2.9838096723852443</v>
      </c>
      <c r="S53">
        <f t="shared" si="14"/>
        <v>1.4019311747081071</v>
      </c>
      <c r="T53">
        <f t="shared" si="15"/>
        <v>0.77319383062268088</v>
      </c>
      <c r="U53">
        <f t="shared" si="16"/>
        <v>0.86547035401028005</v>
      </c>
      <c r="V53">
        <f t="shared" si="17"/>
        <v>0.17495491415237452</v>
      </c>
      <c r="W53">
        <f t="shared" si="18"/>
        <v>0.49796798429817279</v>
      </c>
      <c r="X53">
        <f t="shared" si="19"/>
        <v>0.16733667431455507</v>
      </c>
      <c r="Y53">
        <f t="shared" si="20"/>
        <v>-0.12790827796737431</v>
      </c>
      <c r="Z53">
        <f t="shared" si="21"/>
        <v>-7.2115670828279813E-2</v>
      </c>
    </row>
    <row r="54" spans="1:26" x14ac:dyDescent="0.25">
      <c r="A54" s="11" t="s">
        <v>55</v>
      </c>
      <c r="B54" s="5">
        <v>671</v>
      </c>
      <c r="C54" s="5">
        <v>313</v>
      </c>
      <c r="D54" s="5">
        <v>315</v>
      </c>
      <c r="E54" s="5">
        <v>459</v>
      </c>
      <c r="F54" s="14">
        <v>390</v>
      </c>
      <c r="G54">
        <f t="shared" si="22"/>
        <v>35070462</v>
      </c>
      <c r="H54">
        <f t="shared" si="23"/>
        <v>47244277</v>
      </c>
      <c r="I54">
        <f t="shared" si="24"/>
        <v>57568025</v>
      </c>
      <c r="J54">
        <f t="shared" si="25"/>
        <v>55051587</v>
      </c>
      <c r="K54">
        <f t="shared" si="26"/>
        <v>53357149</v>
      </c>
      <c r="L54">
        <f t="shared" si="6"/>
        <v>1.9132910196620733E-5</v>
      </c>
      <c r="M54">
        <f t="shared" si="7"/>
        <v>6.6251410726425128E-6</v>
      </c>
      <c r="N54">
        <f t="shared" si="8"/>
        <v>5.4717875070405834E-6</v>
      </c>
      <c r="O54">
        <f t="shared" si="9"/>
        <v>8.3376342992618912E-6</v>
      </c>
      <c r="P54">
        <f t="shared" si="10"/>
        <v>7.3092361062994581E-6</v>
      </c>
      <c r="Q54">
        <f t="shared" si="12"/>
        <v>0.23928119682575075</v>
      </c>
      <c r="R54">
        <f t="shared" si="13"/>
        <v>0.11695442915115918</v>
      </c>
      <c r="S54">
        <f t="shared" si="14"/>
        <v>0.14975058209124018</v>
      </c>
      <c r="T54">
        <f t="shared" si="15"/>
        <v>0.14152490306364801</v>
      </c>
      <c r="U54">
        <f t="shared" si="16"/>
        <v>0.11778688459754404</v>
      </c>
      <c r="V54">
        <f t="shared" si="17"/>
        <v>-0.61383873581131254</v>
      </c>
      <c r="W54">
        <f t="shared" si="18"/>
        <v>-0.79058334682456133</v>
      </c>
      <c r="X54">
        <f t="shared" si="19"/>
        <v>-0.73950770815203382</v>
      </c>
      <c r="Y54">
        <f t="shared" si="20"/>
        <v>-0.75204237299804744</v>
      </c>
      <c r="Z54">
        <f t="shared" si="21"/>
        <v>-0.78924983604553045</v>
      </c>
    </row>
    <row r="55" spans="1:26" x14ac:dyDescent="0.25">
      <c r="A55" s="12" t="s">
        <v>76</v>
      </c>
      <c r="B55" s="4">
        <v>742</v>
      </c>
      <c r="C55" s="4">
        <v>752</v>
      </c>
      <c r="D55" s="4">
        <v>435</v>
      </c>
      <c r="E55" s="4">
        <v>404</v>
      </c>
      <c r="F55" s="13">
        <v>387</v>
      </c>
      <c r="G55">
        <f t="shared" si="22"/>
        <v>154935587</v>
      </c>
      <c r="H55">
        <f t="shared" si="23"/>
        <v>189635063</v>
      </c>
      <c r="I55">
        <f t="shared" si="24"/>
        <v>197527811</v>
      </c>
      <c r="J55">
        <f t="shared" si="25"/>
        <v>197533884</v>
      </c>
      <c r="K55">
        <f t="shared" si="26"/>
        <v>195761855</v>
      </c>
      <c r="L55">
        <f t="shared" si="6"/>
        <v>4.7890869642492142E-6</v>
      </c>
      <c r="M55">
        <f t="shared" si="7"/>
        <v>3.9655113780303381E-6</v>
      </c>
      <c r="N55">
        <f t="shared" si="8"/>
        <v>2.2022215393254167E-6</v>
      </c>
      <c r="O55">
        <f t="shared" si="9"/>
        <v>2.0452187332073113E-6</v>
      </c>
      <c r="P55">
        <f t="shared" si="10"/>
        <v>1.9768917698496471E-6</v>
      </c>
      <c r="Q55">
        <f t="shared" si="12"/>
        <v>5.9893578589552451E-2</v>
      </c>
      <c r="R55">
        <f t="shared" si="13"/>
        <v>7.0003659457922945E-2</v>
      </c>
      <c r="S55">
        <f t="shared" si="14"/>
        <v>6.0269876522710902E-2</v>
      </c>
      <c r="T55">
        <f t="shared" si="15"/>
        <v>3.4716008470981503E-2</v>
      </c>
      <c r="U55">
        <f t="shared" si="16"/>
        <v>3.1857217275609931E-2</v>
      </c>
      <c r="V55">
        <f t="shared" si="17"/>
        <v>-0.88698190120322173</v>
      </c>
      <c r="W55">
        <f t="shared" si="18"/>
        <v>-0.86915248590198713</v>
      </c>
      <c r="X55">
        <f t="shared" si="19"/>
        <v>-0.88631219681469475</v>
      </c>
      <c r="Y55">
        <f t="shared" si="20"/>
        <v>-0.93289751354619133</v>
      </c>
      <c r="Z55">
        <f t="shared" si="21"/>
        <v>-0.93825266375570471</v>
      </c>
    </row>
    <row r="56" spans="1:26" x14ac:dyDescent="0.25">
      <c r="A56" s="11" t="s">
        <v>62</v>
      </c>
      <c r="B56" s="5">
        <v>254</v>
      </c>
      <c r="C56" s="5">
        <v>209</v>
      </c>
      <c r="D56" s="5">
        <v>168</v>
      </c>
      <c r="E56" s="5">
        <v>367</v>
      </c>
      <c r="F56" s="14">
        <v>348</v>
      </c>
      <c r="G56">
        <f t="shared" si="22"/>
        <v>61400262</v>
      </c>
      <c r="H56">
        <f t="shared" si="23"/>
        <v>75242767</v>
      </c>
      <c r="I56">
        <f t="shared" si="24"/>
        <v>82559524</v>
      </c>
      <c r="J56">
        <f t="shared" si="25"/>
        <v>83908918</v>
      </c>
      <c r="K56">
        <f t="shared" si="26"/>
        <v>85813704</v>
      </c>
      <c r="L56">
        <f t="shared" si="6"/>
        <v>4.1367901654882185E-6</v>
      </c>
      <c r="M56">
        <f t="shared" si="7"/>
        <v>2.7776756269476376E-6</v>
      </c>
      <c r="N56">
        <f t="shared" si="8"/>
        <v>2.0348954531278547E-6</v>
      </c>
      <c r="O56">
        <f t="shared" si="9"/>
        <v>4.3737901613747424E-6</v>
      </c>
      <c r="P56">
        <f t="shared" si="10"/>
        <v>4.055296342877823E-6</v>
      </c>
      <c r="Q56">
        <f t="shared" si="12"/>
        <v>5.1735783612774464E-2</v>
      </c>
      <c r="R56">
        <f t="shared" si="13"/>
        <v>4.9034649036865635E-2</v>
      </c>
      <c r="S56">
        <f t="shared" si="14"/>
        <v>5.5690535900493263E-2</v>
      </c>
      <c r="T56">
        <f t="shared" si="15"/>
        <v>7.4241710105238876E-2</v>
      </c>
      <c r="U56">
        <f t="shared" si="16"/>
        <v>6.5350293163429357E-2</v>
      </c>
      <c r="V56">
        <f t="shared" si="17"/>
        <v>-0.90161828775082842</v>
      </c>
      <c r="W56">
        <f t="shared" si="18"/>
        <v>-0.90651471982954035</v>
      </c>
      <c r="X56">
        <f t="shared" si="19"/>
        <v>-0.89449458149591199</v>
      </c>
      <c r="Y56">
        <f t="shared" si="20"/>
        <v>-0.86177838859381894</v>
      </c>
      <c r="Z56">
        <f t="shared" si="21"/>
        <v>-0.87731679695815445</v>
      </c>
    </row>
    <row r="57" spans="1:26" x14ac:dyDescent="0.25">
      <c r="A57" s="12" t="s">
        <v>80</v>
      </c>
      <c r="B57" s="4">
        <v>49</v>
      </c>
      <c r="C57" s="4">
        <v>33</v>
      </c>
      <c r="D57" s="4">
        <v>97</v>
      </c>
      <c r="E57" s="4">
        <v>37</v>
      </c>
      <c r="F57" s="13">
        <v>340</v>
      </c>
      <c r="G57">
        <f t="shared" si="22"/>
        <v>11401650</v>
      </c>
      <c r="H57">
        <f t="shared" si="23"/>
        <v>13594246</v>
      </c>
      <c r="I57">
        <f t="shared" si="24"/>
        <v>15655882</v>
      </c>
      <c r="J57">
        <f t="shared" si="25"/>
        <v>14194336</v>
      </c>
      <c r="K57">
        <f t="shared" si="26"/>
        <v>14588300</v>
      </c>
      <c r="L57">
        <f t="shared" si="6"/>
        <v>4.2976235895681762E-6</v>
      </c>
      <c r="M57">
        <f t="shared" si="7"/>
        <v>2.4274976339254121E-6</v>
      </c>
      <c r="N57">
        <f t="shared" si="8"/>
        <v>6.1957544135807874E-6</v>
      </c>
      <c r="O57">
        <f t="shared" si="9"/>
        <v>2.6066735351340139E-6</v>
      </c>
      <c r="P57">
        <f t="shared" si="10"/>
        <v>2.3306348237971527E-5</v>
      </c>
      <c r="Q57">
        <f t="shared" si="12"/>
        <v>5.3747208629039527E-2</v>
      </c>
      <c r="R57">
        <f t="shared" si="13"/>
        <v>4.2852913912110373E-2</v>
      </c>
      <c r="S57">
        <f t="shared" si="14"/>
        <v>0.16956393659919436</v>
      </c>
      <c r="T57">
        <f t="shared" si="15"/>
        <v>4.4246270121379223E-2</v>
      </c>
      <c r="U57">
        <f t="shared" si="16"/>
        <v>0.37557716160382248</v>
      </c>
      <c r="V57">
        <f t="shared" si="17"/>
        <v>-0.89798842039360383</v>
      </c>
      <c r="W57">
        <f t="shared" si="18"/>
        <v>-0.91781599621493337</v>
      </c>
      <c r="X57">
        <f t="shared" si="19"/>
        <v>-0.71003904738676404</v>
      </c>
      <c r="Y57">
        <f t="shared" si="20"/>
        <v>-0.91525702051828017</v>
      </c>
      <c r="Z57">
        <f t="shared" si="21"/>
        <v>-0.45393515960104053</v>
      </c>
    </row>
    <row r="58" spans="1:26" ht="23.25" x14ac:dyDescent="0.25">
      <c r="A58" s="11" t="s">
        <v>56</v>
      </c>
      <c r="B58" s="5">
        <v>88</v>
      </c>
      <c r="C58" s="5">
        <v>59</v>
      </c>
      <c r="D58" s="5">
        <v>179</v>
      </c>
      <c r="E58" s="5">
        <v>22</v>
      </c>
      <c r="F58" s="14">
        <v>318</v>
      </c>
      <c r="G58">
        <f t="shared" si="22"/>
        <v>9848863</v>
      </c>
      <c r="H58">
        <f t="shared" si="23"/>
        <v>11831534</v>
      </c>
      <c r="I58">
        <f t="shared" si="24"/>
        <v>12390307</v>
      </c>
      <c r="J58">
        <f t="shared" si="25"/>
        <v>11931954</v>
      </c>
      <c r="K58">
        <f t="shared" si="26"/>
        <v>12923946</v>
      </c>
      <c r="L58">
        <f t="shared" si="6"/>
        <v>8.9350415372820198E-6</v>
      </c>
      <c r="M58">
        <f t="shared" si="7"/>
        <v>4.9866737483068556E-6</v>
      </c>
      <c r="N58">
        <f t="shared" si="8"/>
        <v>1.4446776823205431E-5</v>
      </c>
      <c r="O58">
        <f t="shared" si="9"/>
        <v>1.8437885362280142E-6</v>
      </c>
      <c r="P58">
        <f t="shared" si="10"/>
        <v>2.4605488138065571E-5</v>
      </c>
      <c r="Q58">
        <f t="shared" si="12"/>
        <v>0.11174397468850558</v>
      </c>
      <c r="R58">
        <f t="shared" si="13"/>
        <v>8.8030364214369577E-2</v>
      </c>
      <c r="S58">
        <f t="shared" si="14"/>
        <v>0.39537596001920272</v>
      </c>
      <c r="T58">
        <f t="shared" si="15"/>
        <v>3.1296886442073346E-2</v>
      </c>
      <c r="U58">
        <f t="shared" si="16"/>
        <v>0.39651254243747225</v>
      </c>
      <c r="V58">
        <f t="shared" si="17"/>
        <v>-0.79897534462498054</v>
      </c>
      <c r="W58">
        <f t="shared" si="18"/>
        <v>-0.83818399355438322</v>
      </c>
      <c r="X58">
        <f t="shared" si="19"/>
        <v>-0.43330547272182945</v>
      </c>
      <c r="Y58">
        <f t="shared" si="20"/>
        <v>-0.9393057676145109</v>
      </c>
      <c r="Z58">
        <f t="shared" si="21"/>
        <v>-0.43213894556879601</v>
      </c>
    </row>
    <row r="59" spans="1:26" x14ac:dyDescent="0.25">
      <c r="A59" s="12" t="s">
        <v>70</v>
      </c>
      <c r="B59" s="4">
        <v>34</v>
      </c>
      <c r="C59" s="4">
        <v>122</v>
      </c>
      <c r="D59" s="4">
        <v>10</v>
      </c>
      <c r="E59" s="4">
        <v>50</v>
      </c>
      <c r="F59" s="6">
        <v>302</v>
      </c>
      <c r="G59">
        <f t="shared" si="22"/>
        <v>29322920</v>
      </c>
      <c r="H59">
        <f t="shared" si="23"/>
        <v>43636852</v>
      </c>
      <c r="I59">
        <f t="shared" si="24"/>
        <v>52115728</v>
      </c>
      <c r="J59">
        <f t="shared" si="25"/>
        <v>42051584</v>
      </c>
      <c r="K59">
        <f t="shared" si="26"/>
        <v>38846217</v>
      </c>
      <c r="L59">
        <f t="shared" si="6"/>
        <v>1.1595025324899431E-6</v>
      </c>
      <c r="M59">
        <f t="shared" si="7"/>
        <v>2.7958020436487949E-6</v>
      </c>
      <c r="N59">
        <f t="shared" si="8"/>
        <v>1.9188065453100838E-7</v>
      </c>
      <c r="O59">
        <f t="shared" si="9"/>
        <v>1.1890158525300735E-6</v>
      </c>
      <c r="P59">
        <f t="shared" si="10"/>
        <v>7.7742447868218418E-6</v>
      </c>
      <c r="Q59">
        <f t="shared" si="12"/>
        <v>1.4501043011516638E-2</v>
      </c>
      <c r="R59">
        <f t="shared" si="13"/>
        <v>4.9354636897440254E-2</v>
      </c>
      <c r="S59">
        <f t="shared" si="14"/>
        <v>5.251344221809443E-3</v>
      </c>
      <c r="T59">
        <f t="shared" si="15"/>
        <v>2.018262581813602E-2</v>
      </c>
      <c r="U59">
        <f t="shared" si="16"/>
        <v>0.12528040690178882</v>
      </c>
      <c r="V59">
        <f t="shared" si="17"/>
        <v>-0.97141246307944495</v>
      </c>
      <c r="W59">
        <f t="shared" si="18"/>
        <v>-0.90593335148665477</v>
      </c>
      <c r="X59">
        <f t="shared" si="19"/>
        <v>-0.98955217667303974</v>
      </c>
      <c r="Y59">
        <f t="shared" si="20"/>
        <v>-0.96043330810118321</v>
      </c>
      <c r="Z59">
        <f t="shared" si="21"/>
        <v>-0.77733477605511547</v>
      </c>
    </row>
    <row r="60" spans="1:26" x14ac:dyDescent="0.25">
      <c r="A60" s="11" t="s">
        <v>59</v>
      </c>
      <c r="B60" s="5">
        <v>22</v>
      </c>
      <c r="C60" s="5">
        <v>14</v>
      </c>
      <c r="D60" s="7">
        <v>313</v>
      </c>
      <c r="E60" s="7">
        <v>243</v>
      </c>
      <c r="F60" s="7">
        <v>300</v>
      </c>
      <c r="G60">
        <f t="shared" si="22"/>
        <v>3155095</v>
      </c>
      <c r="H60">
        <f t="shared" si="23"/>
        <v>4319099</v>
      </c>
      <c r="I60">
        <f t="shared" si="24"/>
        <v>7840704</v>
      </c>
      <c r="J60">
        <f t="shared" si="25"/>
        <v>7094193</v>
      </c>
      <c r="K60">
        <f t="shared" si="26"/>
        <v>6703706</v>
      </c>
      <c r="L60">
        <f t="shared" si="6"/>
        <v>6.9728486780905175E-6</v>
      </c>
      <c r="M60">
        <f t="shared" si="7"/>
        <v>3.2414167862324988E-6</v>
      </c>
      <c r="N60">
        <f t="shared" si="8"/>
        <v>3.9919884745043302E-5</v>
      </c>
      <c r="O60">
        <f t="shared" si="9"/>
        <v>3.4253367507763037E-5</v>
      </c>
      <c r="P60">
        <f t="shared" si="10"/>
        <v>4.4751365886272457E-5</v>
      </c>
      <c r="Q60">
        <f t="shared" si="12"/>
        <v>8.7204275765274827E-2</v>
      </c>
      <c r="R60">
        <f t="shared" si="13"/>
        <v>5.7221128685128408E-2</v>
      </c>
      <c r="S60">
        <f t="shared" si="14"/>
        <v>1.0925179331056787</v>
      </c>
      <c r="T60">
        <f t="shared" si="15"/>
        <v>0.58142445952190891</v>
      </c>
      <c r="U60">
        <f t="shared" si="16"/>
        <v>0.72115935134260201</v>
      </c>
      <c r="V60">
        <f t="shared" si="17"/>
        <v>-0.83958069755770159</v>
      </c>
      <c r="W60">
        <f t="shared" si="18"/>
        <v>-0.89175182536070829</v>
      </c>
      <c r="X60">
        <f t="shared" si="19"/>
        <v>4.4213687080982465E-2</v>
      </c>
      <c r="Y60">
        <f t="shared" si="20"/>
        <v>-0.26468260178841135</v>
      </c>
      <c r="Z60">
        <f t="shared" si="21"/>
        <v>-0.16200745645072692</v>
      </c>
    </row>
    <row r="61" spans="1:26" x14ac:dyDescent="0.25">
      <c r="A61" s="12" t="s">
        <v>68</v>
      </c>
      <c r="B61" s="4">
        <v>181</v>
      </c>
      <c r="C61" s="4">
        <v>213</v>
      </c>
      <c r="D61" s="4">
        <v>217</v>
      </c>
      <c r="E61" s="4">
        <v>632</v>
      </c>
      <c r="F61" s="13">
        <v>281</v>
      </c>
      <c r="G61">
        <f t="shared" si="22"/>
        <v>6025429</v>
      </c>
      <c r="H61">
        <f t="shared" si="23"/>
        <v>6742108</v>
      </c>
      <c r="I61">
        <f t="shared" si="24"/>
        <v>7390793</v>
      </c>
      <c r="J61">
        <f t="shared" si="25"/>
        <v>7216731</v>
      </c>
      <c r="K61">
        <f t="shared" si="26"/>
        <v>8255798</v>
      </c>
      <c r="L61">
        <f t="shared" si="6"/>
        <v>3.003935487415087E-5</v>
      </c>
      <c r="M61">
        <f t="shared" si="7"/>
        <v>3.159249303036973E-5</v>
      </c>
      <c r="N61">
        <f t="shared" si="8"/>
        <v>2.9360854782429978E-5</v>
      </c>
      <c r="O61">
        <f t="shared" si="9"/>
        <v>8.75742770514794E-5</v>
      </c>
      <c r="P61">
        <f t="shared" si="10"/>
        <v>3.4036685490609145E-5</v>
      </c>
      <c r="Q61">
        <f t="shared" si="12"/>
        <v>0.37568005662984777</v>
      </c>
      <c r="R61">
        <f t="shared" si="13"/>
        <v>0.55770616011277196</v>
      </c>
      <c r="S61">
        <f t="shared" si="14"/>
        <v>0.80354090664300559</v>
      </c>
      <c r="T61">
        <f t="shared" si="15"/>
        <v>1.4865057192154469</v>
      </c>
      <c r="U61">
        <f t="shared" si="16"/>
        <v>0.54849441003965693</v>
      </c>
      <c r="V61">
        <f t="shared" si="17"/>
        <v>-0.45382641142564528</v>
      </c>
      <c r="W61">
        <f t="shared" si="18"/>
        <v>-0.28393919932576223</v>
      </c>
      <c r="X61">
        <f t="shared" si="19"/>
        <v>-0.10892965756051005</v>
      </c>
      <c r="Y61">
        <f t="shared" si="20"/>
        <v>0.19565839541642049</v>
      </c>
      <c r="Z61">
        <f t="shared" si="21"/>
        <v>-0.29157715199551804</v>
      </c>
    </row>
    <row r="62" spans="1:26" x14ac:dyDescent="0.25">
      <c r="A62" s="11" t="s">
        <v>65</v>
      </c>
      <c r="B62" s="5">
        <v>576</v>
      </c>
      <c r="C62" s="5">
        <v>505</v>
      </c>
      <c r="D62" s="5">
        <v>570</v>
      </c>
      <c r="E62" s="5">
        <v>411</v>
      </c>
      <c r="F62" s="14">
        <v>270</v>
      </c>
      <c r="G62">
        <f t="shared" si="22"/>
        <v>4381069</v>
      </c>
      <c r="H62">
        <f t="shared" si="23"/>
        <v>5062869</v>
      </c>
      <c r="I62">
        <f t="shared" si="24"/>
        <v>4548742</v>
      </c>
      <c r="J62">
        <f t="shared" si="25"/>
        <v>4469324</v>
      </c>
      <c r="K62">
        <f t="shared" si="26"/>
        <v>5643566</v>
      </c>
      <c r="L62">
        <f t="shared" si="6"/>
        <v>1.3147476106858852E-4</v>
      </c>
      <c r="M62">
        <f t="shared" si="7"/>
        <v>9.9745816058049303E-5</v>
      </c>
      <c r="N62">
        <f t="shared" si="8"/>
        <v>1.2530937125033691E-4</v>
      </c>
      <c r="O62">
        <f t="shared" si="9"/>
        <v>9.196021590737212E-5</v>
      </c>
      <c r="P62">
        <f t="shared" si="10"/>
        <v>4.7842091330197962E-5</v>
      </c>
      <c r="Q62">
        <f t="shared" si="12"/>
        <v>1.6442578707356221</v>
      </c>
      <c r="R62">
        <f t="shared" si="13"/>
        <v>1.7608251430988291</v>
      </c>
      <c r="S62">
        <f t="shared" si="14"/>
        <v>3.4294371376958681</v>
      </c>
      <c r="T62">
        <f t="shared" si="15"/>
        <v>1.5609536440276752</v>
      </c>
      <c r="U62">
        <f t="shared" si="16"/>
        <v>0.77096577651370746</v>
      </c>
      <c r="V62">
        <f t="shared" si="17"/>
        <v>0.24364411575199063</v>
      </c>
      <c r="W62">
        <f t="shared" si="18"/>
        <v>0.27557889531709245</v>
      </c>
      <c r="X62">
        <f t="shared" si="19"/>
        <v>0.54847536203203184</v>
      </c>
      <c r="Y62">
        <f t="shared" si="20"/>
        <v>0.21904092068822048</v>
      </c>
      <c r="Z62">
        <f t="shared" si="21"/>
        <v>-0.12932730068740536</v>
      </c>
    </row>
    <row r="63" spans="1:26" x14ac:dyDescent="0.25">
      <c r="A63" s="12" t="s">
        <v>64</v>
      </c>
      <c r="B63" s="4">
        <v>84</v>
      </c>
      <c r="C63" s="4">
        <v>72</v>
      </c>
      <c r="D63" s="4">
        <v>80</v>
      </c>
      <c r="E63" s="4">
        <v>65</v>
      </c>
      <c r="F63" s="13">
        <v>250</v>
      </c>
      <c r="G63">
        <f t="shared" si="22"/>
        <v>37468046</v>
      </c>
      <c r="H63">
        <f t="shared" si="23"/>
        <v>43361858</v>
      </c>
      <c r="I63">
        <f t="shared" si="24"/>
        <v>43996272</v>
      </c>
      <c r="J63">
        <f t="shared" si="25"/>
        <v>39763418</v>
      </c>
      <c r="K63">
        <f t="shared" si="26"/>
        <v>42530609</v>
      </c>
      <c r="L63">
        <f t="shared" si="6"/>
        <v>2.2419103467525368E-6</v>
      </c>
      <c r="M63">
        <f t="shared" si="7"/>
        <v>1.6604454541592752E-6</v>
      </c>
      <c r="N63">
        <f t="shared" si="8"/>
        <v>1.8183358808219023E-6</v>
      </c>
      <c r="O63">
        <f t="shared" si="9"/>
        <v>1.6346683275567507E-6</v>
      </c>
      <c r="P63">
        <f t="shared" si="10"/>
        <v>5.8781194503939505E-6</v>
      </c>
      <c r="Q63">
        <f t="shared" si="12"/>
        <v>2.8037919241461158E-2</v>
      </c>
      <c r="R63">
        <f t="shared" si="13"/>
        <v>2.9312047562238222E-2</v>
      </c>
      <c r="S63">
        <f t="shared" si="14"/>
        <v>4.976378491308401E-2</v>
      </c>
      <c r="T63">
        <f t="shared" si="15"/>
        <v>2.7747232403700563E-2</v>
      </c>
      <c r="U63">
        <f t="shared" si="16"/>
        <v>9.4724724620322054E-2</v>
      </c>
      <c r="V63">
        <f t="shared" si="17"/>
        <v>-0.94545353100953899</v>
      </c>
      <c r="W63">
        <f t="shared" si="18"/>
        <v>-0.94304536193536426</v>
      </c>
      <c r="X63">
        <f t="shared" si="19"/>
        <v>-0.90519050927784817</v>
      </c>
      <c r="Y63">
        <f t="shared" si="20"/>
        <v>-0.94600378083469971</v>
      </c>
      <c r="Z63">
        <f t="shared" si="21"/>
        <v>-0.82694329909617248</v>
      </c>
    </row>
    <row r="64" spans="1:26" x14ac:dyDescent="0.25">
      <c r="A64" s="11" t="s">
        <v>61</v>
      </c>
      <c r="B64" s="5">
        <v>25</v>
      </c>
      <c r="C64" s="5">
        <v>21</v>
      </c>
      <c r="D64" s="5">
        <v>1</v>
      </c>
      <c r="E64" s="5">
        <v>3</v>
      </c>
      <c r="F64" s="14">
        <v>239</v>
      </c>
      <c r="G64">
        <f t="shared" si="22"/>
        <v>2805741</v>
      </c>
      <c r="H64">
        <f t="shared" si="23"/>
        <v>4243572</v>
      </c>
      <c r="I64">
        <f t="shared" si="24"/>
        <v>7866427</v>
      </c>
      <c r="J64">
        <f t="shared" si="25"/>
        <v>10811756</v>
      </c>
      <c r="K64">
        <f t="shared" si="26"/>
        <v>22414584</v>
      </c>
      <c r="L64">
        <f t="shared" si="6"/>
        <v>8.9103021269604002E-6</v>
      </c>
      <c r="M64">
        <f t="shared" si="7"/>
        <v>4.9486611750666658E-6</v>
      </c>
      <c r="N64">
        <f t="shared" si="8"/>
        <v>1.2712251699532709E-7</v>
      </c>
      <c r="O64">
        <f t="shared" si="9"/>
        <v>2.7747574029602592E-7</v>
      </c>
      <c r="P64">
        <f t="shared" si="10"/>
        <v>1.0662700677380405E-5</v>
      </c>
      <c r="Q64">
        <f t="shared" si="12"/>
        <v>0.11143457712955158</v>
      </c>
      <c r="R64">
        <f t="shared" si="13"/>
        <v>8.7359323589705593E-2</v>
      </c>
      <c r="S64">
        <f t="shared" si="14"/>
        <v>3.4790588802030777E-3</v>
      </c>
      <c r="T64">
        <f t="shared" si="15"/>
        <v>4.7099363966329735E-3</v>
      </c>
      <c r="U64">
        <f t="shared" si="16"/>
        <v>0.17182729849188227</v>
      </c>
      <c r="V64">
        <f t="shared" si="17"/>
        <v>-0.79947613755665536</v>
      </c>
      <c r="W64">
        <f t="shared" si="18"/>
        <v>-0.83931838961695615</v>
      </c>
      <c r="X64">
        <f t="shared" si="19"/>
        <v>-0.9930660060129497</v>
      </c>
      <c r="Y64">
        <f t="shared" si="20"/>
        <v>-0.99062428622230003</v>
      </c>
      <c r="Z64">
        <f t="shared" si="21"/>
        <v>-0.70673613985094819</v>
      </c>
    </row>
    <row r="65" spans="1:26" x14ac:dyDescent="0.25">
      <c r="A65" s="12" t="s">
        <v>79</v>
      </c>
      <c r="B65" s="4">
        <v>194</v>
      </c>
      <c r="C65" s="4">
        <v>267</v>
      </c>
      <c r="D65" s="4">
        <v>186</v>
      </c>
      <c r="E65" s="4">
        <v>170</v>
      </c>
      <c r="F65" s="13">
        <v>217</v>
      </c>
      <c r="G65">
        <f t="shared" si="22"/>
        <v>16901599</v>
      </c>
      <c r="H65">
        <f t="shared" si="23"/>
        <v>22303231</v>
      </c>
      <c r="I65">
        <f t="shared" si="24"/>
        <v>23600194</v>
      </c>
      <c r="J65">
        <f t="shared" si="25"/>
        <v>20108197</v>
      </c>
      <c r="K65">
        <f t="shared" si="26"/>
        <v>19773052</v>
      </c>
      <c r="L65">
        <f t="shared" si="6"/>
        <v>1.1478203926149236E-5</v>
      </c>
      <c r="M65">
        <f t="shared" si="7"/>
        <v>1.1971359665332794E-5</v>
      </c>
      <c r="N65">
        <f t="shared" si="8"/>
        <v>7.8812911453185519E-6</v>
      </c>
      <c r="O65">
        <f t="shared" si="9"/>
        <v>8.4542637015143625E-6</v>
      </c>
      <c r="P65">
        <f t="shared" si="10"/>
        <v>1.0974532409058552E-5</v>
      </c>
      <c r="Q65">
        <f t="shared" si="12"/>
        <v>0.14354943103972295</v>
      </c>
      <c r="R65">
        <f t="shared" si="13"/>
        <v>0.21133188266793568</v>
      </c>
      <c r="S65">
        <f t="shared" si="14"/>
        <v>0.21569330591207778</v>
      </c>
      <c r="T65">
        <f t="shared" si="15"/>
        <v>0.14350459709383756</v>
      </c>
      <c r="U65">
        <f t="shared" si="16"/>
        <v>0.1768524047627511</v>
      </c>
      <c r="V65">
        <f t="shared" si="17"/>
        <v>-0.74894057546912196</v>
      </c>
      <c r="W65">
        <f t="shared" si="18"/>
        <v>-0.65107517486870548</v>
      </c>
      <c r="X65">
        <f t="shared" si="19"/>
        <v>-0.64515177493676634</v>
      </c>
      <c r="Y65">
        <f t="shared" si="20"/>
        <v>-0.74900914704051447</v>
      </c>
      <c r="Z65">
        <f t="shared" si="21"/>
        <v>-0.69944845411875778</v>
      </c>
    </row>
    <row r="66" spans="1:26" x14ac:dyDescent="0.25">
      <c r="A66" s="11" t="s">
        <v>67</v>
      </c>
      <c r="B66" s="5">
        <v>1293</v>
      </c>
      <c r="C66" s="5">
        <v>1241</v>
      </c>
      <c r="D66" s="5">
        <v>934</v>
      </c>
      <c r="E66" s="5">
        <v>647</v>
      </c>
      <c r="F66" s="7">
        <v>206</v>
      </c>
      <c r="G66">
        <f t="shared" ref="G66:G97" si="27">VLOOKUP(A66,EXPOTOTAL,2,FALSE)</f>
        <v>279938</v>
      </c>
      <c r="H66">
        <f t="shared" ref="H66:H97" si="28">VLOOKUP(A66,EXPOTOTAL,3,FALSE)</f>
        <v>454189</v>
      </c>
      <c r="I66">
        <f t="shared" ref="I66:I97" si="29">VLOOKUP(A66,EXPOTOTAL,4,FALSE)</f>
        <v>437882</v>
      </c>
      <c r="J66">
        <f t="shared" ref="J66:J97" si="30">VLOOKUP(A66,EXPOTOTAL,5,FALSE)</f>
        <v>435626</v>
      </c>
      <c r="K66">
        <f t="shared" ref="K66:K97" si="31">VLOOKUP(A66,EXPOTOTAL,6,FALSE)</f>
        <v>474092</v>
      </c>
      <c r="L66">
        <f t="shared" si="6"/>
        <v>4.6188798948338557E-3</v>
      </c>
      <c r="M66">
        <f t="shared" si="7"/>
        <v>2.7323427031478087E-3</v>
      </c>
      <c r="N66">
        <f t="shared" si="8"/>
        <v>2.1329947337410536E-3</v>
      </c>
      <c r="O66">
        <f t="shared" si="9"/>
        <v>1.4852189722376534E-3</v>
      </c>
      <c r="P66">
        <f t="shared" si="10"/>
        <v>4.345148199083722E-4</v>
      </c>
      <c r="Q66">
        <f t="shared" si="12"/>
        <v>57.764924304377168</v>
      </c>
      <c r="R66">
        <f t="shared" si="13"/>
        <v>48.234381364580841</v>
      </c>
      <c r="S66">
        <f t="shared" si="14"/>
        <v>58.375293734319264</v>
      </c>
      <c r="T66">
        <f t="shared" si="15"/>
        <v>25.210445017099502</v>
      </c>
      <c r="U66">
        <f t="shared" si="16"/>
        <v>7.0021198117215704</v>
      </c>
      <c r="V66">
        <f t="shared" si="17"/>
        <v>0.96596609246630094</v>
      </c>
      <c r="W66">
        <f t="shared" si="18"/>
        <v>0.95937798049720602</v>
      </c>
      <c r="X66">
        <f t="shared" si="19"/>
        <v>0.96631595611216337</v>
      </c>
      <c r="Y66">
        <f t="shared" si="20"/>
        <v>0.92369454243545979</v>
      </c>
      <c r="Z66">
        <f t="shared" si="21"/>
        <v>0.75006622656781718</v>
      </c>
    </row>
    <row r="67" spans="1:26" x14ac:dyDescent="0.25">
      <c r="A67" s="12" t="s">
        <v>89</v>
      </c>
      <c r="B67" s="6">
        <v>25</v>
      </c>
      <c r="C67" s="6">
        <v>73</v>
      </c>
      <c r="D67" s="6">
        <v>316</v>
      </c>
      <c r="E67" s="6">
        <v>458</v>
      </c>
      <c r="F67" s="6">
        <v>173</v>
      </c>
      <c r="G67">
        <f t="shared" si="27"/>
        <v>42079930</v>
      </c>
      <c r="H67">
        <f t="shared" si="28"/>
        <v>53835876</v>
      </c>
      <c r="I67">
        <f t="shared" si="29"/>
        <v>67438274</v>
      </c>
      <c r="J67">
        <f t="shared" si="30"/>
        <v>56865095</v>
      </c>
      <c r="K67">
        <f t="shared" si="31"/>
        <v>57522809</v>
      </c>
      <c r="L67">
        <f t="shared" ref="L67:L130" si="32">B67/G67</f>
        <v>5.9410745217494416E-7</v>
      </c>
      <c r="M67">
        <f t="shared" ref="M67:M130" si="33">C67/H67</f>
        <v>1.3559731061123626E-6</v>
      </c>
      <c r="N67">
        <f t="shared" ref="N67:N130" si="34">D67/I67</f>
        <v>4.6857664239746113E-6</v>
      </c>
      <c r="O67">
        <f t="shared" ref="O67:O130" si="35">E67/J67</f>
        <v>8.0541499139322637E-6</v>
      </c>
      <c r="P67">
        <f t="shared" ref="P67:P130" si="36">F67/K67</f>
        <v>3.0075026412566185E-6</v>
      </c>
      <c r="Q67">
        <f t="shared" si="12"/>
        <v>7.4300637351356136E-3</v>
      </c>
      <c r="R67">
        <f t="shared" si="13"/>
        <v>2.3937159802461583E-2</v>
      </c>
      <c r="S67">
        <f t="shared" si="14"/>
        <v>0.12823894360497551</v>
      </c>
      <c r="T67">
        <f t="shared" si="15"/>
        <v>0.1367129745580544</v>
      </c>
      <c r="U67">
        <f t="shared" si="16"/>
        <v>4.8465306275603415E-2</v>
      </c>
      <c r="V67">
        <f t="shared" si="17"/>
        <v>-0.98524946990843598</v>
      </c>
      <c r="W67">
        <f t="shared" si="18"/>
        <v>-0.95324486552069354</v>
      </c>
      <c r="X67">
        <f t="shared" si="19"/>
        <v>-0.77267414082477337</v>
      </c>
      <c r="Y67">
        <f t="shared" si="20"/>
        <v>-0.75945911128320254</v>
      </c>
      <c r="Z67">
        <f t="shared" si="21"/>
        <v>-0.90755000478220194</v>
      </c>
    </row>
    <row r="68" spans="1:26" x14ac:dyDescent="0.25">
      <c r="A68" s="11" t="s">
        <v>83</v>
      </c>
      <c r="B68" s="5">
        <v>13</v>
      </c>
      <c r="C68" s="5">
        <v>28</v>
      </c>
      <c r="D68" s="5">
        <v>60</v>
      </c>
      <c r="E68" s="5">
        <v>98</v>
      </c>
      <c r="F68" s="14">
        <v>155</v>
      </c>
      <c r="G68">
        <f t="shared" si="27"/>
        <v>185185365</v>
      </c>
      <c r="H68">
        <f t="shared" si="28"/>
        <v>195997876</v>
      </c>
      <c r="I68">
        <f t="shared" si="29"/>
        <v>219836715</v>
      </c>
      <c r="J68">
        <f t="shared" si="30"/>
        <v>212869514</v>
      </c>
      <c r="K68">
        <f t="shared" si="31"/>
        <v>242218972</v>
      </c>
      <c r="L68">
        <f t="shared" si="32"/>
        <v>7.0199931835866189E-8</v>
      </c>
      <c r="M68">
        <f t="shared" si="33"/>
        <v>1.428586909788757E-7</v>
      </c>
      <c r="N68">
        <f t="shared" si="34"/>
        <v>2.7292984249696419E-7</v>
      </c>
      <c r="O68">
        <f t="shared" si="35"/>
        <v>4.6037592776201857E-7</v>
      </c>
      <c r="P68">
        <f t="shared" si="36"/>
        <v>6.3991684350803036E-7</v>
      </c>
      <c r="Q68">
        <f t="shared" ref="Q68:Q131" si="37">L68/$L$2</f>
        <v>8.7793877325253805E-4</v>
      </c>
      <c r="R68">
        <f t="shared" ref="R68:R131" si="38">M68/$M$2</f>
        <v>2.5219020198240251E-3</v>
      </c>
      <c r="S68">
        <f t="shared" ref="S68:S131" si="39">N68/$N$2</f>
        <v>7.4694791658852597E-3</v>
      </c>
      <c r="T68">
        <f t="shared" ref="T68:T131" si="40">O68/$O$2</f>
        <v>7.8145258248043664E-3</v>
      </c>
      <c r="U68">
        <f t="shared" ref="U68:U131" si="41">P68/$P$2</f>
        <v>1.0312132526864767E-2</v>
      </c>
      <c r="V68">
        <f t="shared" ref="V68:V131" si="42">(Q68-1)/(Q68+1)</f>
        <v>-0.99824566265427217</v>
      </c>
      <c r="W68">
        <f t="shared" ref="W68:W131" si="43">(R68-1)/(R68+1)</f>
        <v>-0.99496888394210037</v>
      </c>
      <c r="X68">
        <f t="shared" ref="X68:X131" si="44">(S68-1)/(S68+1)</f>
        <v>-0.98517180059475451</v>
      </c>
      <c r="Y68">
        <f t="shared" ref="Y68:Y131" si="45">(T68-1)/(T68+1)</f>
        <v>-0.98449213496221666</v>
      </c>
      <c r="Z68">
        <f t="shared" ref="Z68:Z131" si="46">(U68-1)/(U68+1)</f>
        <v>-0.97958624430041563</v>
      </c>
    </row>
    <row r="69" spans="1:26" ht="23.25" x14ac:dyDescent="0.25">
      <c r="A69" s="12" t="s">
        <v>69</v>
      </c>
      <c r="B69" s="4">
        <v>0</v>
      </c>
      <c r="C69" s="4">
        <v>0</v>
      </c>
      <c r="D69" s="4">
        <v>0</v>
      </c>
      <c r="E69" s="4">
        <v>319</v>
      </c>
      <c r="F69" s="6">
        <v>155</v>
      </c>
      <c r="G69">
        <f t="shared" si="27"/>
        <v>55215</v>
      </c>
      <c r="H69">
        <f t="shared" si="28"/>
        <v>34591</v>
      </c>
      <c r="I69">
        <f t="shared" si="29"/>
        <v>44931</v>
      </c>
      <c r="J69">
        <f t="shared" si="30"/>
        <v>40799</v>
      </c>
      <c r="K69">
        <f t="shared" si="31"/>
        <v>51621</v>
      </c>
      <c r="L69">
        <f t="shared" si="32"/>
        <v>0</v>
      </c>
      <c r="M69">
        <f t="shared" si="33"/>
        <v>0</v>
      </c>
      <c r="N69">
        <f t="shared" si="34"/>
        <v>0</v>
      </c>
      <c r="O69">
        <f t="shared" si="35"/>
        <v>7.8188190887031554E-3</v>
      </c>
      <c r="P69">
        <f t="shared" si="36"/>
        <v>3.0026539586602351E-3</v>
      </c>
      <c r="Q69">
        <f t="shared" si="37"/>
        <v>0</v>
      </c>
      <c r="R69">
        <f t="shared" si="38"/>
        <v>0</v>
      </c>
      <c r="S69">
        <f t="shared" si="39"/>
        <v>0</v>
      </c>
      <c r="T69">
        <f t="shared" si="40"/>
        <v>132.71841554610705</v>
      </c>
      <c r="U69">
        <f t="shared" si="41"/>
        <v>48.387170720926491</v>
      </c>
      <c r="V69">
        <f t="shared" si="42"/>
        <v>-1</v>
      </c>
      <c r="W69">
        <f t="shared" si="43"/>
        <v>-1</v>
      </c>
      <c r="X69">
        <f t="shared" si="44"/>
        <v>-1</v>
      </c>
      <c r="Y69">
        <f t="shared" si="45"/>
        <v>0.98504319699099052</v>
      </c>
      <c r="Z69">
        <f t="shared" si="46"/>
        <v>0.95950365305796803</v>
      </c>
    </row>
    <row r="70" spans="1:26" ht="23.25" x14ac:dyDescent="0.25">
      <c r="A70" s="11" t="s">
        <v>92</v>
      </c>
      <c r="B70" s="5">
        <v>157</v>
      </c>
      <c r="C70" s="5">
        <v>94</v>
      </c>
      <c r="D70" s="5">
        <v>97</v>
      </c>
      <c r="E70" s="5">
        <v>159</v>
      </c>
      <c r="F70" s="14">
        <v>134</v>
      </c>
      <c r="G70">
        <f t="shared" si="27"/>
        <v>551515756</v>
      </c>
      <c r="H70">
        <f t="shared" si="28"/>
        <v>672153980</v>
      </c>
      <c r="I70">
        <f t="shared" si="29"/>
        <v>611481903</v>
      </c>
      <c r="J70">
        <f t="shared" si="30"/>
        <v>576144442</v>
      </c>
      <c r="K70">
        <f t="shared" si="31"/>
        <v>640570014</v>
      </c>
      <c r="L70">
        <f t="shared" si="32"/>
        <v>2.8467001765947733E-7</v>
      </c>
      <c r="M70">
        <f t="shared" si="33"/>
        <v>1.3984890783507671E-7</v>
      </c>
      <c r="N70">
        <f t="shared" si="34"/>
        <v>1.5863102329620376E-7</v>
      </c>
      <c r="O70">
        <f t="shared" si="35"/>
        <v>2.7597246178068659E-7</v>
      </c>
      <c r="P70">
        <f t="shared" si="36"/>
        <v>2.0918868674986088E-7</v>
      </c>
      <c r="Q70">
        <f t="shared" si="37"/>
        <v>3.5601579595558892E-3</v>
      </c>
      <c r="R70">
        <f t="shared" si="38"/>
        <v>2.4687699482813749E-3</v>
      </c>
      <c r="S70">
        <f t="shared" si="39"/>
        <v>4.3413762039863158E-3</v>
      </c>
      <c r="T70">
        <f t="shared" si="40"/>
        <v>4.6844194048191326E-3</v>
      </c>
      <c r="U70">
        <f t="shared" si="41"/>
        <v>3.3710340378910412E-3</v>
      </c>
      <c r="V70">
        <f t="shared" si="42"/>
        <v>-0.99290494360239567</v>
      </c>
      <c r="W70">
        <f t="shared" si="43"/>
        <v>-0.9950746197342214</v>
      </c>
      <c r="X70">
        <f t="shared" si="44"/>
        <v>-0.99135477974551833</v>
      </c>
      <c r="Y70">
        <f t="shared" si="45"/>
        <v>-0.99067484413146523</v>
      </c>
      <c r="Z70">
        <f t="shared" si="46"/>
        <v>-0.99328058330660618</v>
      </c>
    </row>
    <row r="71" spans="1:26" ht="23.25" x14ac:dyDescent="0.25">
      <c r="A71" s="12" t="s">
        <v>90</v>
      </c>
      <c r="B71" s="4">
        <v>714</v>
      </c>
      <c r="C71" s="4">
        <v>363</v>
      </c>
      <c r="D71" s="6">
        <v>140</v>
      </c>
      <c r="E71" s="6">
        <v>132</v>
      </c>
      <c r="F71" s="6">
        <v>132</v>
      </c>
      <c r="G71">
        <f t="shared" si="27"/>
        <v>337105352</v>
      </c>
      <c r="H71">
        <f t="shared" si="28"/>
        <v>492314339</v>
      </c>
      <c r="I71">
        <f t="shared" si="29"/>
        <v>575226571</v>
      </c>
      <c r="J71">
        <f t="shared" si="30"/>
        <v>421884417</v>
      </c>
      <c r="K71">
        <f t="shared" si="31"/>
        <v>386035772</v>
      </c>
      <c r="L71">
        <f t="shared" si="32"/>
        <v>2.1180322286903356E-6</v>
      </c>
      <c r="M71">
        <f t="shared" si="33"/>
        <v>7.3733379518730609E-7</v>
      </c>
      <c r="N71">
        <f t="shared" si="34"/>
        <v>2.4338235933124169E-7</v>
      </c>
      <c r="O71">
        <f t="shared" si="35"/>
        <v>3.1288190480853906E-7</v>
      </c>
      <c r="P71">
        <f t="shared" si="36"/>
        <v>3.4193722337213867E-7</v>
      </c>
      <c r="Q71">
        <f t="shared" si="37"/>
        <v>2.6488666982090785E-2</v>
      </c>
      <c r="R71">
        <f t="shared" si="38"/>
        <v>1.3016244056459543E-2</v>
      </c>
      <c r="S71">
        <f t="shared" si="39"/>
        <v>6.6608306579333879E-3</v>
      </c>
      <c r="T71">
        <f t="shared" si="40"/>
        <v>5.3109286950038196E-3</v>
      </c>
      <c r="U71">
        <f t="shared" si="41"/>
        <v>5.5102502755694461E-3</v>
      </c>
      <c r="V71">
        <f t="shared" si="42"/>
        <v>-0.94838975268968484</v>
      </c>
      <c r="W71">
        <f t="shared" si="43"/>
        <v>-0.97430200328409711</v>
      </c>
      <c r="X71">
        <f t="shared" si="44"/>
        <v>-0.986766484887308</v>
      </c>
      <c r="Y71">
        <f t="shared" si="45"/>
        <v>-0.98943425652022321</v>
      </c>
      <c r="Z71">
        <f t="shared" si="46"/>
        <v>-0.98903989238486767</v>
      </c>
    </row>
    <row r="72" spans="1:26" x14ac:dyDescent="0.25">
      <c r="A72" s="11" t="s">
        <v>93</v>
      </c>
      <c r="B72" s="5">
        <v>214</v>
      </c>
      <c r="C72" s="5">
        <v>105</v>
      </c>
      <c r="D72" s="5">
        <v>75</v>
      </c>
      <c r="E72" s="5">
        <v>116</v>
      </c>
      <c r="F72" s="14">
        <v>123</v>
      </c>
      <c r="G72">
        <f t="shared" si="27"/>
        <v>86265125</v>
      </c>
      <c r="H72">
        <f t="shared" si="28"/>
        <v>103994252</v>
      </c>
      <c r="I72">
        <f t="shared" si="29"/>
        <v>108594464</v>
      </c>
      <c r="J72">
        <f t="shared" si="30"/>
        <v>117590707</v>
      </c>
      <c r="K72">
        <f t="shared" si="31"/>
        <v>115616351</v>
      </c>
      <c r="L72">
        <f t="shared" si="32"/>
        <v>2.4807243947075948E-6</v>
      </c>
      <c r="M72">
        <f t="shared" si="33"/>
        <v>1.0096711883652954E-6</v>
      </c>
      <c r="N72">
        <f t="shared" si="34"/>
        <v>6.9064294106189431E-7</v>
      </c>
      <c r="O72">
        <f t="shared" si="35"/>
        <v>9.864725109612615E-7</v>
      </c>
      <c r="P72">
        <f t="shared" si="36"/>
        <v>1.063863363063586E-6</v>
      </c>
      <c r="Q72">
        <f t="shared" si="37"/>
        <v>3.102459040785702E-2</v>
      </c>
      <c r="R72">
        <f t="shared" si="38"/>
        <v>1.7823849510654403E-2</v>
      </c>
      <c r="S72">
        <f t="shared" si="39"/>
        <v>1.8901352128193612E-2</v>
      </c>
      <c r="T72">
        <f t="shared" si="40"/>
        <v>1.674460901950393E-2</v>
      </c>
      <c r="U72">
        <f t="shared" si="41"/>
        <v>1.7143946282529871E-2</v>
      </c>
      <c r="V72">
        <f t="shared" si="42"/>
        <v>-0.93981794285704834</v>
      </c>
      <c r="W72">
        <f t="shared" si="43"/>
        <v>-0.96497655361637735</v>
      </c>
      <c r="X72">
        <f t="shared" si="44"/>
        <v>-0.9628985630675353</v>
      </c>
      <c r="Y72">
        <f t="shared" si="45"/>
        <v>-0.96706231069048576</v>
      </c>
      <c r="Z72">
        <f t="shared" si="46"/>
        <v>-0.96629002936076502</v>
      </c>
    </row>
    <row r="73" spans="1:26" x14ac:dyDescent="0.25">
      <c r="A73" s="12" t="s">
        <v>71</v>
      </c>
      <c r="B73" s="4">
        <v>15</v>
      </c>
      <c r="C73" s="4">
        <v>1</v>
      </c>
      <c r="D73" s="4">
        <v>0</v>
      </c>
      <c r="E73" s="4">
        <v>3</v>
      </c>
      <c r="F73" s="6">
        <v>111</v>
      </c>
      <c r="G73">
        <f t="shared" si="27"/>
        <v>1247237</v>
      </c>
      <c r="H73">
        <f t="shared" si="28"/>
        <v>633014</v>
      </c>
      <c r="I73">
        <f t="shared" si="29"/>
        <v>446135</v>
      </c>
      <c r="J73">
        <f t="shared" si="30"/>
        <v>467409</v>
      </c>
      <c r="K73">
        <f t="shared" si="31"/>
        <v>1274642</v>
      </c>
      <c r="L73">
        <f t="shared" si="32"/>
        <v>1.2026583560301691E-5</v>
      </c>
      <c r="M73">
        <f t="shared" si="33"/>
        <v>1.579743891920242E-6</v>
      </c>
      <c r="N73">
        <f t="shared" si="34"/>
        <v>0</v>
      </c>
      <c r="O73">
        <f t="shared" si="35"/>
        <v>6.4183616490054747E-6</v>
      </c>
      <c r="P73">
        <f t="shared" si="36"/>
        <v>8.7083275147060903E-5</v>
      </c>
      <c r="Q73">
        <f t="shared" si="37"/>
        <v>0.15040761068026937</v>
      </c>
      <c r="R73">
        <f t="shared" si="38"/>
        <v>2.7887412971097619E-2</v>
      </c>
      <c r="S73">
        <f t="shared" si="39"/>
        <v>0</v>
      </c>
      <c r="T73">
        <f t="shared" si="40"/>
        <v>0.1089467320824266</v>
      </c>
      <c r="U73">
        <f t="shared" si="41"/>
        <v>1.4033296408748954</v>
      </c>
      <c r="V73">
        <f t="shared" si="42"/>
        <v>-0.73851422872397543</v>
      </c>
      <c r="W73">
        <f t="shared" si="43"/>
        <v>-0.945738389984776</v>
      </c>
      <c r="X73">
        <f t="shared" si="44"/>
        <v>-1</v>
      </c>
      <c r="Y73">
        <f t="shared" si="45"/>
        <v>-0.80351313741131303</v>
      </c>
      <c r="Z73">
        <f t="shared" si="46"/>
        <v>0.16782119024174702</v>
      </c>
    </row>
    <row r="74" spans="1:26" x14ac:dyDescent="0.25">
      <c r="A74" s="11" t="s">
        <v>74</v>
      </c>
      <c r="B74" s="5">
        <v>1217</v>
      </c>
      <c r="C74" s="5">
        <v>1095</v>
      </c>
      <c r="D74" s="5">
        <v>614</v>
      </c>
      <c r="E74" s="5">
        <v>740</v>
      </c>
      <c r="F74" s="14">
        <v>110</v>
      </c>
      <c r="G74">
        <f t="shared" si="27"/>
        <v>44791710</v>
      </c>
      <c r="H74">
        <f t="shared" si="28"/>
        <v>57453555</v>
      </c>
      <c r="I74">
        <f t="shared" si="29"/>
        <v>69988673</v>
      </c>
      <c r="J74">
        <f t="shared" si="30"/>
        <v>73097825</v>
      </c>
      <c r="K74">
        <f t="shared" si="31"/>
        <v>79073154</v>
      </c>
      <c r="L74">
        <f t="shared" si="32"/>
        <v>2.7170206272544631E-5</v>
      </c>
      <c r="M74">
        <f t="shared" si="33"/>
        <v>1.9058872858259161E-5</v>
      </c>
      <c r="N74">
        <f t="shared" si="34"/>
        <v>8.7728481435846051E-6</v>
      </c>
      <c r="O74">
        <f t="shared" si="35"/>
        <v>1.0123420224883571E-5</v>
      </c>
      <c r="P74">
        <f t="shared" si="36"/>
        <v>1.3911168890518772E-6</v>
      </c>
      <c r="Q74">
        <f t="shared" si="37"/>
        <v>0.33979773113894962</v>
      </c>
      <c r="R74">
        <f t="shared" si="38"/>
        <v>0.33644862365370765</v>
      </c>
      <c r="S74">
        <f t="shared" si="39"/>
        <v>0.24009322628290186</v>
      </c>
      <c r="T74">
        <f t="shared" si="40"/>
        <v>0.17183723998617401</v>
      </c>
      <c r="U74">
        <f t="shared" si="41"/>
        <v>2.241757169825577E-2</v>
      </c>
      <c r="V74">
        <f t="shared" si="42"/>
        <v>-0.49276264134274844</v>
      </c>
      <c r="W74">
        <f t="shared" si="43"/>
        <v>-0.49650346792397737</v>
      </c>
      <c r="X74">
        <f t="shared" si="44"/>
        <v>-0.61278197284801628</v>
      </c>
      <c r="Y74">
        <f t="shared" si="45"/>
        <v>-0.70672166044458273</v>
      </c>
      <c r="Z74">
        <f t="shared" si="46"/>
        <v>-0.95614791388802189</v>
      </c>
    </row>
    <row r="75" spans="1:26" x14ac:dyDescent="0.25">
      <c r="A75" s="12" t="s">
        <v>85</v>
      </c>
      <c r="B75" s="4">
        <v>205</v>
      </c>
      <c r="C75" s="4">
        <v>141</v>
      </c>
      <c r="D75" s="4">
        <v>129</v>
      </c>
      <c r="E75" s="4">
        <v>154</v>
      </c>
      <c r="F75" s="13">
        <v>102</v>
      </c>
      <c r="G75">
        <f t="shared" si="27"/>
        <v>31918087</v>
      </c>
      <c r="H75">
        <f t="shared" si="28"/>
        <v>41213065</v>
      </c>
      <c r="I75">
        <f t="shared" si="29"/>
        <v>50068471</v>
      </c>
      <c r="J75">
        <f t="shared" si="30"/>
        <v>48001673</v>
      </c>
      <c r="K75">
        <f t="shared" si="31"/>
        <v>46416985</v>
      </c>
      <c r="L75">
        <f t="shared" si="32"/>
        <v>6.4226906831853678E-6</v>
      </c>
      <c r="M75">
        <f t="shared" si="33"/>
        <v>3.4212451803815125E-6</v>
      </c>
      <c r="N75">
        <f t="shared" si="34"/>
        <v>2.5764717280861244E-6</v>
      </c>
      <c r="O75">
        <f t="shared" si="35"/>
        <v>3.2082215134460002E-6</v>
      </c>
      <c r="P75">
        <f t="shared" si="36"/>
        <v>2.1974714643788261E-6</v>
      </c>
      <c r="Q75">
        <f t="shared" si="37"/>
        <v>8.0323855478380349E-2</v>
      </c>
      <c r="R75">
        <f t="shared" si="38"/>
        <v>6.039566141616938E-2</v>
      </c>
      <c r="S75">
        <f t="shared" si="39"/>
        <v>7.0512266882819016E-2</v>
      </c>
      <c r="T75">
        <f t="shared" si="40"/>
        <v>5.4457082476902417E-2</v>
      </c>
      <c r="U75">
        <f t="shared" si="41"/>
        <v>3.5411815135935977E-2</v>
      </c>
      <c r="V75">
        <f t="shared" si="42"/>
        <v>-0.85129671057238299</v>
      </c>
      <c r="W75">
        <f t="shared" si="43"/>
        <v>-0.88608844110978291</v>
      </c>
      <c r="X75">
        <f t="shared" si="44"/>
        <v>-0.86826443925179708</v>
      </c>
      <c r="Y75">
        <f t="shared" si="45"/>
        <v>-0.89671067057753817</v>
      </c>
      <c r="Z75">
        <f t="shared" si="46"/>
        <v>-0.93159858788884531</v>
      </c>
    </row>
    <row r="76" spans="1:26" x14ac:dyDescent="0.25">
      <c r="A76" s="11" t="s">
        <v>73</v>
      </c>
      <c r="B76" s="5">
        <v>162</v>
      </c>
      <c r="C76" s="5">
        <v>63</v>
      </c>
      <c r="D76" s="5">
        <v>62</v>
      </c>
      <c r="E76" s="5">
        <v>12</v>
      </c>
      <c r="F76" s="7">
        <v>100</v>
      </c>
      <c r="G76">
        <f t="shared" si="27"/>
        <v>27704922</v>
      </c>
      <c r="H76">
        <f t="shared" si="28"/>
        <v>36578743</v>
      </c>
      <c r="I76">
        <f t="shared" si="29"/>
        <v>42331463</v>
      </c>
      <c r="J76">
        <f t="shared" si="30"/>
        <v>42477876</v>
      </c>
      <c r="K76">
        <f t="shared" si="31"/>
        <v>47487556</v>
      </c>
      <c r="L76">
        <f t="shared" si="32"/>
        <v>5.8473364407956104E-6</v>
      </c>
      <c r="M76">
        <f t="shared" si="33"/>
        <v>1.7223117809160365E-6</v>
      </c>
      <c r="N76">
        <f t="shared" si="34"/>
        <v>1.4646316381741874E-6</v>
      </c>
      <c r="O76">
        <f t="shared" si="35"/>
        <v>2.8250000070624998E-7</v>
      </c>
      <c r="P76">
        <f t="shared" si="36"/>
        <v>2.1058148370490997E-6</v>
      </c>
      <c r="Q76">
        <f t="shared" si="37"/>
        <v>7.31283243070633E-2</v>
      </c>
      <c r="R76">
        <f t="shared" si="38"/>
        <v>3.0404181427793799E-2</v>
      </c>
      <c r="S76">
        <f t="shared" si="39"/>
        <v>4.008369113084502E-2</v>
      </c>
      <c r="T76">
        <f t="shared" si="40"/>
        <v>4.7952193368533706E-3</v>
      </c>
      <c r="U76">
        <f t="shared" si="41"/>
        <v>3.3934786835183438E-2</v>
      </c>
      <c r="V76">
        <f t="shared" si="42"/>
        <v>-0.86371000997614433</v>
      </c>
      <c r="W76">
        <f t="shared" si="43"/>
        <v>-0.94098591217736749</v>
      </c>
      <c r="X76">
        <f t="shared" si="44"/>
        <v>-0.92292218121935266</v>
      </c>
      <c r="Y76">
        <f t="shared" si="45"/>
        <v>-0.99045533011190445</v>
      </c>
      <c r="Z76">
        <f t="shared" si="46"/>
        <v>-0.93435797447331104</v>
      </c>
    </row>
    <row r="77" spans="1:26" x14ac:dyDescent="0.25">
      <c r="A77" s="12" t="s">
        <v>72</v>
      </c>
      <c r="B77" s="4">
        <v>3822</v>
      </c>
      <c r="C77" s="4">
        <v>1273</v>
      </c>
      <c r="D77" s="4">
        <v>963</v>
      </c>
      <c r="E77" s="4">
        <v>2578</v>
      </c>
      <c r="F77" s="13">
        <v>90</v>
      </c>
      <c r="G77">
        <f t="shared" si="27"/>
        <v>20226568</v>
      </c>
      <c r="H77">
        <f t="shared" si="28"/>
        <v>26269228</v>
      </c>
      <c r="I77">
        <f t="shared" si="29"/>
        <v>35380362</v>
      </c>
      <c r="J77">
        <f t="shared" si="30"/>
        <v>31126424</v>
      </c>
      <c r="K77">
        <f t="shared" si="31"/>
        <v>34420386</v>
      </c>
      <c r="L77">
        <f t="shared" si="32"/>
        <v>1.8895939241892149E-4</v>
      </c>
      <c r="M77">
        <f t="shared" si="33"/>
        <v>4.8459741565302184E-5</v>
      </c>
      <c r="N77">
        <f t="shared" si="34"/>
        <v>2.7218489172044084E-5</v>
      </c>
      <c r="O77">
        <f t="shared" si="35"/>
        <v>8.2823519977752658E-5</v>
      </c>
      <c r="P77">
        <f t="shared" si="36"/>
        <v>2.6147295384775753E-6</v>
      </c>
      <c r="Q77">
        <f t="shared" si="37"/>
        <v>2.3631757586701068</v>
      </c>
      <c r="R77">
        <f t="shared" si="38"/>
        <v>0.85546577037974514</v>
      </c>
      <c r="S77">
        <f t="shared" si="39"/>
        <v>0.74490915298028737</v>
      </c>
      <c r="T77">
        <f t="shared" si="40"/>
        <v>1.4058652869050927</v>
      </c>
      <c r="U77">
        <f t="shared" si="41"/>
        <v>4.2135845924721839E-2</v>
      </c>
      <c r="V77">
        <f t="shared" si="42"/>
        <v>0.4053239724852038</v>
      </c>
      <c r="W77">
        <f t="shared" si="43"/>
        <v>-7.7896467791305074E-2</v>
      </c>
      <c r="X77">
        <f t="shared" si="44"/>
        <v>-0.14619147740959465</v>
      </c>
      <c r="Y77">
        <f t="shared" si="45"/>
        <v>0.16869825967155383</v>
      </c>
      <c r="Z77">
        <f t="shared" si="46"/>
        <v>-0.91913559812860424</v>
      </c>
    </row>
    <row r="78" spans="1:26" x14ac:dyDescent="0.25">
      <c r="A78" s="11" t="s">
        <v>97</v>
      </c>
      <c r="B78" s="5">
        <v>6</v>
      </c>
      <c r="C78" s="5">
        <v>10</v>
      </c>
      <c r="D78" s="5">
        <v>28</v>
      </c>
      <c r="E78" s="5">
        <v>28</v>
      </c>
      <c r="F78" s="14">
        <v>88</v>
      </c>
      <c r="G78">
        <f t="shared" si="27"/>
        <v>31045676</v>
      </c>
      <c r="H78">
        <f t="shared" si="28"/>
        <v>40488600</v>
      </c>
      <c r="I78">
        <f t="shared" si="29"/>
        <v>57259330</v>
      </c>
      <c r="J78">
        <f t="shared" si="30"/>
        <v>49542894</v>
      </c>
      <c r="K78">
        <f t="shared" si="31"/>
        <v>49551988</v>
      </c>
      <c r="L78">
        <f t="shared" si="32"/>
        <v>1.9326362872562351E-7</v>
      </c>
      <c r="M78">
        <f t="shared" si="33"/>
        <v>2.469831014162011E-7</v>
      </c>
      <c r="N78">
        <f t="shared" si="34"/>
        <v>4.8900327684588693E-7</v>
      </c>
      <c r="O78">
        <f t="shared" si="35"/>
        <v>5.651668229151087E-7</v>
      </c>
      <c r="P78">
        <f t="shared" si="36"/>
        <v>1.7759126031431876E-6</v>
      </c>
      <c r="Q78">
        <f t="shared" si="37"/>
        <v>2.4170056676752938E-3</v>
      </c>
      <c r="R78">
        <f t="shared" si="38"/>
        <v>4.3600230273426075E-3</v>
      </c>
      <c r="S78">
        <f t="shared" si="39"/>
        <v>1.3382925645042287E-2</v>
      </c>
      <c r="T78">
        <f t="shared" si="40"/>
        <v>9.5932703398770511E-3</v>
      </c>
      <c r="U78">
        <f t="shared" si="41"/>
        <v>2.8618478018717957E-2</v>
      </c>
      <c r="V78">
        <f t="shared" si="42"/>
        <v>-0.99517764432564582</v>
      </c>
      <c r="W78">
        <f t="shared" si="43"/>
        <v>-0.99131780850018181</v>
      </c>
      <c r="X78">
        <f t="shared" si="44"/>
        <v>-0.97358762357965767</v>
      </c>
      <c r="Y78">
        <f t="shared" si="45"/>
        <v>-0.98099577201688848</v>
      </c>
      <c r="Z78">
        <f t="shared" si="46"/>
        <v>-0.94435550472738605</v>
      </c>
    </row>
    <row r="79" spans="1:26" ht="23.25" x14ac:dyDescent="0.25">
      <c r="A79" s="12" t="s">
        <v>94</v>
      </c>
      <c r="B79" s="4">
        <v>67</v>
      </c>
      <c r="C79" s="4">
        <v>37</v>
      </c>
      <c r="D79" s="4">
        <v>54</v>
      </c>
      <c r="E79" s="4">
        <v>71</v>
      </c>
      <c r="F79" s="13">
        <v>75</v>
      </c>
      <c r="G79">
        <f t="shared" si="27"/>
        <v>5505147</v>
      </c>
      <c r="H79">
        <f t="shared" si="28"/>
        <v>8579957</v>
      </c>
      <c r="I79">
        <f t="shared" si="29"/>
        <v>13220758</v>
      </c>
      <c r="J79">
        <f t="shared" si="30"/>
        <v>7820638</v>
      </c>
      <c r="K79">
        <f t="shared" si="31"/>
        <v>7910706</v>
      </c>
      <c r="L79">
        <f t="shared" si="32"/>
        <v>1.2170428873198118E-5</v>
      </c>
      <c r="M79">
        <f t="shared" si="33"/>
        <v>4.3123759244947264E-6</v>
      </c>
      <c r="N79">
        <f t="shared" si="34"/>
        <v>4.0844859273575689E-6</v>
      </c>
      <c r="O79">
        <f t="shared" si="35"/>
        <v>9.0785432083673984E-6</v>
      </c>
      <c r="P79">
        <f t="shared" si="36"/>
        <v>9.4808225713356044E-6</v>
      </c>
      <c r="Q79">
        <f t="shared" si="37"/>
        <v>0.15220657791912207</v>
      </c>
      <c r="R79">
        <f t="shared" si="38"/>
        <v>7.6126901903587202E-2</v>
      </c>
      <c r="S79">
        <f t="shared" si="39"/>
        <v>0.11178324165151801</v>
      </c>
      <c r="T79">
        <f t="shared" si="40"/>
        <v>0.15410125959075463</v>
      </c>
      <c r="U79">
        <f t="shared" si="41"/>
        <v>0.1527815681227285</v>
      </c>
      <c r="V79">
        <f t="shared" si="42"/>
        <v>-0.73579984555546252</v>
      </c>
      <c r="W79">
        <f t="shared" si="43"/>
        <v>-0.85851686865382792</v>
      </c>
      <c r="X79">
        <f t="shared" si="44"/>
        <v>-0.79891180679164109</v>
      </c>
      <c r="Y79">
        <f t="shared" si="45"/>
        <v>-0.73295019252400939</v>
      </c>
      <c r="Z79">
        <f t="shared" si="46"/>
        <v>-0.73493405455548899</v>
      </c>
    </row>
    <row r="80" spans="1:26" x14ac:dyDescent="0.25">
      <c r="A80" s="11" t="s">
        <v>150</v>
      </c>
      <c r="B80" s="5">
        <v>5</v>
      </c>
      <c r="C80" s="5">
        <v>15</v>
      </c>
      <c r="D80" s="5">
        <v>65</v>
      </c>
      <c r="E80" s="5">
        <v>75</v>
      </c>
      <c r="F80" s="7">
        <v>70</v>
      </c>
      <c r="G80">
        <f t="shared" si="27"/>
        <v>3989356</v>
      </c>
      <c r="H80">
        <f t="shared" si="28"/>
        <v>4173796</v>
      </c>
      <c r="I80">
        <f t="shared" si="29"/>
        <v>3904608</v>
      </c>
      <c r="J80">
        <f t="shared" si="30"/>
        <v>4006274</v>
      </c>
      <c r="K80">
        <f t="shared" si="31"/>
        <v>643663</v>
      </c>
      <c r="L80">
        <f t="shared" si="32"/>
        <v>1.2533351247670049E-6</v>
      </c>
      <c r="M80">
        <f t="shared" si="33"/>
        <v>3.5938507775655542E-6</v>
      </c>
      <c r="N80">
        <f t="shared" si="34"/>
        <v>1.6646997598734624E-5</v>
      </c>
      <c r="O80">
        <f t="shared" si="35"/>
        <v>1.872063668136528E-5</v>
      </c>
      <c r="P80">
        <f t="shared" si="36"/>
        <v>1.087525615112256E-4</v>
      </c>
      <c r="Q80">
        <f t="shared" si="37"/>
        <v>1.5674538039224636E-2</v>
      </c>
      <c r="R80">
        <f t="shared" si="38"/>
        <v>6.344268922517915E-2</v>
      </c>
      <c r="S80">
        <f t="shared" si="39"/>
        <v>0.45559108011310018</v>
      </c>
      <c r="T80">
        <f t="shared" si="40"/>
        <v>0.31776834969297491</v>
      </c>
      <c r="U80">
        <f t="shared" si="41"/>
        <v>1.7525258763183302</v>
      </c>
      <c r="V80">
        <f t="shared" si="42"/>
        <v>-0.96913472288183067</v>
      </c>
      <c r="W80">
        <f t="shared" si="43"/>
        <v>-0.88068432860937096</v>
      </c>
      <c r="X80">
        <f t="shared" si="44"/>
        <v>-0.37401226712972085</v>
      </c>
      <c r="Y80">
        <f t="shared" si="45"/>
        <v>-0.5177174352882109</v>
      </c>
      <c r="Z80">
        <f t="shared" si="46"/>
        <v>0.27339466008031832</v>
      </c>
    </row>
    <row r="81" spans="1:26" x14ac:dyDescent="0.25">
      <c r="A81" s="12" t="s">
        <v>75</v>
      </c>
      <c r="B81" s="4">
        <v>0</v>
      </c>
      <c r="C81" s="4">
        <v>0</v>
      </c>
      <c r="D81" s="4">
        <v>0</v>
      </c>
      <c r="E81" s="4">
        <v>1035</v>
      </c>
      <c r="F81" s="6">
        <v>68</v>
      </c>
      <c r="G81">
        <f t="shared" si="27"/>
        <v>13145</v>
      </c>
      <c r="H81">
        <f t="shared" si="28"/>
        <v>14145</v>
      </c>
      <c r="I81">
        <f t="shared" si="29"/>
        <v>7866</v>
      </c>
      <c r="J81">
        <f t="shared" si="30"/>
        <v>22042</v>
      </c>
      <c r="K81">
        <f t="shared" si="31"/>
        <v>28683</v>
      </c>
      <c r="L81">
        <f t="shared" si="32"/>
        <v>0</v>
      </c>
      <c r="M81">
        <f t="shared" si="33"/>
        <v>0</v>
      </c>
      <c r="N81">
        <f t="shared" si="34"/>
        <v>0</v>
      </c>
      <c r="O81">
        <f t="shared" si="35"/>
        <v>4.6955811632338265E-2</v>
      </c>
      <c r="P81">
        <f t="shared" si="36"/>
        <v>2.3707422515078617E-3</v>
      </c>
      <c r="Q81">
        <f t="shared" si="37"/>
        <v>0</v>
      </c>
      <c r="R81">
        <f t="shared" si="38"/>
        <v>0</v>
      </c>
      <c r="S81">
        <f t="shared" si="39"/>
        <v>0</v>
      </c>
      <c r="T81">
        <f t="shared" si="40"/>
        <v>797.03863842167925</v>
      </c>
      <c r="U81">
        <f t="shared" si="41"/>
        <v>38.204039372625203</v>
      </c>
      <c r="V81">
        <f t="shared" si="42"/>
        <v>-1</v>
      </c>
      <c r="W81">
        <f t="shared" si="43"/>
        <v>-1</v>
      </c>
      <c r="X81">
        <f t="shared" si="44"/>
        <v>-1</v>
      </c>
      <c r="Y81">
        <f t="shared" si="45"/>
        <v>0.99749385568102877</v>
      </c>
      <c r="Z81">
        <f t="shared" si="46"/>
        <v>0.94898484870422484</v>
      </c>
    </row>
    <row r="82" spans="1:26" ht="23.25" x14ac:dyDescent="0.25">
      <c r="A82" s="11" t="s">
        <v>81</v>
      </c>
      <c r="B82" s="5">
        <v>41</v>
      </c>
      <c r="C82" s="5">
        <v>10</v>
      </c>
      <c r="D82" s="5">
        <v>15</v>
      </c>
      <c r="E82" s="5">
        <v>16</v>
      </c>
      <c r="F82" s="7">
        <v>68</v>
      </c>
      <c r="G82">
        <f t="shared" si="27"/>
        <v>33036571</v>
      </c>
      <c r="H82">
        <f t="shared" si="28"/>
        <v>69495784</v>
      </c>
      <c r="I82">
        <f t="shared" si="29"/>
        <v>93458233</v>
      </c>
      <c r="J82">
        <f t="shared" si="30"/>
        <v>104487285</v>
      </c>
      <c r="K82">
        <f t="shared" si="31"/>
        <v>12301138</v>
      </c>
      <c r="L82">
        <f t="shared" si="32"/>
        <v>1.2410488969935772E-6</v>
      </c>
      <c r="M82">
        <f t="shared" si="33"/>
        <v>1.4389362094253083E-7</v>
      </c>
      <c r="N82">
        <f t="shared" si="34"/>
        <v>1.6049950355898553E-7</v>
      </c>
      <c r="O82">
        <f t="shared" si="35"/>
        <v>1.531286797240449E-7</v>
      </c>
      <c r="P82">
        <f t="shared" si="36"/>
        <v>5.5279438373913044E-6</v>
      </c>
      <c r="Q82">
        <f t="shared" si="37"/>
        <v>1.5520883249864949E-2</v>
      </c>
      <c r="R82">
        <f t="shared" si="38"/>
        <v>2.5401717655975198E-3</v>
      </c>
      <c r="S82">
        <f t="shared" si="39"/>
        <v>4.3925123284461074E-3</v>
      </c>
      <c r="T82">
        <f t="shared" si="40"/>
        <v>2.5992410768277976E-3</v>
      </c>
      <c r="U82">
        <f t="shared" si="41"/>
        <v>8.9081714336105219E-2</v>
      </c>
      <c r="V82">
        <f t="shared" si="42"/>
        <v>-0.96943266552984086</v>
      </c>
      <c r="W82">
        <f t="shared" si="43"/>
        <v>-0.9949325287162829</v>
      </c>
      <c r="X82">
        <f t="shared" si="44"/>
        <v>-0.99125339491378117</v>
      </c>
      <c r="Y82">
        <f t="shared" si="45"/>
        <v>-0.99481499492452008</v>
      </c>
      <c r="Z82">
        <f t="shared" si="46"/>
        <v>-0.8364094940471779</v>
      </c>
    </row>
    <row r="83" spans="1:26" x14ac:dyDescent="0.25">
      <c r="A83" s="12" t="s">
        <v>108</v>
      </c>
      <c r="B83" s="4">
        <v>111</v>
      </c>
      <c r="C83" s="4">
        <v>266</v>
      </c>
      <c r="D83" s="4">
        <v>355</v>
      </c>
      <c r="E83" s="4">
        <v>362</v>
      </c>
      <c r="F83" s="6">
        <v>64</v>
      </c>
      <c r="G83">
        <f t="shared" si="27"/>
        <v>7943245</v>
      </c>
      <c r="H83">
        <f t="shared" si="28"/>
        <v>9356550</v>
      </c>
      <c r="I83">
        <f t="shared" si="29"/>
        <v>12779807</v>
      </c>
      <c r="J83">
        <f t="shared" si="30"/>
        <v>12589565</v>
      </c>
      <c r="K83">
        <f t="shared" si="31"/>
        <v>9601965</v>
      </c>
      <c r="L83">
        <f t="shared" si="32"/>
        <v>1.3974137773668066E-5</v>
      </c>
      <c r="M83">
        <f t="shared" si="33"/>
        <v>2.8429282160625443E-5</v>
      </c>
      <c r="N83">
        <f t="shared" si="34"/>
        <v>2.7778197276375144E-5</v>
      </c>
      <c r="O83">
        <f t="shared" si="35"/>
        <v>2.8753972039542272E-5</v>
      </c>
      <c r="P83">
        <f t="shared" si="36"/>
        <v>6.6653023625893243E-6</v>
      </c>
      <c r="Q83">
        <f t="shared" si="37"/>
        <v>0.17476423485653542</v>
      </c>
      <c r="R83">
        <f t="shared" si="38"/>
        <v>0.50186561007779351</v>
      </c>
      <c r="S83">
        <f t="shared" si="39"/>
        <v>0.76022711156638256</v>
      </c>
      <c r="T83">
        <f t="shared" si="40"/>
        <v>0.48807646863946996</v>
      </c>
      <c r="U83">
        <f t="shared" si="41"/>
        <v>0.10741002052367982</v>
      </c>
      <c r="V83">
        <f t="shared" si="42"/>
        <v>-0.70246926205090332</v>
      </c>
      <c r="W83">
        <f t="shared" si="43"/>
        <v>-0.33167707322122125</v>
      </c>
      <c r="X83">
        <f t="shared" si="44"/>
        <v>-0.13621701816662141</v>
      </c>
      <c r="Y83">
        <f t="shared" si="45"/>
        <v>-0.34401695218564637</v>
      </c>
      <c r="Z83">
        <f t="shared" si="46"/>
        <v>-0.80601580528793293</v>
      </c>
    </row>
    <row r="84" spans="1:26" x14ac:dyDescent="0.25">
      <c r="A84" s="11" t="s">
        <v>96</v>
      </c>
      <c r="B84" s="5">
        <v>91</v>
      </c>
      <c r="C84" s="5">
        <v>117</v>
      </c>
      <c r="D84" s="5">
        <v>42</v>
      </c>
      <c r="E84" s="5">
        <v>47</v>
      </c>
      <c r="F84" s="14">
        <v>60</v>
      </c>
      <c r="G84">
        <f t="shared" si="27"/>
        <v>70503421</v>
      </c>
      <c r="H84">
        <f t="shared" si="28"/>
        <v>87489809</v>
      </c>
      <c r="I84">
        <f t="shared" si="29"/>
        <v>96928059</v>
      </c>
      <c r="J84">
        <f t="shared" si="30"/>
        <v>100671174</v>
      </c>
      <c r="K84">
        <f t="shared" si="31"/>
        <v>100300263</v>
      </c>
      <c r="L84">
        <f t="shared" si="32"/>
        <v>1.2907175100056493E-6</v>
      </c>
      <c r="M84">
        <f t="shared" si="33"/>
        <v>1.337298610401584E-6</v>
      </c>
      <c r="N84">
        <f t="shared" si="34"/>
        <v>4.3331106011315051E-7</v>
      </c>
      <c r="O84">
        <f t="shared" si="35"/>
        <v>4.6686651334770369E-7</v>
      </c>
      <c r="P84">
        <f t="shared" si="36"/>
        <v>5.9820381527813144E-7</v>
      </c>
      <c r="Q84">
        <f t="shared" si="37"/>
        <v>1.6142051960953276E-2</v>
      </c>
      <c r="R84">
        <f t="shared" si="38"/>
        <v>2.3607496635807117E-2</v>
      </c>
      <c r="S84">
        <f t="shared" si="39"/>
        <v>1.1858754272716931E-2</v>
      </c>
      <c r="T84">
        <f t="shared" si="40"/>
        <v>7.9246985024332851E-3</v>
      </c>
      <c r="U84">
        <f t="shared" si="41"/>
        <v>9.6399353819271831E-3</v>
      </c>
      <c r="V84">
        <f t="shared" si="42"/>
        <v>-0.96822874925842839</v>
      </c>
      <c r="W84">
        <f t="shared" si="43"/>
        <v>-0.95387392782214753</v>
      </c>
      <c r="X84">
        <f t="shared" si="44"/>
        <v>-0.97656045525595025</v>
      </c>
      <c r="Y84">
        <f t="shared" si="45"/>
        <v>-0.98427521715817123</v>
      </c>
      <c r="Z84">
        <f t="shared" si="46"/>
        <v>-0.98090421140427531</v>
      </c>
    </row>
    <row r="85" spans="1:26" x14ac:dyDescent="0.25">
      <c r="A85" s="12" t="s">
        <v>110</v>
      </c>
      <c r="B85" s="4">
        <v>70</v>
      </c>
      <c r="C85" s="4">
        <v>84</v>
      </c>
      <c r="D85" s="4">
        <v>53</v>
      </c>
      <c r="E85" s="4">
        <v>41</v>
      </c>
      <c r="F85" s="13">
        <v>58</v>
      </c>
      <c r="G85">
        <f t="shared" si="27"/>
        <v>19384734</v>
      </c>
      <c r="H85">
        <f t="shared" si="28"/>
        <v>25566161</v>
      </c>
      <c r="I85">
        <f t="shared" si="29"/>
        <v>28565681</v>
      </c>
      <c r="J85">
        <f t="shared" si="30"/>
        <v>30790286</v>
      </c>
      <c r="K85">
        <f t="shared" si="31"/>
        <v>31115484</v>
      </c>
      <c r="L85">
        <f t="shared" si="32"/>
        <v>3.6110890146854735E-6</v>
      </c>
      <c r="M85">
        <f t="shared" si="33"/>
        <v>3.2855930149231242E-6</v>
      </c>
      <c r="N85">
        <f t="shared" si="34"/>
        <v>1.8553732361570515E-6</v>
      </c>
      <c r="O85">
        <f t="shared" si="35"/>
        <v>1.3315888004418017E-6</v>
      </c>
      <c r="P85">
        <f t="shared" si="36"/>
        <v>1.864023712438476E-6</v>
      </c>
      <c r="Q85">
        <f t="shared" si="37"/>
        <v>4.516122703752997E-2</v>
      </c>
      <c r="R85">
        <f t="shared" si="38"/>
        <v>5.8000977076568379E-2</v>
      </c>
      <c r="S85">
        <f t="shared" si="39"/>
        <v>5.0777414465295635E-2</v>
      </c>
      <c r="T85">
        <f t="shared" si="40"/>
        <v>2.2602691499655794E-2</v>
      </c>
      <c r="U85">
        <f t="shared" si="41"/>
        <v>3.0038371002251648E-2</v>
      </c>
      <c r="V85">
        <f t="shared" si="42"/>
        <v>-0.91358036278184995</v>
      </c>
      <c r="W85">
        <f t="shared" si="43"/>
        <v>-0.89035742247264338</v>
      </c>
      <c r="X85">
        <f t="shared" si="44"/>
        <v>-0.90335267247605522</v>
      </c>
      <c r="Y85">
        <f t="shared" si="45"/>
        <v>-0.95579379618782589</v>
      </c>
      <c r="Z85">
        <f t="shared" si="46"/>
        <v>-0.94167523881071813</v>
      </c>
    </row>
    <row r="86" spans="1:26" ht="23.25" x14ac:dyDescent="0.25">
      <c r="A86" s="11" t="s">
        <v>84</v>
      </c>
      <c r="B86" s="7">
        <v>37</v>
      </c>
      <c r="C86" s="7">
        <v>57</v>
      </c>
      <c r="D86" s="7">
        <v>1065</v>
      </c>
      <c r="E86" s="7">
        <v>88</v>
      </c>
      <c r="F86" s="7">
        <v>56</v>
      </c>
      <c r="G86">
        <f t="shared" si="27"/>
        <v>956674</v>
      </c>
      <c r="H86">
        <f t="shared" si="28"/>
        <v>1110651</v>
      </c>
      <c r="I86">
        <f t="shared" si="29"/>
        <v>1076509</v>
      </c>
      <c r="J86">
        <f t="shared" si="30"/>
        <v>1245851</v>
      </c>
      <c r="K86">
        <f t="shared" si="31"/>
        <v>819570</v>
      </c>
      <c r="L86">
        <f t="shared" si="32"/>
        <v>3.8675661719666263E-5</v>
      </c>
      <c r="M86">
        <f t="shared" si="33"/>
        <v>5.132125213050724E-5</v>
      </c>
      <c r="N86">
        <f t="shared" si="34"/>
        <v>9.8930896072396972E-4</v>
      </c>
      <c r="O86">
        <f t="shared" si="35"/>
        <v>7.0634449865995206E-5</v>
      </c>
      <c r="P86">
        <f t="shared" si="36"/>
        <v>6.8328513732811107E-5</v>
      </c>
      <c r="Q86">
        <f t="shared" si="37"/>
        <v>0.48368797685279091</v>
      </c>
      <c r="R86">
        <f t="shared" si="38"/>
        <v>0.90598036787949054</v>
      </c>
      <c r="S86">
        <f t="shared" si="39"/>
        <v>27.075172883791502</v>
      </c>
      <c r="T86">
        <f t="shared" si="40"/>
        <v>1.198965235393455</v>
      </c>
      <c r="U86">
        <f t="shared" si="41"/>
        <v>1.1011003947227793</v>
      </c>
      <c r="V86">
        <f t="shared" si="42"/>
        <v>-0.34799232129818408</v>
      </c>
      <c r="W86">
        <f t="shared" si="43"/>
        <v>-4.9328751599425728E-2</v>
      </c>
      <c r="X86">
        <f t="shared" si="44"/>
        <v>0.92876268266349127</v>
      </c>
      <c r="Y86">
        <f t="shared" si="45"/>
        <v>9.048130101877426E-2</v>
      </c>
      <c r="Z86">
        <f t="shared" si="46"/>
        <v>4.8117831483306422E-2</v>
      </c>
    </row>
    <row r="87" spans="1:26" x14ac:dyDescent="0.25">
      <c r="A87" s="12" t="s">
        <v>88</v>
      </c>
      <c r="B87" s="4">
        <v>100</v>
      </c>
      <c r="C87" s="4">
        <v>119</v>
      </c>
      <c r="D87" s="4">
        <v>61</v>
      </c>
      <c r="E87" s="4">
        <v>59</v>
      </c>
      <c r="F87" s="13">
        <v>55</v>
      </c>
      <c r="G87">
        <f t="shared" si="27"/>
        <v>318985767</v>
      </c>
      <c r="H87">
        <f t="shared" si="28"/>
        <v>380557523</v>
      </c>
      <c r="I87">
        <f t="shared" si="29"/>
        <v>402112025</v>
      </c>
      <c r="J87">
        <f t="shared" si="30"/>
        <v>420656666</v>
      </c>
      <c r="K87">
        <f t="shared" si="31"/>
        <v>446846629</v>
      </c>
      <c r="L87">
        <f t="shared" si="32"/>
        <v>3.1349361114284449E-7</v>
      </c>
      <c r="M87">
        <f t="shared" si="33"/>
        <v>3.1269911329541629E-7</v>
      </c>
      <c r="N87">
        <f t="shared" si="34"/>
        <v>1.5169901969482261E-7</v>
      </c>
      <c r="O87">
        <f t="shared" si="35"/>
        <v>1.4025690014858815E-7</v>
      </c>
      <c r="P87">
        <f t="shared" si="36"/>
        <v>1.2308473742564588E-7</v>
      </c>
      <c r="Q87">
        <f t="shared" si="37"/>
        <v>3.9206333851258659E-3</v>
      </c>
      <c r="R87">
        <f t="shared" si="38"/>
        <v>5.5201158572389594E-3</v>
      </c>
      <c r="S87">
        <f t="shared" si="39"/>
        <v>4.1516627743201032E-3</v>
      </c>
      <c r="T87">
        <f t="shared" si="40"/>
        <v>2.3807525594273129E-3</v>
      </c>
      <c r="U87">
        <f t="shared" si="41"/>
        <v>1.9834860376693364E-3</v>
      </c>
      <c r="V87">
        <f t="shared" si="42"/>
        <v>-0.99218935590175927</v>
      </c>
      <c r="W87">
        <f t="shared" si="43"/>
        <v>-0.98902037707613066</v>
      </c>
      <c r="X87">
        <f t="shared" si="44"/>
        <v>-0.99173100453202523</v>
      </c>
      <c r="Y87">
        <f t="shared" si="45"/>
        <v>-0.99524980392261453</v>
      </c>
      <c r="Z87">
        <f t="shared" si="46"/>
        <v>-0.99604088078235109</v>
      </c>
    </row>
    <row r="88" spans="1:26" x14ac:dyDescent="0.25">
      <c r="A88" s="11" t="s">
        <v>78</v>
      </c>
      <c r="B88" s="5">
        <v>67</v>
      </c>
      <c r="C88" s="5">
        <v>47</v>
      </c>
      <c r="D88" s="5">
        <v>44</v>
      </c>
      <c r="E88" s="5">
        <v>59</v>
      </c>
      <c r="F88" s="14">
        <v>54</v>
      </c>
      <c r="G88">
        <f t="shared" si="27"/>
        <v>13824679</v>
      </c>
      <c r="H88">
        <f t="shared" si="28"/>
        <v>16816056</v>
      </c>
      <c r="I88">
        <f t="shared" si="29"/>
        <v>17395555</v>
      </c>
      <c r="J88">
        <f t="shared" si="30"/>
        <v>17197406</v>
      </c>
      <c r="K88">
        <f t="shared" si="31"/>
        <v>16215423</v>
      </c>
      <c r="L88">
        <f t="shared" si="32"/>
        <v>4.8464054753097705E-6</v>
      </c>
      <c r="M88">
        <f t="shared" si="33"/>
        <v>2.7949478760061217E-6</v>
      </c>
      <c r="N88">
        <f t="shared" si="34"/>
        <v>2.5293817874738692E-6</v>
      </c>
      <c r="O88">
        <f t="shared" si="35"/>
        <v>3.4307499631049009E-6</v>
      </c>
      <c r="P88">
        <f t="shared" si="36"/>
        <v>3.3301628949180048E-6</v>
      </c>
      <c r="Q88">
        <f t="shared" si="37"/>
        <v>6.0610418933540598E-2</v>
      </c>
      <c r="R88">
        <f t="shared" si="38"/>
        <v>4.9339558171122899E-2</v>
      </c>
      <c r="S88">
        <f t="shared" si="39"/>
        <v>6.9223520562123345E-2</v>
      </c>
      <c r="T88">
        <f t="shared" si="40"/>
        <v>5.8234331050837571E-2</v>
      </c>
      <c r="U88">
        <f t="shared" si="41"/>
        <v>5.3664912022293315E-2</v>
      </c>
      <c r="V88">
        <f t="shared" si="42"/>
        <v>-0.88570653681775968</v>
      </c>
      <c r="W88">
        <f t="shared" si="43"/>
        <v>-0.90596073923465537</v>
      </c>
      <c r="X88">
        <f t="shared" si="44"/>
        <v>-0.87051627797014708</v>
      </c>
      <c r="Y88">
        <f t="shared" si="45"/>
        <v>-0.88994057489514589</v>
      </c>
      <c r="Z88">
        <f t="shared" si="46"/>
        <v>-0.89813666297514916</v>
      </c>
    </row>
    <row r="89" spans="1:26" ht="23.25" x14ac:dyDescent="0.25">
      <c r="A89" s="12" t="s">
        <v>163</v>
      </c>
      <c r="B89" s="4">
        <v>7</v>
      </c>
      <c r="C89" s="4">
        <v>5</v>
      </c>
      <c r="D89" s="4">
        <v>3</v>
      </c>
      <c r="E89" s="4">
        <v>5</v>
      </c>
      <c r="F89" s="13">
        <v>54</v>
      </c>
      <c r="G89">
        <f t="shared" si="27"/>
        <v>6633216</v>
      </c>
      <c r="H89">
        <f t="shared" si="28"/>
        <v>8186315</v>
      </c>
      <c r="I89">
        <f t="shared" si="29"/>
        <v>8729356</v>
      </c>
      <c r="J89">
        <f t="shared" si="30"/>
        <v>8994858</v>
      </c>
      <c r="K89">
        <f t="shared" si="31"/>
        <v>8423005</v>
      </c>
      <c r="L89">
        <f t="shared" si="32"/>
        <v>1.0552950484350276E-6</v>
      </c>
      <c r="M89">
        <f t="shared" si="33"/>
        <v>6.107754221527024E-7</v>
      </c>
      <c r="N89">
        <f t="shared" si="34"/>
        <v>3.436679635931906E-7</v>
      </c>
      <c r="O89">
        <f t="shared" si="35"/>
        <v>5.5587314441206293E-7</v>
      </c>
      <c r="P89">
        <f t="shared" si="36"/>
        <v>6.4110136465548818E-6</v>
      </c>
      <c r="Q89">
        <f t="shared" si="37"/>
        <v>1.3197796864087142E-2</v>
      </c>
      <c r="R89">
        <f t="shared" si="38"/>
        <v>1.0782093551546934E-2</v>
      </c>
      <c r="S89">
        <f t="shared" si="39"/>
        <v>9.4054232785852447E-3</v>
      </c>
      <c r="T89">
        <f t="shared" si="40"/>
        <v>9.435517324808412E-3</v>
      </c>
      <c r="U89">
        <f t="shared" si="41"/>
        <v>0.10331220849320066</v>
      </c>
      <c r="V89">
        <f t="shared" si="42"/>
        <v>-0.97394823221105464</v>
      </c>
      <c r="W89">
        <f t="shared" si="43"/>
        <v>-0.97866583980794053</v>
      </c>
      <c r="X89">
        <f t="shared" si="44"/>
        <v>-0.98136442887727693</v>
      </c>
      <c r="Y89">
        <f t="shared" si="45"/>
        <v>-0.98130535895979909</v>
      </c>
      <c r="Z89">
        <f t="shared" si="46"/>
        <v>-0.81272352884720678</v>
      </c>
    </row>
    <row r="90" spans="1:26" x14ac:dyDescent="0.25">
      <c r="A90" s="11" t="s">
        <v>111</v>
      </c>
      <c r="B90" s="5">
        <v>219</v>
      </c>
      <c r="C90" s="5">
        <v>343</v>
      </c>
      <c r="D90" s="5">
        <v>54</v>
      </c>
      <c r="E90" s="5">
        <v>198</v>
      </c>
      <c r="F90" s="7">
        <v>42</v>
      </c>
      <c r="G90">
        <f t="shared" si="27"/>
        <v>3807461</v>
      </c>
      <c r="H90">
        <f t="shared" si="28"/>
        <v>4229977</v>
      </c>
      <c r="I90">
        <f t="shared" si="29"/>
        <v>3491761</v>
      </c>
      <c r="J90">
        <f t="shared" si="30"/>
        <v>4560694</v>
      </c>
      <c r="K90">
        <f t="shared" si="31"/>
        <v>1521500</v>
      </c>
      <c r="L90">
        <f t="shared" si="32"/>
        <v>5.7518645627624287E-5</v>
      </c>
      <c r="M90">
        <f t="shared" si="33"/>
        <v>8.1087911352709476E-5</v>
      </c>
      <c r="N90">
        <f t="shared" si="34"/>
        <v>1.5464975982033133E-5</v>
      </c>
      <c r="O90">
        <f t="shared" si="35"/>
        <v>4.3414445257673506E-5</v>
      </c>
      <c r="P90">
        <f t="shared" si="36"/>
        <v>2.7604337824515282E-5</v>
      </c>
      <c r="Q90">
        <f t="shared" si="37"/>
        <v>0.71934327941418064</v>
      </c>
      <c r="R90">
        <f t="shared" si="38"/>
        <v>1.4314548595013237</v>
      </c>
      <c r="S90">
        <f t="shared" si="39"/>
        <v>0.42324179298933684</v>
      </c>
      <c r="T90">
        <f t="shared" si="40"/>
        <v>0.73692667921381827</v>
      </c>
      <c r="U90">
        <f t="shared" si="41"/>
        <v>0.4448384080691497</v>
      </c>
      <c r="V90">
        <f t="shared" si="42"/>
        <v>-0.1632348373626967</v>
      </c>
      <c r="W90">
        <f t="shared" si="43"/>
        <v>0.17744720113365064</v>
      </c>
      <c r="X90">
        <f t="shared" si="44"/>
        <v>-0.40524260167996928</v>
      </c>
      <c r="Y90">
        <f t="shared" si="45"/>
        <v>-0.15145908225973942</v>
      </c>
      <c r="Z90">
        <f t="shared" si="46"/>
        <v>-0.38423784198314337</v>
      </c>
    </row>
    <row r="91" spans="1:26" x14ac:dyDescent="0.25">
      <c r="A91" s="12" t="s">
        <v>114</v>
      </c>
      <c r="B91" s="4"/>
      <c r="C91" s="6">
        <v>6</v>
      </c>
      <c r="D91" s="6">
        <v>4</v>
      </c>
      <c r="E91" s="6">
        <v>137</v>
      </c>
      <c r="F91" s="6">
        <v>41</v>
      </c>
      <c r="G91">
        <f t="shared" si="27"/>
        <v>22650197</v>
      </c>
      <c r="H91">
        <f t="shared" si="28"/>
        <v>39118633</v>
      </c>
      <c r="I91">
        <f t="shared" si="29"/>
        <v>66244497</v>
      </c>
      <c r="J91">
        <f t="shared" si="30"/>
        <v>57044198</v>
      </c>
      <c r="K91">
        <f t="shared" si="31"/>
        <v>47096935</v>
      </c>
      <c r="L91">
        <f t="shared" si="32"/>
        <v>0</v>
      </c>
      <c r="M91">
        <f t="shared" si="33"/>
        <v>1.5337959278894024E-7</v>
      </c>
      <c r="N91">
        <f t="shared" si="34"/>
        <v>6.03823741012027E-8</v>
      </c>
      <c r="O91">
        <f t="shared" si="35"/>
        <v>2.4016465267861245E-6</v>
      </c>
      <c r="P91">
        <f t="shared" si="36"/>
        <v>8.7054497283103455E-7</v>
      </c>
      <c r="Q91">
        <f t="shared" si="37"/>
        <v>0</v>
      </c>
      <c r="R91">
        <f t="shared" si="38"/>
        <v>2.7076287918066646E-3</v>
      </c>
      <c r="S91">
        <f t="shared" si="39"/>
        <v>1.6525304862572514E-3</v>
      </c>
      <c r="T91">
        <f t="shared" si="40"/>
        <v>4.0766094997311535E-2</v>
      </c>
      <c r="U91">
        <f t="shared" si="41"/>
        <v>1.402865891326841E-2</v>
      </c>
      <c r="V91">
        <f t="shared" si="42"/>
        <v>-1</v>
      </c>
      <c r="W91">
        <f t="shared" si="43"/>
        <v>-0.99459936533031235</v>
      </c>
      <c r="X91">
        <f t="shared" si="44"/>
        <v>-0.9967003917307431</v>
      </c>
      <c r="Y91">
        <f t="shared" si="45"/>
        <v>-0.92166137003643112</v>
      </c>
      <c r="Z91">
        <f t="shared" si="46"/>
        <v>-0.97233084333473796</v>
      </c>
    </row>
    <row r="92" spans="1:26" x14ac:dyDescent="0.25">
      <c r="A92" s="11" t="s">
        <v>82</v>
      </c>
      <c r="B92" s="5">
        <v>32</v>
      </c>
      <c r="C92" s="5">
        <v>4</v>
      </c>
      <c r="D92" s="5">
        <v>73</v>
      </c>
      <c r="E92" s="5">
        <v>0</v>
      </c>
      <c r="F92" s="14">
        <v>40</v>
      </c>
      <c r="G92">
        <f t="shared" si="27"/>
        <v>50153246</v>
      </c>
      <c r="H92">
        <f t="shared" si="28"/>
        <v>60159734</v>
      </c>
      <c r="I92">
        <f t="shared" si="29"/>
        <v>72568881</v>
      </c>
      <c r="J92">
        <f t="shared" si="30"/>
        <v>59915951</v>
      </c>
      <c r="K92">
        <f t="shared" si="31"/>
        <v>61702646</v>
      </c>
      <c r="L92">
        <f t="shared" si="32"/>
        <v>6.3804444482018173E-7</v>
      </c>
      <c r="M92">
        <f t="shared" si="33"/>
        <v>6.6489655688969639E-8</v>
      </c>
      <c r="N92">
        <f t="shared" si="34"/>
        <v>1.0059408246904069E-6</v>
      </c>
      <c r="O92">
        <f t="shared" si="35"/>
        <v>0</v>
      </c>
      <c r="P92">
        <f t="shared" si="36"/>
        <v>6.4827041615038683E-7</v>
      </c>
      <c r="Q92">
        <f t="shared" si="37"/>
        <v>7.979551297510391E-3</v>
      </c>
      <c r="R92">
        <f t="shared" si="38"/>
        <v>1.1737500591000878E-3</v>
      </c>
      <c r="S92">
        <f t="shared" si="39"/>
        <v>2.753034979024695E-2</v>
      </c>
      <c r="T92">
        <f t="shared" si="40"/>
        <v>0</v>
      </c>
      <c r="U92">
        <f t="shared" si="41"/>
        <v>1.0446748686815385E-2</v>
      </c>
      <c r="V92">
        <f t="shared" si="42"/>
        <v>-0.98416723575941822</v>
      </c>
      <c r="W92">
        <f t="shared" si="43"/>
        <v>-0.99765525202986838</v>
      </c>
      <c r="X92">
        <f t="shared" si="44"/>
        <v>-0.94641452722857899</v>
      </c>
      <c r="Y92">
        <f t="shared" si="45"/>
        <v>-1</v>
      </c>
      <c r="Z92">
        <f t="shared" si="46"/>
        <v>-0.97932251511444401</v>
      </c>
    </row>
    <row r="93" spans="1:26" ht="23.25" x14ac:dyDescent="0.25">
      <c r="A93" s="12" t="s">
        <v>118</v>
      </c>
      <c r="B93" s="4">
        <v>40</v>
      </c>
      <c r="C93" s="4">
        <v>139</v>
      </c>
      <c r="D93" s="4">
        <v>40</v>
      </c>
      <c r="E93" s="4">
        <v>46</v>
      </c>
      <c r="F93" s="13">
        <v>39</v>
      </c>
      <c r="G93">
        <f t="shared" si="27"/>
        <v>512788606</v>
      </c>
      <c r="H93">
        <f t="shared" si="28"/>
        <v>644438622</v>
      </c>
      <c r="I93">
        <f t="shared" si="29"/>
        <v>683584759</v>
      </c>
      <c r="J93">
        <f t="shared" si="30"/>
        <v>632225745</v>
      </c>
      <c r="K93">
        <f t="shared" si="31"/>
        <v>683691488</v>
      </c>
      <c r="L93">
        <f t="shared" si="32"/>
        <v>7.8004853329365902E-8</v>
      </c>
      <c r="M93">
        <f t="shared" si="33"/>
        <v>2.1569160390886689E-7</v>
      </c>
      <c r="N93">
        <f t="shared" si="34"/>
        <v>5.8515055336393185E-8</v>
      </c>
      <c r="O93">
        <f t="shared" si="35"/>
        <v>7.2758821297288364E-8</v>
      </c>
      <c r="P93">
        <f t="shared" si="36"/>
        <v>5.7043272710746402E-8</v>
      </c>
      <c r="Q93">
        <f t="shared" si="37"/>
        <v>9.7554917004546754E-4</v>
      </c>
      <c r="R93">
        <f t="shared" si="38"/>
        <v>3.8076303781706118E-3</v>
      </c>
      <c r="S93">
        <f t="shared" si="39"/>
        <v>1.6014261493983517E-3</v>
      </c>
      <c r="T93">
        <f t="shared" si="40"/>
        <v>1.2350247997847071E-3</v>
      </c>
      <c r="U93">
        <f t="shared" si="41"/>
        <v>9.1924098252294786E-4</v>
      </c>
      <c r="V93">
        <f t="shared" si="42"/>
        <v>-0.99805080319723227</v>
      </c>
      <c r="W93">
        <f t="shared" si="43"/>
        <v>-0.99241362535422029</v>
      </c>
      <c r="X93">
        <f t="shared" si="44"/>
        <v>-0.99680226863183496</v>
      </c>
      <c r="Y93">
        <f t="shared" si="45"/>
        <v>-0.99753299721005728</v>
      </c>
      <c r="Z93">
        <f t="shared" si="46"/>
        <v>-0.99816320649082424</v>
      </c>
    </row>
    <row r="94" spans="1:26" x14ac:dyDescent="0.25">
      <c r="A94" s="11" t="s">
        <v>133</v>
      </c>
      <c r="B94" s="5">
        <v>1</v>
      </c>
      <c r="C94" s="5">
        <v>16</v>
      </c>
      <c r="D94" s="5">
        <v>0</v>
      </c>
      <c r="E94" s="5">
        <v>0</v>
      </c>
      <c r="F94" s="7">
        <v>35</v>
      </c>
      <c r="G94">
        <f t="shared" si="27"/>
        <v>24620</v>
      </c>
      <c r="H94">
        <f t="shared" si="28"/>
        <v>35163</v>
      </c>
      <c r="I94">
        <f t="shared" si="29"/>
        <v>37472</v>
      </c>
      <c r="J94">
        <f t="shared" si="30"/>
        <v>46055</v>
      </c>
      <c r="K94">
        <f t="shared" si="31"/>
        <v>28116</v>
      </c>
      <c r="L94">
        <f t="shared" si="32"/>
        <v>4.0617384240454911E-5</v>
      </c>
      <c r="M94">
        <f t="shared" si="33"/>
        <v>4.5502374655177318E-4</v>
      </c>
      <c r="N94">
        <f t="shared" si="34"/>
        <v>0</v>
      </c>
      <c r="O94">
        <f t="shared" si="35"/>
        <v>0</v>
      </c>
      <c r="P94">
        <f t="shared" si="36"/>
        <v>1.2448427941385688E-3</v>
      </c>
      <c r="Q94">
        <f t="shared" si="37"/>
        <v>0.5079716683510076</v>
      </c>
      <c r="R94">
        <f t="shared" si="38"/>
        <v>8.0325900904866536</v>
      </c>
      <c r="S94">
        <f t="shared" si="39"/>
        <v>0</v>
      </c>
      <c r="T94">
        <f t="shared" si="40"/>
        <v>0</v>
      </c>
      <c r="U94">
        <f t="shared" si="41"/>
        <v>20.060393781631198</v>
      </c>
      <c r="V94">
        <f t="shared" si="42"/>
        <v>-0.32628486461355977</v>
      </c>
      <c r="W94">
        <f t="shared" si="43"/>
        <v>0.77857956799053141</v>
      </c>
      <c r="X94">
        <f t="shared" si="44"/>
        <v>-1</v>
      </c>
      <c r="Y94">
        <f t="shared" si="45"/>
        <v>-1</v>
      </c>
      <c r="Z94">
        <f t="shared" si="46"/>
        <v>0.90503501402977593</v>
      </c>
    </row>
    <row r="95" spans="1:26" x14ac:dyDescent="0.25">
      <c r="A95" s="12" t="s">
        <v>86</v>
      </c>
      <c r="B95" s="4"/>
      <c r="C95" s="4">
        <v>28</v>
      </c>
      <c r="D95" s="4">
        <v>11</v>
      </c>
      <c r="E95" s="4">
        <v>40</v>
      </c>
      <c r="F95" s="6">
        <v>32</v>
      </c>
      <c r="G95">
        <f t="shared" si="27"/>
        <v>0</v>
      </c>
      <c r="H95">
        <f t="shared" si="28"/>
        <v>14823232</v>
      </c>
      <c r="I95">
        <f t="shared" si="29"/>
        <v>17378757</v>
      </c>
      <c r="J95">
        <f t="shared" si="30"/>
        <v>16874662</v>
      </c>
      <c r="K95">
        <f t="shared" si="31"/>
        <v>15860376</v>
      </c>
      <c r="L95" t="e">
        <f t="shared" si="32"/>
        <v>#DIV/0!</v>
      </c>
      <c r="M95">
        <f t="shared" si="33"/>
        <v>1.8889267873564955E-6</v>
      </c>
      <c r="N95">
        <f t="shared" si="34"/>
        <v>6.329566608244767E-7</v>
      </c>
      <c r="O95">
        <f t="shared" si="35"/>
        <v>2.3704178489619526E-6</v>
      </c>
      <c r="P95">
        <f t="shared" si="36"/>
        <v>2.0176066443822011E-6</v>
      </c>
      <c r="Q95" t="e">
        <f t="shared" si="37"/>
        <v>#DIV/0!</v>
      </c>
      <c r="R95">
        <f t="shared" si="38"/>
        <v>3.3345456602555966E-2</v>
      </c>
      <c r="S95">
        <f t="shared" si="39"/>
        <v>1.732260769904383E-2</v>
      </c>
      <c r="T95">
        <f t="shared" si="40"/>
        <v>4.0236012309196621E-2</v>
      </c>
      <c r="U95">
        <f t="shared" si="41"/>
        <v>3.2513329372445367E-2</v>
      </c>
      <c r="V95" t="e">
        <f t="shared" si="42"/>
        <v>#DIV/0!</v>
      </c>
      <c r="W95">
        <f t="shared" si="43"/>
        <v>-0.93546116375797594</v>
      </c>
      <c r="X95">
        <f t="shared" si="44"/>
        <v>-0.96594471101310986</v>
      </c>
      <c r="Y95">
        <f t="shared" si="45"/>
        <v>-0.92264060879823295</v>
      </c>
      <c r="Z95">
        <f t="shared" si="46"/>
        <v>-0.93702099828152974</v>
      </c>
    </row>
    <row r="96" spans="1:26" x14ac:dyDescent="0.25">
      <c r="A96" s="11" t="s">
        <v>137</v>
      </c>
      <c r="B96" s="5">
        <v>162</v>
      </c>
      <c r="C96" s="5">
        <v>124</v>
      </c>
      <c r="D96" s="5">
        <v>143</v>
      </c>
      <c r="E96" s="5">
        <v>108</v>
      </c>
      <c r="F96" s="7">
        <v>28</v>
      </c>
      <c r="G96">
        <f t="shared" si="27"/>
        <v>11559667</v>
      </c>
      <c r="H96">
        <f t="shared" si="28"/>
        <v>19331738</v>
      </c>
      <c r="I96">
        <f t="shared" si="29"/>
        <v>22252183</v>
      </c>
      <c r="J96">
        <f t="shared" si="30"/>
        <v>12406928</v>
      </c>
      <c r="K96">
        <f t="shared" si="31"/>
        <v>12403360</v>
      </c>
      <c r="L96">
        <f t="shared" si="32"/>
        <v>1.4014244527978185E-5</v>
      </c>
      <c r="M96">
        <f t="shared" si="33"/>
        <v>6.4143223956376817E-6</v>
      </c>
      <c r="N96">
        <f t="shared" si="34"/>
        <v>6.4263357891672923E-6</v>
      </c>
      <c r="O96">
        <f t="shared" si="35"/>
        <v>8.7048139555577331E-6</v>
      </c>
      <c r="P96">
        <f t="shared" si="36"/>
        <v>2.2574528192360779E-6</v>
      </c>
      <c r="Q96">
        <f t="shared" si="37"/>
        <v>0.17526582045295014</v>
      </c>
      <c r="R96">
        <f t="shared" si="38"/>
        <v>0.113232821150189</v>
      </c>
      <c r="S96">
        <f t="shared" si="39"/>
        <v>0.17587443297154953</v>
      </c>
      <c r="T96">
        <f t="shared" si="40"/>
        <v>0.1477574941559214</v>
      </c>
      <c r="U96">
        <f t="shared" si="41"/>
        <v>3.6378402727283106E-2</v>
      </c>
      <c r="V96">
        <f t="shared" si="42"/>
        <v>-0.70174267403539015</v>
      </c>
      <c r="W96">
        <f t="shared" si="43"/>
        <v>-0.79656938063827987</v>
      </c>
      <c r="X96">
        <f t="shared" si="44"/>
        <v>-0.70086188109882153</v>
      </c>
      <c r="Y96">
        <f t="shared" si="45"/>
        <v>-0.74252837396703808</v>
      </c>
      <c r="Z96">
        <f t="shared" si="46"/>
        <v>-0.92979706518091954</v>
      </c>
    </row>
    <row r="97" spans="1:26" x14ac:dyDescent="0.25">
      <c r="A97" s="12" t="s">
        <v>87</v>
      </c>
      <c r="B97" s="4">
        <v>177</v>
      </c>
      <c r="C97" s="4">
        <v>0</v>
      </c>
      <c r="D97" s="4">
        <v>0</v>
      </c>
      <c r="E97" s="4">
        <v>28</v>
      </c>
      <c r="F97" s="13">
        <v>24</v>
      </c>
      <c r="G97">
        <f t="shared" si="27"/>
        <v>2512497</v>
      </c>
      <c r="H97">
        <f t="shared" si="28"/>
        <v>2964798</v>
      </c>
      <c r="I97">
        <f t="shared" si="29"/>
        <v>5306984</v>
      </c>
      <c r="J97">
        <f t="shared" si="30"/>
        <v>8371155</v>
      </c>
      <c r="K97">
        <f t="shared" si="31"/>
        <v>13028124</v>
      </c>
      <c r="L97">
        <f t="shared" si="32"/>
        <v>7.0447845310860072E-5</v>
      </c>
      <c r="M97">
        <f t="shared" si="33"/>
        <v>0</v>
      </c>
      <c r="N97">
        <f t="shared" si="34"/>
        <v>0</v>
      </c>
      <c r="O97">
        <f t="shared" si="35"/>
        <v>3.3448192035627103E-6</v>
      </c>
      <c r="P97">
        <f t="shared" si="36"/>
        <v>1.8421685271033649E-6</v>
      </c>
      <c r="Q97">
        <f t="shared" si="37"/>
        <v>0.88103924424185176</v>
      </c>
      <c r="R97">
        <f t="shared" si="38"/>
        <v>0</v>
      </c>
      <c r="S97">
        <f t="shared" si="39"/>
        <v>0</v>
      </c>
      <c r="T97">
        <f t="shared" si="40"/>
        <v>5.6775722772051493E-2</v>
      </c>
      <c r="U97">
        <f t="shared" si="41"/>
        <v>2.9686179041903554E-2</v>
      </c>
      <c r="V97">
        <f t="shared" si="42"/>
        <v>-6.3242038209625484E-2</v>
      </c>
      <c r="W97">
        <f t="shared" si="43"/>
        <v>-1</v>
      </c>
      <c r="X97">
        <f t="shared" si="44"/>
        <v>-1</v>
      </c>
      <c r="Y97">
        <f t="shared" si="45"/>
        <v>-0.89254915390538714</v>
      </c>
      <c r="Z97">
        <f t="shared" si="46"/>
        <v>-0.94233936582595335</v>
      </c>
    </row>
    <row r="98" spans="1:26" x14ac:dyDescent="0.25">
      <c r="A98" s="11" t="s">
        <v>91</v>
      </c>
      <c r="B98" s="5">
        <v>0</v>
      </c>
      <c r="C98" s="5">
        <v>111</v>
      </c>
      <c r="D98" s="5">
        <v>111</v>
      </c>
      <c r="E98" s="5">
        <v>158</v>
      </c>
      <c r="F98" s="14">
        <v>23</v>
      </c>
      <c r="G98">
        <f t="shared" ref="G98:G129" si="47">VLOOKUP(A98,EXPOTOTAL,2,FALSE)</f>
        <v>9656808</v>
      </c>
      <c r="H98">
        <f t="shared" ref="H98:H129" si="48">VLOOKUP(A98,EXPOTOTAL,3,FALSE)</f>
        <v>13373218</v>
      </c>
      <c r="I98">
        <f t="shared" ref="I98:I129" si="49">VLOOKUP(A98,EXPOTOTAL,4,FALSE)</f>
        <v>15466804</v>
      </c>
      <c r="J98">
        <f t="shared" ref="J98:J129" si="50">VLOOKUP(A98,EXPOTOTAL,5,FALSE)</f>
        <v>16738253</v>
      </c>
      <c r="K98">
        <f t="shared" ref="K98:K129" si="51">VLOOKUP(A98,EXPOTOTAL,6,FALSE)</f>
        <v>13181447</v>
      </c>
      <c r="L98">
        <f t="shared" si="32"/>
        <v>0</v>
      </c>
      <c r="M98">
        <f t="shared" si="33"/>
        <v>8.3001712826336945E-6</v>
      </c>
      <c r="N98">
        <f t="shared" si="34"/>
        <v>7.1766604141359776E-6</v>
      </c>
      <c r="O98">
        <f t="shared" si="35"/>
        <v>9.4394558380734243E-6</v>
      </c>
      <c r="P98">
        <f t="shared" si="36"/>
        <v>1.7448767195285919E-6</v>
      </c>
      <c r="Q98">
        <f t="shared" si="37"/>
        <v>0</v>
      </c>
      <c r="R98">
        <f t="shared" si="38"/>
        <v>0.14652394319960904</v>
      </c>
      <c r="S98">
        <f t="shared" si="39"/>
        <v>0.19640913926302664</v>
      </c>
      <c r="T98">
        <f t="shared" si="40"/>
        <v>0.16022747274669905</v>
      </c>
      <c r="U98">
        <f t="shared" si="41"/>
        <v>2.8118340933456117E-2</v>
      </c>
      <c r="V98">
        <f t="shared" si="42"/>
        <v>-1</v>
      </c>
      <c r="W98">
        <f t="shared" si="43"/>
        <v>-0.74440316912928295</v>
      </c>
      <c r="X98">
        <f t="shared" si="44"/>
        <v>-0.67166894197412719</v>
      </c>
      <c r="Y98">
        <f t="shared" si="45"/>
        <v>-0.72379989870886308</v>
      </c>
      <c r="Z98">
        <f t="shared" si="46"/>
        <v>-0.94530135332878751</v>
      </c>
    </row>
    <row r="99" spans="1:26" x14ac:dyDescent="0.25">
      <c r="A99" s="12" t="s">
        <v>103</v>
      </c>
      <c r="B99" s="4">
        <v>0</v>
      </c>
      <c r="C99" s="4">
        <v>0</v>
      </c>
      <c r="D99" s="4">
        <v>1</v>
      </c>
      <c r="E99" s="4">
        <v>3</v>
      </c>
      <c r="F99" s="13">
        <v>20</v>
      </c>
      <c r="G99">
        <f t="shared" si="47"/>
        <v>980130</v>
      </c>
      <c r="H99">
        <f t="shared" si="48"/>
        <v>1069303</v>
      </c>
      <c r="I99">
        <f t="shared" si="49"/>
        <v>1351193</v>
      </c>
      <c r="J99">
        <f t="shared" si="50"/>
        <v>1455976</v>
      </c>
      <c r="K99">
        <f t="shared" si="51"/>
        <v>1366135</v>
      </c>
      <c r="L99">
        <f t="shared" si="32"/>
        <v>0</v>
      </c>
      <c r="M99">
        <f t="shared" si="33"/>
        <v>0</v>
      </c>
      <c r="N99">
        <f t="shared" si="34"/>
        <v>7.4008672336224362E-7</v>
      </c>
      <c r="O99">
        <f t="shared" si="35"/>
        <v>2.0604735242888621E-6</v>
      </c>
      <c r="P99">
        <f t="shared" si="36"/>
        <v>1.4639841596913922E-5</v>
      </c>
      <c r="Q99">
        <f t="shared" si="37"/>
        <v>0</v>
      </c>
      <c r="R99">
        <f t="shared" si="38"/>
        <v>0</v>
      </c>
      <c r="S99">
        <f t="shared" si="39"/>
        <v>2.0254517829665534E-2</v>
      </c>
      <c r="T99">
        <f t="shared" si="40"/>
        <v>3.49749467682949E-2</v>
      </c>
      <c r="U99">
        <f t="shared" si="41"/>
        <v>0.23591813256871927</v>
      </c>
      <c r="V99">
        <f t="shared" si="42"/>
        <v>-1</v>
      </c>
      <c r="W99">
        <f t="shared" si="43"/>
        <v>-1</v>
      </c>
      <c r="X99">
        <f t="shared" si="44"/>
        <v>-0.96029516659675873</v>
      </c>
      <c r="Y99">
        <f t="shared" si="45"/>
        <v>-0.93241392581046711</v>
      </c>
      <c r="Z99">
        <f t="shared" si="46"/>
        <v>-0.61823016209271164</v>
      </c>
    </row>
    <row r="100" spans="1:26" x14ac:dyDescent="0.25">
      <c r="A100" s="11" t="s">
        <v>120</v>
      </c>
      <c r="B100" s="5">
        <v>88</v>
      </c>
      <c r="C100" s="5">
        <v>56</v>
      </c>
      <c r="D100" s="5">
        <v>20</v>
      </c>
      <c r="E100" s="5">
        <v>80</v>
      </c>
      <c r="F100" s="14">
        <v>18</v>
      </c>
      <c r="G100">
        <f t="shared" si="47"/>
        <v>8060547</v>
      </c>
      <c r="H100">
        <f t="shared" si="48"/>
        <v>11217517</v>
      </c>
      <c r="I100">
        <f t="shared" si="49"/>
        <v>11689732</v>
      </c>
      <c r="J100">
        <f t="shared" si="50"/>
        <v>10535675</v>
      </c>
      <c r="K100">
        <f t="shared" si="51"/>
        <v>11275830</v>
      </c>
      <c r="L100">
        <f t="shared" si="32"/>
        <v>1.0917373225415099E-5</v>
      </c>
      <c r="M100">
        <f t="shared" si="33"/>
        <v>4.9921921223743185E-6</v>
      </c>
      <c r="N100">
        <f t="shared" si="34"/>
        <v>1.7109032097570756E-6</v>
      </c>
      <c r="O100">
        <f t="shared" si="35"/>
        <v>7.5932486527915865E-6</v>
      </c>
      <c r="P100">
        <f t="shared" si="36"/>
        <v>1.5963348152641534E-6</v>
      </c>
      <c r="Q100">
        <f t="shared" si="37"/>
        <v>0.13653553509241484</v>
      </c>
      <c r="R100">
        <f t="shared" si="38"/>
        <v>8.8127780749629153E-2</v>
      </c>
      <c r="S100">
        <f t="shared" si="39"/>
        <v>4.6823593064099771E-2</v>
      </c>
      <c r="T100">
        <f t="shared" si="40"/>
        <v>0.12888953160486299</v>
      </c>
      <c r="U100">
        <f t="shared" si="41"/>
        <v>2.5724617720654756E-2</v>
      </c>
      <c r="V100">
        <f t="shared" si="42"/>
        <v>-0.75973380351664443</v>
      </c>
      <c r="W100">
        <f t="shared" si="43"/>
        <v>-0.83801942692995768</v>
      </c>
      <c r="X100">
        <f t="shared" si="44"/>
        <v>-0.91054157859196705</v>
      </c>
      <c r="Y100">
        <f t="shared" si="45"/>
        <v>-0.77165253464326156</v>
      </c>
      <c r="Z100">
        <f t="shared" si="46"/>
        <v>-0.9498410835106611</v>
      </c>
    </row>
    <row r="101" spans="1:26" x14ac:dyDescent="0.25">
      <c r="A101" s="12" t="s">
        <v>95</v>
      </c>
      <c r="B101" s="6">
        <v>2</v>
      </c>
      <c r="C101" s="6">
        <v>1</v>
      </c>
      <c r="D101" s="6">
        <v>15</v>
      </c>
      <c r="E101" s="6">
        <v>9</v>
      </c>
      <c r="F101" s="6">
        <v>16</v>
      </c>
      <c r="G101">
        <f t="shared" si="47"/>
        <v>12137304</v>
      </c>
      <c r="H101">
        <f t="shared" si="48"/>
        <v>10229924</v>
      </c>
      <c r="I101">
        <f t="shared" si="49"/>
        <v>11429863</v>
      </c>
      <c r="J101">
        <f t="shared" si="50"/>
        <v>18027777</v>
      </c>
      <c r="K101">
        <f t="shared" si="51"/>
        <v>9609781</v>
      </c>
      <c r="L101">
        <f t="shared" si="32"/>
        <v>1.6478123972177016E-7</v>
      </c>
      <c r="M101">
        <f t="shared" si="33"/>
        <v>9.7752436870498745E-8</v>
      </c>
      <c r="N101">
        <f t="shared" si="34"/>
        <v>1.3123516878548764E-6</v>
      </c>
      <c r="O101">
        <f t="shared" si="35"/>
        <v>4.9922960551375804E-7</v>
      </c>
      <c r="P101">
        <f t="shared" si="36"/>
        <v>1.6649703047343119E-6</v>
      </c>
      <c r="Q101">
        <f t="shared" si="37"/>
        <v>2.0607974348836951E-3</v>
      </c>
      <c r="R101">
        <f t="shared" si="38"/>
        <v>1.7256357754452905E-3</v>
      </c>
      <c r="S101">
        <f t="shared" si="39"/>
        <v>3.5916129585043047E-2</v>
      </c>
      <c r="T101">
        <f t="shared" si="40"/>
        <v>8.4740369978919088E-3</v>
      </c>
      <c r="U101">
        <f t="shared" si="41"/>
        <v>2.6830664968266586E-2</v>
      </c>
      <c r="V101">
        <f t="shared" si="42"/>
        <v>-0.99588688143442194</v>
      </c>
      <c r="W101">
        <f t="shared" si="43"/>
        <v>-0.99655467382721119</v>
      </c>
      <c r="X101">
        <f t="shared" si="44"/>
        <v>-0.93065822886756289</v>
      </c>
      <c r="Y101">
        <f t="shared" si="45"/>
        <v>-0.98319433780741017</v>
      </c>
      <c r="Z101">
        <f t="shared" si="46"/>
        <v>-0.94774081864979021</v>
      </c>
    </row>
    <row r="102" spans="1:26" ht="23.25" x14ac:dyDescent="0.25">
      <c r="A102" s="11" t="s">
        <v>115</v>
      </c>
      <c r="B102" s="5">
        <v>15</v>
      </c>
      <c r="C102" s="5">
        <v>23</v>
      </c>
      <c r="D102" s="5">
        <v>34</v>
      </c>
      <c r="E102" s="5">
        <v>24</v>
      </c>
      <c r="F102" s="14">
        <v>15</v>
      </c>
      <c r="G102">
        <f t="shared" si="47"/>
        <v>6148985</v>
      </c>
      <c r="H102">
        <f t="shared" si="48"/>
        <v>8614111</v>
      </c>
      <c r="I102">
        <f t="shared" si="49"/>
        <v>9678153</v>
      </c>
      <c r="J102">
        <f t="shared" si="50"/>
        <v>9228186</v>
      </c>
      <c r="K102">
        <f t="shared" si="51"/>
        <v>8893857</v>
      </c>
      <c r="L102">
        <f t="shared" si="32"/>
        <v>2.4394269948617537E-6</v>
      </c>
      <c r="M102">
        <f t="shared" si="33"/>
        <v>2.6700375697503781E-6</v>
      </c>
      <c r="N102">
        <f t="shared" si="34"/>
        <v>3.5130670077234777E-6</v>
      </c>
      <c r="O102">
        <f t="shared" si="35"/>
        <v>2.600727813678658E-6</v>
      </c>
      <c r="P102">
        <f t="shared" si="36"/>
        <v>1.6865573620084064E-6</v>
      </c>
      <c r="Q102">
        <f t="shared" si="37"/>
        <v>3.050811428585809E-2</v>
      </c>
      <c r="R102">
        <f t="shared" si="38"/>
        <v>4.7134501191496939E-2</v>
      </c>
      <c r="S102">
        <f t="shared" si="39"/>
        <v>9.6144784251070925E-2</v>
      </c>
      <c r="T102">
        <f t="shared" si="40"/>
        <v>4.4145346091563335E-2</v>
      </c>
      <c r="U102">
        <f t="shared" si="41"/>
        <v>2.7178536098295198E-2</v>
      </c>
      <c r="V102">
        <f t="shared" si="42"/>
        <v>-0.94079015223087259</v>
      </c>
      <c r="W102">
        <f t="shared" si="43"/>
        <v>-0.90997431344709911</v>
      </c>
      <c r="X102">
        <f t="shared" si="44"/>
        <v>-0.82457648728080957</v>
      </c>
      <c r="Y102">
        <f t="shared" si="45"/>
        <v>-0.91544214365019616</v>
      </c>
      <c r="Z102">
        <f t="shared" si="46"/>
        <v>-0.94708118376084449</v>
      </c>
    </row>
    <row r="103" spans="1:26" x14ac:dyDescent="0.25">
      <c r="A103" s="12" t="s">
        <v>121</v>
      </c>
      <c r="B103" s="4">
        <v>63</v>
      </c>
      <c r="C103" s="4">
        <v>43</v>
      </c>
      <c r="D103" s="4">
        <v>29</v>
      </c>
      <c r="E103" s="4">
        <v>24</v>
      </c>
      <c r="F103" s="13">
        <v>15</v>
      </c>
      <c r="G103">
        <f t="shared" si="47"/>
        <v>49191564</v>
      </c>
      <c r="H103">
        <f t="shared" si="48"/>
        <v>68072095</v>
      </c>
      <c r="I103">
        <f t="shared" si="49"/>
        <v>44443214</v>
      </c>
      <c r="J103">
        <f t="shared" si="50"/>
        <v>36185539</v>
      </c>
      <c r="K103">
        <f t="shared" si="51"/>
        <v>40409549</v>
      </c>
      <c r="L103">
        <f t="shared" si="32"/>
        <v>1.2807073993418872E-6</v>
      </c>
      <c r="M103">
        <f t="shared" si="33"/>
        <v>6.31683217623903E-7</v>
      </c>
      <c r="N103">
        <f t="shared" si="34"/>
        <v>6.5251806496262847E-7</v>
      </c>
      <c r="O103">
        <f t="shared" si="35"/>
        <v>6.632483766512363E-7</v>
      </c>
      <c r="P103">
        <f t="shared" si="36"/>
        <v>3.7119939151016011E-7</v>
      </c>
      <c r="Q103">
        <f t="shared" si="37"/>
        <v>1.6016862889590457E-2</v>
      </c>
      <c r="R103">
        <f t="shared" si="38"/>
        <v>1.1151181433198357E-2</v>
      </c>
      <c r="S103">
        <f t="shared" si="39"/>
        <v>1.7857959565767644E-2</v>
      </c>
      <c r="T103">
        <f t="shared" si="40"/>
        <v>1.125812896603031E-2</v>
      </c>
      <c r="U103">
        <f t="shared" si="41"/>
        <v>5.9818042890697797E-3</v>
      </c>
      <c r="V103">
        <f t="shared" si="42"/>
        <v>-0.96847126563620622</v>
      </c>
      <c r="W103">
        <f t="shared" si="43"/>
        <v>-0.97794359213942117</v>
      </c>
      <c r="X103">
        <f t="shared" si="44"/>
        <v>-0.96491070409591106</v>
      </c>
      <c r="Y103">
        <f t="shared" si="45"/>
        <v>-0.9777344109410695</v>
      </c>
      <c r="Z103">
        <f t="shared" si="46"/>
        <v>-0.98810752985080652</v>
      </c>
    </row>
    <row r="104" spans="1:26" x14ac:dyDescent="0.25">
      <c r="A104" s="11" t="s">
        <v>122</v>
      </c>
      <c r="B104" s="5">
        <v>15</v>
      </c>
      <c r="C104" s="5">
        <v>42</v>
      </c>
      <c r="D104" s="5">
        <v>21</v>
      </c>
      <c r="E104" s="5">
        <v>22</v>
      </c>
      <c r="F104" s="14">
        <v>12</v>
      </c>
      <c r="G104">
        <f t="shared" si="47"/>
        <v>82429462</v>
      </c>
      <c r="H104">
        <f t="shared" si="48"/>
        <v>160479746</v>
      </c>
      <c r="I104">
        <f t="shared" si="49"/>
        <v>271667221</v>
      </c>
      <c r="J104">
        <f t="shared" si="50"/>
        <v>177454635</v>
      </c>
      <c r="K104">
        <f t="shared" si="51"/>
        <v>168052921</v>
      </c>
      <c r="L104">
        <f t="shared" si="32"/>
        <v>1.8197377049482624E-7</v>
      </c>
      <c r="M104">
        <f t="shared" si="33"/>
        <v>2.6171526966399858E-7</v>
      </c>
      <c r="N104">
        <f t="shared" si="34"/>
        <v>7.7300455766063883E-8</v>
      </c>
      <c r="O104">
        <f t="shared" si="35"/>
        <v>1.2397534727678428E-7</v>
      </c>
      <c r="P104">
        <f t="shared" si="36"/>
        <v>7.1406078088937231E-8</v>
      </c>
      <c r="Q104">
        <f t="shared" si="37"/>
        <v>2.2758117373376419E-3</v>
      </c>
      <c r="R104">
        <f t="shared" si="38"/>
        <v>4.6200918030392963E-3</v>
      </c>
      <c r="S104">
        <f t="shared" si="39"/>
        <v>2.1155405307665162E-3</v>
      </c>
      <c r="T104">
        <f t="shared" si="40"/>
        <v>2.1043857736938953E-3</v>
      </c>
      <c r="U104">
        <f t="shared" si="41"/>
        <v>1.1506947315843463E-3</v>
      </c>
      <c r="V104">
        <f t="shared" si="42"/>
        <v>-0.99545871164267108</v>
      </c>
      <c r="W104">
        <f t="shared" si="43"/>
        <v>-0.99080231056349388</v>
      </c>
      <c r="X104">
        <f t="shared" si="44"/>
        <v>-0.99577785106566452</v>
      </c>
      <c r="Y104">
        <f t="shared" si="45"/>
        <v>-0.99580006673243093</v>
      </c>
      <c r="Z104">
        <f t="shared" si="46"/>
        <v>-0.99770125568979839</v>
      </c>
    </row>
    <row r="105" spans="1:26" x14ac:dyDescent="0.25">
      <c r="A105" s="12" t="s">
        <v>116</v>
      </c>
      <c r="B105" s="4">
        <v>5</v>
      </c>
      <c r="C105" s="4">
        <v>14</v>
      </c>
      <c r="D105" s="4">
        <v>47</v>
      </c>
      <c r="E105" s="4">
        <v>9</v>
      </c>
      <c r="F105" s="13">
        <v>11</v>
      </c>
      <c r="G105">
        <f t="shared" si="47"/>
        <v>17716469</v>
      </c>
      <c r="H105">
        <f t="shared" si="48"/>
        <v>17571783</v>
      </c>
      <c r="I105">
        <f t="shared" si="49"/>
        <v>20575773</v>
      </c>
      <c r="J105">
        <f t="shared" si="50"/>
        <v>23775412</v>
      </c>
      <c r="K105">
        <f t="shared" si="51"/>
        <v>26664502</v>
      </c>
      <c r="L105">
        <f t="shared" si="32"/>
        <v>2.8222328049680778E-7</v>
      </c>
      <c r="M105">
        <f t="shared" si="33"/>
        <v>7.9673189681434151E-7</v>
      </c>
      <c r="N105">
        <f t="shared" si="34"/>
        <v>2.2842398193253786E-6</v>
      </c>
      <c r="O105">
        <f t="shared" si="35"/>
        <v>3.7854233609074788E-7</v>
      </c>
      <c r="P105">
        <f t="shared" si="36"/>
        <v>4.1253348740584017E-7</v>
      </c>
      <c r="Q105">
        <f t="shared" si="37"/>
        <v>3.5295584223926919E-3</v>
      </c>
      <c r="R105">
        <f t="shared" si="38"/>
        <v>1.4064806040616905E-2</v>
      </c>
      <c r="S105">
        <f t="shared" si="39"/>
        <v>6.2514533347617376E-2</v>
      </c>
      <c r="T105">
        <f t="shared" si="40"/>
        <v>6.4254638063788259E-3</v>
      </c>
      <c r="U105">
        <f t="shared" si="41"/>
        <v>6.6478950148861583E-3</v>
      </c>
      <c r="V105">
        <f t="shared" si="42"/>
        <v>-0.99296571108888643</v>
      </c>
      <c r="W105">
        <f t="shared" si="43"/>
        <v>-0.97226053807047597</v>
      </c>
      <c r="X105">
        <f t="shared" si="44"/>
        <v>-0.88232719386782299</v>
      </c>
      <c r="Y105">
        <f t="shared" si="45"/>
        <v>-0.98723111837397826</v>
      </c>
      <c r="Z105">
        <f t="shared" si="46"/>
        <v>-0.98679201526609694</v>
      </c>
    </row>
    <row r="106" spans="1:26" x14ac:dyDescent="0.25">
      <c r="A106" s="11" t="s">
        <v>99</v>
      </c>
      <c r="B106" s="5">
        <v>1208</v>
      </c>
      <c r="C106" s="5">
        <v>1270</v>
      </c>
      <c r="D106" s="5">
        <v>1340</v>
      </c>
      <c r="E106" s="5">
        <v>896</v>
      </c>
      <c r="F106" s="7">
        <v>11</v>
      </c>
      <c r="G106">
        <f t="shared" si="47"/>
        <v>1250599</v>
      </c>
      <c r="H106">
        <f t="shared" si="48"/>
        <v>1480710</v>
      </c>
      <c r="I106">
        <f t="shared" si="49"/>
        <v>1901416</v>
      </c>
      <c r="J106">
        <f t="shared" si="50"/>
        <v>1521868</v>
      </c>
      <c r="K106">
        <f t="shared" si="51"/>
        <v>1155416</v>
      </c>
      <c r="L106">
        <f t="shared" si="32"/>
        <v>9.659371229306916E-4</v>
      </c>
      <c r="M106">
        <f t="shared" si="33"/>
        <v>8.5769664552815884E-4</v>
      </c>
      <c r="N106">
        <f t="shared" si="34"/>
        <v>7.0473794267009431E-4</v>
      </c>
      <c r="O106">
        <f t="shared" si="35"/>
        <v>5.8875014127375037E-4</v>
      </c>
      <c r="P106">
        <f t="shared" si="36"/>
        <v>9.520380538265006E-6</v>
      </c>
      <c r="Q106">
        <f t="shared" si="37"/>
        <v>12.080263193526129</v>
      </c>
      <c r="R106">
        <f t="shared" si="38"/>
        <v>15.141024238235518</v>
      </c>
      <c r="S106">
        <f t="shared" si="39"/>
        <v>19.28710078760135</v>
      </c>
      <c r="T106">
        <f t="shared" si="40"/>
        <v>9.9935789555861128</v>
      </c>
      <c r="U106">
        <f t="shared" si="41"/>
        <v>0.15341903688387731</v>
      </c>
      <c r="V106">
        <f t="shared" si="42"/>
        <v>0.84709787789362923</v>
      </c>
      <c r="W106">
        <f t="shared" si="43"/>
        <v>0.87609212584773177</v>
      </c>
      <c r="X106">
        <f t="shared" si="44"/>
        <v>0.90141518884638661</v>
      </c>
      <c r="Y106">
        <f t="shared" si="45"/>
        <v>0.81807562322697924</v>
      </c>
      <c r="Z106">
        <f t="shared" si="46"/>
        <v>-0.73397519552241786</v>
      </c>
    </row>
    <row r="107" spans="1:26" x14ac:dyDescent="0.25">
      <c r="A107" s="12" t="s">
        <v>100</v>
      </c>
      <c r="B107" s="4">
        <v>22</v>
      </c>
      <c r="C107" s="4">
        <v>12</v>
      </c>
      <c r="D107" s="4">
        <v>1</v>
      </c>
      <c r="E107" s="4">
        <v>53</v>
      </c>
      <c r="F107" s="13">
        <v>11</v>
      </c>
      <c r="G107">
        <f t="shared" si="47"/>
        <v>2554547</v>
      </c>
      <c r="H107">
        <f t="shared" si="48"/>
        <v>3291376</v>
      </c>
      <c r="I107">
        <f t="shared" si="49"/>
        <v>3887489</v>
      </c>
      <c r="J107">
        <f t="shared" si="50"/>
        <v>3043750</v>
      </c>
      <c r="K107">
        <f t="shared" si="51"/>
        <v>3194208</v>
      </c>
      <c r="L107">
        <f t="shared" si="32"/>
        <v>8.6120944339642222E-6</v>
      </c>
      <c r="M107">
        <f t="shared" si="33"/>
        <v>3.6458915663236286E-6</v>
      </c>
      <c r="N107">
        <f t="shared" si="34"/>
        <v>2.5723545455691322E-7</v>
      </c>
      <c r="O107">
        <f t="shared" si="35"/>
        <v>1.7412731006160164E-5</v>
      </c>
      <c r="P107">
        <f t="shared" si="36"/>
        <v>3.4437331570141959E-6</v>
      </c>
      <c r="Q107">
        <f t="shared" si="37"/>
        <v>0.10770511344893627</v>
      </c>
      <c r="R107">
        <f t="shared" si="38"/>
        <v>6.4361371661528999E-2</v>
      </c>
      <c r="S107">
        <f t="shared" si="39"/>
        <v>7.039958880866096E-3</v>
      </c>
      <c r="T107">
        <f t="shared" si="40"/>
        <v>0.29556766095370202</v>
      </c>
      <c r="U107">
        <f t="shared" si="41"/>
        <v>5.5495074184343039E-2</v>
      </c>
      <c r="V107">
        <f t="shared" si="42"/>
        <v>-0.80553468221594282</v>
      </c>
      <c r="W107">
        <f t="shared" si="43"/>
        <v>-0.87906105318148253</v>
      </c>
      <c r="X107">
        <f t="shared" si="44"/>
        <v>-0.98601851134350293</v>
      </c>
      <c r="Y107">
        <f t="shared" si="45"/>
        <v>-0.54372485534853998</v>
      </c>
      <c r="Z107">
        <f t="shared" si="46"/>
        <v>-0.89484541322520517</v>
      </c>
    </row>
    <row r="108" spans="1:26" x14ac:dyDescent="0.25">
      <c r="A108" s="11" t="s">
        <v>166</v>
      </c>
      <c r="B108" s="5">
        <v>10</v>
      </c>
      <c r="C108" s="5">
        <v>6</v>
      </c>
      <c r="D108" s="5">
        <v>11</v>
      </c>
      <c r="E108" s="5">
        <v>7</v>
      </c>
      <c r="F108" s="14">
        <v>10</v>
      </c>
      <c r="G108">
        <f t="shared" si="47"/>
        <v>4805450</v>
      </c>
      <c r="H108">
        <f t="shared" si="48"/>
        <v>6394889</v>
      </c>
      <c r="I108">
        <f t="shared" si="49"/>
        <v>7115105</v>
      </c>
      <c r="J108">
        <f t="shared" si="50"/>
        <v>6498114</v>
      </c>
      <c r="K108">
        <f t="shared" si="51"/>
        <v>6447499</v>
      </c>
      <c r="L108">
        <f t="shared" si="32"/>
        <v>2.0809705646713626E-6</v>
      </c>
      <c r="M108">
        <f t="shared" si="33"/>
        <v>9.3824928001095871E-7</v>
      </c>
      <c r="N108">
        <f t="shared" si="34"/>
        <v>1.5460066998308529E-6</v>
      </c>
      <c r="O108">
        <f t="shared" si="35"/>
        <v>1.0772356409875235E-6</v>
      </c>
      <c r="P108">
        <f t="shared" si="36"/>
        <v>1.550988995888173E-6</v>
      </c>
      <c r="Q108">
        <f t="shared" si="37"/>
        <v>2.6025164084116589E-2</v>
      </c>
      <c r="R108">
        <f t="shared" si="38"/>
        <v>1.6563029789401867E-2</v>
      </c>
      <c r="S108">
        <f t="shared" si="39"/>
        <v>4.2310744508761551E-2</v>
      </c>
      <c r="T108">
        <f t="shared" si="40"/>
        <v>1.8285243055210818E-2</v>
      </c>
      <c r="U108">
        <f t="shared" si="41"/>
        <v>2.4993878869680106E-2</v>
      </c>
      <c r="V108">
        <f t="shared" si="42"/>
        <v>-0.94926993022174466</v>
      </c>
      <c r="W108">
        <f t="shared" si="43"/>
        <v>-0.96741366879566104</v>
      </c>
      <c r="X108">
        <f t="shared" si="44"/>
        <v>-0.91881356930902114</v>
      </c>
      <c r="Y108">
        <f t="shared" si="45"/>
        <v>-0.9640862063357637</v>
      </c>
      <c r="Z108">
        <f t="shared" si="46"/>
        <v>-0.9512311646246272</v>
      </c>
    </row>
    <row r="109" spans="1:26" ht="23.25" x14ac:dyDescent="0.25">
      <c r="A109" s="12" t="s">
        <v>98</v>
      </c>
      <c r="B109" s="4">
        <v>0</v>
      </c>
      <c r="C109" s="4">
        <v>0</v>
      </c>
      <c r="D109" s="4">
        <v>0</v>
      </c>
      <c r="E109" s="4">
        <v>0</v>
      </c>
      <c r="F109" s="6">
        <v>10</v>
      </c>
      <c r="G109">
        <f t="shared" si="47"/>
        <v>41044</v>
      </c>
      <c r="H109">
        <f t="shared" si="48"/>
        <v>58015</v>
      </c>
      <c r="I109">
        <f t="shared" si="49"/>
        <v>117824</v>
      </c>
      <c r="J109">
        <f t="shared" si="50"/>
        <v>113585</v>
      </c>
      <c r="K109">
        <f t="shared" si="51"/>
        <v>84954</v>
      </c>
      <c r="L109">
        <f t="shared" si="32"/>
        <v>0</v>
      </c>
      <c r="M109">
        <f t="shared" si="33"/>
        <v>0</v>
      </c>
      <c r="N109">
        <f t="shared" si="34"/>
        <v>0</v>
      </c>
      <c r="O109">
        <f t="shared" si="35"/>
        <v>0</v>
      </c>
      <c r="P109">
        <f t="shared" si="36"/>
        <v>1.1771076111778139E-4</v>
      </c>
      <c r="Q109">
        <f t="shared" si="37"/>
        <v>0</v>
      </c>
      <c r="R109">
        <f t="shared" si="38"/>
        <v>0</v>
      </c>
      <c r="S109">
        <f t="shared" si="39"/>
        <v>0</v>
      </c>
      <c r="T109">
        <f t="shared" si="40"/>
        <v>0</v>
      </c>
      <c r="U109">
        <f t="shared" si="41"/>
        <v>1.8968854794169037</v>
      </c>
      <c r="V109">
        <f t="shared" si="42"/>
        <v>-1</v>
      </c>
      <c r="W109">
        <f t="shared" si="43"/>
        <v>-1</v>
      </c>
      <c r="X109">
        <f t="shared" si="44"/>
        <v>-1</v>
      </c>
      <c r="Y109">
        <f t="shared" si="45"/>
        <v>-1</v>
      </c>
      <c r="Z109">
        <f t="shared" si="46"/>
        <v>0.30960336050199411</v>
      </c>
    </row>
    <row r="110" spans="1:26" x14ac:dyDescent="0.25">
      <c r="A110" s="11" t="s">
        <v>143</v>
      </c>
      <c r="B110" s="5">
        <v>5</v>
      </c>
      <c r="C110" s="5">
        <v>3</v>
      </c>
      <c r="D110" s="5">
        <v>0</v>
      </c>
      <c r="E110" s="5">
        <v>0</v>
      </c>
      <c r="F110" s="7">
        <v>10</v>
      </c>
      <c r="G110">
        <f t="shared" si="47"/>
        <v>13828833</v>
      </c>
      <c r="H110">
        <f t="shared" si="48"/>
        <v>16432745</v>
      </c>
      <c r="I110">
        <f t="shared" si="49"/>
        <v>18545385</v>
      </c>
      <c r="J110">
        <f t="shared" si="50"/>
        <v>20039656</v>
      </c>
      <c r="K110">
        <f t="shared" si="51"/>
        <v>20339219</v>
      </c>
      <c r="L110">
        <f t="shared" si="32"/>
        <v>3.6156340885742132E-7</v>
      </c>
      <c r="M110">
        <f t="shared" si="33"/>
        <v>1.8256231688619279E-7</v>
      </c>
      <c r="N110">
        <f t="shared" si="34"/>
        <v>0</v>
      </c>
      <c r="O110">
        <f t="shared" si="35"/>
        <v>0</v>
      </c>
      <c r="P110">
        <f t="shared" si="36"/>
        <v>4.9166096298977848E-7</v>
      </c>
      <c r="Q110">
        <f t="shared" si="37"/>
        <v>4.5218068924549916E-3</v>
      </c>
      <c r="R110">
        <f t="shared" si="38"/>
        <v>3.2227950049403898E-3</v>
      </c>
      <c r="S110">
        <f t="shared" si="39"/>
        <v>0</v>
      </c>
      <c r="T110">
        <f t="shared" si="40"/>
        <v>0</v>
      </c>
      <c r="U110">
        <f t="shared" si="41"/>
        <v>7.9230185297864009E-3</v>
      </c>
      <c r="V110">
        <f t="shared" si="42"/>
        <v>-0.99099709561021188</v>
      </c>
      <c r="W110">
        <f t="shared" si="43"/>
        <v>-0.99357511607394344</v>
      </c>
      <c r="X110">
        <f t="shared" si="44"/>
        <v>-1</v>
      </c>
      <c r="Y110">
        <f t="shared" si="45"/>
        <v>-1</v>
      </c>
      <c r="Z110">
        <f t="shared" si="46"/>
        <v>-0.98427852448226971</v>
      </c>
    </row>
    <row r="111" spans="1:26" x14ac:dyDescent="0.25">
      <c r="A111" s="12" t="s">
        <v>109</v>
      </c>
      <c r="B111" s="4"/>
      <c r="C111" s="6">
        <v>13</v>
      </c>
      <c r="D111" s="4"/>
      <c r="E111" s="6">
        <v>8</v>
      </c>
      <c r="F111" s="6">
        <v>9</v>
      </c>
      <c r="G111">
        <f t="shared" si="47"/>
        <v>1636389</v>
      </c>
      <c r="H111">
        <f t="shared" si="48"/>
        <v>2216075</v>
      </c>
      <c r="I111">
        <f t="shared" si="49"/>
        <v>2141340</v>
      </c>
      <c r="J111">
        <f t="shared" si="50"/>
        <v>1071443</v>
      </c>
      <c r="K111">
        <f t="shared" si="51"/>
        <v>560184</v>
      </c>
      <c r="L111">
        <f t="shared" si="32"/>
        <v>0</v>
      </c>
      <c r="M111">
        <f t="shared" si="33"/>
        <v>5.8662274516882325E-6</v>
      </c>
      <c r="N111">
        <f t="shared" si="34"/>
        <v>0</v>
      </c>
      <c r="O111">
        <f t="shared" si="35"/>
        <v>7.4665661169096254E-6</v>
      </c>
      <c r="P111">
        <f t="shared" si="36"/>
        <v>1.6066149693672078E-5</v>
      </c>
      <c r="Q111">
        <f t="shared" si="37"/>
        <v>0</v>
      </c>
      <c r="R111">
        <f t="shared" si="38"/>
        <v>0.10355723377968844</v>
      </c>
      <c r="S111">
        <f t="shared" si="39"/>
        <v>0</v>
      </c>
      <c r="T111">
        <f t="shared" si="40"/>
        <v>0.12673919339536166</v>
      </c>
      <c r="U111">
        <f t="shared" si="41"/>
        <v>0.25890280357265694</v>
      </c>
      <c r="V111">
        <f t="shared" si="42"/>
        <v>-1</v>
      </c>
      <c r="W111">
        <f t="shared" si="43"/>
        <v>-0.81232104577846964</v>
      </c>
      <c r="X111">
        <f t="shared" si="44"/>
        <v>-1</v>
      </c>
      <c r="Y111">
        <f t="shared" si="45"/>
        <v>-0.77503366504285587</v>
      </c>
      <c r="Z111">
        <f t="shared" si="46"/>
        <v>-0.58868499960773268</v>
      </c>
    </row>
    <row r="112" spans="1:26" x14ac:dyDescent="0.25">
      <c r="A112" s="11" t="s">
        <v>101</v>
      </c>
      <c r="B112" s="7">
        <v>300</v>
      </c>
      <c r="C112" s="7">
        <v>86</v>
      </c>
      <c r="D112" s="7">
        <v>79</v>
      </c>
      <c r="E112" s="7">
        <v>8</v>
      </c>
      <c r="F112" s="7">
        <v>8</v>
      </c>
      <c r="G112">
        <f t="shared" si="47"/>
        <v>1822291</v>
      </c>
      <c r="H112">
        <f t="shared" si="48"/>
        <v>1986135</v>
      </c>
      <c r="I112">
        <f t="shared" si="49"/>
        <v>1666286</v>
      </c>
      <c r="J112">
        <f t="shared" si="50"/>
        <v>1700344</v>
      </c>
      <c r="K112">
        <f t="shared" si="51"/>
        <v>1595871</v>
      </c>
      <c r="L112">
        <f t="shared" si="32"/>
        <v>1.6462793264083509E-4</v>
      </c>
      <c r="M112">
        <f t="shared" si="33"/>
        <v>4.3300178487363651E-5</v>
      </c>
      <c r="N112">
        <f t="shared" si="34"/>
        <v>4.7410828633259836E-5</v>
      </c>
      <c r="O112">
        <f t="shared" si="35"/>
        <v>4.7049302964576581E-6</v>
      </c>
      <c r="P112">
        <f t="shared" si="36"/>
        <v>5.0129365092792584E-6</v>
      </c>
      <c r="Q112">
        <f t="shared" si="37"/>
        <v>2.0588801362902753</v>
      </c>
      <c r="R112">
        <f t="shared" si="38"/>
        <v>0.76438336959261555</v>
      </c>
      <c r="S112">
        <f t="shared" si="39"/>
        <v>1.2975283079109596</v>
      </c>
      <c r="T112">
        <f t="shared" si="40"/>
        <v>7.9862558158294142E-2</v>
      </c>
      <c r="U112">
        <f t="shared" si="41"/>
        <v>8.0782473780591849E-2</v>
      </c>
      <c r="V112">
        <f t="shared" si="42"/>
        <v>0.34616594606889556</v>
      </c>
      <c r="W112">
        <f t="shared" si="43"/>
        <v>-0.1335404960554501</v>
      </c>
      <c r="X112">
        <f t="shared" si="44"/>
        <v>0.12949930013331976</v>
      </c>
      <c r="Y112">
        <f t="shared" si="45"/>
        <v>-0.85208755029992012</v>
      </c>
      <c r="Z112">
        <f t="shared" si="46"/>
        <v>-0.85051113292388314</v>
      </c>
    </row>
    <row r="113" spans="1:26" ht="23.25" x14ac:dyDescent="0.25">
      <c r="A113" s="12" t="s">
        <v>132</v>
      </c>
      <c r="B113" s="4">
        <v>97</v>
      </c>
      <c r="C113" s="4">
        <v>79</v>
      </c>
      <c r="D113" s="4">
        <v>0</v>
      </c>
      <c r="E113" s="4">
        <v>217</v>
      </c>
      <c r="F113" s="6">
        <v>7</v>
      </c>
      <c r="G113">
        <f t="shared" si="47"/>
        <v>1054621</v>
      </c>
      <c r="H113">
        <f t="shared" si="48"/>
        <v>1357640</v>
      </c>
      <c r="I113">
        <f t="shared" si="49"/>
        <v>1525160</v>
      </c>
      <c r="J113">
        <f t="shared" si="50"/>
        <v>1521388</v>
      </c>
      <c r="K113">
        <f t="shared" si="51"/>
        <v>93162</v>
      </c>
      <c r="L113">
        <f t="shared" si="32"/>
        <v>9.1976169638192302E-5</v>
      </c>
      <c r="M113">
        <f t="shared" si="33"/>
        <v>5.818921068913703E-5</v>
      </c>
      <c r="N113">
        <f t="shared" si="34"/>
        <v>0</v>
      </c>
      <c r="O113">
        <f t="shared" si="35"/>
        <v>1.42632911525528E-4</v>
      </c>
      <c r="P113">
        <f t="shared" si="36"/>
        <v>7.5137931774757946E-5</v>
      </c>
      <c r="Q113">
        <f t="shared" si="37"/>
        <v>1.1502781189221296</v>
      </c>
      <c r="R113">
        <f t="shared" si="38"/>
        <v>1.0272212839371444</v>
      </c>
      <c r="S113">
        <f t="shared" si="39"/>
        <v>0</v>
      </c>
      <c r="T113">
        <f t="shared" si="40"/>
        <v>2.4210835175540453</v>
      </c>
      <c r="U113">
        <f t="shared" si="41"/>
        <v>1.2108328107261388</v>
      </c>
      <c r="V113">
        <f t="shared" si="42"/>
        <v>6.9887758983223788E-2</v>
      </c>
      <c r="W113">
        <f t="shared" si="43"/>
        <v>1.3427879902817959E-2</v>
      </c>
      <c r="X113">
        <f t="shared" si="44"/>
        <v>-1</v>
      </c>
      <c r="Y113">
        <f t="shared" si="45"/>
        <v>0.41538989336631865</v>
      </c>
      <c r="Z113">
        <f t="shared" si="46"/>
        <v>9.5363525320981496E-2</v>
      </c>
    </row>
    <row r="114" spans="1:26" x14ac:dyDescent="0.25">
      <c r="A114" s="11" t="s">
        <v>102</v>
      </c>
      <c r="B114" s="5">
        <v>103</v>
      </c>
      <c r="C114" s="5">
        <v>40</v>
      </c>
      <c r="D114" s="5">
        <v>6</v>
      </c>
      <c r="E114" s="5">
        <v>1</v>
      </c>
      <c r="F114" s="14">
        <v>7</v>
      </c>
      <c r="G114">
        <f t="shared" si="47"/>
        <v>46949697</v>
      </c>
      <c r="H114">
        <f t="shared" si="48"/>
        <v>60321024</v>
      </c>
      <c r="I114">
        <f t="shared" si="49"/>
        <v>76139805</v>
      </c>
      <c r="J114">
        <f t="shared" si="50"/>
        <v>78735591</v>
      </c>
      <c r="K114">
        <f t="shared" si="51"/>
        <v>81618417</v>
      </c>
      <c r="L114">
        <f t="shared" si="32"/>
        <v>2.1938373744989239E-6</v>
      </c>
      <c r="M114">
        <f t="shared" si="33"/>
        <v>6.6311871628704451E-7</v>
      </c>
      <c r="N114">
        <f t="shared" si="34"/>
        <v>7.8802408280399462E-8</v>
      </c>
      <c r="O114">
        <f t="shared" si="35"/>
        <v>1.270073657032688E-8</v>
      </c>
      <c r="P114">
        <f t="shared" si="36"/>
        <v>8.5764956700887749E-8</v>
      </c>
      <c r="Q114">
        <f t="shared" si="37"/>
        <v>2.7436706032513612E-2</v>
      </c>
      <c r="R114">
        <f t="shared" si="38"/>
        <v>1.1706116152462127E-2</v>
      </c>
      <c r="S114">
        <f t="shared" si="39"/>
        <v>2.1566456107802688E-3</v>
      </c>
      <c r="T114">
        <f t="shared" si="40"/>
        <v>2.1558519448515109E-4</v>
      </c>
      <c r="U114">
        <f t="shared" si="41"/>
        <v>1.3820852015895941E-3</v>
      </c>
      <c r="V114">
        <f t="shared" si="42"/>
        <v>-0.94659192946597859</v>
      </c>
      <c r="W114">
        <f t="shared" si="43"/>
        <v>-0.97685866287537992</v>
      </c>
      <c r="X114">
        <f t="shared" si="44"/>
        <v>-0.99569599100055695</v>
      </c>
      <c r="Y114">
        <f t="shared" si="45"/>
        <v>-0.99956892254494667</v>
      </c>
      <c r="Z114">
        <f t="shared" si="46"/>
        <v>-0.99723964464311077</v>
      </c>
    </row>
    <row r="115" spans="1:26" x14ac:dyDescent="0.25">
      <c r="A115" s="12" t="s">
        <v>104</v>
      </c>
      <c r="B115" s="4">
        <v>2</v>
      </c>
      <c r="C115" s="4">
        <v>2</v>
      </c>
      <c r="D115" s="4">
        <v>2</v>
      </c>
      <c r="E115" s="4">
        <v>3</v>
      </c>
      <c r="F115" s="13">
        <v>5</v>
      </c>
      <c r="G115">
        <f t="shared" si="47"/>
        <v>7010245</v>
      </c>
      <c r="H115">
        <f t="shared" si="48"/>
        <v>9541027</v>
      </c>
      <c r="I115">
        <f t="shared" si="49"/>
        <v>11190032</v>
      </c>
      <c r="J115">
        <f t="shared" si="50"/>
        <v>9189874</v>
      </c>
      <c r="K115">
        <f t="shared" si="51"/>
        <v>10248403</v>
      </c>
      <c r="L115">
        <f t="shared" si="32"/>
        <v>2.8529673356637324E-7</v>
      </c>
      <c r="M115">
        <f t="shared" si="33"/>
        <v>2.0962103974760788E-7</v>
      </c>
      <c r="N115">
        <f t="shared" si="34"/>
        <v>1.7873049871528517E-7</v>
      </c>
      <c r="O115">
        <f t="shared" si="35"/>
        <v>3.2644626030781273E-7</v>
      </c>
      <c r="P115">
        <f t="shared" si="36"/>
        <v>4.8788089227170324E-7</v>
      </c>
      <c r="Q115">
        <f t="shared" si="37"/>
        <v>3.5679958331846628E-3</v>
      </c>
      <c r="R115">
        <f t="shared" si="38"/>
        <v>3.7004659633572755E-3</v>
      </c>
      <c r="S115">
        <f t="shared" si="39"/>
        <v>4.8914538778475807E-3</v>
      </c>
      <c r="T115">
        <f t="shared" si="40"/>
        <v>5.5411731538337668E-3</v>
      </c>
      <c r="U115">
        <f t="shared" si="41"/>
        <v>7.8621034427697484E-3</v>
      </c>
      <c r="V115">
        <f t="shared" si="42"/>
        <v>-0.99288937899973095</v>
      </c>
      <c r="W115">
        <f t="shared" si="43"/>
        <v>-0.99262635399933674</v>
      </c>
      <c r="X115">
        <f t="shared" si="44"/>
        <v>-0.99026471195675592</v>
      </c>
      <c r="Y115">
        <f t="shared" si="45"/>
        <v>-0.98897872448831892</v>
      </c>
      <c r="Z115">
        <f t="shared" si="46"/>
        <v>-0.9843984540823324</v>
      </c>
    </row>
    <row r="116" spans="1:26" x14ac:dyDescent="0.25">
      <c r="A116" s="11" t="s">
        <v>127</v>
      </c>
      <c r="B116" s="5">
        <v>6</v>
      </c>
      <c r="C116" s="5">
        <v>1</v>
      </c>
      <c r="D116" s="5">
        <v>0</v>
      </c>
      <c r="E116" s="5">
        <v>0</v>
      </c>
      <c r="F116" s="14">
        <v>4</v>
      </c>
      <c r="G116">
        <f t="shared" si="47"/>
        <v>13127295</v>
      </c>
      <c r="H116">
        <f t="shared" si="48"/>
        <v>14034977</v>
      </c>
      <c r="I116">
        <f t="shared" si="49"/>
        <v>15286928</v>
      </c>
      <c r="J116">
        <f t="shared" si="50"/>
        <v>21016917</v>
      </c>
      <c r="K116">
        <f t="shared" si="51"/>
        <v>31856439</v>
      </c>
      <c r="L116">
        <f t="shared" si="32"/>
        <v>4.5706293642368821E-7</v>
      </c>
      <c r="M116">
        <f t="shared" si="33"/>
        <v>7.1250562077871597E-8</v>
      </c>
      <c r="N116">
        <f t="shared" si="34"/>
        <v>0</v>
      </c>
      <c r="O116">
        <f t="shared" si="35"/>
        <v>0</v>
      </c>
      <c r="P116">
        <f t="shared" si="36"/>
        <v>1.2556331233381107E-7</v>
      </c>
      <c r="Q116">
        <f t="shared" si="37"/>
        <v>5.7161490504182956E-3</v>
      </c>
      <c r="R116">
        <f t="shared" si="38"/>
        <v>1.257794924386865E-3</v>
      </c>
      <c r="S116">
        <f t="shared" si="39"/>
        <v>0</v>
      </c>
      <c r="T116">
        <f t="shared" si="40"/>
        <v>0</v>
      </c>
      <c r="U116">
        <f t="shared" si="41"/>
        <v>2.0234277788347107E-3</v>
      </c>
      <c r="V116">
        <f t="shared" si="42"/>
        <v>-0.98863267919916498</v>
      </c>
      <c r="W116">
        <f t="shared" si="43"/>
        <v>-0.99748757027258539</v>
      </c>
      <c r="X116">
        <f t="shared" si="44"/>
        <v>-1</v>
      </c>
      <c r="Y116">
        <f t="shared" si="45"/>
        <v>-1</v>
      </c>
      <c r="Z116">
        <f t="shared" si="46"/>
        <v>-0.99596131642686248</v>
      </c>
    </row>
    <row r="117" spans="1:26" x14ac:dyDescent="0.25">
      <c r="A117" s="12" t="s">
        <v>113</v>
      </c>
      <c r="B117" s="4">
        <v>31</v>
      </c>
      <c r="C117" s="4">
        <v>12</v>
      </c>
      <c r="D117" s="4">
        <v>8</v>
      </c>
      <c r="E117" s="4">
        <v>4</v>
      </c>
      <c r="F117" s="13">
        <v>4</v>
      </c>
      <c r="G117">
        <f t="shared" si="47"/>
        <v>65606976</v>
      </c>
      <c r="H117">
        <f t="shared" si="48"/>
        <v>81500265</v>
      </c>
      <c r="I117">
        <f t="shared" si="49"/>
        <v>86228240</v>
      </c>
      <c r="J117">
        <f t="shared" si="50"/>
        <v>82567753</v>
      </c>
      <c r="K117">
        <f t="shared" si="51"/>
        <v>78154637</v>
      </c>
      <c r="L117">
        <f t="shared" si="32"/>
        <v>4.7251072812744789E-7</v>
      </c>
      <c r="M117">
        <f t="shared" si="33"/>
        <v>1.4723878505180321E-7</v>
      </c>
      <c r="N117">
        <f t="shared" si="34"/>
        <v>9.2777029891831259E-8</v>
      </c>
      <c r="O117">
        <f t="shared" si="35"/>
        <v>4.8445063050220105E-8</v>
      </c>
      <c r="P117">
        <f t="shared" si="36"/>
        <v>5.11805844610346E-8</v>
      </c>
      <c r="Q117">
        <f t="shared" si="37"/>
        <v>5.90934318812158E-3</v>
      </c>
      <c r="R117">
        <f t="shared" si="38"/>
        <v>2.5992243585200203E-3</v>
      </c>
      <c r="S117">
        <f t="shared" si="39"/>
        <v>2.5390997390014464E-3</v>
      </c>
      <c r="T117">
        <f t="shared" si="40"/>
        <v>8.2231753108932555E-4</v>
      </c>
      <c r="U117">
        <f t="shared" si="41"/>
        <v>8.2476492862929495E-4</v>
      </c>
      <c r="V117">
        <f t="shared" si="42"/>
        <v>-0.98825074400960911</v>
      </c>
      <c r="W117">
        <f t="shared" si="43"/>
        <v>-0.99481502818799206</v>
      </c>
      <c r="X117">
        <f t="shared" si="44"/>
        <v>-0.99493466192059254</v>
      </c>
      <c r="Y117">
        <f t="shared" si="45"/>
        <v>-0.99835671623886668</v>
      </c>
      <c r="Z117">
        <f t="shared" si="46"/>
        <v>-0.99835182949596957</v>
      </c>
    </row>
    <row r="118" spans="1:26" x14ac:dyDescent="0.25">
      <c r="A118" s="11" t="s">
        <v>106</v>
      </c>
      <c r="B118" s="5">
        <v>0</v>
      </c>
      <c r="C118" s="5">
        <v>12</v>
      </c>
      <c r="D118" s="5">
        <v>15</v>
      </c>
      <c r="E118" s="5">
        <v>0</v>
      </c>
      <c r="F118" s="14">
        <v>4</v>
      </c>
      <c r="G118">
        <f t="shared" si="47"/>
        <v>69964786</v>
      </c>
      <c r="H118">
        <f t="shared" si="48"/>
        <v>92887987</v>
      </c>
      <c r="I118">
        <f t="shared" si="49"/>
        <v>102625791</v>
      </c>
      <c r="J118">
        <f t="shared" si="50"/>
        <v>100290449</v>
      </c>
      <c r="K118">
        <f t="shared" si="51"/>
        <v>103312004</v>
      </c>
      <c r="L118">
        <f t="shared" si="32"/>
        <v>0</v>
      </c>
      <c r="M118">
        <f t="shared" si="33"/>
        <v>1.2918785719836947E-7</v>
      </c>
      <c r="N118">
        <f t="shared" si="34"/>
        <v>1.4616208902107268E-7</v>
      </c>
      <c r="O118">
        <f t="shared" si="35"/>
        <v>0</v>
      </c>
      <c r="P118">
        <f t="shared" si="36"/>
        <v>3.8717669245870014E-8</v>
      </c>
      <c r="Q118">
        <f t="shared" si="37"/>
        <v>0</v>
      </c>
      <c r="R118">
        <f t="shared" si="38"/>
        <v>2.2805691118469029E-3</v>
      </c>
      <c r="S118">
        <f t="shared" si="39"/>
        <v>4.0001293695001959E-3</v>
      </c>
      <c r="T118">
        <f t="shared" si="40"/>
        <v>0</v>
      </c>
      <c r="U118">
        <f t="shared" si="41"/>
        <v>6.2392753128042561E-4</v>
      </c>
      <c r="V118">
        <f t="shared" si="42"/>
        <v>-1</v>
      </c>
      <c r="W118">
        <f t="shared" si="43"/>
        <v>-0.99544924009877245</v>
      </c>
      <c r="X118">
        <f t="shared" si="44"/>
        <v>-0.99203161582855126</v>
      </c>
      <c r="Y118">
        <f t="shared" si="45"/>
        <v>-1</v>
      </c>
      <c r="Z118">
        <f t="shared" si="46"/>
        <v>-0.9987529230230987</v>
      </c>
    </row>
    <row r="119" spans="1:26" x14ac:dyDescent="0.25">
      <c r="A119" s="12" t="s">
        <v>130</v>
      </c>
      <c r="B119" s="4">
        <v>16</v>
      </c>
      <c r="C119" s="4">
        <v>135</v>
      </c>
      <c r="D119" s="4">
        <v>97</v>
      </c>
      <c r="E119" s="4">
        <v>92</v>
      </c>
      <c r="F119" s="6">
        <v>4</v>
      </c>
      <c r="G119">
        <f t="shared" si="47"/>
        <v>40149524</v>
      </c>
      <c r="H119">
        <f t="shared" si="48"/>
        <v>63129694</v>
      </c>
      <c r="I119">
        <f t="shared" si="49"/>
        <v>99712377</v>
      </c>
      <c r="J119">
        <f t="shared" si="50"/>
        <v>83983279</v>
      </c>
      <c r="K119">
        <f t="shared" si="51"/>
        <v>59549263</v>
      </c>
      <c r="L119">
        <f t="shared" si="32"/>
        <v>3.9851032854088132E-7</v>
      </c>
      <c r="M119">
        <f t="shared" si="33"/>
        <v>2.1384548450369488E-6</v>
      </c>
      <c r="N119">
        <f t="shared" si="34"/>
        <v>9.7279799076497805E-7</v>
      </c>
      <c r="O119">
        <f t="shared" si="35"/>
        <v>1.0954561562189065E-6</v>
      </c>
      <c r="P119">
        <f t="shared" si="36"/>
        <v>6.7171276326291393E-8</v>
      </c>
      <c r="Q119">
        <f t="shared" si="37"/>
        <v>4.9838747676517635E-3</v>
      </c>
      <c r="R119">
        <f t="shared" si="38"/>
        <v>3.7750406055439813E-2</v>
      </c>
      <c r="S119">
        <f t="shared" si="39"/>
        <v>2.6623304575844865E-2</v>
      </c>
      <c r="T119">
        <f t="shared" si="40"/>
        <v>1.859452222953482E-2</v>
      </c>
      <c r="U119">
        <f t="shared" si="41"/>
        <v>1.0824517443205545E-3</v>
      </c>
      <c r="V119">
        <f t="shared" si="42"/>
        <v>-0.99008168211892156</v>
      </c>
      <c r="W119">
        <f t="shared" si="43"/>
        <v>-0.92724569253808975</v>
      </c>
      <c r="X119">
        <f t="shared" si="44"/>
        <v>-0.94813422906497458</v>
      </c>
      <c r="Y119">
        <f t="shared" si="45"/>
        <v>-0.96348984444009289</v>
      </c>
      <c r="Z119">
        <f t="shared" si="46"/>
        <v>-0.99783743738103792</v>
      </c>
    </row>
    <row r="120" spans="1:26" x14ac:dyDescent="0.25">
      <c r="A120" s="11" t="s">
        <v>172</v>
      </c>
      <c r="B120" s="5">
        <v>0</v>
      </c>
      <c r="C120" s="5">
        <v>0</v>
      </c>
      <c r="D120" s="5">
        <v>0</v>
      </c>
      <c r="E120" s="5">
        <v>0</v>
      </c>
      <c r="F120" s="7">
        <v>3</v>
      </c>
      <c r="G120">
        <f t="shared" si="47"/>
        <v>2415632</v>
      </c>
      <c r="H120">
        <f t="shared" si="48"/>
        <v>3562297</v>
      </c>
      <c r="I120">
        <f t="shared" si="49"/>
        <v>4306235</v>
      </c>
      <c r="J120">
        <f t="shared" si="50"/>
        <v>4374857</v>
      </c>
      <c r="K120">
        <f t="shared" si="51"/>
        <v>3766568</v>
      </c>
      <c r="L120">
        <f t="shared" si="32"/>
        <v>0</v>
      </c>
      <c r="M120">
        <f t="shared" si="33"/>
        <v>0</v>
      </c>
      <c r="N120">
        <f t="shared" si="34"/>
        <v>0</v>
      </c>
      <c r="O120">
        <f t="shared" si="35"/>
        <v>0</v>
      </c>
      <c r="P120">
        <f t="shared" si="36"/>
        <v>7.9648104056531038E-7</v>
      </c>
      <c r="Q120">
        <f t="shared" si="37"/>
        <v>0</v>
      </c>
      <c r="R120">
        <f t="shared" si="38"/>
        <v>0</v>
      </c>
      <c r="S120">
        <f t="shared" si="39"/>
        <v>0</v>
      </c>
      <c r="T120">
        <f t="shared" si="40"/>
        <v>0</v>
      </c>
      <c r="U120">
        <f t="shared" si="41"/>
        <v>1.2835133390799022E-2</v>
      </c>
      <c r="V120">
        <f t="shared" si="42"/>
        <v>-1</v>
      </c>
      <c r="W120">
        <f t="shared" si="43"/>
        <v>-1</v>
      </c>
      <c r="X120">
        <f t="shared" si="44"/>
        <v>-1</v>
      </c>
      <c r="Y120">
        <f t="shared" si="45"/>
        <v>-1</v>
      </c>
      <c r="Z120">
        <f t="shared" si="46"/>
        <v>-0.97465503917142138</v>
      </c>
    </row>
    <row r="121" spans="1:26" x14ac:dyDescent="0.25">
      <c r="A121" s="12" t="s">
        <v>107</v>
      </c>
      <c r="B121" s="4">
        <v>0</v>
      </c>
      <c r="C121" s="4">
        <v>0</v>
      </c>
      <c r="D121" s="4">
        <v>0</v>
      </c>
      <c r="E121" s="4">
        <v>0</v>
      </c>
      <c r="F121" s="6">
        <v>3</v>
      </c>
      <c r="G121">
        <f t="shared" si="47"/>
        <v>166781</v>
      </c>
      <c r="H121">
        <f t="shared" si="48"/>
        <v>163974</v>
      </c>
      <c r="I121">
        <f t="shared" si="49"/>
        <v>386143</v>
      </c>
      <c r="J121">
        <f t="shared" si="50"/>
        <v>252365</v>
      </c>
      <c r="K121">
        <f t="shared" si="51"/>
        <v>104618</v>
      </c>
      <c r="L121">
        <f t="shared" si="32"/>
        <v>0</v>
      </c>
      <c r="M121">
        <f t="shared" si="33"/>
        <v>0</v>
      </c>
      <c r="N121">
        <f t="shared" si="34"/>
        <v>0</v>
      </c>
      <c r="O121">
        <f t="shared" si="35"/>
        <v>0</v>
      </c>
      <c r="P121">
        <f t="shared" si="36"/>
        <v>2.8675753694392933E-5</v>
      </c>
      <c r="Q121">
        <f t="shared" si="37"/>
        <v>0</v>
      </c>
      <c r="R121">
        <f t="shared" si="38"/>
        <v>0</v>
      </c>
      <c r="S121">
        <f t="shared" si="39"/>
        <v>0</v>
      </c>
      <c r="T121">
        <f t="shared" si="40"/>
        <v>0</v>
      </c>
      <c r="U121">
        <f t="shared" si="41"/>
        <v>0.46210406149529804</v>
      </c>
      <c r="V121">
        <f t="shared" si="42"/>
        <v>-1</v>
      </c>
      <c r="W121">
        <f t="shared" si="43"/>
        <v>-1</v>
      </c>
      <c r="X121">
        <f t="shared" si="44"/>
        <v>-1</v>
      </c>
      <c r="Y121">
        <f t="shared" si="45"/>
        <v>-1</v>
      </c>
      <c r="Z121">
        <f t="shared" si="46"/>
        <v>-0.36789169298565128</v>
      </c>
    </row>
    <row r="122" spans="1:26" x14ac:dyDescent="0.25">
      <c r="A122" s="11" t="s">
        <v>112</v>
      </c>
      <c r="B122" s="5">
        <v>0</v>
      </c>
      <c r="C122" s="5">
        <v>0</v>
      </c>
      <c r="D122" s="5">
        <v>0</v>
      </c>
      <c r="E122" s="5">
        <v>0</v>
      </c>
      <c r="F122" s="7">
        <v>2</v>
      </c>
      <c r="G122">
        <f t="shared" si="47"/>
        <v>818488</v>
      </c>
      <c r="H122">
        <f t="shared" si="48"/>
        <v>977659</v>
      </c>
      <c r="I122">
        <f t="shared" si="49"/>
        <v>917187</v>
      </c>
      <c r="J122">
        <f t="shared" si="50"/>
        <v>831235</v>
      </c>
      <c r="K122">
        <f t="shared" si="51"/>
        <v>934653</v>
      </c>
      <c r="L122">
        <f t="shared" si="32"/>
        <v>0</v>
      </c>
      <c r="M122">
        <f t="shared" si="33"/>
        <v>0</v>
      </c>
      <c r="N122">
        <f t="shared" si="34"/>
        <v>0</v>
      </c>
      <c r="O122">
        <f t="shared" si="35"/>
        <v>0</v>
      </c>
      <c r="P122">
        <f t="shared" si="36"/>
        <v>2.1398315738568216E-6</v>
      </c>
      <c r="Q122">
        <f t="shared" si="37"/>
        <v>0</v>
      </c>
      <c r="R122">
        <f t="shared" si="38"/>
        <v>0</v>
      </c>
      <c r="S122">
        <f t="shared" si="39"/>
        <v>0</v>
      </c>
      <c r="T122">
        <f t="shared" si="40"/>
        <v>0</v>
      </c>
      <c r="U122">
        <f t="shared" si="41"/>
        <v>3.4482959776170115E-2</v>
      </c>
      <c r="V122">
        <f t="shared" si="42"/>
        <v>-1</v>
      </c>
      <c r="W122">
        <f t="shared" si="43"/>
        <v>-1</v>
      </c>
      <c r="X122">
        <f t="shared" si="44"/>
        <v>-1</v>
      </c>
      <c r="Y122">
        <f t="shared" si="45"/>
        <v>-1</v>
      </c>
      <c r="Z122">
        <f t="shared" si="46"/>
        <v>-0.93333295739616395</v>
      </c>
    </row>
    <row r="123" spans="1:26" ht="23.25" x14ac:dyDescent="0.25">
      <c r="A123" s="12" t="s">
        <v>173</v>
      </c>
      <c r="B123" s="4">
        <v>0</v>
      </c>
      <c r="C123" s="4">
        <v>0</v>
      </c>
      <c r="D123" s="4">
        <v>0</v>
      </c>
      <c r="E123" s="4">
        <v>2</v>
      </c>
      <c r="F123" s="13">
        <v>2</v>
      </c>
      <c r="G123">
        <f t="shared" si="47"/>
        <v>2467107</v>
      </c>
      <c r="H123">
        <f t="shared" si="48"/>
        <v>3144505</v>
      </c>
      <c r="I123">
        <f t="shared" si="49"/>
        <v>4332145</v>
      </c>
      <c r="J123">
        <f t="shared" si="50"/>
        <v>4048617</v>
      </c>
      <c r="K123">
        <f t="shared" si="51"/>
        <v>3555062</v>
      </c>
      <c r="L123">
        <f t="shared" si="32"/>
        <v>0</v>
      </c>
      <c r="M123">
        <f t="shared" si="33"/>
        <v>0</v>
      </c>
      <c r="N123">
        <f t="shared" si="34"/>
        <v>0</v>
      </c>
      <c r="O123">
        <f t="shared" si="35"/>
        <v>4.93995850928848E-7</v>
      </c>
      <c r="P123">
        <f t="shared" si="36"/>
        <v>5.6257809287151671E-7</v>
      </c>
      <c r="Q123">
        <f t="shared" si="37"/>
        <v>0</v>
      </c>
      <c r="R123">
        <f t="shared" si="38"/>
        <v>0</v>
      </c>
      <c r="S123">
        <f t="shared" si="39"/>
        <v>0</v>
      </c>
      <c r="T123">
        <f t="shared" si="40"/>
        <v>8.3851980558488533E-3</v>
      </c>
      <c r="U123">
        <f t="shared" si="41"/>
        <v>9.0658339583604246E-3</v>
      </c>
      <c r="V123">
        <f t="shared" si="42"/>
        <v>-1</v>
      </c>
      <c r="W123">
        <f t="shared" si="43"/>
        <v>-1</v>
      </c>
      <c r="X123">
        <f t="shared" si="44"/>
        <v>-1</v>
      </c>
      <c r="Y123">
        <f t="shared" si="45"/>
        <v>-0.98336905763389748</v>
      </c>
      <c r="Z123">
        <f t="shared" si="46"/>
        <v>-0.98203123393288017</v>
      </c>
    </row>
    <row r="124" spans="1:26" x14ac:dyDescent="0.25">
      <c r="A124" s="11" t="s">
        <v>119</v>
      </c>
      <c r="B124" s="5">
        <v>0</v>
      </c>
      <c r="C124" s="5">
        <v>0</v>
      </c>
      <c r="D124" s="5">
        <v>0</v>
      </c>
      <c r="E124" s="5">
        <v>0</v>
      </c>
      <c r="F124" s="7">
        <v>2</v>
      </c>
      <c r="G124">
        <f t="shared" si="47"/>
        <v>4394831</v>
      </c>
      <c r="H124">
        <f t="shared" si="48"/>
        <v>6036173</v>
      </c>
      <c r="I124">
        <f t="shared" si="49"/>
        <v>6586208</v>
      </c>
      <c r="J124">
        <f t="shared" si="50"/>
        <v>7225586</v>
      </c>
      <c r="K124">
        <f t="shared" si="51"/>
        <v>4051471</v>
      </c>
      <c r="L124">
        <f t="shared" si="32"/>
        <v>0</v>
      </c>
      <c r="M124">
        <f t="shared" si="33"/>
        <v>0</v>
      </c>
      <c r="N124">
        <f t="shared" si="34"/>
        <v>0</v>
      </c>
      <c r="O124">
        <f t="shared" si="35"/>
        <v>0</v>
      </c>
      <c r="P124">
        <f t="shared" si="36"/>
        <v>4.9364786271455477E-7</v>
      </c>
      <c r="Q124">
        <f t="shared" si="37"/>
        <v>0</v>
      </c>
      <c r="R124">
        <f t="shared" si="38"/>
        <v>0</v>
      </c>
      <c r="S124">
        <f t="shared" si="39"/>
        <v>0</v>
      </c>
      <c r="T124">
        <f t="shared" si="40"/>
        <v>0</v>
      </c>
      <c r="U124">
        <f t="shared" si="41"/>
        <v>7.9550370232630875E-3</v>
      </c>
      <c r="V124">
        <f t="shared" si="42"/>
        <v>-1</v>
      </c>
      <c r="W124">
        <f t="shared" si="43"/>
        <v>-1</v>
      </c>
      <c r="X124">
        <f t="shared" si="44"/>
        <v>-1</v>
      </c>
      <c r="Y124">
        <f t="shared" si="45"/>
        <v>-1</v>
      </c>
      <c r="Z124">
        <f t="shared" si="46"/>
        <v>-0.98421549229664806</v>
      </c>
    </row>
    <row r="125" spans="1:26" x14ac:dyDescent="0.25">
      <c r="A125" s="12" t="s">
        <v>145</v>
      </c>
      <c r="B125" s="4">
        <v>0</v>
      </c>
      <c r="C125" s="4">
        <v>1</v>
      </c>
      <c r="D125" s="4">
        <v>3</v>
      </c>
      <c r="E125" s="4">
        <v>1</v>
      </c>
      <c r="F125" s="6">
        <v>1</v>
      </c>
      <c r="G125">
        <f t="shared" si="47"/>
        <v>3934554</v>
      </c>
      <c r="H125">
        <f t="shared" si="48"/>
        <v>4486066</v>
      </c>
      <c r="I125">
        <f t="shared" si="49"/>
        <v>5725131</v>
      </c>
      <c r="J125">
        <f t="shared" si="50"/>
        <v>5316530</v>
      </c>
      <c r="K125">
        <f t="shared" si="51"/>
        <v>4715944</v>
      </c>
      <c r="L125">
        <f t="shared" si="32"/>
        <v>0</v>
      </c>
      <c r="M125">
        <f t="shared" si="33"/>
        <v>2.2291245826521501E-7</v>
      </c>
      <c r="N125">
        <f t="shared" si="34"/>
        <v>5.2400547690524459E-7</v>
      </c>
      <c r="O125">
        <f t="shared" si="35"/>
        <v>1.8809260927710368E-7</v>
      </c>
      <c r="P125">
        <f t="shared" si="36"/>
        <v>2.1204662311511758E-7</v>
      </c>
      <c r="Q125">
        <f t="shared" si="37"/>
        <v>0</v>
      </c>
      <c r="R125">
        <f t="shared" si="38"/>
        <v>3.935101007093161E-3</v>
      </c>
      <c r="S125">
        <f t="shared" si="39"/>
        <v>1.434085755058841E-2</v>
      </c>
      <c r="T125">
        <f t="shared" si="40"/>
        <v>3.1927267783005667E-3</v>
      </c>
      <c r="U125">
        <f t="shared" si="41"/>
        <v>3.4170891134072761E-3</v>
      </c>
      <c r="V125">
        <f t="shared" si="42"/>
        <v>-1</v>
      </c>
      <c r="W125">
        <f t="shared" si="43"/>
        <v>-0.99216064663314252</v>
      </c>
      <c r="X125">
        <f t="shared" si="44"/>
        <v>-0.97172378999852493</v>
      </c>
      <c r="Y125">
        <f t="shared" si="45"/>
        <v>-0.99363486856896621</v>
      </c>
      <c r="Z125">
        <f t="shared" si="46"/>
        <v>-0.99318909524168741</v>
      </c>
    </row>
    <row r="126" spans="1:26" x14ac:dyDescent="0.25">
      <c r="A126" s="11" t="s">
        <v>123</v>
      </c>
      <c r="B126" s="5"/>
      <c r="C126" s="5"/>
      <c r="D126" s="5"/>
      <c r="E126" s="5"/>
      <c r="F126" s="7">
        <v>1</v>
      </c>
      <c r="G126">
        <f t="shared" si="47"/>
        <v>8974</v>
      </c>
      <c r="H126">
        <f t="shared" si="48"/>
        <v>7709</v>
      </c>
      <c r="I126">
        <f t="shared" si="49"/>
        <v>13463</v>
      </c>
      <c r="J126">
        <f t="shared" si="50"/>
        <v>13262</v>
      </c>
      <c r="K126">
        <f t="shared" si="51"/>
        <v>4172</v>
      </c>
      <c r="L126">
        <f t="shared" si="32"/>
        <v>0</v>
      </c>
      <c r="M126">
        <f t="shared" si="33"/>
        <v>0</v>
      </c>
      <c r="N126">
        <f t="shared" si="34"/>
        <v>0</v>
      </c>
      <c r="O126">
        <f t="shared" si="35"/>
        <v>0</v>
      </c>
      <c r="P126">
        <f t="shared" si="36"/>
        <v>2.3969319271332693E-4</v>
      </c>
      <c r="Q126">
        <f t="shared" si="37"/>
        <v>0</v>
      </c>
      <c r="R126">
        <f t="shared" si="38"/>
        <v>0</v>
      </c>
      <c r="S126">
        <f t="shared" si="39"/>
        <v>0</v>
      </c>
      <c r="T126">
        <f t="shared" si="40"/>
        <v>0</v>
      </c>
      <c r="U126">
        <f t="shared" si="41"/>
        <v>3.8626080781012373</v>
      </c>
      <c r="V126">
        <f t="shared" si="42"/>
        <v>-1</v>
      </c>
      <c r="W126">
        <f t="shared" si="43"/>
        <v>-1</v>
      </c>
      <c r="X126">
        <f t="shared" si="44"/>
        <v>-1</v>
      </c>
      <c r="Y126">
        <f t="shared" si="45"/>
        <v>-1</v>
      </c>
      <c r="Z126">
        <f t="shared" si="46"/>
        <v>0.58869808796497436</v>
      </c>
    </row>
    <row r="127" spans="1:26" x14ac:dyDescent="0.25">
      <c r="A127" s="12" t="s">
        <v>124</v>
      </c>
      <c r="B127" s="4">
        <v>1</v>
      </c>
      <c r="C127" s="4"/>
      <c r="D127" s="6">
        <v>1</v>
      </c>
      <c r="E127" s="6">
        <v>2</v>
      </c>
      <c r="F127" s="6">
        <v>1</v>
      </c>
      <c r="G127">
        <f t="shared" si="47"/>
        <v>67437</v>
      </c>
      <c r="H127">
        <f t="shared" si="48"/>
        <v>68087</v>
      </c>
      <c r="I127">
        <f t="shared" si="49"/>
        <v>68381</v>
      </c>
      <c r="J127">
        <f t="shared" si="50"/>
        <v>82601</v>
      </c>
      <c r="K127">
        <f t="shared" si="51"/>
        <v>84895</v>
      </c>
      <c r="L127">
        <f t="shared" si="32"/>
        <v>1.4828654892714683E-5</v>
      </c>
      <c r="M127">
        <f t="shared" si="33"/>
        <v>0</v>
      </c>
      <c r="N127">
        <f t="shared" si="34"/>
        <v>1.4623945247948992E-5</v>
      </c>
      <c r="O127">
        <f t="shared" si="35"/>
        <v>2.4212781927579568E-5</v>
      </c>
      <c r="P127">
        <f t="shared" si="36"/>
        <v>1.1779256728900407E-5</v>
      </c>
      <c r="Q127">
        <f t="shared" si="37"/>
        <v>0.18545105023654385</v>
      </c>
      <c r="R127">
        <f t="shared" si="38"/>
        <v>0</v>
      </c>
      <c r="S127">
        <f t="shared" si="39"/>
        <v>0.40022466342725699</v>
      </c>
      <c r="T127">
        <f t="shared" si="40"/>
        <v>0.41099327365621025</v>
      </c>
      <c r="U127">
        <f t="shared" si="41"/>
        <v>0.18982037695786988</v>
      </c>
      <c r="V127">
        <f t="shared" si="42"/>
        <v>-0.68712153876022275</v>
      </c>
      <c r="W127">
        <f t="shared" si="43"/>
        <v>-1</v>
      </c>
      <c r="X127">
        <f t="shared" si="44"/>
        <v>-0.42834221695874436</v>
      </c>
      <c r="Y127">
        <f t="shared" si="45"/>
        <v>-0.41744120070646185</v>
      </c>
      <c r="Z127">
        <f t="shared" si="46"/>
        <v>-0.68092599415181942</v>
      </c>
    </row>
    <row r="128" spans="1:26" x14ac:dyDescent="0.25">
      <c r="A128" s="11" t="s">
        <v>125</v>
      </c>
      <c r="B128" s="5">
        <v>0</v>
      </c>
      <c r="C128" s="5">
        <v>0</v>
      </c>
      <c r="D128" s="5">
        <v>0</v>
      </c>
      <c r="E128" s="5">
        <v>0</v>
      </c>
      <c r="F128" s="7">
        <v>1</v>
      </c>
      <c r="G128">
        <f t="shared" si="47"/>
        <v>51504158</v>
      </c>
      <c r="H128">
        <f t="shared" si="48"/>
        <v>87203291</v>
      </c>
      <c r="I128">
        <f t="shared" si="49"/>
        <v>130964473</v>
      </c>
      <c r="J128">
        <f t="shared" si="50"/>
        <v>97751494</v>
      </c>
      <c r="K128">
        <f t="shared" si="51"/>
        <v>88182863</v>
      </c>
      <c r="L128">
        <f t="shared" si="32"/>
        <v>0</v>
      </c>
      <c r="M128">
        <f t="shared" si="33"/>
        <v>0</v>
      </c>
      <c r="N128">
        <f t="shared" si="34"/>
        <v>0</v>
      </c>
      <c r="O128">
        <f t="shared" si="35"/>
        <v>0</v>
      </c>
      <c r="P128">
        <f t="shared" si="36"/>
        <v>1.1340071823252099E-8</v>
      </c>
      <c r="Q128">
        <f t="shared" si="37"/>
        <v>0</v>
      </c>
      <c r="R128">
        <f t="shared" si="38"/>
        <v>0</v>
      </c>
      <c r="S128">
        <f t="shared" si="39"/>
        <v>0</v>
      </c>
      <c r="T128">
        <f t="shared" si="40"/>
        <v>0</v>
      </c>
      <c r="U128">
        <f t="shared" si="41"/>
        <v>1.8274299964425475E-4</v>
      </c>
      <c r="V128">
        <f t="shared" si="42"/>
        <v>-1</v>
      </c>
      <c r="W128">
        <f t="shared" si="43"/>
        <v>-1</v>
      </c>
      <c r="X128">
        <f t="shared" si="44"/>
        <v>-1</v>
      </c>
      <c r="Y128">
        <f t="shared" si="45"/>
        <v>-1</v>
      </c>
      <c r="Z128">
        <f t="shared" si="46"/>
        <v>-0.99963458077851619</v>
      </c>
    </row>
    <row r="129" spans="1:26" ht="23.25" x14ac:dyDescent="0.25">
      <c r="A129" s="12" t="s">
        <v>184</v>
      </c>
      <c r="B129" s="4"/>
      <c r="C129" s="4"/>
      <c r="D129" s="4"/>
      <c r="E129" s="4"/>
      <c r="F129" s="6">
        <v>1</v>
      </c>
      <c r="G129">
        <f t="shared" si="47"/>
        <v>1895763</v>
      </c>
      <c r="H129">
        <f t="shared" si="48"/>
        <v>2055265</v>
      </c>
      <c r="I129">
        <f t="shared" si="49"/>
        <v>3057459</v>
      </c>
      <c r="J129">
        <f t="shared" si="50"/>
        <v>2422287</v>
      </c>
      <c r="K129">
        <f t="shared" si="51"/>
        <v>1379628</v>
      </c>
      <c r="L129">
        <f t="shared" si="32"/>
        <v>0</v>
      </c>
      <c r="M129">
        <f t="shared" si="33"/>
        <v>0</v>
      </c>
      <c r="N129">
        <f t="shared" si="34"/>
        <v>0</v>
      </c>
      <c r="O129">
        <f t="shared" si="35"/>
        <v>0</v>
      </c>
      <c r="P129">
        <f t="shared" si="36"/>
        <v>7.248330709437616E-7</v>
      </c>
      <c r="Q129">
        <f t="shared" si="37"/>
        <v>0</v>
      </c>
      <c r="R129">
        <f t="shared" si="38"/>
        <v>0</v>
      </c>
      <c r="S129">
        <f t="shared" si="39"/>
        <v>0</v>
      </c>
      <c r="T129">
        <f t="shared" si="40"/>
        <v>0</v>
      </c>
      <c r="U129">
        <f t="shared" si="41"/>
        <v>1.16805406253268E-2</v>
      </c>
      <c r="V129">
        <f t="shared" si="42"/>
        <v>-1</v>
      </c>
      <c r="W129">
        <f t="shared" si="43"/>
        <v>-1</v>
      </c>
      <c r="X129">
        <f t="shared" si="44"/>
        <v>-1</v>
      </c>
      <c r="Y129">
        <f t="shared" si="45"/>
        <v>-1</v>
      </c>
      <c r="Z129">
        <f t="shared" si="46"/>
        <v>-0.97690863833734121</v>
      </c>
    </row>
    <row r="130" spans="1:26" x14ac:dyDescent="0.25">
      <c r="A130" s="11" t="s">
        <v>117</v>
      </c>
      <c r="B130" s="5">
        <v>0</v>
      </c>
      <c r="C130" s="5">
        <v>0</v>
      </c>
      <c r="D130" s="5">
        <v>8</v>
      </c>
      <c r="E130" s="5">
        <v>0</v>
      </c>
      <c r="F130" s="14">
        <v>1</v>
      </c>
      <c r="G130">
        <f t="shared" ref="G130:G144" si="52">VLOOKUP(A130,EXPOTOTAL,2,FALSE)</f>
        <v>4294764</v>
      </c>
      <c r="H130">
        <f t="shared" ref="H130:H144" si="53">VLOOKUP(A130,EXPOTOTAL,3,FALSE)</f>
        <v>7424962</v>
      </c>
      <c r="I130">
        <f t="shared" ref="I130:I144" si="54">VLOOKUP(A130,EXPOTOTAL,4,FALSE)</f>
        <v>8308478</v>
      </c>
      <c r="J130">
        <f t="shared" ref="J130:J144" si="55">VLOOKUP(A130,EXPOTOTAL,5,FALSE)</f>
        <v>5502717</v>
      </c>
      <c r="K130">
        <f t="shared" ref="K130:K144" si="56">VLOOKUP(A130,EXPOTOTAL,6,FALSE)</f>
        <v>3691979</v>
      </c>
      <c r="L130">
        <f t="shared" si="32"/>
        <v>0</v>
      </c>
      <c r="M130">
        <f t="shared" si="33"/>
        <v>0</v>
      </c>
      <c r="N130">
        <f t="shared" si="34"/>
        <v>9.6287190024454546E-7</v>
      </c>
      <c r="O130">
        <f t="shared" si="35"/>
        <v>0</v>
      </c>
      <c r="P130">
        <f t="shared" si="36"/>
        <v>2.7085744528882746E-7</v>
      </c>
      <c r="Q130">
        <f t="shared" si="37"/>
        <v>0</v>
      </c>
      <c r="R130">
        <f t="shared" si="38"/>
        <v>0</v>
      </c>
      <c r="S130">
        <f t="shared" si="39"/>
        <v>2.6351649685845479E-2</v>
      </c>
      <c r="T130">
        <f t="shared" si="40"/>
        <v>0</v>
      </c>
      <c r="U130">
        <f t="shared" si="41"/>
        <v>4.3648138036100322E-3</v>
      </c>
      <c r="V130">
        <f t="shared" si="42"/>
        <v>-1</v>
      </c>
      <c r="W130">
        <f t="shared" si="43"/>
        <v>-1</v>
      </c>
      <c r="X130">
        <f t="shared" si="44"/>
        <v>-0.94864986148965325</v>
      </c>
      <c r="Y130">
        <f t="shared" si="45"/>
        <v>-1</v>
      </c>
      <c r="Z130">
        <f t="shared" si="46"/>
        <v>-0.99130831000126307</v>
      </c>
    </row>
    <row r="131" spans="1:26" x14ac:dyDescent="0.25">
      <c r="A131" s="12" t="s">
        <v>198</v>
      </c>
      <c r="B131" s="4">
        <v>1</v>
      </c>
      <c r="C131" s="4">
        <v>0</v>
      </c>
      <c r="D131" s="4">
        <v>0</v>
      </c>
      <c r="E131" s="4">
        <v>0</v>
      </c>
      <c r="F131" s="13">
        <v>0</v>
      </c>
      <c r="G131">
        <f t="shared" si="52"/>
        <v>211873</v>
      </c>
      <c r="H131">
        <f t="shared" si="53"/>
        <v>257479</v>
      </c>
      <c r="I131">
        <f t="shared" si="54"/>
        <v>286430</v>
      </c>
      <c r="J131">
        <f t="shared" si="55"/>
        <v>253373</v>
      </c>
      <c r="K131">
        <f t="shared" si="56"/>
        <v>277036</v>
      </c>
      <c r="L131">
        <f t="shared" ref="L131:L144" si="57">B131/G131</f>
        <v>4.7198085645646214E-6</v>
      </c>
      <c r="M131">
        <f t="shared" ref="M131:M144" si="58">C131/H131</f>
        <v>0</v>
      </c>
      <c r="N131">
        <f t="shared" ref="N131:N144" si="59">D131/I131</f>
        <v>0</v>
      </c>
      <c r="O131">
        <f t="shared" ref="O131:O144" si="60">E131/J131</f>
        <v>0</v>
      </c>
      <c r="P131">
        <f t="shared" ref="P131:P144" si="61">F131/K131</f>
        <v>0</v>
      </c>
      <c r="Q131">
        <f t="shared" si="37"/>
        <v>5.9027164739262707E-2</v>
      </c>
      <c r="R131">
        <f t="shared" si="38"/>
        <v>0</v>
      </c>
      <c r="S131">
        <f t="shared" si="39"/>
        <v>0</v>
      </c>
      <c r="T131">
        <f t="shared" si="40"/>
        <v>0</v>
      </c>
      <c r="U131">
        <f t="shared" si="41"/>
        <v>0</v>
      </c>
      <c r="V131">
        <f t="shared" si="42"/>
        <v>-0.88852568337320137</v>
      </c>
      <c r="W131">
        <f t="shared" si="43"/>
        <v>-1</v>
      </c>
      <c r="X131">
        <f t="shared" si="44"/>
        <v>-1</v>
      </c>
      <c r="Y131">
        <f t="shared" si="45"/>
        <v>-1</v>
      </c>
      <c r="Z131">
        <f t="shared" si="46"/>
        <v>-1</v>
      </c>
    </row>
    <row r="132" spans="1:26" ht="23.25" x14ac:dyDescent="0.25">
      <c r="A132" s="11" t="s">
        <v>159</v>
      </c>
      <c r="B132" s="5">
        <v>0</v>
      </c>
      <c r="C132" s="5">
        <v>0</v>
      </c>
      <c r="D132" s="5">
        <v>0</v>
      </c>
      <c r="E132" s="5">
        <v>10</v>
      </c>
      <c r="F132" s="14">
        <v>0</v>
      </c>
      <c r="G132">
        <f t="shared" si="52"/>
        <v>6614320</v>
      </c>
      <c r="H132">
        <f t="shared" si="53"/>
        <v>10575072</v>
      </c>
      <c r="I132">
        <f t="shared" si="54"/>
        <v>14238438</v>
      </c>
      <c r="J132">
        <f t="shared" si="55"/>
        <v>11218109</v>
      </c>
      <c r="K132">
        <f t="shared" si="56"/>
        <v>11258495</v>
      </c>
      <c r="L132">
        <f t="shared" si="57"/>
        <v>0</v>
      </c>
      <c r="M132">
        <f t="shared" si="58"/>
        <v>0</v>
      </c>
      <c r="N132">
        <f t="shared" si="59"/>
        <v>0</v>
      </c>
      <c r="O132">
        <f t="shared" si="60"/>
        <v>8.9141583487912268E-7</v>
      </c>
      <c r="P132">
        <f t="shared" si="61"/>
        <v>0</v>
      </c>
      <c r="Q132">
        <f t="shared" ref="Q132:Q144" si="62">L132/$L$2</f>
        <v>0</v>
      </c>
      <c r="R132">
        <f t="shared" ref="R132:R144" si="63">M132/$M$2</f>
        <v>0</v>
      </c>
      <c r="S132">
        <f t="shared" ref="S132:S144" si="64">N132/$N$2</f>
        <v>0</v>
      </c>
      <c r="T132">
        <f t="shared" ref="T132:T144" si="65">O132/$O$2</f>
        <v>1.5131095355409999E-2</v>
      </c>
      <c r="U132">
        <f t="shared" ref="U132:U144" si="66">P132/$P$2</f>
        <v>0</v>
      </c>
      <c r="V132">
        <f t="shared" ref="V132:V144" si="67">(Q132-1)/(Q132+1)</f>
        <v>-1</v>
      </c>
      <c r="W132">
        <f t="shared" ref="W132:W144" si="68">(R132-1)/(R132+1)</f>
        <v>-1</v>
      </c>
      <c r="X132">
        <f t="shared" ref="X132:X144" si="69">(S132-1)/(S132+1)</f>
        <v>-1</v>
      </c>
      <c r="Y132">
        <f t="shared" ref="Y132:Y144" si="70">(T132-1)/(T132+1)</f>
        <v>-0.97018888412611881</v>
      </c>
      <c r="Z132">
        <f t="shared" ref="Z132:Z144" si="71">(U132-1)/(U132+1)</f>
        <v>-1</v>
      </c>
    </row>
    <row r="133" spans="1:26" x14ac:dyDescent="0.25">
      <c r="A133" s="12" t="s">
        <v>155</v>
      </c>
      <c r="B133" s="4">
        <v>0</v>
      </c>
      <c r="C133" s="4">
        <v>1</v>
      </c>
      <c r="D133" s="4">
        <v>0</v>
      </c>
      <c r="E133" s="4">
        <v>0</v>
      </c>
      <c r="F133" s="13">
        <v>0</v>
      </c>
      <c r="G133">
        <f t="shared" si="52"/>
        <v>13732637</v>
      </c>
      <c r="H133">
        <f t="shared" si="53"/>
        <v>22206671</v>
      </c>
      <c r="I133">
        <f t="shared" si="54"/>
        <v>38146630</v>
      </c>
      <c r="J133">
        <f t="shared" si="55"/>
        <v>33898555</v>
      </c>
      <c r="K133">
        <f t="shared" si="56"/>
        <v>26554057</v>
      </c>
      <c r="L133">
        <f t="shared" si="57"/>
        <v>0</v>
      </c>
      <c r="M133">
        <f t="shared" si="58"/>
        <v>4.5031513278149615E-8</v>
      </c>
      <c r="N133">
        <f t="shared" si="59"/>
        <v>0</v>
      </c>
      <c r="O133">
        <f t="shared" si="60"/>
        <v>0</v>
      </c>
      <c r="P133">
        <f t="shared" si="61"/>
        <v>0</v>
      </c>
      <c r="Q133">
        <f t="shared" si="62"/>
        <v>0</v>
      </c>
      <c r="R133">
        <f t="shared" si="63"/>
        <v>7.9494683532197992E-4</v>
      </c>
      <c r="S133">
        <f t="shared" si="64"/>
        <v>0</v>
      </c>
      <c r="T133">
        <f t="shared" si="65"/>
        <v>0</v>
      </c>
      <c r="U133">
        <f t="shared" si="66"/>
        <v>0</v>
      </c>
      <c r="V133">
        <f t="shared" si="67"/>
        <v>-1</v>
      </c>
      <c r="W133">
        <f t="shared" si="68"/>
        <v>-0.99841136920637796</v>
      </c>
      <c r="X133">
        <f t="shared" si="69"/>
        <v>-1</v>
      </c>
      <c r="Y133">
        <f t="shared" si="70"/>
        <v>-1</v>
      </c>
      <c r="Z133">
        <f t="shared" si="71"/>
        <v>-1</v>
      </c>
    </row>
    <row r="134" spans="1:26" x14ac:dyDescent="0.25">
      <c r="A134" s="11" t="s">
        <v>207</v>
      </c>
      <c r="B134" s="5">
        <v>0</v>
      </c>
      <c r="C134" s="5">
        <v>1</v>
      </c>
      <c r="D134" s="5">
        <v>0</v>
      </c>
      <c r="E134" s="5">
        <v>0</v>
      </c>
      <c r="F134" s="14">
        <v>0</v>
      </c>
      <c r="G134">
        <f t="shared" si="52"/>
        <v>162313</v>
      </c>
      <c r="H134">
        <f t="shared" si="53"/>
        <v>113150</v>
      </c>
      <c r="I134">
        <f t="shared" si="54"/>
        <v>188869</v>
      </c>
      <c r="J134">
        <f t="shared" si="55"/>
        <v>217474</v>
      </c>
      <c r="K134">
        <f t="shared" si="56"/>
        <v>184439</v>
      </c>
      <c r="L134">
        <f t="shared" si="57"/>
        <v>0</v>
      </c>
      <c r="M134">
        <f t="shared" si="58"/>
        <v>8.8378258948298717E-6</v>
      </c>
      <c r="N134">
        <f t="shared" si="59"/>
        <v>0</v>
      </c>
      <c r="O134">
        <f t="shared" si="60"/>
        <v>0</v>
      </c>
      <c r="P134">
        <f t="shared" si="61"/>
        <v>0</v>
      </c>
      <c r="Q134">
        <f t="shared" si="62"/>
        <v>0</v>
      </c>
      <c r="R134">
        <f t="shared" si="63"/>
        <v>0.1560152261112363</v>
      </c>
      <c r="S134">
        <f t="shared" si="64"/>
        <v>0</v>
      </c>
      <c r="T134">
        <f t="shared" si="65"/>
        <v>0</v>
      </c>
      <c r="U134">
        <f t="shared" si="66"/>
        <v>0</v>
      </c>
      <c r="V134">
        <f t="shared" si="67"/>
        <v>-1</v>
      </c>
      <c r="W134">
        <f t="shared" si="68"/>
        <v>-0.73008101867989761</v>
      </c>
      <c r="X134">
        <f t="shared" si="69"/>
        <v>-1</v>
      </c>
      <c r="Y134">
        <f t="shared" si="70"/>
        <v>-1</v>
      </c>
      <c r="Z134">
        <f t="shared" si="71"/>
        <v>-1</v>
      </c>
    </row>
    <row r="135" spans="1:26" x14ac:dyDescent="0.25">
      <c r="A135" s="12" t="s">
        <v>128</v>
      </c>
      <c r="B135" s="4">
        <v>1</v>
      </c>
      <c r="C135" s="4">
        <v>1</v>
      </c>
      <c r="D135" s="4">
        <v>0</v>
      </c>
      <c r="E135" s="4">
        <v>0</v>
      </c>
      <c r="F135" s="13">
        <v>0</v>
      </c>
      <c r="G135">
        <f t="shared" si="52"/>
        <v>4595669</v>
      </c>
      <c r="H135">
        <f t="shared" si="53"/>
        <v>5976689</v>
      </c>
      <c r="I135">
        <f t="shared" si="54"/>
        <v>7423913</v>
      </c>
      <c r="J135">
        <f t="shared" si="55"/>
        <v>6632834</v>
      </c>
      <c r="K135">
        <f t="shared" si="56"/>
        <v>6946842</v>
      </c>
      <c r="L135">
        <f t="shared" si="57"/>
        <v>2.1759617587776665E-7</v>
      </c>
      <c r="M135">
        <f t="shared" si="58"/>
        <v>1.6731672001002562E-7</v>
      </c>
      <c r="N135">
        <f t="shared" si="59"/>
        <v>0</v>
      </c>
      <c r="O135">
        <f t="shared" si="60"/>
        <v>0</v>
      </c>
      <c r="P135">
        <f t="shared" si="61"/>
        <v>0</v>
      </c>
      <c r="Q135">
        <f t="shared" si="62"/>
        <v>2.7213148890404873E-3</v>
      </c>
      <c r="R135">
        <f t="shared" si="63"/>
        <v>2.9536626106003491E-3</v>
      </c>
      <c r="S135">
        <f t="shared" si="64"/>
        <v>0</v>
      </c>
      <c r="T135">
        <f t="shared" si="65"/>
        <v>0</v>
      </c>
      <c r="U135">
        <f t="shared" si="66"/>
        <v>0</v>
      </c>
      <c r="V135">
        <f t="shared" si="67"/>
        <v>-0.99457214113506365</v>
      </c>
      <c r="W135">
        <f t="shared" si="68"/>
        <v>-0.99411007163997533</v>
      </c>
      <c r="X135">
        <f t="shared" si="69"/>
        <v>-1</v>
      </c>
      <c r="Y135">
        <f t="shared" si="70"/>
        <v>-1</v>
      </c>
      <c r="Z135">
        <f t="shared" si="71"/>
        <v>-1</v>
      </c>
    </row>
    <row r="136" spans="1:26" x14ac:dyDescent="0.25">
      <c r="A136" s="11" t="s">
        <v>126</v>
      </c>
      <c r="B136" s="5">
        <v>0</v>
      </c>
      <c r="C136" s="5">
        <v>3</v>
      </c>
      <c r="D136" s="5">
        <v>15</v>
      </c>
      <c r="E136" s="5">
        <v>6</v>
      </c>
      <c r="F136" s="14">
        <v>0</v>
      </c>
      <c r="G136">
        <f t="shared" si="52"/>
        <v>1548472</v>
      </c>
      <c r="H136">
        <f t="shared" si="53"/>
        <v>1684826</v>
      </c>
      <c r="I136">
        <f t="shared" si="54"/>
        <v>1880859</v>
      </c>
      <c r="J136">
        <f t="shared" si="55"/>
        <v>1860980</v>
      </c>
      <c r="K136">
        <f t="shared" si="56"/>
        <v>1753473</v>
      </c>
      <c r="L136">
        <f t="shared" si="57"/>
        <v>0</v>
      </c>
      <c r="M136">
        <f t="shared" si="58"/>
        <v>1.7805993022424869E-6</v>
      </c>
      <c r="N136">
        <f t="shared" si="59"/>
        <v>7.9750794716669358E-6</v>
      </c>
      <c r="O136">
        <f t="shared" si="60"/>
        <v>3.2241077281862243E-6</v>
      </c>
      <c r="P136">
        <f t="shared" si="61"/>
        <v>0</v>
      </c>
      <c r="Q136">
        <f t="shared" si="62"/>
        <v>0</v>
      </c>
      <c r="R136">
        <f t="shared" si="63"/>
        <v>3.1433138201487375E-2</v>
      </c>
      <c r="S136">
        <f t="shared" si="64"/>
        <v>0.21826008257253143</v>
      </c>
      <c r="T136">
        <f t="shared" si="65"/>
        <v>5.4726738703172448E-2</v>
      </c>
      <c r="U136">
        <f t="shared" si="66"/>
        <v>0</v>
      </c>
      <c r="V136">
        <f t="shared" si="67"/>
        <v>-1</v>
      </c>
      <c r="W136">
        <f t="shared" si="68"/>
        <v>-0.93904958637203095</v>
      </c>
      <c r="X136">
        <f t="shared" si="69"/>
        <v>-0.64168557158723638</v>
      </c>
      <c r="Y136">
        <f t="shared" si="70"/>
        <v>-0.89622574891680262</v>
      </c>
      <c r="Z136">
        <f t="shared" si="71"/>
        <v>-1</v>
      </c>
    </row>
    <row r="137" spans="1:26" x14ac:dyDescent="0.25">
      <c r="A137" s="12" t="s">
        <v>149</v>
      </c>
      <c r="B137" s="4">
        <v>58</v>
      </c>
      <c r="C137" s="4">
        <v>59</v>
      </c>
      <c r="D137" s="4">
        <v>13</v>
      </c>
      <c r="E137" s="4">
        <v>52</v>
      </c>
      <c r="F137" s="13"/>
      <c r="G137">
        <f t="shared" si="52"/>
        <v>781981</v>
      </c>
      <c r="H137">
        <f t="shared" si="53"/>
        <v>1019154</v>
      </c>
      <c r="I137">
        <f t="shared" si="54"/>
        <v>944241</v>
      </c>
      <c r="J137">
        <f t="shared" si="55"/>
        <v>1032089</v>
      </c>
      <c r="K137">
        <f t="shared" si="56"/>
        <v>824060</v>
      </c>
      <c r="L137">
        <f t="shared" si="57"/>
        <v>7.4170600052942464E-5</v>
      </c>
      <c r="M137">
        <f t="shared" si="58"/>
        <v>5.7891152858154904E-5</v>
      </c>
      <c r="N137">
        <f t="shared" si="59"/>
        <v>1.3767671600788358E-5</v>
      </c>
      <c r="O137">
        <f t="shared" si="60"/>
        <v>5.0383251831964104E-5</v>
      </c>
      <c r="P137">
        <f t="shared" si="61"/>
        <v>0</v>
      </c>
      <c r="Q137">
        <f t="shared" si="62"/>
        <v>0.92759699217564728</v>
      </c>
      <c r="R137">
        <f t="shared" si="63"/>
        <v>1.0219596324350362</v>
      </c>
      <c r="S137">
        <f t="shared" si="64"/>
        <v>0.37679036943709326</v>
      </c>
      <c r="T137">
        <f t="shared" si="65"/>
        <v>0.85521678879359453</v>
      </c>
      <c r="U137">
        <f t="shared" si="66"/>
        <v>0</v>
      </c>
      <c r="V137">
        <f t="shared" si="67"/>
        <v>-3.7561278689604419E-2</v>
      </c>
      <c r="W137">
        <f t="shared" si="68"/>
        <v>1.086056916407886E-2</v>
      </c>
      <c r="X137">
        <f t="shared" si="69"/>
        <v>-0.45265397289037446</v>
      </c>
      <c r="Y137">
        <f t="shared" si="70"/>
        <v>-7.8041128174866678E-2</v>
      </c>
      <c r="Z137">
        <f t="shared" si="71"/>
        <v>-1</v>
      </c>
    </row>
    <row r="138" spans="1:26" x14ac:dyDescent="0.25">
      <c r="A138" s="11" t="s">
        <v>147</v>
      </c>
      <c r="B138" s="5">
        <v>12</v>
      </c>
      <c r="C138" s="5">
        <v>0</v>
      </c>
      <c r="D138" s="5">
        <v>0</v>
      </c>
      <c r="E138" s="5">
        <v>0</v>
      </c>
      <c r="F138" s="14"/>
      <c r="G138">
        <f t="shared" si="52"/>
        <v>418057</v>
      </c>
      <c r="H138">
        <f t="shared" si="53"/>
        <v>171669</v>
      </c>
      <c r="I138">
        <f t="shared" si="54"/>
        <v>202889</v>
      </c>
      <c r="J138">
        <f t="shared" si="55"/>
        <v>153703</v>
      </c>
      <c r="K138">
        <f t="shared" si="56"/>
        <v>2370813</v>
      </c>
      <c r="L138">
        <f t="shared" si="57"/>
        <v>2.8704219759506479E-5</v>
      </c>
      <c r="M138">
        <f t="shared" si="58"/>
        <v>0</v>
      </c>
      <c r="N138">
        <f t="shared" si="59"/>
        <v>0</v>
      </c>
      <c r="O138">
        <f t="shared" si="60"/>
        <v>0</v>
      </c>
      <c r="P138">
        <f t="shared" si="61"/>
        <v>0</v>
      </c>
      <c r="Q138">
        <f t="shared" si="62"/>
        <v>0.35898250644678042</v>
      </c>
      <c r="R138">
        <f t="shared" si="63"/>
        <v>0</v>
      </c>
      <c r="S138">
        <f t="shared" si="64"/>
        <v>0</v>
      </c>
      <c r="T138">
        <f t="shared" si="65"/>
        <v>0</v>
      </c>
      <c r="U138">
        <f t="shared" si="66"/>
        <v>0</v>
      </c>
      <c r="V138">
        <f t="shared" si="67"/>
        <v>-0.47168928997418458</v>
      </c>
      <c r="W138">
        <f t="shared" si="68"/>
        <v>-1</v>
      </c>
      <c r="X138">
        <f t="shared" si="69"/>
        <v>-1</v>
      </c>
      <c r="Y138">
        <f t="shared" si="70"/>
        <v>-1</v>
      </c>
      <c r="Z138">
        <f t="shared" si="71"/>
        <v>-1</v>
      </c>
    </row>
    <row r="139" spans="1:26" x14ac:dyDescent="0.25">
      <c r="A139" s="12" t="s">
        <v>148</v>
      </c>
      <c r="B139" s="4"/>
      <c r="C139" s="4"/>
      <c r="D139" s="6">
        <v>27</v>
      </c>
      <c r="E139" s="4"/>
      <c r="F139" s="13"/>
      <c r="G139">
        <f t="shared" si="52"/>
        <v>9465167</v>
      </c>
      <c r="H139">
        <f t="shared" si="53"/>
        <v>33190868</v>
      </c>
      <c r="I139">
        <f t="shared" si="54"/>
        <v>40248130</v>
      </c>
      <c r="J139">
        <f t="shared" si="55"/>
        <v>35743253</v>
      </c>
      <c r="K139">
        <f t="shared" si="56"/>
        <v>29754476</v>
      </c>
      <c r="L139">
        <f t="shared" si="57"/>
        <v>0</v>
      </c>
      <c r="M139">
        <f t="shared" si="58"/>
        <v>0</v>
      </c>
      <c r="N139">
        <f t="shared" si="59"/>
        <v>6.7083862032844752E-7</v>
      </c>
      <c r="O139">
        <f t="shared" si="60"/>
        <v>0</v>
      </c>
      <c r="P139">
        <f t="shared" si="61"/>
        <v>0</v>
      </c>
      <c r="Q139">
        <f t="shared" si="62"/>
        <v>0</v>
      </c>
      <c r="R139">
        <f t="shared" si="63"/>
        <v>0</v>
      </c>
      <c r="S139">
        <f t="shared" si="64"/>
        <v>1.8359352177731485E-2</v>
      </c>
      <c r="T139">
        <f t="shared" si="65"/>
        <v>0</v>
      </c>
      <c r="U139">
        <f t="shared" si="66"/>
        <v>0</v>
      </c>
      <c r="V139">
        <f t="shared" si="67"/>
        <v>-1</v>
      </c>
      <c r="W139">
        <f t="shared" si="68"/>
        <v>-1</v>
      </c>
      <c r="X139">
        <f t="shared" si="69"/>
        <v>-0.96394327377959366</v>
      </c>
      <c r="Y139">
        <f t="shared" si="70"/>
        <v>-1</v>
      </c>
      <c r="Z139">
        <f t="shared" si="71"/>
        <v>-1</v>
      </c>
    </row>
    <row r="140" spans="1:26" x14ac:dyDescent="0.25">
      <c r="A140" s="11" t="s">
        <v>131</v>
      </c>
      <c r="B140" s="5">
        <v>3</v>
      </c>
      <c r="C140" s="5">
        <v>5</v>
      </c>
      <c r="D140" s="5">
        <v>281</v>
      </c>
      <c r="E140" s="5">
        <v>559</v>
      </c>
      <c r="F140" s="14"/>
      <c r="G140">
        <f t="shared" si="52"/>
        <v>1964466</v>
      </c>
      <c r="H140">
        <f t="shared" si="53"/>
        <v>1658949</v>
      </c>
      <c r="I140">
        <f t="shared" si="54"/>
        <v>2254702</v>
      </c>
      <c r="J140">
        <f t="shared" si="55"/>
        <v>3308874</v>
      </c>
      <c r="K140">
        <f t="shared" si="56"/>
        <v>7262395</v>
      </c>
      <c r="L140">
        <f t="shared" si="57"/>
        <v>1.527132564269374E-6</v>
      </c>
      <c r="M140">
        <f t="shared" si="58"/>
        <v>3.0139564266291489E-6</v>
      </c>
      <c r="N140">
        <f t="shared" si="59"/>
        <v>1.2462844313794019E-4</v>
      </c>
      <c r="O140">
        <f t="shared" si="60"/>
        <v>1.689396453294988E-4</v>
      </c>
      <c r="P140">
        <f t="shared" si="61"/>
        <v>0</v>
      </c>
      <c r="Q140">
        <f t="shared" si="62"/>
        <v>1.9098720682569931E-2</v>
      </c>
      <c r="R140">
        <f t="shared" si="63"/>
        <v>5.3205743017074029E-2</v>
      </c>
      <c r="S140">
        <f t="shared" si="64"/>
        <v>3.4108016586933494</v>
      </c>
      <c r="T140">
        <f t="shared" si="65"/>
        <v>2.8676200071501108</v>
      </c>
      <c r="U140">
        <f t="shared" si="66"/>
        <v>0</v>
      </c>
      <c r="V140">
        <f t="shared" si="67"/>
        <v>-0.96251840907075614</v>
      </c>
      <c r="W140">
        <f t="shared" si="68"/>
        <v>-0.89896419883800138</v>
      </c>
      <c r="X140">
        <f t="shared" si="69"/>
        <v>0.54656768661130917</v>
      </c>
      <c r="Y140">
        <f t="shared" si="70"/>
        <v>0.48288611696532274</v>
      </c>
      <c r="Z140">
        <f t="shared" si="71"/>
        <v>-1</v>
      </c>
    </row>
    <row r="141" spans="1:26" x14ac:dyDescent="0.25">
      <c r="A141" s="12" t="s">
        <v>196</v>
      </c>
      <c r="B141" s="6">
        <v>5</v>
      </c>
      <c r="C141" s="4"/>
      <c r="D141" s="6">
        <v>2</v>
      </c>
      <c r="E141" s="6">
        <v>11</v>
      </c>
      <c r="F141" s="13"/>
      <c r="G141">
        <f t="shared" si="52"/>
        <v>211861</v>
      </c>
      <c r="H141">
        <f t="shared" si="53"/>
        <v>312871</v>
      </c>
      <c r="I141">
        <f t="shared" si="54"/>
        <v>224030</v>
      </c>
      <c r="J141">
        <f t="shared" si="55"/>
        <v>209615</v>
      </c>
      <c r="K141">
        <f t="shared" si="56"/>
        <v>316293</v>
      </c>
      <c r="L141">
        <f t="shared" si="57"/>
        <v>2.3600379494102265E-5</v>
      </c>
      <c r="M141">
        <f t="shared" si="58"/>
        <v>0</v>
      </c>
      <c r="N141">
        <f t="shared" si="59"/>
        <v>8.9273757978842114E-6</v>
      </c>
      <c r="O141">
        <f t="shared" si="60"/>
        <v>5.2477160508551389E-5</v>
      </c>
      <c r="P141">
        <f t="shared" si="61"/>
        <v>0</v>
      </c>
      <c r="Q141">
        <f t="shared" si="62"/>
        <v>0.29515254045817318</v>
      </c>
      <c r="R141">
        <f t="shared" si="63"/>
        <v>0</v>
      </c>
      <c r="S141">
        <f t="shared" si="64"/>
        <v>0.24432230245787848</v>
      </c>
      <c r="T141">
        <f t="shared" si="65"/>
        <v>0.89075927145014155</v>
      </c>
      <c r="U141">
        <f t="shared" si="66"/>
        <v>0</v>
      </c>
      <c r="V141">
        <f t="shared" si="67"/>
        <v>-0.54421964789759825</v>
      </c>
      <c r="W141">
        <f t="shared" si="68"/>
        <v>-1</v>
      </c>
      <c r="X141">
        <f t="shared" si="69"/>
        <v>-0.60730061339369268</v>
      </c>
      <c r="Y141">
        <f t="shared" si="70"/>
        <v>-5.7776116822145687E-2</v>
      </c>
      <c r="Z141">
        <f t="shared" si="71"/>
        <v>-1</v>
      </c>
    </row>
    <row r="142" spans="1:26" x14ac:dyDescent="0.25">
      <c r="A142" s="11" t="s">
        <v>146</v>
      </c>
      <c r="B142" s="5">
        <v>682</v>
      </c>
      <c r="C142" s="5">
        <v>347</v>
      </c>
      <c r="D142" s="5">
        <v>245</v>
      </c>
      <c r="E142" s="5">
        <v>247</v>
      </c>
      <c r="F142" s="14"/>
      <c r="G142">
        <f t="shared" si="52"/>
        <v>33479359</v>
      </c>
      <c r="H142">
        <f t="shared" si="53"/>
        <v>44590927</v>
      </c>
      <c r="I142">
        <f t="shared" si="54"/>
        <v>66063353</v>
      </c>
      <c r="J142">
        <f t="shared" si="55"/>
        <v>59010531</v>
      </c>
      <c r="K142">
        <f t="shared" si="56"/>
        <v>67321553</v>
      </c>
      <c r="L142">
        <f t="shared" si="57"/>
        <v>2.0370760384032441E-5</v>
      </c>
      <c r="M142">
        <f t="shared" si="58"/>
        <v>7.7818521243121947E-6</v>
      </c>
      <c r="N142">
        <f t="shared" si="59"/>
        <v>3.7085613865224189E-6</v>
      </c>
      <c r="O142">
        <f t="shared" si="60"/>
        <v>4.1856935671363474E-6</v>
      </c>
      <c r="P142">
        <f t="shared" si="61"/>
        <v>0</v>
      </c>
      <c r="Q142">
        <f t="shared" si="62"/>
        <v>0.25476207617400415</v>
      </c>
      <c r="R142">
        <f t="shared" si="63"/>
        <v>0.13737399143029203</v>
      </c>
      <c r="S142">
        <f t="shared" si="64"/>
        <v>0.10149502802114387</v>
      </c>
      <c r="T142">
        <f t="shared" si="65"/>
        <v>7.1048915685297989E-2</v>
      </c>
      <c r="U142">
        <f t="shared" si="66"/>
        <v>0</v>
      </c>
      <c r="V142">
        <f t="shared" si="67"/>
        <v>-0.5939276759928549</v>
      </c>
      <c r="W142">
        <f t="shared" si="68"/>
        <v>-0.7584365521537223</v>
      </c>
      <c r="X142">
        <f t="shared" si="69"/>
        <v>-0.81571405146788256</v>
      </c>
      <c r="Y142">
        <f t="shared" si="70"/>
        <v>-0.86732834580232365</v>
      </c>
      <c r="Z142">
        <f t="shared" si="71"/>
        <v>-1</v>
      </c>
    </row>
    <row r="143" spans="1:26" x14ac:dyDescent="0.25">
      <c r="A143" s="12" t="s">
        <v>206</v>
      </c>
      <c r="B143" s="4"/>
      <c r="C143" s="6">
        <v>2</v>
      </c>
      <c r="D143" s="4"/>
      <c r="E143" s="4"/>
      <c r="F143" s="13"/>
      <c r="G143">
        <f t="shared" si="52"/>
        <v>111409</v>
      </c>
      <c r="H143">
        <f t="shared" si="53"/>
        <v>209149</v>
      </c>
      <c r="I143">
        <f t="shared" si="54"/>
        <v>222598</v>
      </c>
      <c r="J143">
        <f t="shared" si="55"/>
        <v>223195</v>
      </c>
      <c r="K143">
        <f t="shared" si="56"/>
        <v>192396</v>
      </c>
      <c r="L143">
        <f t="shared" si="57"/>
        <v>0</v>
      </c>
      <c r="M143">
        <f t="shared" si="58"/>
        <v>9.5625606624942034E-6</v>
      </c>
      <c r="N143">
        <f t="shared" si="59"/>
        <v>0</v>
      </c>
      <c r="O143">
        <f t="shared" si="60"/>
        <v>0</v>
      </c>
      <c r="P143">
        <f t="shared" si="61"/>
        <v>0</v>
      </c>
      <c r="Q143">
        <f t="shared" si="62"/>
        <v>0</v>
      </c>
      <c r="R143">
        <f t="shared" si="63"/>
        <v>0.16880905798723769</v>
      </c>
      <c r="S143">
        <f t="shared" si="64"/>
        <v>0</v>
      </c>
      <c r="T143">
        <f t="shared" si="65"/>
        <v>0</v>
      </c>
      <c r="U143">
        <f t="shared" si="66"/>
        <v>0</v>
      </c>
      <c r="V143">
        <f t="shared" si="67"/>
        <v>-1</v>
      </c>
      <c r="W143">
        <f t="shared" si="68"/>
        <v>-0.71114348090707402</v>
      </c>
      <c r="X143">
        <f t="shared" si="69"/>
        <v>-1</v>
      </c>
      <c r="Y143">
        <f t="shared" si="70"/>
        <v>-1</v>
      </c>
      <c r="Z143">
        <f t="shared" si="71"/>
        <v>-1</v>
      </c>
    </row>
    <row r="144" spans="1:26" x14ac:dyDescent="0.25">
      <c r="A144" s="11" t="s">
        <v>151</v>
      </c>
      <c r="B144" s="5"/>
      <c r="C144" s="5"/>
      <c r="D144" s="7">
        <v>2</v>
      </c>
      <c r="E144" s="5"/>
      <c r="F144" s="14"/>
      <c r="G144">
        <f t="shared" si="52"/>
        <v>3434</v>
      </c>
      <c r="H144">
        <f t="shared" si="53"/>
        <v>6676</v>
      </c>
      <c r="I144">
        <f t="shared" si="54"/>
        <v>462357</v>
      </c>
      <c r="J144">
        <f t="shared" si="55"/>
        <v>1636</v>
      </c>
      <c r="K144">
        <f t="shared" si="56"/>
        <v>898</v>
      </c>
      <c r="L144">
        <f t="shared" si="57"/>
        <v>0</v>
      </c>
      <c r="M144">
        <f t="shared" si="58"/>
        <v>0</v>
      </c>
      <c r="N144">
        <f t="shared" si="59"/>
        <v>4.3256617721803712E-6</v>
      </c>
      <c r="O144">
        <f t="shared" si="60"/>
        <v>0</v>
      </c>
      <c r="P144">
        <f t="shared" si="61"/>
        <v>0</v>
      </c>
      <c r="Q144">
        <f t="shared" si="62"/>
        <v>0</v>
      </c>
      <c r="R144">
        <f t="shared" si="63"/>
        <v>0</v>
      </c>
      <c r="S144">
        <f t="shared" si="64"/>
        <v>0.11838368494396866</v>
      </c>
      <c r="T144">
        <f t="shared" si="65"/>
        <v>0</v>
      </c>
      <c r="U144">
        <f t="shared" si="66"/>
        <v>0</v>
      </c>
      <c r="V144">
        <f t="shared" si="67"/>
        <v>-1</v>
      </c>
      <c r="W144">
        <f t="shared" si="68"/>
        <v>-1</v>
      </c>
      <c r="X144">
        <f t="shared" si="69"/>
        <v>-0.78829504303811504</v>
      </c>
      <c r="Y144">
        <f t="shared" si="70"/>
        <v>-1</v>
      </c>
      <c r="Z144">
        <f t="shared" si="71"/>
        <v>-1</v>
      </c>
    </row>
    <row r="145" spans="1:26" x14ac:dyDescent="0.25">
      <c r="A145" s="12" t="s">
        <v>152</v>
      </c>
      <c r="B145" s="4">
        <v>10</v>
      </c>
      <c r="C145" s="4">
        <v>11</v>
      </c>
      <c r="D145" s="4">
        <v>2</v>
      </c>
      <c r="E145" s="4"/>
      <c r="F145" s="13"/>
      <c r="G145">
        <f t="shared" ref="G145:G161" si="72">VLOOKUP(A145,EXPOTOTAL,2,FALSE)</f>
        <v>1431176</v>
      </c>
      <c r="H145">
        <f t="shared" ref="H145:H161" si="73">VLOOKUP(A145,EXPOTOTAL,3,FALSE)</f>
        <v>1562504</v>
      </c>
      <c r="I145">
        <f t="shared" ref="I145:I161" si="74">VLOOKUP(A145,EXPOTOTAL,4,FALSE)</f>
        <v>1435898</v>
      </c>
      <c r="J145">
        <f t="shared" ref="J145:J161" si="75">VLOOKUP(A145,EXPOTOTAL,5,FALSE)</f>
        <v>1393861</v>
      </c>
      <c r="K145">
        <f t="shared" ref="K145:K161" si="76">VLOOKUP(A145,EXPOTOTAL,6,FALSE)</f>
        <v>587484</v>
      </c>
      <c r="L145">
        <f t="shared" ref="L145:L161" si="77">B145/G145</f>
        <v>6.987260826061924E-6</v>
      </c>
      <c r="M145">
        <f t="shared" ref="M145:M161" si="78">C145/H145</f>
        <v>7.0399819776461376E-6</v>
      </c>
      <c r="N145">
        <f t="shared" ref="N145:N161" si="79">D145/I145</f>
        <v>1.3928565956634803E-6</v>
      </c>
      <c r="O145">
        <f t="shared" ref="O145:O161" si="80">E145/J145</f>
        <v>0</v>
      </c>
      <c r="P145">
        <f t="shared" ref="P145:P161" si="81">F145/K145</f>
        <v>0</v>
      </c>
      <c r="Q145">
        <f t="shared" ref="Q145:Q161" si="82">L145/$L$2</f>
        <v>8.7384517870630923E-2</v>
      </c>
      <c r="R145">
        <f t="shared" ref="R145:R161" si="83">M145/$M$2</f>
        <v>0.12427766660395767</v>
      </c>
      <c r="S145">
        <f t="shared" ref="S145:S161" si="84">N145/$N$2</f>
        <v>3.8119368798924795E-2</v>
      </c>
      <c r="T145">
        <f t="shared" ref="T145:T161" si="85">O145/$O$2</f>
        <v>0</v>
      </c>
      <c r="U145">
        <f t="shared" ref="U145:U161" si="86">P145/$P$2</f>
        <v>0</v>
      </c>
      <c r="V145">
        <f t="shared" ref="V145:V161" si="87">(Q145-1)/(Q145+1)</f>
        <v>-0.8392757733175169</v>
      </c>
      <c r="W145">
        <f t="shared" ref="W145:W161" si="88">(R145-1)/(R145+1)</f>
        <v>-0.77891997627355491</v>
      </c>
      <c r="X145">
        <f t="shared" ref="X145:X161" si="89">(S145-1)/(S145+1)</f>
        <v>-0.92656072134936118</v>
      </c>
      <c r="Y145">
        <f t="shared" ref="Y145:Y161" si="90">(T145-1)/(T145+1)</f>
        <v>-1</v>
      </c>
      <c r="Z145">
        <f t="shared" ref="Z145:Z161" si="91">(U145-1)/(U145+1)</f>
        <v>-1</v>
      </c>
    </row>
    <row r="146" spans="1:26" x14ac:dyDescent="0.25">
      <c r="A146" s="11" t="s">
        <v>182</v>
      </c>
      <c r="B146" s="7">
        <v>1</v>
      </c>
      <c r="C146" s="5"/>
      <c r="D146" s="5"/>
      <c r="E146" s="5"/>
      <c r="F146" s="14"/>
      <c r="G146">
        <f t="shared" si="72"/>
        <v>605299</v>
      </c>
      <c r="H146">
        <f t="shared" si="73"/>
        <v>1050031</v>
      </c>
      <c r="I146">
        <f t="shared" si="74"/>
        <v>1375093</v>
      </c>
      <c r="J146">
        <f t="shared" si="75"/>
        <v>1494051</v>
      </c>
      <c r="K146">
        <f t="shared" si="76"/>
        <v>1508793</v>
      </c>
      <c r="L146">
        <f t="shared" si="77"/>
        <v>1.6520760814077011E-6</v>
      </c>
      <c r="M146">
        <f t="shared" si="78"/>
        <v>0</v>
      </c>
      <c r="N146">
        <f t="shared" si="79"/>
        <v>0</v>
      </c>
      <c r="O146">
        <f t="shared" si="80"/>
        <v>0</v>
      </c>
      <c r="P146">
        <f t="shared" si="81"/>
        <v>0</v>
      </c>
      <c r="Q146">
        <f t="shared" si="82"/>
        <v>2.0661297102426746E-2</v>
      </c>
      <c r="R146">
        <f t="shared" si="83"/>
        <v>0</v>
      </c>
      <c r="S146">
        <f t="shared" si="84"/>
        <v>0</v>
      </c>
      <c r="T146">
        <f t="shared" si="85"/>
        <v>0</v>
      </c>
      <c r="U146">
        <f t="shared" si="86"/>
        <v>0</v>
      </c>
      <c r="V146">
        <f t="shared" si="87"/>
        <v>-0.95951390111277379</v>
      </c>
      <c r="W146">
        <f t="shared" si="88"/>
        <v>-1</v>
      </c>
      <c r="X146">
        <f t="shared" si="89"/>
        <v>-1</v>
      </c>
      <c r="Y146">
        <f t="shared" si="90"/>
        <v>-1</v>
      </c>
      <c r="Z146">
        <f t="shared" si="91"/>
        <v>-1</v>
      </c>
    </row>
    <row r="147" spans="1:26" x14ac:dyDescent="0.25">
      <c r="A147" s="12" t="s">
        <v>191</v>
      </c>
      <c r="B147" s="4"/>
      <c r="C147" s="4"/>
      <c r="D147" s="4"/>
      <c r="E147" s="6">
        <v>3</v>
      </c>
      <c r="F147" s="13"/>
      <c r="G147">
        <f t="shared" si="72"/>
        <v>856964</v>
      </c>
      <c r="H147">
        <f t="shared" si="73"/>
        <v>508817</v>
      </c>
      <c r="I147">
        <f t="shared" si="74"/>
        <v>511007</v>
      </c>
      <c r="J147">
        <f t="shared" si="75"/>
        <v>653024</v>
      </c>
      <c r="K147">
        <f t="shared" si="76"/>
        <v>459996</v>
      </c>
      <c r="L147">
        <f t="shared" si="77"/>
        <v>0</v>
      </c>
      <c r="M147">
        <f t="shared" si="78"/>
        <v>0</v>
      </c>
      <c r="N147">
        <f t="shared" si="79"/>
        <v>0</v>
      </c>
      <c r="O147">
        <f t="shared" si="80"/>
        <v>4.5940118586759442E-6</v>
      </c>
      <c r="P147">
        <f t="shared" si="81"/>
        <v>0</v>
      </c>
      <c r="Q147">
        <f t="shared" si="82"/>
        <v>0</v>
      </c>
      <c r="R147">
        <f t="shared" si="83"/>
        <v>0</v>
      </c>
      <c r="S147">
        <f t="shared" si="84"/>
        <v>0</v>
      </c>
      <c r="T147">
        <f t="shared" si="85"/>
        <v>7.7979803339410084E-2</v>
      </c>
      <c r="U147">
        <f t="shared" si="86"/>
        <v>0</v>
      </c>
      <c r="V147">
        <f t="shared" si="87"/>
        <v>-1</v>
      </c>
      <c r="W147">
        <f t="shared" si="88"/>
        <v>-1</v>
      </c>
      <c r="X147">
        <f t="shared" si="89"/>
        <v>-1</v>
      </c>
      <c r="Y147">
        <f t="shared" si="90"/>
        <v>-0.85532232960610011</v>
      </c>
      <c r="Z147">
        <f t="shared" si="91"/>
        <v>-1</v>
      </c>
    </row>
    <row r="148" spans="1:26" x14ac:dyDescent="0.25">
      <c r="A148" s="11" t="s">
        <v>144</v>
      </c>
      <c r="B148" s="5"/>
      <c r="C148" s="7">
        <v>1</v>
      </c>
      <c r="D148" s="7">
        <v>2</v>
      </c>
      <c r="E148" s="5"/>
      <c r="F148" s="14"/>
      <c r="G148">
        <f t="shared" si="72"/>
        <v>4164579</v>
      </c>
      <c r="H148">
        <f t="shared" si="73"/>
        <v>5645453</v>
      </c>
      <c r="I148">
        <f t="shared" si="74"/>
        <v>6063384</v>
      </c>
      <c r="J148">
        <f t="shared" si="75"/>
        <v>5012014</v>
      </c>
      <c r="K148">
        <f t="shared" si="76"/>
        <v>2751172</v>
      </c>
      <c r="L148">
        <f t="shared" si="77"/>
        <v>0</v>
      </c>
      <c r="M148">
        <f t="shared" si="78"/>
        <v>1.7713370388523295E-7</v>
      </c>
      <c r="N148">
        <f t="shared" si="79"/>
        <v>3.298488104992196E-7</v>
      </c>
      <c r="O148">
        <f t="shared" si="80"/>
        <v>0</v>
      </c>
      <c r="P148">
        <f t="shared" si="81"/>
        <v>0</v>
      </c>
      <c r="Q148">
        <f t="shared" si="82"/>
        <v>0</v>
      </c>
      <c r="R148">
        <f t="shared" si="83"/>
        <v>3.1269630328135561E-3</v>
      </c>
      <c r="S148">
        <f t="shared" si="84"/>
        <v>9.0272239758587818E-3</v>
      </c>
      <c r="T148">
        <f t="shared" si="85"/>
        <v>0</v>
      </c>
      <c r="U148">
        <f t="shared" si="86"/>
        <v>0</v>
      </c>
      <c r="V148">
        <f t="shared" si="87"/>
        <v>-1</v>
      </c>
      <c r="W148">
        <f t="shared" si="88"/>
        <v>-0.99376556877035871</v>
      </c>
      <c r="X148">
        <f t="shared" si="89"/>
        <v>-0.98210707548545828</v>
      </c>
      <c r="Y148">
        <f t="shared" si="90"/>
        <v>-1</v>
      </c>
      <c r="Z148">
        <f t="shared" si="91"/>
        <v>-1</v>
      </c>
    </row>
    <row r="149" spans="1:26" x14ac:dyDescent="0.25">
      <c r="A149" s="12" t="s">
        <v>158</v>
      </c>
      <c r="B149" s="4"/>
      <c r="C149" s="6">
        <v>18</v>
      </c>
      <c r="D149" s="4"/>
      <c r="E149" s="4"/>
      <c r="F149" s="13"/>
      <c r="G149">
        <f t="shared" si="72"/>
        <v>2514683</v>
      </c>
      <c r="H149">
        <f t="shared" si="73"/>
        <v>3423084</v>
      </c>
      <c r="I149">
        <f t="shared" si="74"/>
        <v>14433172</v>
      </c>
      <c r="J149">
        <f t="shared" si="75"/>
        <v>15261471</v>
      </c>
      <c r="K149">
        <f t="shared" si="76"/>
        <v>13708355</v>
      </c>
      <c r="L149">
        <f t="shared" si="77"/>
        <v>0</v>
      </c>
      <c r="M149">
        <f t="shared" si="78"/>
        <v>5.2584160949599836E-6</v>
      </c>
      <c r="N149">
        <f t="shared" si="79"/>
        <v>0</v>
      </c>
      <c r="O149">
        <f t="shared" si="80"/>
        <v>0</v>
      </c>
      <c r="P149">
        <f t="shared" si="81"/>
        <v>0</v>
      </c>
      <c r="Q149">
        <f t="shared" si="82"/>
        <v>0</v>
      </c>
      <c r="R149">
        <f t="shared" si="83"/>
        <v>9.2827465239168835E-2</v>
      </c>
      <c r="S149">
        <f t="shared" si="84"/>
        <v>0</v>
      </c>
      <c r="T149">
        <f t="shared" si="85"/>
        <v>0</v>
      </c>
      <c r="U149">
        <f t="shared" si="86"/>
        <v>0</v>
      </c>
      <c r="V149">
        <f t="shared" si="87"/>
        <v>-1</v>
      </c>
      <c r="W149">
        <f t="shared" si="88"/>
        <v>-0.83011505806389441</v>
      </c>
      <c r="X149">
        <f t="shared" si="89"/>
        <v>-1</v>
      </c>
      <c r="Y149">
        <f t="shared" si="90"/>
        <v>-1</v>
      </c>
      <c r="Z149">
        <f t="shared" si="91"/>
        <v>-1</v>
      </c>
    </row>
    <row r="150" spans="1:26" x14ac:dyDescent="0.25">
      <c r="A150" s="11" t="s">
        <v>134</v>
      </c>
      <c r="B150" s="5"/>
      <c r="C150" s="5"/>
      <c r="D150" s="7">
        <v>1</v>
      </c>
      <c r="E150" s="5"/>
      <c r="F150" s="14"/>
      <c r="G150">
        <f t="shared" si="72"/>
        <v>1047836</v>
      </c>
      <c r="H150">
        <f t="shared" si="73"/>
        <v>1387528</v>
      </c>
      <c r="I150">
        <f t="shared" si="74"/>
        <v>1309157</v>
      </c>
      <c r="J150">
        <f t="shared" si="75"/>
        <v>1055677</v>
      </c>
      <c r="K150">
        <f t="shared" si="76"/>
        <v>798494</v>
      </c>
      <c r="L150">
        <f t="shared" si="77"/>
        <v>0</v>
      </c>
      <c r="M150">
        <f t="shared" si="78"/>
        <v>0</v>
      </c>
      <c r="N150">
        <f t="shared" si="79"/>
        <v>7.6385032505650579E-7</v>
      </c>
      <c r="O150">
        <f t="shared" si="80"/>
        <v>0</v>
      </c>
      <c r="P150">
        <f t="shared" si="81"/>
        <v>0</v>
      </c>
      <c r="Q150">
        <f t="shared" si="82"/>
        <v>0</v>
      </c>
      <c r="R150">
        <f t="shared" si="83"/>
        <v>0</v>
      </c>
      <c r="S150">
        <f t="shared" si="84"/>
        <v>2.090487444196476E-2</v>
      </c>
      <c r="T150">
        <f t="shared" si="85"/>
        <v>0</v>
      </c>
      <c r="U150">
        <f t="shared" si="86"/>
        <v>0</v>
      </c>
      <c r="V150">
        <f t="shared" si="87"/>
        <v>-1</v>
      </c>
      <c r="W150">
        <f t="shared" si="88"/>
        <v>-1</v>
      </c>
      <c r="X150">
        <f t="shared" si="89"/>
        <v>-0.95904638137144449</v>
      </c>
      <c r="Y150">
        <f t="shared" si="90"/>
        <v>-1</v>
      </c>
      <c r="Z150">
        <f t="shared" si="91"/>
        <v>-1</v>
      </c>
    </row>
    <row r="151" spans="1:26" x14ac:dyDescent="0.25">
      <c r="A151" s="12" t="s">
        <v>129</v>
      </c>
      <c r="B151" s="4"/>
      <c r="C151" s="6">
        <v>2</v>
      </c>
      <c r="D151" s="4"/>
      <c r="E151" s="4"/>
      <c r="F151" s="13"/>
      <c r="G151">
        <f t="shared" si="72"/>
        <v>65055419</v>
      </c>
      <c r="H151">
        <f t="shared" si="73"/>
        <v>87911709</v>
      </c>
      <c r="I151">
        <f t="shared" si="74"/>
        <v>134470047</v>
      </c>
      <c r="J151">
        <f t="shared" si="75"/>
        <v>114688074</v>
      </c>
      <c r="K151">
        <f t="shared" si="76"/>
        <v>108491307</v>
      </c>
      <c r="L151">
        <f t="shared" si="77"/>
        <v>0</v>
      </c>
      <c r="M151">
        <f t="shared" si="78"/>
        <v>2.2750098055766383E-8</v>
      </c>
      <c r="N151">
        <f t="shared" si="79"/>
        <v>0</v>
      </c>
      <c r="O151">
        <f t="shared" si="80"/>
        <v>0</v>
      </c>
      <c r="P151">
        <f t="shared" si="81"/>
        <v>0</v>
      </c>
      <c r="Q151">
        <f t="shared" si="82"/>
        <v>0</v>
      </c>
      <c r="R151">
        <f t="shared" si="83"/>
        <v>4.016102754750539E-4</v>
      </c>
      <c r="S151">
        <f t="shared" si="84"/>
        <v>0</v>
      </c>
      <c r="T151">
        <f t="shared" si="85"/>
        <v>0</v>
      </c>
      <c r="U151">
        <f t="shared" si="86"/>
        <v>0</v>
      </c>
      <c r="V151">
        <f t="shared" si="87"/>
        <v>-1</v>
      </c>
      <c r="W151">
        <f t="shared" si="88"/>
        <v>-0.9991971019011765</v>
      </c>
      <c r="X151">
        <f t="shared" si="89"/>
        <v>-1</v>
      </c>
      <c r="Y151">
        <f t="shared" si="90"/>
        <v>-1</v>
      </c>
      <c r="Z151">
        <f t="shared" si="91"/>
        <v>-1</v>
      </c>
    </row>
    <row r="152" spans="1:26" ht="23.25" x14ac:dyDescent="0.25">
      <c r="A152" s="11" t="s">
        <v>169</v>
      </c>
      <c r="B152" s="5"/>
      <c r="C152" s="5"/>
      <c r="D152" s="7">
        <v>40</v>
      </c>
      <c r="E152" s="5"/>
      <c r="F152" s="14"/>
      <c r="G152">
        <f t="shared" si="72"/>
        <v>3237944</v>
      </c>
      <c r="H152">
        <f t="shared" si="73"/>
        <v>5217039</v>
      </c>
      <c r="I152">
        <f t="shared" si="74"/>
        <v>10037890</v>
      </c>
      <c r="J152">
        <f t="shared" si="75"/>
        <v>5165869</v>
      </c>
      <c r="K152">
        <f t="shared" si="76"/>
        <v>4398949</v>
      </c>
      <c r="L152">
        <f t="shared" si="77"/>
        <v>0</v>
      </c>
      <c r="M152">
        <f t="shared" si="78"/>
        <v>0</v>
      </c>
      <c r="N152">
        <f t="shared" si="79"/>
        <v>3.9849012093178942E-6</v>
      </c>
      <c r="O152">
        <f t="shared" si="80"/>
        <v>0</v>
      </c>
      <c r="P152">
        <f t="shared" si="81"/>
        <v>0</v>
      </c>
      <c r="Q152">
        <f t="shared" si="82"/>
        <v>0</v>
      </c>
      <c r="R152">
        <f t="shared" si="83"/>
        <v>0</v>
      </c>
      <c r="S152">
        <f t="shared" si="84"/>
        <v>0.10905783071868394</v>
      </c>
      <c r="T152">
        <f t="shared" si="85"/>
        <v>0</v>
      </c>
      <c r="U152">
        <f t="shared" si="86"/>
        <v>0</v>
      </c>
      <c r="V152">
        <f t="shared" si="87"/>
        <v>-1</v>
      </c>
      <c r="W152">
        <f t="shared" si="88"/>
        <v>-1</v>
      </c>
      <c r="X152">
        <f t="shared" si="89"/>
        <v>-0.80333247248610462</v>
      </c>
      <c r="Y152">
        <f t="shared" si="90"/>
        <v>-1</v>
      </c>
      <c r="Z152">
        <f t="shared" si="91"/>
        <v>-1</v>
      </c>
    </row>
    <row r="153" spans="1:26" x14ac:dyDescent="0.25">
      <c r="A153" s="12" t="s">
        <v>135</v>
      </c>
      <c r="B153" s="4">
        <v>843</v>
      </c>
      <c r="C153" s="4">
        <v>1267</v>
      </c>
      <c r="D153" s="4"/>
      <c r="E153" s="4"/>
      <c r="F153" s="13"/>
      <c r="G153">
        <f t="shared" si="72"/>
        <v>29179441</v>
      </c>
      <c r="H153">
        <f t="shared" si="73"/>
        <v>39889023</v>
      </c>
      <c r="I153">
        <f t="shared" si="74"/>
        <v>11246065</v>
      </c>
      <c r="J153">
        <f t="shared" si="75"/>
        <v>7876248</v>
      </c>
      <c r="K153">
        <f t="shared" si="76"/>
        <v>6642494</v>
      </c>
      <c r="L153">
        <f t="shared" si="77"/>
        <v>2.8890203893899133E-5</v>
      </c>
      <c r="M153">
        <f t="shared" si="78"/>
        <v>3.1763124406431311E-5</v>
      </c>
      <c r="N153">
        <f t="shared" si="79"/>
        <v>0</v>
      </c>
      <c r="O153">
        <f t="shared" si="80"/>
        <v>0</v>
      </c>
      <c r="P153">
        <f t="shared" si="81"/>
        <v>0</v>
      </c>
      <c r="Q153">
        <f t="shared" si="82"/>
        <v>0.36130847284764378</v>
      </c>
      <c r="R153">
        <f t="shared" si="83"/>
        <v>0.56071833675380445</v>
      </c>
      <c r="S153">
        <f t="shared" si="84"/>
        <v>0</v>
      </c>
      <c r="T153">
        <f t="shared" si="85"/>
        <v>0</v>
      </c>
      <c r="U153">
        <f t="shared" si="86"/>
        <v>0</v>
      </c>
      <c r="V153">
        <f t="shared" si="87"/>
        <v>-0.46917472409197136</v>
      </c>
      <c r="W153">
        <f t="shared" si="88"/>
        <v>-0.2814612046910871</v>
      </c>
      <c r="X153">
        <f t="shared" si="89"/>
        <v>-1</v>
      </c>
      <c r="Y153">
        <f t="shared" si="90"/>
        <v>-1</v>
      </c>
      <c r="Z153">
        <f t="shared" si="91"/>
        <v>-1</v>
      </c>
    </row>
    <row r="154" spans="1:26" x14ac:dyDescent="0.25">
      <c r="A154" s="11" t="s">
        <v>139</v>
      </c>
      <c r="B154" s="5"/>
      <c r="C154" s="7">
        <v>4</v>
      </c>
      <c r="D154" s="5"/>
      <c r="E154" s="5"/>
      <c r="F154" s="14"/>
      <c r="G154">
        <f t="shared" si="72"/>
        <v>1708940</v>
      </c>
      <c r="H154">
        <f t="shared" si="73"/>
        <v>2991245</v>
      </c>
      <c r="I154">
        <f t="shared" si="74"/>
        <v>4741921</v>
      </c>
      <c r="J154">
        <f t="shared" si="75"/>
        <v>4436044</v>
      </c>
      <c r="K154">
        <f t="shared" si="76"/>
        <v>3470799</v>
      </c>
      <c r="L154">
        <f t="shared" si="77"/>
        <v>0</v>
      </c>
      <c r="M154">
        <f t="shared" si="78"/>
        <v>1.3372358332400055E-6</v>
      </c>
      <c r="N154">
        <f t="shared" si="79"/>
        <v>0</v>
      </c>
      <c r="O154">
        <f t="shared" si="80"/>
        <v>0</v>
      </c>
      <c r="P154">
        <f t="shared" si="81"/>
        <v>0</v>
      </c>
      <c r="Q154">
        <f t="shared" si="82"/>
        <v>0</v>
      </c>
      <c r="R154">
        <f t="shared" si="83"/>
        <v>2.3606388422862574E-2</v>
      </c>
      <c r="S154">
        <f t="shared" si="84"/>
        <v>0</v>
      </c>
      <c r="T154">
        <f t="shared" si="85"/>
        <v>0</v>
      </c>
      <c r="U154">
        <f t="shared" si="86"/>
        <v>0</v>
      </c>
      <c r="V154">
        <f t="shared" si="87"/>
        <v>-1</v>
      </c>
      <c r="W154">
        <f t="shared" si="88"/>
        <v>-0.95387604319423125</v>
      </c>
      <c r="X154">
        <f t="shared" si="89"/>
        <v>-1</v>
      </c>
      <c r="Y154">
        <f t="shared" si="90"/>
        <v>-1</v>
      </c>
      <c r="Z154">
        <f t="shared" si="91"/>
        <v>-1</v>
      </c>
    </row>
    <row r="155" spans="1:26" x14ac:dyDescent="0.25">
      <c r="A155" s="12" t="s">
        <v>138</v>
      </c>
      <c r="B155" s="4">
        <v>0</v>
      </c>
      <c r="C155" s="4">
        <v>3</v>
      </c>
      <c r="D155" s="4">
        <v>0</v>
      </c>
      <c r="E155" s="4"/>
      <c r="F155" s="13"/>
      <c r="G155">
        <f t="shared" si="72"/>
        <v>1702812</v>
      </c>
      <c r="H155">
        <f t="shared" si="73"/>
        <v>1966040</v>
      </c>
      <c r="I155">
        <f t="shared" si="74"/>
        <v>2170009</v>
      </c>
      <c r="J155">
        <f t="shared" si="75"/>
        <v>1642593</v>
      </c>
      <c r="K155">
        <f t="shared" si="76"/>
        <v>1295994</v>
      </c>
      <c r="L155">
        <f t="shared" si="77"/>
        <v>0</v>
      </c>
      <c r="M155">
        <f t="shared" si="78"/>
        <v>1.525909950967427E-6</v>
      </c>
      <c r="N155">
        <f t="shared" si="79"/>
        <v>0</v>
      </c>
      <c r="O155">
        <f t="shared" si="80"/>
        <v>0</v>
      </c>
      <c r="P155">
        <f t="shared" si="81"/>
        <v>0</v>
      </c>
      <c r="Q155">
        <f t="shared" si="82"/>
        <v>0</v>
      </c>
      <c r="R155">
        <f t="shared" si="83"/>
        <v>2.6937075798793092E-2</v>
      </c>
      <c r="S155">
        <f t="shared" si="84"/>
        <v>0</v>
      </c>
      <c r="T155">
        <f t="shared" si="85"/>
        <v>0</v>
      </c>
      <c r="U155">
        <f t="shared" si="86"/>
        <v>0</v>
      </c>
      <c r="V155">
        <f t="shared" si="87"/>
        <v>-1</v>
      </c>
      <c r="W155">
        <f t="shared" si="88"/>
        <v>-0.94753899448446666</v>
      </c>
      <c r="X155">
        <f t="shared" si="89"/>
        <v>-1</v>
      </c>
      <c r="Y155">
        <f t="shared" si="90"/>
        <v>-1</v>
      </c>
      <c r="Z155">
        <f t="shared" si="91"/>
        <v>-1</v>
      </c>
    </row>
    <row r="156" spans="1:26" x14ac:dyDescent="0.25">
      <c r="A156" s="11" t="s">
        <v>140</v>
      </c>
      <c r="B156" s="5">
        <v>6</v>
      </c>
      <c r="C156" s="5">
        <v>0</v>
      </c>
      <c r="D156" s="5">
        <v>0</v>
      </c>
      <c r="E156" s="5">
        <v>0</v>
      </c>
      <c r="F156" s="14"/>
      <c r="G156">
        <f t="shared" si="72"/>
        <v>22993</v>
      </c>
      <c r="H156">
        <f t="shared" si="73"/>
        <v>35354</v>
      </c>
      <c r="I156">
        <f t="shared" si="74"/>
        <v>54638</v>
      </c>
      <c r="J156">
        <f t="shared" si="75"/>
        <v>28530</v>
      </c>
      <c r="K156">
        <f t="shared" si="76"/>
        <v>48400</v>
      </c>
      <c r="L156">
        <f t="shared" si="77"/>
        <v>2.609489844735354E-4</v>
      </c>
      <c r="M156">
        <f t="shared" si="78"/>
        <v>0</v>
      </c>
      <c r="N156">
        <f t="shared" si="79"/>
        <v>0</v>
      </c>
      <c r="O156">
        <f t="shared" si="80"/>
        <v>0</v>
      </c>
      <c r="P156">
        <f t="shared" si="81"/>
        <v>0</v>
      </c>
      <c r="Q156">
        <f t="shared" si="82"/>
        <v>3.2634964923590153</v>
      </c>
      <c r="R156">
        <f t="shared" si="83"/>
        <v>0</v>
      </c>
      <c r="S156">
        <f t="shared" si="84"/>
        <v>0</v>
      </c>
      <c r="T156">
        <f t="shared" si="85"/>
        <v>0</v>
      </c>
      <c r="U156">
        <f t="shared" si="86"/>
        <v>0</v>
      </c>
      <c r="V156">
        <f t="shared" si="87"/>
        <v>0.53090145527635002</v>
      </c>
      <c r="W156">
        <f t="shared" si="88"/>
        <v>-1</v>
      </c>
      <c r="X156">
        <f t="shared" si="89"/>
        <v>-1</v>
      </c>
      <c r="Y156">
        <f t="shared" si="90"/>
        <v>-1</v>
      </c>
      <c r="Z156">
        <f t="shared" si="91"/>
        <v>-1</v>
      </c>
    </row>
    <row r="157" spans="1:26" x14ac:dyDescent="0.25">
      <c r="A157" s="12" t="s">
        <v>141</v>
      </c>
      <c r="B157" s="4">
        <v>0</v>
      </c>
      <c r="C157" s="4">
        <v>9</v>
      </c>
      <c r="D157" s="4">
        <v>0</v>
      </c>
      <c r="E157" s="6">
        <v>1</v>
      </c>
      <c r="F157" s="13"/>
      <c r="G157">
        <f t="shared" si="72"/>
        <v>4977501</v>
      </c>
      <c r="H157">
        <f t="shared" si="73"/>
        <v>2362230</v>
      </c>
      <c r="I157">
        <f t="shared" si="74"/>
        <v>8917437</v>
      </c>
      <c r="J157">
        <f t="shared" si="75"/>
        <v>11923697</v>
      </c>
      <c r="K157">
        <f t="shared" si="76"/>
        <v>7960614</v>
      </c>
      <c r="L157">
        <f t="shared" si="77"/>
        <v>0</v>
      </c>
      <c r="M157">
        <f t="shared" si="78"/>
        <v>3.8099592334362022E-6</v>
      </c>
      <c r="N157">
        <f t="shared" si="79"/>
        <v>0</v>
      </c>
      <c r="O157">
        <f t="shared" si="80"/>
        <v>8.3866606137341462E-8</v>
      </c>
      <c r="P157">
        <f t="shared" si="81"/>
        <v>0</v>
      </c>
      <c r="Q157">
        <f t="shared" si="82"/>
        <v>0</v>
      </c>
      <c r="R157">
        <f t="shared" si="83"/>
        <v>6.7257678342234881E-2</v>
      </c>
      <c r="S157">
        <f t="shared" si="84"/>
        <v>0</v>
      </c>
      <c r="T157">
        <f t="shared" si="85"/>
        <v>1.4235708688872513E-3</v>
      </c>
      <c r="U157">
        <f t="shared" si="86"/>
        <v>0</v>
      </c>
      <c r="V157">
        <f t="shared" si="87"/>
        <v>-1</v>
      </c>
      <c r="W157">
        <f t="shared" si="88"/>
        <v>-0.87396168759037485</v>
      </c>
      <c r="X157">
        <f t="shared" si="89"/>
        <v>-1</v>
      </c>
      <c r="Y157">
        <f t="shared" si="90"/>
        <v>-0.99715690560857873</v>
      </c>
      <c r="Z157">
        <f t="shared" si="91"/>
        <v>-1</v>
      </c>
    </row>
    <row r="158" spans="1:26" x14ac:dyDescent="0.25">
      <c r="A158" s="11" t="s">
        <v>136</v>
      </c>
      <c r="B158" s="5">
        <v>0</v>
      </c>
      <c r="C158" s="5">
        <v>2</v>
      </c>
      <c r="D158" s="5">
        <v>0</v>
      </c>
      <c r="E158" s="5">
        <v>1</v>
      </c>
      <c r="F158" s="14"/>
      <c r="G158">
        <f t="shared" si="72"/>
        <v>21043779</v>
      </c>
      <c r="H158">
        <f t="shared" si="73"/>
        <v>33743794</v>
      </c>
      <c r="I158">
        <f t="shared" si="74"/>
        <v>51268600</v>
      </c>
      <c r="J158">
        <f t="shared" si="75"/>
        <v>38732408</v>
      </c>
      <c r="K158">
        <f t="shared" si="76"/>
        <v>36720802</v>
      </c>
      <c r="L158">
        <f t="shared" si="77"/>
        <v>0</v>
      </c>
      <c r="M158">
        <f t="shared" si="78"/>
        <v>5.927015794370959E-8</v>
      </c>
      <c r="N158">
        <f t="shared" si="79"/>
        <v>0</v>
      </c>
      <c r="O158">
        <f t="shared" si="80"/>
        <v>2.5818172730185019E-8</v>
      </c>
      <c r="P158">
        <f t="shared" si="81"/>
        <v>0</v>
      </c>
      <c r="Q158">
        <f t="shared" si="82"/>
        <v>0</v>
      </c>
      <c r="R158">
        <f t="shared" si="83"/>
        <v>1.0463033785997145E-3</v>
      </c>
      <c r="S158">
        <f t="shared" si="84"/>
        <v>0</v>
      </c>
      <c r="T158">
        <f t="shared" si="85"/>
        <v>4.3824354268493486E-4</v>
      </c>
      <c r="U158">
        <f t="shared" si="86"/>
        <v>0</v>
      </c>
      <c r="V158">
        <f t="shared" si="87"/>
        <v>-1</v>
      </c>
      <c r="W158">
        <f t="shared" si="88"/>
        <v>-0.99790958045583245</v>
      </c>
      <c r="X158">
        <f t="shared" si="89"/>
        <v>-1</v>
      </c>
      <c r="Y158">
        <f t="shared" si="90"/>
        <v>-0.99912389686117353</v>
      </c>
      <c r="Z158">
        <f t="shared" si="91"/>
        <v>-1</v>
      </c>
    </row>
    <row r="159" spans="1:26" ht="34.5" x14ac:dyDescent="0.25">
      <c r="A159" s="12" t="s">
        <v>142</v>
      </c>
      <c r="B159" s="4"/>
      <c r="C159" s="6">
        <v>1</v>
      </c>
      <c r="D159" s="4"/>
      <c r="E159" s="4"/>
      <c r="F159" s="13"/>
      <c r="G159">
        <f t="shared" si="72"/>
        <v>5921390</v>
      </c>
      <c r="H159">
        <f t="shared" si="73"/>
        <v>4838857</v>
      </c>
      <c r="I159">
        <f t="shared" si="74"/>
        <v>4972327</v>
      </c>
      <c r="J159">
        <f t="shared" si="75"/>
        <v>7625161</v>
      </c>
      <c r="K159">
        <f t="shared" si="76"/>
        <v>13604535</v>
      </c>
      <c r="L159">
        <f t="shared" si="77"/>
        <v>0</v>
      </c>
      <c r="M159">
        <f t="shared" si="78"/>
        <v>2.0666037454712961E-7</v>
      </c>
      <c r="N159">
        <f t="shared" si="79"/>
        <v>0</v>
      </c>
      <c r="O159">
        <f t="shared" si="80"/>
        <v>0</v>
      </c>
      <c r="P159">
        <f t="shared" si="81"/>
        <v>0</v>
      </c>
      <c r="Q159">
        <f t="shared" si="82"/>
        <v>0</v>
      </c>
      <c r="R159">
        <f t="shared" si="83"/>
        <v>3.6482009769014433E-3</v>
      </c>
      <c r="S159">
        <f t="shared" si="84"/>
        <v>0</v>
      </c>
      <c r="T159">
        <f t="shared" si="85"/>
        <v>0</v>
      </c>
      <c r="U159">
        <f t="shared" si="86"/>
        <v>0</v>
      </c>
      <c r="V159">
        <f t="shared" si="87"/>
        <v>-1</v>
      </c>
      <c r="W159">
        <f t="shared" si="88"/>
        <v>-0.99273012002940775</v>
      </c>
      <c r="X159">
        <f t="shared" si="89"/>
        <v>-1</v>
      </c>
      <c r="Y159">
        <f t="shared" si="90"/>
        <v>-1</v>
      </c>
      <c r="Z159">
        <f t="shared" si="91"/>
        <v>-1</v>
      </c>
    </row>
    <row r="160" spans="1:26" x14ac:dyDescent="0.25">
      <c r="A160" s="11" t="s">
        <v>167</v>
      </c>
      <c r="B160" s="5"/>
      <c r="C160" s="5"/>
      <c r="D160" s="7">
        <v>25</v>
      </c>
      <c r="E160" s="5"/>
      <c r="F160" s="14"/>
      <c r="G160">
        <f t="shared" si="72"/>
        <v>3090593</v>
      </c>
      <c r="H160">
        <f t="shared" si="73"/>
        <v>4050906</v>
      </c>
      <c r="I160">
        <f t="shared" si="74"/>
        <v>5809851</v>
      </c>
      <c r="J160">
        <f t="shared" si="75"/>
        <v>5094780</v>
      </c>
      <c r="K160">
        <f t="shared" si="76"/>
        <v>4480113</v>
      </c>
      <c r="L160">
        <f t="shared" si="77"/>
        <v>0</v>
      </c>
      <c r="M160">
        <f t="shared" si="78"/>
        <v>0</v>
      </c>
      <c r="N160">
        <f t="shared" si="79"/>
        <v>4.3030363429285879E-6</v>
      </c>
      <c r="O160">
        <f t="shared" si="80"/>
        <v>0</v>
      </c>
      <c r="P160">
        <f t="shared" si="81"/>
        <v>0</v>
      </c>
      <c r="Q160">
        <f t="shared" si="82"/>
        <v>0</v>
      </c>
      <c r="R160">
        <f t="shared" si="83"/>
        <v>0</v>
      </c>
      <c r="S160">
        <f t="shared" si="84"/>
        <v>0.11776447756499804</v>
      </c>
      <c r="T160">
        <f t="shared" si="85"/>
        <v>0</v>
      </c>
      <c r="U160">
        <f t="shared" si="86"/>
        <v>0</v>
      </c>
      <c r="V160">
        <f t="shared" si="87"/>
        <v>-1</v>
      </c>
      <c r="W160">
        <f t="shared" si="88"/>
        <v>-1</v>
      </c>
      <c r="X160">
        <f t="shared" si="89"/>
        <v>-0.78928570386931085</v>
      </c>
      <c r="Y160">
        <f t="shared" si="90"/>
        <v>-1</v>
      </c>
      <c r="Z160">
        <f t="shared" si="91"/>
        <v>-1</v>
      </c>
    </row>
    <row r="161" spans="1:26" ht="34.5" x14ac:dyDescent="0.25">
      <c r="A161" s="18" t="s">
        <v>211</v>
      </c>
      <c r="B161" s="23"/>
      <c r="C161" s="23"/>
      <c r="D161" s="6">
        <v>10</v>
      </c>
      <c r="E161" s="6">
        <v>1</v>
      </c>
      <c r="F161" s="24"/>
      <c r="G161">
        <f t="shared" si="72"/>
        <v>126798</v>
      </c>
      <c r="H161">
        <f t="shared" si="73"/>
        <v>220078</v>
      </c>
      <c r="I161">
        <f t="shared" si="74"/>
        <v>172882</v>
      </c>
      <c r="J161">
        <f t="shared" si="75"/>
        <v>1030401</v>
      </c>
      <c r="K161">
        <f t="shared" si="76"/>
        <v>94736</v>
      </c>
      <c r="L161">
        <f t="shared" si="77"/>
        <v>0</v>
      </c>
      <c r="M161">
        <f t="shared" si="78"/>
        <v>0</v>
      </c>
      <c r="N161">
        <f t="shared" si="79"/>
        <v>5.7842921761664026E-5</v>
      </c>
      <c r="O161">
        <f t="shared" si="80"/>
        <v>9.7049595254662995E-7</v>
      </c>
      <c r="P161">
        <f t="shared" si="81"/>
        <v>0</v>
      </c>
      <c r="Q161">
        <f t="shared" si="82"/>
        <v>0</v>
      </c>
      <c r="R161">
        <f t="shared" si="83"/>
        <v>0</v>
      </c>
      <c r="S161">
        <f t="shared" si="84"/>
        <v>1.5830313572158616</v>
      </c>
      <c r="T161">
        <f t="shared" si="85"/>
        <v>1.6473419279133379E-2</v>
      </c>
      <c r="U161">
        <f t="shared" si="86"/>
        <v>0</v>
      </c>
      <c r="V161">
        <f t="shared" si="87"/>
        <v>-1</v>
      </c>
      <c r="W161">
        <f t="shared" si="88"/>
        <v>-1</v>
      </c>
      <c r="X161">
        <f t="shared" si="89"/>
        <v>0.22571594246702684</v>
      </c>
      <c r="Y161">
        <f t="shared" si="90"/>
        <v>-0.96758711252712137</v>
      </c>
      <c r="Z161">
        <f t="shared" si="91"/>
        <v>-1</v>
      </c>
    </row>
  </sheetData>
  <phoneticPr fontId="2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F777C-B34B-4D36-8DDF-447627F261FE}">
  <dimension ref="A1:AB162"/>
  <sheetViews>
    <sheetView workbookViewId="0">
      <pane xSplit="21" topLeftCell="V1" activePane="topRight" state="frozen"/>
      <selection pane="topRight" activeCell="AB8" sqref="AB8"/>
    </sheetView>
  </sheetViews>
  <sheetFormatPr baseColWidth="10" defaultRowHeight="15" x14ac:dyDescent="0.25"/>
  <cols>
    <col min="1" max="1" width="12.140625" style="28" customWidth="1"/>
    <col min="2" max="21" width="0" hidden="1" customWidth="1"/>
    <col min="22" max="26" width="22.5703125" bestFit="1" customWidth="1"/>
  </cols>
  <sheetData>
    <row r="1" spans="1:28" x14ac:dyDescent="0.25">
      <c r="A1" s="28" t="s">
        <v>294</v>
      </c>
      <c r="B1" t="s">
        <v>295</v>
      </c>
      <c r="C1" t="s">
        <v>296</v>
      </c>
      <c r="D1" t="s">
        <v>297</v>
      </c>
      <c r="E1" t="s">
        <v>298</v>
      </c>
      <c r="F1" t="s">
        <v>299</v>
      </c>
      <c r="G1" t="s">
        <v>300</v>
      </c>
      <c r="H1" t="s">
        <v>301</v>
      </c>
      <c r="I1" t="s">
        <v>302</v>
      </c>
      <c r="J1" t="s">
        <v>303</v>
      </c>
      <c r="K1" t="s">
        <v>304</v>
      </c>
      <c r="L1" t="s">
        <v>305</v>
      </c>
      <c r="M1" t="s">
        <v>306</v>
      </c>
      <c r="N1" t="s">
        <v>307</v>
      </c>
      <c r="O1" t="s">
        <v>308</v>
      </c>
      <c r="P1" t="s">
        <v>309</v>
      </c>
      <c r="Q1" t="s">
        <v>310</v>
      </c>
      <c r="R1" t="s">
        <v>311</v>
      </c>
      <c r="S1" t="s">
        <v>312</v>
      </c>
      <c r="T1" t="s">
        <v>313</v>
      </c>
      <c r="U1" t="s">
        <v>314</v>
      </c>
      <c r="V1" t="s">
        <v>315</v>
      </c>
      <c r="W1" t="s">
        <v>316</v>
      </c>
      <c r="X1" t="s">
        <v>317</v>
      </c>
      <c r="Y1" t="s">
        <v>318</v>
      </c>
      <c r="Z1" t="s">
        <v>319</v>
      </c>
    </row>
    <row r="2" spans="1:28" x14ac:dyDescent="0.25">
      <c r="A2" s="28" t="s">
        <v>4</v>
      </c>
      <c r="B2" t="s">
        <v>5</v>
      </c>
      <c r="C2" t="s">
        <v>6</v>
      </c>
      <c r="D2" t="s">
        <v>7</v>
      </c>
      <c r="E2" t="s">
        <v>8</v>
      </c>
      <c r="F2" t="s">
        <v>9</v>
      </c>
      <c r="G2" t="s">
        <v>244</v>
      </c>
      <c r="H2" t="s">
        <v>245</v>
      </c>
      <c r="I2" t="s">
        <v>246</v>
      </c>
      <c r="J2" t="s">
        <v>247</v>
      </c>
      <c r="K2" t="s">
        <v>248</v>
      </c>
      <c r="L2" t="s">
        <v>249</v>
      </c>
      <c r="M2" t="s">
        <v>250</v>
      </c>
      <c r="N2" t="s">
        <v>251</v>
      </c>
      <c r="O2" t="s">
        <v>252</v>
      </c>
      <c r="P2" t="s">
        <v>253</v>
      </c>
      <c r="Q2" t="s">
        <v>254</v>
      </c>
      <c r="R2" t="s">
        <v>255</v>
      </c>
      <c r="S2" t="s">
        <v>256</v>
      </c>
      <c r="T2" t="s">
        <v>257</v>
      </c>
      <c r="U2" t="s">
        <v>258</v>
      </c>
      <c r="V2" t="s">
        <v>259</v>
      </c>
      <c r="W2" t="s">
        <v>260</v>
      </c>
      <c r="X2" t="s">
        <v>261</v>
      </c>
      <c r="Y2" t="s">
        <v>262</v>
      </c>
      <c r="Z2" t="s">
        <v>263</v>
      </c>
    </row>
    <row r="3" spans="1:28" x14ac:dyDescent="0.25">
      <c r="A3" s="28" t="s">
        <v>26</v>
      </c>
      <c r="B3">
        <v>3858</v>
      </c>
      <c r="C3">
        <v>3171</v>
      </c>
      <c r="D3">
        <v>7355</v>
      </c>
      <c r="E3">
        <v>12182</v>
      </c>
      <c r="F3">
        <v>4380</v>
      </c>
      <c r="G3">
        <v>855421</v>
      </c>
      <c r="H3">
        <v>1665728</v>
      </c>
      <c r="I3">
        <v>1299593</v>
      </c>
      <c r="J3">
        <v>1237904</v>
      </c>
      <c r="K3">
        <v>1264116</v>
      </c>
      <c r="L3">
        <v>4.5100599587805301E-3</v>
      </c>
      <c r="M3">
        <v>1.9036721481538402E-3</v>
      </c>
      <c r="N3">
        <v>5.6594641553163183E-3</v>
      </c>
      <c r="O3">
        <v>9.8408277216973199E-3</v>
      </c>
      <c r="P3">
        <v>3.4648718946678945E-3</v>
      </c>
      <c r="Q3">
        <v>56.403993621603128</v>
      </c>
      <c r="R3">
        <v>33.605758267950314</v>
      </c>
      <c r="S3">
        <v>154.88687206742469</v>
      </c>
      <c r="T3">
        <v>167.0404504911624</v>
      </c>
      <c r="U3">
        <v>55.835720732948587</v>
      </c>
      <c r="V3">
        <v>0.96515921848253894</v>
      </c>
      <c r="W3">
        <v>0.94220615007149622</v>
      </c>
      <c r="X3">
        <v>0.98717018326511197</v>
      </c>
      <c r="Y3">
        <v>0.98809810379492413</v>
      </c>
      <c r="Z3">
        <v>0.96481086235543123</v>
      </c>
    </row>
    <row r="4" spans="1:28" x14ac:dyDescent="0.25">
      <c r="A4" s="28" t="s">
        <v>69</v>
      </c>
      <c r="B4">
        <v>0</v>
      </c>
      <c r="C4">
        <v>0</v>
      </c>
      <c r="D4">
        <v>0</v>
      </c>
      <c r="E4">
        <v>319</v>
      </c>
      <c r="F4">
        <v>155</v>
      </c>
      <c r="G4">
        <v>55215</v>
      </c>
      <c r="H4">
        <v>34591</v>
      </c>
      <c r="I4">
        <v>44931</v>
      </c>
      <c r="J4">
        <v>40799</v>
      </c>
      <c r="K4">
        <v>51621</v>
      </c>
      <c r="L4">
        <v>0</v>
      </c>
      <c r="M4">
        <v>0</v>
      </c>
      <c r="N4">
        <v>0</v>
      </c>
      <c r="O4">
        <v>7.8188190887031554E-3</v>
      </c>
      <c r="P4">
        <v>3.0026539586602351E-3</v>
      </c>
      <c r="Q4">
        <v>0</v>
      </c>
      <c r="R4">
        <v>0</v>
      </c>
      <c r="S4">
        <v>0</v>
      </c>
      <c r="T4">
        <v>132.71841554610705</v>
      </c>
      <c r="U4">
        <v>48.387170720926491</v>
      </c>
      <c r="V4">
        <v>-1</v>
      </c>
      <c r="W4">
        <v>-1</v>
      </c>
      <c r="X4">
        <v>-1</v>
      </c>
      <c r="Y4">
        <v>0.98504319699099052</v>
      </c>
      <c r="Z4">
        <v>0.95950365305796803</v>
      </c>
    </row>
    <row r="5" spans="1:28" x14ac:dyDescent="0.25">
      <c r="A5" s="28" t="s">
        <v>75</v>
      </c>
      <c r="B5">
        <v>0</v>
      </c>
      <c r="C5">
        <v>0</v>
      </c>
      <c r="D5">
        <v>0</v>
      </c>
      <c r="E5">
        <v>1035</v>
      </c>
      <c r="F5">
        <v>68</v>
      </c>
      <c r="G5">
        <v>13145</v>
      </c>
      <c r="H5">
        <v>14145</v>
      </c>
      <c r="I5">
        <v>7866</v>
      </c>
      <c r="J5">
        <v>22042</v>
      </c>
      <c r="K5">
        <v>28683</v>
      </c>
      <c r="L5">
        <v>0</v>
      </c>
      <c r="M5">
        <v>0</v>
      </c>
      <c r="N5">
        <v>0</v>
      </c>
      <c r="O5">
        <v>4.6955811632338265E-2</v>
      </c>
      <c r="P5">
        <v>2.3707422515078617E-3</v>
      </c>
      <c r="Q5">
        <v>0</v>
      </c>
      <c r="R5">
        <v>0</v>
      </c>
      <c r="S5">
        <v>0</v>
      </c>
      <c r="T5">
        <v>797.03863842167925</v>
      </c>
      <c r="U5">
        <v>38.204039372625203</v>
      </c>
      <c r="V5">
        <v>-1</v>
      </c>
      <c r="W5">
        <v>-1</v>
      </c>
      <c r="X5">
        <v>-1</v>
      </c>
      <c r="Y5">
        <v>0.99749385568102877</v>
      </c>
      <c r="Z5">
        <v>0.94898484870422484</v>
      </c>
    </row>
    <row r="6" spans="1:28" x14ac:dyDescent="0.25">
      <c r="A6" s="28" t="s">
        <v>17</v>
      </c>
      <c r="B6">
        <v>8299</v>
      </c>
      <c r="C6">
        <v>4201</v>
      </c>
      <c r="D6">
        <v>4761</v>
      </c>
      <c r="E6">
        <v>11686</v>
      </c>
      <c r="F6">
        <v>24444</v>
      </c>
      <c r="G6">
        <v>16949755</v>
      </c>
      <c r="H6">
        <v>15153408</v>
      </c>
      <c r="I6">
        <v>17084513</v>
      </c>
      <c r="J6">
        <v>14752993</v>
      </c>
      <c r="K6">
        <v>14923806</v>
      </c>
      <c r="L6">
        <v>4.8962359632926853E-4</v>
      </c>
      <c r="M6">
        <v>2.7723136603990337E-4</v>
      </c>
      <c r="N6">
        <v>2.7867343950629438E-4</v>
      </c>
      <c r="O6">
        <v>7.921104551462879E-4</v>
      </c>
      <c r="P6">
        <v>1.6379199783218838E-3</v>
      </c>
      <c r="Q6">
        <v>6.1233612095502385</v>
      </c>
      <c r="R6">
        <v>4.8939993582748729</v>
      </c>
      <c r="S6">
        <v>7.626668565937436</v>
      </c>
      <c r="T6">
        <v>13.445463228125119</v>
      </c>
      <c r="U6">
        <v>26.394754343800567</v>
      </c>
      <c r="V6">
        <v>0.71923366776366549</v>
      </c>
      <c r="W6">
        <v>0.66067183275272967</v>
      </c>
      <c r="X6">
        <v>0.76816079292798634</v>
      </c>
      <c r="Y6">
        <v>0.86154822670511333</v>
      </c>
      <c r="Z6">
        <v>0.92699332233827458</v>
      </c>
    </row>
    <row r="7" spans="1:28" x14ac:dyDescent="0.25">
      <c r="A7" s="33" t="s">
        <v>13</v>
      </c>
      <c r="B7" s="34">
        <v>105643</v>
      </c>
      <c r="C7" s="34">
        <v>85760</v>
      </c>
      <c r="D7" s="34">
        <v>65889</v>
      </c>
      <c r="E7" s="34">
        <v>120189</v>
      </c>
      <c r="F7" s="34">
        <v>106869</v>
      </c>
      <c r="G7" s="34">
        <v>38757234</v>
      </c>
      <c r="H7" s="34">
        <v>56260115</v>
      </c>
      <c r="I7" s="34">
        <v>63648101</v>
      </c>
      <c r="J7" s="34">
        <v>64605821</v>
      </c>
      <c r="K7" s="34">
        <v>74664216</v>
      </c>
      <c r="L7" s="34">
        <v>2.7257621119195453E-3</v>
      </c>
      <c r="M7" s="34">
        <v>1.5243481105575414E-3</v>
      </c>
      <c r="N7" s="34">
        <v>1.0352076332960823E-3</v>
      </c>
      <c r="O7" s="34">
        <v>1.8603432034398262E-3</v>
      </c>
      <c r="P7" s="34">
        <v>1.4313282282372053E-3</v>
      </c>
      <c r="Q7" s="34">
        <v>34.089096415535934</v>
      </c>
      <c r="R7" s="34">
        <v>26.909504438189515</v>
      </c>
      <c r="S7" s="34">
        <v>28.331316863440769</v>
      </c>
      <c r="T7" s="34">
        <v>31.577889132801825</v>
      </c>
      <c r="U7" s="34">
        <v>23.065569423223625</v>
      </c>
      <c r="V7" s="34">
        <v>0.94300223703923913</v>
      </c>
      <c r="W7" s="34">
        <v>0.92833982400406467</v>
      </c>
      <c r="X7" s="34">
        <v>0.93181349445333472</v>
      </c>
      <c r="Y7" s="34">
        <v>0.93860866823362554</v>
      </c>
      <c r="Z7" s="34">
        <v>0.91689371795749108</v>
      </c>
      <c r="AB7" t="s">
        <v>320</v>
      </c>
    </row>
    <row r="8" spans="1:28" x14ac:dyDescent="0.25">
      <c r="A8" s="28" t="s">
        <v>133</v>
      </c>
      <c r="B8">
        <v>1</v>
      </c>
      <c r="C8">
        <v>16</v>
      </c>
      <c r="D8">
        <v>0</v>
      </c>
      <c r="E8">
        <v>0</v>
      </c>
      <c r="F8">
        <v>35</v>
      </c>
      <c r="G8">
        <v>24620</v>
      </c>
      <c r="H8">
        <v>35163</v>
      </c>
      <c r="I8">
        <v>37472</v>
      </c>
      <c r="J8">
        <v>46055</v>
      </c>
      <c r="K8">
        <v>28116</v>
      </c>
      <c r="L8">
        <v>4.0617384240454911E-5</v>
      </c>
      <c r="M8">
        <v>4.5502374655177318E-4</v>
      </c>
      <c r="N8">
        <v>0</v>
      </c>
      <c r="O8">
        <v>0</v>
      </c>
      <c r="P8">
        <v>1.2448427941385688E-3</v>
      </c>
      <c r="Q8">
        <v>0.5079716683510076</v>
      </c>
      <c r="R8">
        <v>8.0325900904866536</v>
      </c>
      <c r="S8">
        <v>0</v>
      </c>
      <c r="T8">
        <v>0</v>
      </c>
      <c r="U8">
        <v>20.060393781631198</v>
      </c>
      <c r="V8">
        <v>-0.32628486461355977</v>
      </c>
      <c r="W8">
        <v>0.77857956799053141</v>
      </c>
      <c r="X8">
        <v>-1</v>
      </c>
      <c r="Y8">
        <v>-1</v>
      </c>
      <c r="Z8">
        <v>0.90503501402977593</v>
      </c>
    </row>
    <row r="9" spans="1:28" x14ac:dyDescent="0.25">
      <c r="A9" s="28" t="s">
        <v>46</v>
      </c>
      <c r="B9">
        <v>1849</v>
      </c>
      <c r="C9">
        <v>3079</v>
      </c>
      <c r="D9">
        <v>3172</v>
      </c>
      <c r="E9">
        <v>4767</v>
      </c>
      <c r="F9">
        <v>824</v>
      </c>
      <c r="G9">
        <v>827647</v>
      </c>
      <c r="H9">
        <v>815880</v>
      </c>
      <c r="I9">
        <v>1070466</v>
      </c>
      <c r="J9">
        <v>1078446</v>
      </c>
      <c r="K9">
        <v>710553</v>
      </c>
      <c r="L9">
        <v>2.2340442241680328E-3</v>
      </c>
      <c r="M9">
        <v>3.77383929009168E-3</v>
      </c>
      <c r="N9">
        <v>2.963195468141912E-3</v>
      </c>
      <c r="O9">
        <v>4.4202491362571698E-3</v>
      </c>
      <c r="P9">
        <v>1.1596601520224388E-3</v>
      </c>
      <c r="Q9">
        <v>27.939543447760386</v>
      </c>
      <c r="R9">
        <v>66.620048545599332</v>
      </c>
      <c r="S9">
        <v>81.096030434919641</v>
      </c>
      <c r="T9">
        <v>75.030315323538517</v>
      </c>
      <c r="U9">
        <v>18.687692463637209</v>
      </c>
      <c r="V9">
        <v>0.93089040939397483</v>
      </c>
      <c r="W9">
        <v>0.97042297302328451</v>
      </c>
      <c r="X9">
        <v>0.97563828617042003</v>
      </c>
      <c r="Y9">
        <v>0.97369470333656749</v>
      </c>
      <c r="Z9">
        <v>0.89841369151341821</v>
      </c>
    </row>
    <row r="10" spans="1:28" x14ac:dyDescent="0.25">
      <c r="A10" s="28" t="s">
        <v>67</v>
      </c>
      <c r="B10">
        <v>1293</v>
      </c>
      <c r="C10">
        <v>1241</v>
      </c>
      <c r="D10">
        <v>934</v>
      </c>
      <c r="E10">
        <v>647</v>
      </c>
      <c r="F10">
        <v>206</v>
      </c>
      <c r="G10">
        <v>279938</v>
      </c>
      <c r="H10">
        <v>454189</v>
      </c>
      <c r="I10">
        <v>437882</v>
      </c>
      <c r="J10">
        <v>435626</v>
      </c>
      <c r="K10">
        <v>474092</v>
      </c>
      <c r="L10">
        <v>4.6188798948338557E-3</v>
      </c>
      <c r="M10">
        <v>2.7323427031478087E-3</v>
      </c>
      <c r="N10">
        <v>2.1329947337410536E-3</v>
      </c>
      <c r="O10">
        <v>1.4852189722376534E-3</v>
      </c>
      <c r="P10">
        <v>4.345148199083722E-4</v>
      </c>
      <c r="Q10">
        <v>57.764924304377168</v>
      </c>
      <c r="R10">
        <v>48.234381364580841</v>
      </c>
      <c r="S10">
        <v>58.375293734319264</v>
      </c>
      <c r="T10">
        <v>25.210445017099502</v>
      </c>
      <c r="U10">
        <v>7.0021198117215704</v>
      </c>
      <c r="V10">
        <v>0.96596609246630094</v>
      </c>
      <c r="W10">
        <v>0.95937798049720602</v>
      </c>
      <c r="X10">
        <v>0.96631595611216337</v>
      </c>
      <c r="Y10">
        <v>0.92369454243545979</v>
      </c>
      <c r="Z10">
        <v>0.75006622656781718</v>
      </c>
    </row>
    <row r="11" spans="1:28" x14ac:dyDescent="0.25">
      <c r="A11" s="28" t="s">
        <v>23</v>
      </c>
      <c r="B11">
        <v>10419</v>
      </c>
      <c r="C11">
        <v>15317</v>
      </c>
      <c r="D11">
        <v>40901</v>
      </c>
      <c r="E11">
        <v>44308</v>
      </c>
      <c r="F11">
        <v>18578</v>
      </c>
      <c r="G11">
        <v>33361475</v>
      </c>
      <c r="H11">
        <v>47570421</v>
      </c>
      <c r="I11">
        <v>63338596</v>
      </c>
      <c r="J11">
        <v>60650575</v>
      </c>
      <c r="K11">
        <v>56766427</v>
      </c>
      <c r="L11">
        <v>3.1230633537635851E-4</v>
      </c>
      <c r="M11">
        <v>3.2198579869621084E-4</v>
      </c>
      <c r="N11">
        <v>6.4575160459824524E-4</v>
      </c>
      <c r="O11">
        <v>7.3054542351824367E-4</v>
      </c>
      <c r="P11">
        <v>3.2727090609384313E-4</v>
      </c>
      <c r="Q11">
        <v>3.9057850027602203</v>
      </c>
      <c r="R11">
        <v>5.6840548553444172</v>
      </c>
      <c r="S11">
        <v>17.672776684129808</v>
      </c>
      <c r="T11">
        <v>12.400444362996828</v>
      </c>
      <c r="U11">
        <v>5.2739054926665219</v>
      </c>
      <c r="V11">
        <v>0.59231804922663589</v>
      </c>
      <c r="W11">
        <v>0.7007804329432088</v>
      </c>
      <c r="X11">
        <v>0.89289220163491689</v>
      </c>
      <c r="Y11">
        <v>0.85075121795791497</v>
      </c>
      <c r="Z11">
        <v>0.68121929755910871</v>
      </c>
    </row>
    <row r="12" spans="1:28" x14ac:dyDescent="0.25">
      <c r="A12" s="28" t="s">
        <v>14</v>
      </c>
      <c r="B12">
        <v>60035</v>
      </c>
      <c r="C12">
        <v>51783</v>
      </c>
      <c r="D12">
        <v>56625</v>
      </c>
      <c r="E12">
        <v>76309</v>
      </c>
      <c r="F12">
        <v>79392</v>
      </c>
      <c r="G12">
        <v>229277734</v>
      </c>
      <c r="H12">
        <v>267492416</v>
      </c>
      <c r="I12">
        <v>284106705</v>
      </c>
      <c r="J12">
        <v>280087768</v>
      </c>
      <c r="K12">
        <v>299249160</v>
      </c>
      <c r="L12">
        <v>2.6184400444222812E-4</v>
      </c>
      <c r="M12">
        <v>1.9358679686828952E-4</v>
      </c>
      <c r="N12">
        <v>1.9930891810525909E-4</v>
      </c>
      <c r="O12">
        <v>2.7244674247966442E-4</v>
      </c>
      <c r="P12">
        <v>2.6530400285835391E-4</v>
      </c>
      <c r="Q12">
        <v>3.2746898470076751</v>
      </c>
      <c r="R12">
        <v>3.4174115042506799</v>
      </c>
      <c r="S12">
        <v>5.4546391766555304</v>
      </c>
      <c r="T12">
        <v>4.6245730426020986</v>
      </c>
      <c r="U12">
        <v>4.2753211845231291</v>
      </c>
      <c r="V12">
        <v>0.53212979851625497</v>
      </c>
      <c r="W12">
        <v>0.54724616484665545</v>
      </c>
      <c r="X12">
        <v>0.69014534426131946</v>
      </c>
      <c r="Y12">
        <v>0.64441745447139942</v>
      </c>
      <c r="Z12">
        <v>0.62087616468402895</v>
      </c>
    </row>
    <row r="13" spans="1:28" x14ac:dyDescent="0.25">
      <c r="A13" s="28" t="s">
        <v>25</v>
      </c>
      <c r="B13">
        <v>7233</v>
      </c>
      <c r="C13">
        <v>5731</v>
      </c>
      <c r="D13">
        <v>3488</v>
      </c>
      <c r="E13">
        <v>5277</v>
      </c>
      <c r="F13">
        <v>4842</v>
      </c>
      <c r="G13">
        <v>11625662</v>
      </c>
      <c r="H13">
        <v>14345396</v>
      </c>
      <c r="I13">
        <v>15319907</v>
      </c>
      <c r="J13">
        <v>18106174</v>
      </c>
      <c r="K13">
        <v>19882386</v>
      </c>
      <c r="L13">
        <v>6.2215811882368509E-4</v>
      </c>
      <c r="M13">
        <v>3.9950099669608282E-4</v>
      </c>
      <c r="N13">
        <v>2.2767762232499191E-4</v>
      </c>
      <c r="O13">
        <v>2.9144754711845803E-4</v>
      </c>
      <c r="P13">
        <v>2.4353213945247818E-4</v>
      </c>
      <c r="Q13">
        <v>7.7808727348379367</v>
      </c>
      <c r="R13">
        <v>7.0524401671756909</v>
      </c>
      <c r="S13">
        <v>6.2310271421262264</v>
      </c>
      <c r="T13">
        <v>4.9470970269983248</v>
      </c>
      <c r="U13">
        <v>3.9244719404754216</v>
      </c>
      <c r="V13">
        <v>0.7722322073903839</v>
      </c>
      <c r="W13">
        <v>0.75162808310546203</v>
      </c>
      <c r="X13">
        <v>0.72341412074800815</v>
      </c>
      <c r="Y13">
        <v>0.66370146797328122</v>
      </c>
      <c r="Z13">
        <v>0.59386508357139411</v>
      </c>
    </row>
    <row r="14" spans="1:28" x14ac:dyDescent="0.25">
      <c r="A14" s="28" t="s">
        <v>123</v>
      </c>
      <c r="F14">
        <v>1</v>
      </c>
      <c r="G14">
        <v>8974</v>
      </c>
      <c r="H14">
        <v>7709</v>
      </c>
      <c r="I14">
        <v>13463</v>
      </c>
      <c r="J14">
        <v>13262</v>
      </c>
      <c r="K14">
        <v>4172</v>
      </c>
      <c r="L14">
        <v>0</v>
      </c>
      <c r="M14">
        <v>0</v>
      </c>
      <c r="N14">
        <v>0</v>
      </c>
      <c r="O14">
        <v>0</v>
      </c>
      <c r="P14">
        <v>2.3969319271332693E-4</v>
      </c>
      <c r="Q14">
        <v>0</v>
      </c>
      <c r="R14">
        <v>0</v>
      </c>
      <c r="S14">
        <v>0</v>
      </c>
      <c r="T14">
        <v>0</v>
      </c>
      <c r="U14">
        <v>3.8626080781012373</v>
      </c>
      <c r="V14">
        <v>-1</v>
      </c>
      <c r="W14">
        <v>-1</v>
      </c>
      <c r="X14">
        <v>-1</v>
      </c>
      <c r="Y14">
        <v>-1</v>
      </c>
      <c r="Z14">
        <v>0.58869808796497436</v>
      </c>
    </row>
    <row r="15" spans="1:28" x14ac:dyDescent="0.25">
      <c r="A15" s="28" t="s">
        <v>15</v>
      </c>
      <c r="B15">
        <v>95262</v>
      </c>
      <c r="C15">
        <v>129675</v>
      </c>
      <c r="D15">
        <v>67481</v>
      </c>
      <c r="E15">
        <v>65067</v>
      </c>
      <c r="F15">
        <v>100415</v>
      </c>
      <c r="G15">
        <v>275488745</v>
      </c>
      <c r="H15">
        <v>394813673</v>
      </c>
      <c r="I15">
        <v>452684214</v>
      </c>
      <c r="J15">
        <v>431245536</v>
      </c>
      <c r="K15">
        <v>441700612</v>
      </c>
      <c r="L15">
        <v>3.4579271105975674E-4</v>
      </c>
      <c r="M15">
        <v>3.2844607182588631E-4</v>
      </c>
      <c r="N15">
        <v>1.4906859553092346E-4</v>
      </c>
      <c r="O15">
        <v>1.5088156182096687E-4</v>
      </c>
      <c r="P15">
        <v>2.2733724444103781E-4</v>
      </c>
      <c r="Q15">
        <v>4.3245744063866196</v>
      </c>
      <c r="R15">
        <v>5.7980988504469098</v>
      </c>
      <c r="S15">
        <v>4.0796739499763373</v>
      </c>
      <c r="T15">
        <v>2.5610979858752647</v>
      </c>
      <c r="U15">
        <v>3.6634944317398848</v>
      </c>
      <c r="V15">
        <v>0.62438312485574854</v>
      </c>
      <c r="W15">
        <v>0.70580010029296369</v>
      </c>
      <c r="X15">
        <v>0.60627394204911189</v>
      </c>
      <c r="Y15">
        <v>0.43837546511418729</v>
      </c>
      <c r="Z15">
        <v>0.5711370455622421</v>
      </c>
    </row>
    <row r="16" spans="1:28" x14ac:dyDescent="0.25">
      <c r="A16" s="28" t="s">
        <v>52</v>
      </c>
      <c r="B16">
        <v>1129</v>
      </c>
      <c r="C16">
        <v>1048</v>
      </c>
      <c r="D16">
        <v>885</v>
      </c>
      <c r="E16">
        <v>569</v>
      </c>
      <c r="F16">
        <v>559</v>
      </c>
      <c r="G16">
        <v>1956910</v>
      </c>
      <c r="H16">
        <v>2718729</v>
      </c>
      <c r="I16">
        <v>3509026</v>
      </c>
      <c r="J16">
        <v>3227416</v>
      </c>
      <c r="K16">
        <v>2557063</v>
      </c>
      <c r="L16">
        <v>5.7692995589986253E-4</v>
      </c>
      <c r="M16">
        <v>3.8547424182402881E-4</v>
      </c>
      <c r="N16">
        <v>2.5220673771012242E-4</v>
      </c>
      <c r="O16">
        <v>1.7630203233794467E-4</v>
      </c>
      <c r="P16">
        <v>2.1861017894357707E-4</v>
      </c>
      <c r="Q16">
        <v>7.2152374580595122</v>
      </c>
      <c r="R16">
        <v>6.8048241404500907</v>
      </c>
      <c r="S16">
        <v>6.9023341514682546</v>
      </c>
      <c r="T16">
        <v>2.9925908406369675</v>
      </c>
      <c r="U16">
        <v>3.5228595087910017</v>
      </c>
      <c r="V16">
        <v>0.75654994633929773</v>
      </c>
      <c r="W16">
        <v>0.74374823006778679</v>
      </c>
      <c r="X16">
        <v>0.74691022150355413</v>
      </c>
      <c r="Y16">
        <v>0.49907213640731457</v>
      </c>
      <c r="Z16">
        <v>0.55780187376755008</v>
      </c>
    </row>
    <row r="17" spans="1:26" x14ac:dyDescent="0.25">
      <c r="A17" s="28" t="s">
        <v>12</v>
      </c>
      <c r="B17">
        <v>154418</v>
      </c>
      <c r="C17">
        <v>157347</v>
      </c>
      <c r="D17">
        <v>102410</v>
      </c>
      <c r="E17">
        <v>155475</v>
      </c>
      <c r="F17">
        <v>154825</v>
      </c>
      <c r="G17">
        <v>551352792</v>
      </c>
      <c r="H17">
        <v>696873257</v>
      </c>
      <c r="I17">
        <v>768259270</v>
      </c>
      <c r="J17">
        <v>741804035</v>
      </c>
      <c r="K17">
        <v>725520286</v>
      </c>
      <c r="L17">
        <v>2.8007113093570765E-4</v>
      </c>
      <c r="M17">
        <v>2.2578998177856608E-4</v>
      </c>
      <c r="N17">
        <v>1.3330135281023033E-4</v>
      </c>
      <c r="O17">
        <v>2.0959039404524135E-4</v>
      </c>
      <c r="P17">
        <v>2.1339858166281514E-4</v>
      </c>
      <c r="Q17">
        <v>3.502643075096544</v>
      </c>
      <c r="R17">
        <v>3.9858982831334702</v>
      </c>
      <c r="S17">
        <v>3.6481597926082823</v>
      </c>
      <c r="T17">
        <v>3.5576350719712537</v>
      </c>
      <c r="U17">
        <v>3.438875656230961</v>
      </c>
      <c r="V17">
        <v>0.5558164467750718</v>
      </c>
      <c r="W17">
        <v>0.59886867191701576</v>
      </c>
      <c r="X17">
        <v>0.56972219346234776</v>
      </c>
      <c r="Y17">
        <v>0.56117592382512405</v>
      </c>
      <c r="Z17">
        <v>0.54943545282856721</v>
      </c>
    </row>
    <row r="18" spans="1:26" x14ac:dyDescent="0.25">
      <c r="A18" s="28" t="s">
        <v>16</v>
      </c>
      <c r="B18">
        <v>50250</v>
      </c>
      <c r="C18">
        <v>49704</v>
      </c>
      <c r="D18">
        <v>33002</v>
      </c>
      <c r="E18">
        <v>66087</v>
      </c>
      <c r="F18">
        <v>71137</v>
      </c>
      <c r="G18">
        <v>209180242</v>
      </c>
      <c r="H18">
        <v>280814577</v>
      </c>
      <c r="I18">
        <v>334463079</v>
      </c>
      <c r="J18">
        <v>339695766</v>
      </c>
      <c r="K18">
        <v>337046162</v>
      </c>
      <c r="L18">
        <v>2.4022345284407885E-4</v>
      </c>
      <c r="M18">
        <v>1.7699935854825657E-4</v>
      </c>
      <c r="N18">
        <v>9.8671578634842384E-5</v>
      </c>
      <c r="O18">
        <v>1.9454761175916453E-4</v>
      </c>
      <c r="P18">
        <v>2.1106010992049214E-4</v>
      </c>
      <c r="Q18">
        <v>3.0042975538712247</v>
      </c>
      <c r="R18">
        <v>3.1245914180776717</v>
      </c>
      <c r="S18">
        <v>2.7004203502816382</v>
      </c>
      <c r="T18">
        <v>3.3022954602263432</v>
      </c>
      <c r="U18">
        <v>3.401191649688851</v>
      </c>
      <c r="V18">
        <v>0.5005366176980367</v>
      </c>
      <c r="W18">
        <v>0.51510348607277801</v>
      </c>
      <c r="X18">
        <v>0.4595208623129044</v>
      </c>
      <c r="Y18">
        <v>0.53513188052993921</v>
      </c>
      <c r="Z18">
        <v>0.54557761642999725</v>
      </c>
    </row>
    <row r="19" spans="1:26" x14ac:dyDescent="0.25">
      <c r="A19" s="28" t="s">
        <v>48</v>
      </c>
      <c r="B19">
        <v>31</v>
      </c>
      <c r="C19">
        <v>452</v>
      </c>
      <c r="D19">
        <v>74</v>
      </c>
      <c r="E19">
        <v>148</v>
      </c>
      <c r="F19">
        <v>679</v>
      </c>
      <c r="G19">
        <v>2526221</v>
      </c>
      <c r="H19">
        <v>3057629</v>
      </c>
      <c r="I19">
        <v>3083778</v>
      </c>
      <c r="J19">
        <v>2857941</v>
      </c>
      <c r="K19">
        <v>3295705</v>
      </c>
      <c r="L19">
        <v>1.227129376250138E-5</v>
      </c>
      <c r="M19">
        <v>1.4782696003995253E-4</v>
      </c>
      <c r="N19">
        <v>2.3996539309898442E-5</v>
      </c>
      <c r="O19">
        <v>5.1785533711157788E-5</v>
      </c>
      <c r="P19">
        <v>2.0602572135552182E-4</v>
      </c>
      <c r="Q19">
        <v>0.15346802069924048</v>
      </c>
      <c r="R19">
        <v>2.6096074838339929</v>
      </c>
      <c r="S19">
        <v>0.65673159369015055</v>
      </c>
      <c r="T19">
        <v>0.87901944070870253</v>
      </c>
      <c r="U19">
        <v>3.3200634803018625</v>
      </c>
      <c r="V19">
        <v>-0.73390155956606917</v>
      </c>
      <c r="W19">
        <v>0.44592313459089095</v>
      </c>
      <c r="X19">
        <v>-0.20719614910298442</v>
      </c>
      <c r="Y19">
        <v>-6.4384942843203216E-2</v>
      </c>
      <c r="Z19">
        <v>0.53704383995296034</v>
      </c>
    </row>
    <row r="20" spans="1:26" x14ac:dyDescent="0.25">
      <c r="A20" s="28" t="s">
        <v>11</v>
      </c>
      <c r="B20">
        <v>718584</v>
      </c>
      <c r="C20">
        <v>572549</v>
      </c>
      <c r="D20">
        <v>349782</v>
      </c>
      <c r="E20">
        <v>581508</v>
      </c>
      <c r="F20">
        <v>733131</v>
      </c>
      <c r="G20">
        <v>2588402392</v>
      </c>
      <c r="H20">
        <v>3361814264</v>
      </c>
      <c r="I20">
        <v>3593601450</v>
      </c>
      <c r="J20">
        <v>3388716312</v>
      </c>
      <c r="K20">
        <v>3575457663</v>
      </c>
      <c r="L20">
        <v>2.7761680418042202E-4</v>
      </c>
      <c r="M20">
        <v>1.7030952784368339E-4</v>
      </c>
      <c r="N20">
        <v>9.7334666870195079E-5</v>
      </c>
      <c r="O20">
        <v>1.7160126326915736E-4</v>
      </c>
      <c r="P20">
        <v>2.0504535897227318E-4</v>
      </c>
      <c r="Q20">
        <v>3.4719486204960135</v>
      </c>
      <c r="R20">
        <v>3.0064950149079226</v>
      </c>
      <c r="S20">
        <v>2.6638320663428048</v>
      </c>
      <c r="T20">
        <v>2.9127989161046557</v>
      </c>
      <c r="U20">
        <v>3.304265135684159</v>
      </c>
      <c r="V20">
        <v>0.55276767026492213</v>
      </c>
      <c r="W20">
        <v>0.5008105607125124</v>
      </c>
      <c r="X20">
        <v>0.45412345222569739</v>
      </c>
      <c r="Y20">
        <v>0.48885694284768455</v>
      </c>
      <c r="Z20">
        <v>0.53534460890451119</v>
      </c>
    </row>
    <row r="21" spans="1:26" x14ac:dyDescent="0.25">
      <c r="A21" s="28" t="s">
        <v>50</v>
      </c>
      <c r="B21">
        <v>599</v>
      </c>
      <c r="C21">
        <v>157</v>
      </c>
      <c r="D21">
        <v>2918</v>
      </c>
      <c r="E21">
        <v>4531</v>
      </c>
      <c r="F21">
        <v>606</v>
      </c>
      <c r="G21">
        <v>4148958</v>
      </c>
      <c r="H21">
        <v>3965317</v>
      </c>
      <c r="I21">
        <v>3577444</v>
      </c>
      <c r="J21">
        <v>6305023</v>
      </c>
      <c r="K21">
        <v>3278304</v>
      </c>
      <c r="L21">
        <v>1.4437359934711317E-4</v>
      </c>
      <c r="M21">
        <v>3.9593303637514985E-5</v>
      </c>
      <c r="N21">
        <v>8.1566615717814175E-4</v>
      </c>
      <c r="O21">
        <v>7.1863338167045543E-4</v>
      </c>
      <c r="P21">
        <v>1.848516794049606E-4</v>
      </c>
      <c r="Q21">
        <v>1.805574127866872</v>
      </c>
      <c r="R21">
        <v>0.6989454525361688</v>
      </c>
      <c r="S21">
        <v>22.322957840081521</v>
      </c>
      <c r="T21">
        <v>12.198246652316762</v>
      </c>
      <c r="U21">
        <v>2.978848009981395</v>
      </c>
      <c r="V21">
        <v>0.28713343192944413</v>
      </c>
      <c r="W21">
        <v>-0.17720083185391267</v>
      </c>
      <c r="X21">
        <v>0.91424758327338251</v>
      </c>
      <c r="Y21">
        <v>0.8484647201491019</v>
      </c>
      <c r="Z21">
        <v>0.49734194546190974</v>
      </c>
    </row>
    <row r="22" spans="1:26" x14ac:dyDescent="0.25">
      <c r="A22" s="28" t="s">
        <v>39</v>
      </c>
      <c r="B22">
        <v>28</v>
      </c>
      <c r="C22">
        <v>318</v>
      </c>
      <c r="D22">
        <v>875</v>
      </c>
      <c r="E22">
        <v>632</v>
      </c>
      <c r="F22">
        <v>1340</v>
      </c>
      <c r="G22">
        <v>5984824</v>
      </c>
      <c r="H22">
        <v>6390863</v>
      </c>
      <c r="I22">
        <v>6824846</v>
      </c>
      <c r="J22">
        <v>7274329</v>
      </c>
      <c r="K22">
        <v>7789205</v>
      </c>
      <c r="L22">
        <v>4.678500153053791E-6</v>
      </c>
      <c r="M22">
        <v>4.975853808789204E-5</v>
      </c>
      <c r="N22">
        <v>1.2820802110406594E-4</v>
      </c>
      <c r="O22">
        <v>8.6880865575367846E-5</v>
      </c>
      <c r="P22">
        <v>1.7203296100179672E-4</v>
      </c>
      <c r="Q22">
        <v>5.8510550902491139E-2</v>
      </c>
      <c r="R22">
        <v>0.87839358493002762</v>
      </c>
      <c r="S22">
        <v>3.5087666990715762</v>
      </c>
      <c r="T22">
        <v>1.4747355949310805</v>
      </c>
      <c r="U22">
        <v>2.7722769150976778</v>
      </c>
      <c r="V22">
        <v>-0.8894473921821473</v>
      </c>
      <c r="W22">
        <v>-6.4739581760497961E-2</v>
      </c>
      <c r="X22">
        <v>0.55641971885308894</v>
      </c>
      <c r="Y22">
        <v>0.19183285515570467</v>
      </c>
      <c r="Z22">
        <v>0.46981622902723386</v>
      </c>
    </row>
    <row r="23" spans="1:26" x14ac:dyDescent="0.25">
      <c r="A23" s="28" t="s">
        <v>40</v>
      </c>
      <c r="B23">
        <v>1173</v>
      </c>
      <c r="C23">
        <v>2220</v>
      </c>
      <c r="D23">
        <v>1592</v>
      </c>
      <c r="E23">
        <v>1730</v>
      </c>
      <c r="F23">
        <v>1175</v>
      </c>
      <c r="G23">
        <v>4666296</v>
      </c>
      <c r="H23">
        <v>4975949</v>
      </c>
      <c r="I23">
        <v>6479173</v>
      </c>
      <c r="J23">
        <v>7170971</v>
      </c>
      <c r="K23">
        <v>6970520</v>
      </c>
      <c r="L23">
        <v>2.5137710938183091E-4</v>
      </c>
      <c r="M23">
        <v>4.4614605173807045E-4</v>
      </c>
      <c r="N23">
        <v>2.4571037075256364E-4</v>
      </c>
      <c r="O23">
        <v>2.4125045269322661E-4</v>
      </c>
      <c r="P23">
        <v>1.6856705095172239E-4</v>
      </c>
      <c r="Q23">
        <v>3.1437881100861413</v>
      </c>
      <c r="R23">
        <v>7.8758710534532765</v>
      </c>
      <c r="S23">
        <v>6.7245431220978755</v>
      </c>
      <c r="T23">
        <v>4.095040116414399</v>
      </c>
      <c r="U23">
        <v>2.7164244646970492</v>
      </c>
      <c r="V23">
        <v>0.5173498386339006</v>
      </c>
      <c r="W23">
        <v>0.7746700027574337</v>
      </c>
      <c r="X23">
        <v>0.74108501067480237</v>
      </c>
      <c r="Y23">
        <v>0.60746138316816889</v>
      </c>
      <c r="Z23">
        <v>0.46184833863883373</v>
      </c>
    </row>
    <row r="24" spans="1:26" x14ac:dyDescent="0.25">
      <c r="A24" s="28" t="s">
        <v>35</v>
      </c>
      <c r="B24">
        <v>1834</v>
      </c>
      <c r="C24">
        <v>2446</v>
      </c>
      <c r="D24">
        <v>2142</v>
      </c>
      <c r="E24">
        <v>3428</v>
      </c>
      <c r="F24">
        <v>1692</v>
      </c>
      <c r="G24">
        <v>6132785</v>
      </c>
      <c r="H24">
        <v>7164608</v>
      </c>
      <c r="I24">
        <v>10222849</v>
      </c>
      <c r="J24">
        <v>10293431</v>
      </c>
      <c r="K24">
        <v>10940546</v>
      </c>
      <c r="L24">
        <v>2.9904847471417959E-4</v>
      </c>
      <c r="M24">
        <v>3.4140039482969618E-4</v>
      </c>
      <c r="N24">
        <v>2.0953063084468918E-4</v>
      </c>
      <c r="O24">
        <v>3.3302792820003361E-4</v>
      </c>
      <c r="P24">
        <v>1.5465407302341219E-4</v>
      </c>
      <c r="Q24">
        <v>3.7399787174646613</v>
      </c>
      <c r="R24">
        <v>6.0267831056707779</v>
      </c>
      <c r="S24">
        <v>5.7343845853961897</v>
      </c>
      <c r="T24">
        <v>5.6528918832731412</v>
      </c>
      <c r="U24">
        <v>2.492219595430659</v>
      </c>
      <c r="V24">
        <v>0.57805717721243954</v>
      </c>
      <c r="W24">
        <v>0.71537473550507724</v>
      </c>
      <c r="X24">
        <v>0.70301666401157303</v>
      </c>
      <c r="Y24">
        <v>0.69937885131901101</v>
      </c>
      <c r="Z24">
        <v>0.42729832837062443</v>
      </c>
    </row>
    <row r="25" spans="1:26" x14ac:dyDescent="0.25">
      <c r="A25" s="28" t="s">
        <v>44</v>
      </c>
      <c r="B25">
        <v>396</v>
      </c>
      <c r="C25">
        <v>675</v>
      </c>
      <c r="D25">
        <v>232</v>
      </c>
      <c r="E25">
        <v>409</v>
      </c>
      <c r="F25">
        <v>1037</v>
      </c>
      <c r="G25">
        <v>5087343</v>
      </c>
      <c r="H25">
        <v>6495086</v>
      </c>
      <c r="I25">
        <v>7359829</v>
      </c>
      <c r="J25">
        <v>7378486</v>
      </c>
      <c r="K25">
        <v>7769133</v>
      </c>
      <c r="L25">
        <v>7.7840239983818665E-5</v>
      </c>
      <c r="M25">
        <v>1.0392472093518085E-4</v>
      </c>
      <c r="N25">
        <v>3.1522471513944142E-5</v>
      </c>
      <c r="O25">
        <v>5.5431425904989179E-5</v>
      </c>
      <c r="P25">
        <v>1.3347692721954945E-4</v>
      </c>
      <c r="Q25">
        <v>0.97349047233919861</v>
      </c>
      <c r="R25">
        <v>1.8345958642084665</v>
      </c>
      <c r="S25">
        <v>0.86269952042066034</v>
      </c>
      <c r="T25">
        <v>0.94090564497148454</v>
      </c>
      <c r="U25">
        <v>2.1509541071322089</v>
      </c>
      <c r="V25">
        <v>-1.3432812588843854E-2</v>
      </c>
      <c r="W25">
        <v>0.29443204752629498</v>
      </c>
      <c r="X25">
        <v>-7.3710482057961005E-2</v>
      </c>
      <c r="Y25">
        <v>-3.0446794351707735E-2</v>
      </c>
      <c r="Z25">
        <v>0.36527161869067387</v>
      </c>
    </row>
    <row r="26" spans="1:26" x14ac:dyDescent="0.25">
      <c r="A26" s="28" t="s">
        <v>98</v>
      </c>
      <c r="B26">
        <v>0</v>
      </c>
      <c r="C26">
        <v>0</v>
      </c>
      <c r="D26">
        <v>0</v>
      </c>
      <c r="E26">
        <v>0</v>
      </c>
      <c r="F26">
        <v>10</v>
      </c>
      <c r="G26">
        <v>41044</v>
      </c>
      <c r="H26">
        <v>58015</v>
      </c>
      <c r="I26">
        <v>117824</v>
      </c>
      <c r="J26">
        <v>113585</v>
      </c>
      <c r="K26">
        <v>84954</v>
      </c>
      <c r="L26">
        <v>0</v>
      </c>
      <c r="M26">
        <v>0</v>
      </c>
      <c r="N26">
        <v>0</v>
      </c>
      <c r="O26">
        <v>0</v>
      </c>
      <c r="P26">
        <v>1.1771076111778139E-4</v>
      </c>
      <c r="Q26">
        <v>0</v>
      </c>
      <c r="R26">
        <v>0</v>
      </c>
      <c r="S26">
        <v>0</v>
      </c>
      <c r="T26">
        <v>0</v>
      </c>
      <c r="U26">
        <v>1.8968854794169037</v>
      </c>
      <c r="V26">
        <v>-1</v>
      </c>
      <c r="W26">
        <v>-1</v>
      </c>
      <c r="X26">
        <v>-1</v>
      </c>
      <c r="Y26">
        <v>-1</v>
      </c>
      <c r="Z26">
        <v>0.30960336050199411</v>
      </c>
    </row>
    <row r="27" spans="1:26" x14ac:dyDescent="0.25">
      <c r="A27" s="28" t="s">
        <v>150</v>
      </c>
      <c r="B27">
        <v>5</v>
      </c>
      <c r="C27">
        <v>15</v>
      </c>
      <c r="D27">
        <v>65</v>
      </c>
      <c r="E27">
        <v>75</v>
      </c>
      <c r="F27">
        <v>70</v>
      </c>
      <c r="G27">
        <v>3989356</v>
      </c>
      <c r="H27">
        <v>4173796</v>
      </c>
      <c r="I27">
        <v>3904608</v>
      </c>
      <c r="J27">
        <v>4006274</v>
      </c>
      <c r="K27">
        <v>643663</v>
      </c>
      <c r="L27">
        <v>1.2533351247670049E-6</v>
      </c>
      <c r="M27">
        <v>3.5938507775655542E-6</v>
      </c>
      <c r="N27">
        <v>1.6646997598734624E-5</v>
      </c>
      <c r="O27">
        <v>1.872063668136528E-5</v>
      </c>
      <c r="P27">
        <v>1.087525615112256E-4</v>
      </c>
      <c r="Q27">
        <v>1.5674538039224636E-2</v>
      </c>
      <c r="R27">
        <v>6.344268922517915E-2</v>
      </c>
      <c r="S27">
        <v>0.45559108011310018</v>
      </c>
      <c r="T27">
        <v>0.31776834969297491</v>
      </c>
      <c r="U27">
        <v>1.7525258763183302</v>
      </c>
      <c r="V27">
        <v>-0.96913472288183067</v>
      </c>
      <c r="W27">
        <v>-0.88068432860937096</v>
      </c>
      <c r="X27">
        <v>-0.37401226712972085</v>
      </c>
      <c r="Y27">
        <v>-0.5177174352882109</v>
      </c>
      <c r="Z27">
        <v>0.27339466008031832</v>
      </c>
    </row>
    <row r="28" spans="1:26" x14ac:dyDescent="0.25">
      <c r="A28" s="28" t="s">
        <v>33</v>
      </c>
      <c r="B28">
        <v>1609</v>
      </c>
      <c r="C28">
        <v>514</v>
      </c>
      <c r="D28">
        <v>621</v>
      </c>
      <c r="E28">
        <v>11153</v>
      </c>
      <c r="F28">
        <v>30629</v>
      </c>
      <c r="G28">
        <v>173110415</v>
      </c>
      <c r="H28">
        <v>276204569</v>
      </c>
      <c r="I28">
        <v>411184942</v>
      </c>
      <c r="J28">
        <v>320978141</v>
      </c>
      <c r="K28">
        <v>305358131</v>
      </c>
      <c r="L28">
        <v>9.2946458478538108E-6</v>
      </c>
      <c r="M28">
        <v>1.860939527035847E-6</v>
      </c>
      <c r="N28">
        <v>1.5102693133154668E-6</v>
      </c>
      <c r="O28">
        <v>3.4746914432406785E-5</v>
      </c>
      <c r="P28">
        <v>1.0030517248613891E-4</v>
      </c>
      <c r="Q28">
        <v>0.11624128058358654</v>
      </c>
      <c r="R28">
        <v>3.285139405831481E-2</v>
      </c>
      <c r="S28">
        <v>4.1332692194739368E-2</v>
      </c>
      <c r="T28">
        <v>0.58980203740077453</v>
      </c>
      <c r="U28">
        <v>1.6163978840386839</v>
      </c>
      <c r="V28">
        <v>-0.79172732167222126</v>
      </c>
      <c r="W28">
        <v>-0.93638698800756992</v>
      </c>
      <c r="X28">
        <v>-0.92061577917500015</v>
      </c>
      <c r="Y28">
        <v>-0.25801826450661308</v>
      </c>
      <c r="Z28">
        <v>0.23559027004226482</v>
      </c>
    </row>
    <row r="29" spans="1:26" x14ac:dyDescent="0.25">
      <c r="A29" s="28" t="s">
        <v>71</v>
      </c>
      <c r="B29">
        <v>15</v>
      </c>
      <c r="C29">
        <v>1</v>
      </c>
      <c r="D29">
        <v>0</v>
      </c>
      <c r="E29">
        <v>3</v>
      </c>
      <c r="F29">
        <v>111</v>
      </c>
      <c r="G29">
        <v>1247237</v>
      </c>
      <c r="H29">
        <v>633014</v>
      </c>
      <c r="I29">
        <v>446135</v>
      </c>
      <c r="J29">
        <v>467409</v>
      </c>
      <c r="K29">
        <v>1274642</v>
      </c>
      <c r="L29">
        <v>1.2026583560301691E-5</v>
      </c>
      <c r="M29">
        <v>1.579743891920242E-6</v>
      </c>
      <c r="N29">
        <v>0</v>
      </c>
      <c r="O29">
        <v>6.4183616490054747E-6</v>
      </c>
      <c r="P29">
        <v>8.7083275147060903E-5</v>
      </c>
      <c r="Q29">
        <v>0.15040761068026937</v>
      </c>
      <c r="R29">
        <v>2.7887412971097619E-2</v>
      </c>
      <c r="S29">
        <v>0</v>
      </c>
      <c r="T29">
        <v>0.1089467320824266</v>
      </c>
      <c r="U29">
        <v>1.4033296408748954</v>
      </c>
      <c r="V29">
        <v>-0.73851422872397543</v>
      </c>
      <c r="W29">
        <v>-0.945738389984776</v>
      </c>
      <c r="X29">
        <v>-1</v>
      </c>
      <c r="Y29">
        <v>-0.80351313741131303</v>
      </c>
      <c r="Z29">
        <v>0.16782119024174702</v>
      </c>
    </row>
    <row r="30" spans="1:26" x14ac:dyDescent="0.25">
      <c r="A30" s="28" t="s">
        <v>38</v>
      </c>
      <c r="B30">
        <v>772</v>
      </c>
      <c r="C30">
        <v>700</v>
      </c>
      <c r="D30">
        <v>981</v>
      </c>
      <c r="E30">
        <v>1324</v>
      </c>
      <c r="F30">
        <v>1558</v>
      </c>
      <c r="G30">
        <v>12454042</v>
      </c>
      <c r="H30">
        <v>15356712</v>
      </c>
      <c r="I30">
        <v>16395306</v>
      </c>
      <c r="J30">
        <v>18356186</v>
      </c>
      <c r="K30">
        <v>20548862</v>
      </c>
      <c r="L30">
        <v>6.1987907219198394E-5</v>
      </c>
      <c r="M30">
        <v>4.5582674207864286E-5</v>
      </c>
      <c r="N30">
        <v>5.9834198885949427E-5</v>
      </c>
      <c r="O30">
        <v>7.2128273269839386E-5</v>
      </c>
      <c r="P30">
        <v>7.5819283812407712E-5</v>
      </c>
      <c r="Q30">
        <v>0.77523703794695686</v>
      </c>
      <c r="R30">
        <v>0.80467654691580282</v>
      </c>
      <c r="S30">
        <v>1.6375281570427958</v>
      </c>
      <c r="T30">
        <v>1.2243217339918611</v>
      </c>
      <c r="U30">
        <v>1.2218126631569266</v>
      </c>
      <c r="V30">
        <v>-0.12661011304325825</v>
      </c>
      <c r="W30">
        <v>-0.10823183435170447</v>
      </c>
      <c r="X30">
        <v>0.24171425633521737</v>
      </c>
      <c r="Y30">
        <v>0.10084949967614797</v>
      </c>
      <c r="Z30">
        <v>9.9834098002555119E-2</v>
      </c>
    </row>
    <row r="31" spans="1:26" x14ac:dyDescent="0.25">
      <c r="A31" s="28" t="s">
        <v>132</v>
      </c>
      <c r="B31">
        <v>97</v>
      </c>
      <c r="C31">
        <v>79</v>
      </c>
      <c r="D31">
        <v>0</v>
      </c>
      <c r="E31">
        <v>217</v>
      </c>
      <c r="F31">
        <v>7</v>
      </c>
      <c r="G31">
        <v>1054621</v>
      </c>
      <c r="H31">
        <v>1357640</v>
      </c>
      <c r="I31">
        <v>1525160</v>
      </c>
      <c r="J31">
        <v>1521388</v>
      </c>
      <c r="K31">
        <v>93162</v>
      </c>
      <c r="L31">
        <v>9.1976169638192302E-5</v>
      </c>
      <c r="M31">
        <v>5.818921068913703E-5</v>
      </c>
      <c r="N31">
        <v>0</v>
      </c>
      <c r="O31">
        <v>1.42632911525528E-4</v>
      </c>
      <c r="P31">
        <v>7.5137931774757946E-5</v>
      </c>
      <c r="Q31">
        <v>1.1502781189221296</v>
      </c>
      <c r="R31">
        <v>1.0272212839371444</v>
      </c>
      <c r="S31">
        <v>0</v>
      </c>
      <c r="T31">
        <v>2.4210835175540453</v>
      </c>
      <c r="U31">
        <v>1.2108328107261388</v>
      </c>
      <c r="V31">
        <v>6.9887758983223788E-2</v>
      </c>
      <c r="W31">
        <v>1.3427879902817959E-2</v>
      </c>
      <c r="X31">
        <v>-1</v>
      </c>
      <c r="Y31">
        <v>0.41538989336631865</v>
      </c>
      <c r="Z31">
        <v>9.5363525320981496E-2</v>
      </c>
    </row>
    <row r="32" spans="1:26" x14ac:dyDescent="0.25">
      <c r="A32" s="28" t="s">
        <v>84</v>
      </c>
      <c r="B32">
        <v>37</v>
      </c>
      <c r="C32">
        <v>57</v>
      </c>
      <c r="D32">
        <v>1065</v>
      </c>
      <c r="E32">
        <v>88</v>
      </c>
      <c r="F32">
        <v>56</v>
      </c>
      <c r="G32">
        <v>956674</v>
      </c>
      <c r="H32">
        <v>1110651</v>
      </c>
      <c r="I32">
        <v>1076509</v>
      </c>
      <c r="J32">
        <v>1245851</v>
      </c>
      <c r="K32">
        <v>819570</v>
      </c>
      <c r="L32">
        <v>3.8675661719666263E-5</v>
      </c>
      <c r="M32">
        <v>5.132125213050724E-5</v>
      </c>
      <c r="N32">
        <v>9.8930896072396972E-4</v>
      </c>
      <c r="O32">
        <v>7.0634449865995206E-5</v>
      </c>
      <c r="P32">
        <v>6.8328513732811107E-5</v>
      </c>
      <c r="Q32">
        <v>0.48368797685279091</v>
      </c>
      <c r="R32">
        <v>0.90598036787949054</v>
      </c>
      <c r="S32">
        <v>27.075172883791502</v>
      </c>
      <c r="T32">
        <v>1.198965235393455</v>
      </c>
      <c r="U32">
        <v>1.1011003947227793</v>
      </c>
      <c r="V32">
        <v>-0.34799232129818408</v>
      </c>
      <c r="W32">
        <v>-4.9328751599425728E-2</v>
      </c>
      <c r="X32">
        <v>0.92876268266349127</v>
      </c>
      <c r="Y32">
        <v>9.048130101877426E-2</v>
      </c>
      <c r="Z32">
        <v>4.8117831483306422E-2</v>
      </c>
    </row>
    <row r="33" spans="1:26" x14ac:dyDescent="0.25">
      <c r="A33" s="28" t="s">
        <v>105</v>
      </c>
      <c r="B33">
        <v>724</v>
      </c>
      <c r="C33">
        <v>205</v>
      </c>
      <c r="D33">
        <v>309</v>
      </c>
      <c r="E33">
        <v>1202</v>
      </c>
      <c r="F33">
        <v>2091</v>
      </c>
      <c r="G33">
        <v>22245688</v>
      </c>
      <c r="H33">
        <v>28880006</v>
      </c>
      <c r="I33">
        <v>31175925</v>
      </c>
      <c r="J33">
        <v>28950086</v>
      </c>
      <c r="K33">
        <v>32460566</v>
      </c>
      <c r="L33">
        <v>3.2545633113257723E-5</v>
      </c>
      <c r="M33">
        <v>7.0983364754148595E-6</v>
      </c>
      <c r="N33">
        <v>9.9114942058655846E-6</v>
      </c>
      <c r="O33">
        <v>4.1519738490586866E-5</v>
      </c>
      <c r="P33">
        <v>6.4416621694150371E-5</v>
      </c>
      <c r="Q33">
        <v>0.40702423012300221</v>
      </c>
      <c r="R33">
        <v>0.12530780572101369</v>
      </c>
      <c r="S33">
        <v>0.27125542152587778</v>
      </c>
      <c r="T33">
        <v>0.70476549512713882</v>
      </c>
      <c r="U33">
        <v>1.0380610333702751</v>
      </c>
      <c r="V33">
        <v>-0.42143962924160849</v>
      </c>
      <c r="W33">
        <v>-0.77729150178474804</v>
      </c>
      <c r="X33">
        <v>-0.57324796113704346</v>
      </c>
      <c r="Y33">
        <v>-0.1731818867267976</v>
      </c>
      <c r="Z33">
        <v>1.8675119511673707E-2</v>
      </c>
    </row>
    <row r="34" spans="1:26" x14ac:dyDescent="0.25">
      <c r="A34" s="28" t="s">
        <v>54</v>
      </c>
      <c r="B34">
        <v>394</v>
      </c>
      <c r="C34">
        <v>864</v>
      </c>
      <c r="D34">
        <v>420</v>
      </c>
      <c r="E34">
        <v>377</v>
      </c>
      <c r="F34">
        <v>441</v>
      </c>
      <c r="G34">
        <v>3460033</v>
      </c>
      <c r="H34">
        <v>5111686</v>
      </c>
      <c r="I34">
        <v>8199019</v>
      </c>
      <c r="J34">
        <v>8276429</v>
      </c>
      <c r="K34">
        <v>8211289</v>
      </c>
      <c r="L34">
        <v>1.1387174630993404E-4</v>
      </c>
      <c r="M34">
        <v>1.6902446668281269E-4</v>
      </c>
      <c r="N34">
        <v>5.1225640530897662E-5</v>
      </c>
      <c r="O34">
        <v>4.5551046230203874E-5</v>
      </c>
      <c r="P34">
        <v>5.3706549605062006E-5</v>
      </c>
      <c r="Q34">
        <v>1.4241099478160792</v>
      </c>
      <c r="R34">
        <v>2.9838096723852443</v>
      </c>
      <c r="S34">
        <v>1.4019311747081071</v>
      </c>
      <c r="T34">
        <v>0.77319383062268088</v>
      </c>
      <c r="U34">
        <v>0.86547035401028005</v>
      </c>
      <c r="V34">
        <v>0.17495491415237452</v>
      </c>
      <c r="W34">
        <v>0.49796798429817279</v>
      </c>
      <c r="X34">
        <v>0.16733667431455507</v>
      </c>
      <c r="Y34">
        <v>-0.12790827796737431</v>
      </c>
      <c r="Z34">
        <v>-7.2115670828279813E-2</v>
      </c>
    </row>
    <row r="35" spans="1:26" x14ac:dyDescent="0.25">
      <c r="A35" s="28" t="s">
        <v>65</v>
      </c>
      <c r="B35">
        <v>576</v>
      </c>
      <c r="C35">
        <v>505</v>
      </c>
      <c r="D35">
        <v>570</v>
      </c>
      <c r="E35">
        <v>411</v>
      </c>
      <c r="F35">
        <v>270</v>
      </c>
      <c r="G35">
        <v>4381069</v>
      </c>
      <c r="H35">
        <v>5062869</v>
      </c>
      <c r="I35">
        <v>4548742</v>
      </c>
      <c r="J35">
        <v>4469324</v>
      </c>
      <c r="K35">
        <v>5643566</v>
      </c>
      <c r="L35">
        <v>1.3147476106858852E-4</v>
      </c>
      <c r="M35">
        <v>9.9745816058049303E-5</v>
      </c>
      <c r="N35">
        <v>1.2530937125033691E-4</v>
      </c>
      <c r="O35">
        <v>9.196021590737212E-5</v>
      </c>
      <c r="P35">
        <v>4.7842091330197962E-5</v>
      </c>
      <c r="Q35">
        <v>1.6442578707356221</v>
      </c>
      <c r="R35">
        <v>1.7608251430988291</v>
      </c>
      <c r="S35">
        <v>3.4294371376958681</v>
      </c>
      <c r="T35">
        <v>1.5609536440276752</v>
      </c>
      <c r="U35">
        <v>0.77096577651370746</v>
      </c>
      <c r="V35">
        <v>0.24364411575199063</v>
      </c>
      <c r="W35">
        <v>0.27557889531709245</v>
      </c>
      <c r="X35">
        <v>0.54847536203203184</v>
      </c>
      <c r="Y35">
        <v>0.21904092068822048</v>
      </c>
      <c r="Z35">
        <v>-0.12932730068740536</v>
      </c>
    </row>
    <row r="36" spans="1:26" x14ac:dyDescent="0.25">
      <c r="A36" s="28" t="s">
        <v>57</v>
      </c>
      <c r="B36">
        <v>486</v>
      </c>
      <c r="C36">
        <v>542</v>
      </c>
      <c r="D36">
        <v>701</v>
      </c>
      <c r="E36">
        <v>690</v>
      </c>
      <c r="F36">
        <v>546</v>
      </c>
      <c r="G36">
        <v>10706858</v>
      </c>
      <c r="H36">
        <v>13331249</v>
      </c>
      <c r="I36">
        <v>12770025</v>
      </c>
      <c r="J36">
        <v>11617429</v>
      </c>
      <c r="K36">
        <v>12023926</v>
      </c>
      <c r="L36">
        <v>4.5391467786347777E-5</v>
      </c>
      <c r="M36">
        <v>4.0656355604789916E-5</v>
      </c>
      <c r="N36">
        <v>5.4894176009835531E-5</v>
      </c>
      <c r="O36">
        <v>5.9393519857104357E-5</v>
      </c>
      <c r="P36">
        <v>4.5409461102804524E-5</v>
      </c>
      <c r="Q36">
        <v>0.56767761025257624</v>
      </c>
      <c r="R36">
        <v>0.71771163949391548</v>
      </c>
      <c r="S36">
        <v>1.5023307831882318</v>
      </c>
      <c r="T36">
        <v>1.0081591298780854</v>
      </c>
      <c r="U36">
        <v>0.73176442473146841</v>
      </c>
      <c r="V36">
        <v>-0.27577251018962384</v>
      </c>
      <c r="W36">
        <v>-0.16433978440598698</v>
      </c>
      <c r="X36">
        <v>0.20074515590149503</v>
      </c>
      <c r="Y36">
        <v>4.0629897086794931E-3</v>
      </c>
      <c r="Z36">
        <v>-0.15489149184371589</v>
      </c>
    </row>
    <row r="37" spans="1:26" x14ac:dyDescent="0.25">
      <c r="A37" s="28" t="s">
        <v>59</v>
      </c>
      <c r="B37">
        <v>22</v>
      </c>
      <c r="C37">
        <v>14</v>
      </c>
      <c r="D37">
        <v>313</v>
      </c>
      <c r="E37">
        <v>243</v>
      </c>
      <c r="F37">
        <v>300</v>
      </c>
      <c r="G37">
        <v>3155095</v>
      </c>
      <c r="H37">
        <v>4319099</v>
      </c>
      <c r="I37">
        <v>7840704</v>
      </c>
      <c r="J37">
        <v>7094193</v>
      </c>
      <c r="K37">
        <v>6703706</v>
      </c>
      <c r="L37">
        <v>6.9728486780905175E-6</v>
      </c>
      <c r="M37">
        <v>3.2414167862324988E-6</v>
      </c>
      <c r="N37">
        <v>3.9919884745043302E-5</v>
      </c>
      <c r="O37">
        <v>3.4253367507763037E-5</v>
      </c>
      <c r="P37">
        <v>4.4751365886272457E-5</v>
      </c>
      <c r="Q37">
        <v>8.7204275765274827E-2</v>
      </c>
      <c r="R37">
        <v>5.7221128685128408E-2</v>
      </c>
      <c r="S37">
        <v>1.0925179331056787</v>
      </c>
      <c r="T37">
        <v>0.58142445952190891</v>
      </c>
      <c r="U37">
        <v>0.72115935134260201</v>
      </c>
      <c r="V37">
        <v>-0.83958069755770159</v>
      </c>
      <c r="W37">
        <v>-0.89175182536070829</v>
      </c>
      <c r="X37">
        <v>4.4213687080982465E-2</v>
      </c>
      <c r="Y37">
        <v>-0.26468260178841135</v>
      </c>
      <c r="Z37">
        <v>-0.16200745645072692</v>
      </c>
    </row>
    <row r="38" spans="1:26" x14ac:dyDescent="0.25">
      <c r="A38" s="28" t="s">
        <v>19</v>
      </c>
      <c r="B38">
        <v>14894</v>
      </c>
      <c r="C38">
        <v>14460</v>
      </c>
      <c r="D38">
        <v>11996</v>
      </c>
      <c r="E38">
        <v>17477</v>
      </c>
      <c r="F38">
        <v>16113</v>
      </c>
      <c r="G38">
        <v>312080513</v>
      </c>
      <c r="H38">
        <v>391558519</v>
      </c>
      <c r="I38">
        <v>424286055</v>
      </c>
      <c r="J38">
        <v>420169591</v>
      </c>
      <c r="K38">
        <v>403702939</v>
      </c>
      <c r="L38">
        <v>4.772486387190731E-5</v>
      </c>
      <c r="M38">
        <v>3.6929345930026871E-5</v>
      </c>
      <c r="N38">
        <v>2.8273377969021395E-5</v>
      </c>
      <c r="O38">
        <v>4.159510915200905E-5</v>
      </c>
      <c r="P38">
        <v>3.9913011383848259E-5</v>
      </c>
      <c r="Q38">
        <v>0.59685967415625885</v>
      </c>
      <c r="R38">
        <v>0.65191827990000428</v>
      </c>
      <c r="S38">
        <v>0.77377909926120914</v>
      </c>
      <c r="T38">
        <v>0.70604485389591598</v>
      </c>
      <c r="U38">
        <v>0.64319023184352275</v>
      </c>
      <c r="V38">
        <v>-0.25245820429196481</v>
      </c>
      <c r="W38">
        <v>-0.21071364384990413</v>
      </c>
      <c r="X38">
        <v>-0.12753611812937324</v>
      </c>
      <c r="Y38">
        <v>-0.17230212056430369</v>
      </c>
      <c r="Z38">
        <v>-0.21714452851643742</v>
      </c>
    </row>
    <row r="39" spans="1:26" x14ac:dyDescent="0.25">
      <c r="A39" s="28" t="s">
        <v>68</v>
      </c>
      <c r="B39">
        <v>181</v>
      </c>
      <c r="C39">
        <v>213</v>
      </c>
      <c r="D39">
        <v>217</v>
      </c>
      <c r="E39">
        <v>632</v>
      </c>
      <c r="F39">
        <v>281</v>
      </c>
      <c r="G39">
        <v>6025429</v>
      </c>
      <c r="H39">
        <v>6742108</v>
      </c>
      <c r="I39">
        <v>7390793</v>
      </c>
      <c r="J39">
        <v>7216731</v>
      </c>
      <c r="K39">
        <v>8255798</v>
      </c>
      <c r="L39">
        <v>3.003935487415087E-5</v>
      </c>
      <c r="M39">
        <v>3.159249303036973E-5</v>
      </c>
      <c r="N39">
        <v>2.9360854782429978E-5</v>
      </c>
      <c r="O39">
        <v>8.75742770514794E-5</v>
      </c>
      <c r="P39">
        <v>3.4036685490609145E-5</v>
      </c>
      <c r="Q39">
        <v>0.37568005662984777</v>
      </c>
      <c r="R39">
        <v>0.55770616011277196</v>
      </c>
      <c r="S39">
        <v>0.80354090664300559</v>
      </c>
      <c r="T39">
        <v>1.4865057192154469</v>
      </c>
      <c r="U39">
        <v>0.54849441003965693</v>
      </c>
      <c r="V39">
        <v>-0.45382641142564528</v>
      </c>
      <c r="W39">
        <v>-0.28393919932576223</v>
      </c>
      <c r="X39">
        <v>-0.10892965756051005</v>
      </c>
      <c r="Y39">
        <v>0.19565839541642049</v>
      </c>
      <c r="Z39">
        <v>-0.29157715199551804</v>
      </c>
    </row>
    <row r="40" spans="1:26" x14ac:dyDescent="0.25">
      <c r="A40" s="28" t="s">
        <v>21</v>
      </c>
      <c r="B40">
        <v>12532</v>
      </c>
      <c r="C40">
        <v>9967</v>
      </c>
      <c r="D40">
        <v>10933</v>
      </c>
      <c r="E40">
        <v>26962</v>
      </c>
      <c r="F40">
        <v>16409</v>
      </c>
      <c r="G40">
        <v>281441457</v>
      </c>
      <c r="H40">
        <v>335792598</v>
      </c>
      <c r="I40">
        <v>370909157</v>
      </c>
      <c r="J40">
        <v>353077513</v>
      </c>
      <c r="K40">
        <v>499816774</v>
      </c>
      <c r="L40">
        <v>4.4527910470560133E-5</v>
      </c>
      <c r="M40">
        <v>2.968201222827431E-5</v>
      </c>
      <c r="N40">
        <v>2.9476220237938208E-5</v>
      </c>
      <c r="O40">
        <v>7.6362835375471785E-5</v>
      </c>
      <c r="P40">
        <v>3.2830030630384563E-5</v>
      </c>
      <c r="Q40">
        <v>0.55687773579930067</v>
      </c>
      <c r="R40">
        <v>0.5239802078404534</v>
      </c>
      <c r="S40">
        <v>0.80669820105426504</v>
      </c>
      <c r="T40">
        <v>1.2962001553768907</v>
      </c>
      <c r="U40">
        <v>0.52904940720990223</v>
      </c>
      <c r="V40">
        <v>-0.28462239134866968</v>
      </c>
      <c r="W40">
        <v>-0.31235300150917805</v>
      </c>
      <c r="X40">
        <v>-0.10699174816963745</v>
      </c>
      <c r="Y40">
        <v>0.12899579101730066</v>
      </c>
      <c r="Z40">
        <v>-0.30800220749534446</v>
      </c>
    </row>
    <row r="41" spans="1:26" x14ac:dyDescent="0.25">
      <c r="A41" s="28" t="s">
        <v>22</v>
      </c>
      <c r="B41">
        <v>4440</v>
      </c>
      <c r="C41">
        <v>3562</v>
      </c>
      <c r="D41">
        <v>5448</v>
      </c>
      <c r="E41">
        <v>28405</v>
      </c>
      <c r="F41">
        <v>8509</v>
      </c>
      <c r="G41">
        <v>163306490</v>
      </c>
      <c r="H41">
        <v>231587887</v>
      </c>
      <c r="I41">
        <v>291979103</v>
      </c>
      <c r="J41">
        <v>258797196</v>
      </c>
      <c r="K41">
        <v>264703354</v>
      </c>
      <c r="L41">
        <v>2.7188141757256556E-5</v>
      </c>
      <c r="M41">
        <v>1.5380769893202574E-5</v>
      </c>
      <c r="N41">
        <v>1.8658869569854114E-5</v>
      </c>
      <c r="O41">
        <v>1.0975775796272538E-4</v>
      </c>
      <c r="P41">
        <v>3.2145418149858426E-5</v>
      </c>
      <c r="Q41">
        <v>0.34002203701836975</v>
      </c>
      <c r="R41">
        <v>0.27151862021367512</v>
      </c>
      <c r="S41">
        <v>0.51065151482123472</v>
      </c>
      <c r="T41">
        <v>1.8630531753513329</v>
      </c>
      <c r="U41">
        <v>0.5180170133913099</v>
      </c>
      <c r="V41">
        <v>-0.49251276826023044</v>
      </c>
      <c r="W41">
        <v>-0.57292230582034709</v>
      </c>
      <c r="X41">
        <v>-0.32393207856192635</v>
      </c>
      <c r="Y41">
        <v>0.30144503873750977</v>
      </c>
      <c r="Z41">
        <v>-0.3175082903266816</v>
      </c>
    </row>
    <row r="42" spans="1:26" x14ac:dyDescent="0.25">
      <c r="A42" s="28" t="s">
        <v>107</v>
      </c>
      <c r="B42">
        <v>0</v>
      </c>
      <c r="C42">
        <v>0</v>
      </c>
      <c r="D42">
        <v>0</v>
      </c>
      <c r="E42">
        <v>0</v>
      </c>
      <c r="F42">
        <v>3</v>
      </c>
      <c r="G42">
        <v>166781</v>
      </c>
      <c r="H42">
        <v>163974</v>
      </c>
      <c r="I42">
        <v>386143</v>
      </c>
      <c r="J42">
        <v>252365</v>
      </c>
      <c r="K42">
        <v>104618</v>
      </c>
      <c r="L42">
        <v>0</v>
      </c>
      <c r="M42">
        <v>0</v>
      </c>
      <c r="N42">
        <v>0</v>
      </c>
      <c r="O42">
        <v>0</v>
      </c>
      <c r="P42">
        <v>2.8675753694392933E-5</v>
      </c>
      <c r="Q42">
        <v>0</v>
      </c>
      <c r="R42">
        <v>0</v>
      </c>
      <c r="S42">
        <v>0</v>
      </c>
      <c r="T42">
        <v>0</v>
      </c>
      <c r="U42">
        <v>0.46210406149529804</v>
      </c>
      <c r="V42">
        <v>-1</v>
      </c>
      <c r="W42">
        <v>-1</v>
      </c>
      <c r="X42">
        <v>-1</v>
      </c>
      <c r="Y42">
        <v>-1</v>
      </c>
      <c r="Z42">
        <v>-0.36789169298565128</v>
      </c>
    </row>
    <row r="43" spans="1:26" x14ac:dyDescent="0.25">
      <c r="A43" s="28" t="s">
        <v>111</v>
      </c>
      <c r="B43">
        <v>219</v>
      </c>
      <c r="C43">
        <v>343</v>
      </c>
      <c r="D43">
        <v>54</v>
      </c>
      <c r="E43">
        <v>198</v>
      </c>
      <c r="F43">
        <v>42</v>
      </c>
      <c r="G43">
        <v>3807461</v>
      </c>
      <c r="H43">
        <v>4229977</v>
      </c>
      <c r="I43">
        <v>3491761</v>
      </c>
      <c r="J43">
        <v>4560694</v>
      </c>
      <c r="K43">
        <v>1521500</v>
      </c>
      <c r="L43">
        <v>5.7518645627624287E-5</v>
      </c>
      <c r="M43">
        <v>8.1087911352709476E-5</v>
      </c>
      <c r="N43">
        <v>1.5464975982033133E-5</v>
      </c>
      <c r="O43">
        <v>4.3414445257673506E-5</v>
      </c>
      <c r="P43">
        <v>2.7604337824515282E-5</v>
      </c>
      <c r="Q43">
        <v>0.71934327941418064</v>
      </c>
      <c r="R43">
        <v>1.4314548595013237</v>
      </c>
      <c r="S43">
        <v>0.42324179298933684</v>
      </c>
      <c r="T43">
        <v>0.73692667921381827</v>
      </c>
      <c r="U43">
        <v>0.4448384080691497</v>
      </c>
      <c r="V43">
        <v>-0.1632348373626967</v>
      </c>
      <c r="W43">
        <v>0.17744720113365064</v>
      </c>
      <c r="X43">
        <v>-0.40524260167996928</v>
      </c>
      <c r="Y43">
        <v>-0.15145908225973942</v>
      </c>
      <c r="Z43">
        <v>-0.38423784198314337</v>
      </c>
    </row>
    <row r="44" spans="1:26" x14ac:dyDescent="0.25">
      <c r="A44" s="28" t="s">
        <v>66</v>
      </c>
      <c r="B44">
        <v>562</v>
      </c>
      <c r="C44">
        <v>708</v>
      </c>
      <c r="D44">
        <v>509</v>
      </c>
      <c r="E44">
        <v>497</v>
      </c>
      <c r="F44">
        <v>503</v>
      </c>
      <c r="G44">
        <v>15196527</v>
      </c>
      <c r="H44">
        <v>19458822</v>
      </c>
      <c r="I44">
        <v>22494202</v>
      </c>
      <c r="J44">
        <v>20594420</v>
      </c>
      <c r="K44">
        <v>20220063</v>
      </c>
      <c r="L44">
        <v>3.698213414157064E-5</v>
      </c>
      <c r="M44">
        <v>3.6384525229738983E-5</v>
      </c>
      <c r="N44">
        <v>2.2628053220114233E-5</v>
      </c>
      <c r="O44">
        <v>2.413275052174327E-5</v>
      </c>
      <c r="P44">
        <v>2.4876282531859569E-5</v>
      </c>
      <c r="Q44">
        <v>0.46250827645281162</v>
      </c>
      <c r="R44">
        <v>0.64230049315505133</v>
      </c>
      <c r="S44">
        <v>0.61927919111324792</v>
      </c>
      <c r="T44">
        <v>0.40963480235050276</v>
      </c>
      <c r="U44">
        <v>0.40087634017879648</v>
      </c>
      <c r="V44">
        <v>-0.36751362860716824</v>
      </c>
      <c r="W44">
        <v>-0.21780393316314853</v>
      </c>
      <c r="X44">
        <v>-0.23511745903744247</v>
      </c>
      <c r="Y44">
        <v>-0.41880719507285841</v>
      </c>
      <c r="Z44">
        <v>-0.4276777632954642</v>
      </c>
    </row>
    <row r="45" spans="1:26" x14ac:dyDescent="0.25">
      <c r="A45" s="28" t="s">
        <v>51</v>
      </c>
      <c r="B45">
        <v>221</v>
      </c>
      <c r="C45">
        <v>270</v>
      </c>
      <c r="D45">
        <v>342</v>
      </c>
      <c r="E45">
        <v>723</v>
      </c>
      <c r="F45">
        <v>645</v>
      </c>
      <c r="G45">
        <v>17144989</v>
      </c>
      <c r="H45">
        <v>21919900</v>
      </c>
      <c r="I45">
        <v>25592614</v>
      </c>
      <c r="J45">
        <v>24975484</v>
      </c>
      <c r="K45">
        <v>25968345</v>
      </c>
      <c r="L45">
        <v>1.2890063679830882E-5</v>
      </c>
      <c r="M45">
        <v>1.231757444148924E-5</v>
      </c>
      <c r="N45">
        <v>1.3363230500799958E-5</v>
      </c>
      <c r="O45">
        <v>2.89483879471565E-5</v>
      </c>
      <c r="P45">
        <v>2.4837932490499493E-5</v>
      </c>
      <c r="Q45">
        <v>0.16120651969687466</v>
      </c>
      <c r="R45">
        <v>0.21744365463853962</v>
      </c>
      <c r="S45">
        <v>0.36572172138251241</v>
      </c>
      <c r="T45">
        <v>0.49137652852355129</v>
      </c>
      <c r="U45">
        <v>0.40025833689770163</v>
      </c>
      <c r="V45">
        <v>-0.72234651293732566</v>
      </c>
      <c r="W45">
        <v>-0.64278649971180979</v>
      </c>
      <c r="X45">
        <v>-0.46442717333031164</v>
      </c>
      <c r="Y45">
        <v>-0.34104296383152893</v>
      </c>
      <c r="Z45">
        <v>-0.42830786812598959</v>
      </c>
    </row>
    <row r="46" spans="1:26" x14ac:dyDescent="0.25">
      <c r="A46" s="28" t="s">
        <v>56</v>
      </c>
      <c r="B46">
        <v>88</v>
      </c>
      <c r="C46">
        <v>59</v>
      </c>
      <c r="D46">
        <v>179</v>
      </c>
      <c r="E46">
        <v>22</v>
      </c>
      <c r="F46">
        <v>318</v>
      </c>
      <c r="G46">
        <v>9848863</v>
      </c>
      <c r="H46">
        <v>11831534</v>
      </c>
      <c r="I46">
        <v>12390307</v>
      </c>
      <c r="J46">
        <v>11931954</v>
      </c>
      <c r="K46">
        <v>12923946</v>
      </c>
      <c r="L46">
        <v>8.9350415372820198E-6</v>
      </c>
      <c r="M46">
        <v>4.9866737483068556E-6</v>
      </c>
      <c r="N46">
        <v>1.4446776823205431E-5</v>
      </c>
      <c r="O46">
        <v>1.8437885362280142E-6</v>
      </c>
      <c r="P46">
        <v>2.4605488138065571E-5</v>
      </c>
      <c r="Q46">
        <v>0.11174397468850558</v>
      </c>
      <c r="R46">
        <v>8.8030364214369577E-2</v>
      </c>
      <c r="S46">
        <v>0.39537596001920272</v>
      </c>
      <c r="T46">
        <v>3.1296886442073346E-2</v>
      </c>
      <c r="U46">
        <v>0.39651254243747225</v>
      </c>
      <c r="V46">
        <v>-0.79897534462498054</v>
      </c>
      <c r="W46">
        <v>-0.83818399355438322</v>
      </c>
      <c r="X46">
        <v>-0.43330547272182945</v>
      </c>
      <c r="Y46">
        <v>-0.9393057676145109</v>
      </c>
      <c r="Z46">
        <v>-0.43213894556879601</v>
      </c>
    </row>
    <row r="47" spans="1:26" x14ac:dyDescent="0.25">
      <c r="A47" s="28" t="s">
        <v>80</v>
      </c>
      <c r="B47">
        <v>49</v>
      </c>
      <c r="C47">
        <v>33</v>
      </c>
      <c r="D47">
        <v>97</v>
      </c>
      <c r="E47">
        <v>37</v>
      </c>
      <c r="F47">
        <v>340</v>
      </c>
      <c r="G47">
        <v>11401650</v>
      </c>
      <c r="H47">
        <v>13594246</v>
      </c>
      <c r="I47">
        <v>15655882</v>
      </c>
      <c r="J47">
        <v>14194336</v>
      </c>
      <c r="K47">
        <v>14588300</v>
      </c>
      <c r="L47">
        <v>4.2976235895681762E-6</v>
      </c>
      <c r="M47">
        <v>2.4274976339254121E-6</v>
      </c>
      <c r="N47">
        <v>6.1957544135807874E-6</v>
      </c>
      <c r="O47">
        <v>2.6066735351340139E-6</v>
      </c>
      <c r="P47">
        <v>2.3306348237971527E-5</v>
      </c>
      <c r="Q47">
        <v>5.3747208629039527E-2</v>
      </c>
      <c r="R47">
        <v>4.2852913912110373E-2</v>
      </c>
      <c r="S47">
        <v>0.16956393659919436</v>
      </c>
      <c r="T47">
        <v>4.4246270121379223E-2</v>
      </c>
      <c r="U47">
        <v>0.37557716160382248</v>
      </c>
      <c r="V47">
        <v>-0.89798842039360383</v>
      </c>
      <c r="W47">
        <v>-0.91781599621493337</v>
      </c>
      <c r="X47">
        <v>-0.71003904738676404</v>
      </c>
      <c r="Y47">
        <v>-0.91525702051828017</v>
      </c>
      <c r="Z47">
        <v>-0.45393515960104053</v>
      </c>
    </row>
    <row r="48" spans="1:26" x14ac:dyDescent="0.25">
      <c r="A48" s="28" t="s">
        <v>45</v>
      </c>
      <c r="B48">
        <v>2320</v>
      </c>
      <c r="C48">
        <v>937</v>
      </c>
      <c r="D48">
        <v>552</v>
      </c>
      <c r="E48">
        <v>961</v>
      </c>
      <c r="F48">
        <v>825</v>
      </c>
      <c r="G48">
        <v>32790372</v>
      </c>
      <c r="H48">
        <v>40698383</v>
      </c>
      <c r="I48">
        <v>46501899</v>
      </c>
      <c r="J48">
        <v>42625692</v>
      </c>
      <c r="K48">
        <v>39720644</v>
      </c>
      <c r="L48">
        <v>7.0752475757213129E-5</v>
      </c>
      <c r="M48">
        <v>2.3023027720781928E-5</v>
      </c>
      <c r="N48">
        <v>1.1870482966727874E-5</v>
      </c>
      <c r="O48">
        <v>2.2545088534867658E-5</v>
      </c>
      <c r="P48">
        <v>2.0770055994056894E-5</v>
      </c>
      <c r="Q48">
        <v>0.88484903256175917</v>
      </c>
      <c r="R48">
        <v>0.40642833637674858</v>
      </c>
      <c r="S48">
        <v>0.3248685610843598</v>
      </c>
      <c r="T48">
        <v>0.38268546627680361</v>
      </c>
      <c r="U48">
        <v>0.33470531706426132</v>
      </c>
      <c r="V48">
        <v>-6.1092939248155821E-2</v>
      </c>
      <c r="W48">
        <v>-0.42204188316655739</v>
      </c>
      <c r="X48">
        <v>-0.5095837117329346</v>
      </c>
      <c r="Y48">
        <v>-0.44646056444453475</v>
      </c>
      <c r="Z48">
        <v>-0.49845810489395626</v>
      </c>
    </row>
    <row r="49" spans="1:26" x14ac:dyDescent="0.25">
      <c r="A49" s="28" t="s">
        <v>41</v>
      </c>
      <c r="B49">
        <v>2790</v>
      </c>
      <c r="C49">
        <v>3240</v>
      </c>
      <c r="D49">
        <v>1889</v>
      </c>
      <c r="E49">
        <v>1944</v>
      </c>
      <c r="F49">
        <v>2207</v>
      </c>
      <c r="G49">
        <v>85686133</v>
      </c>
      <c r="H49">
        <v>123734050</v>
      </c>
      <c r="I49">
        <v>123614816</v>
      </c>
      <c r="J49">
        <v>110662795</v>
      </c>
      <c r="K49">
        <v>110390555</v>
      </c>
      <c r="L49">
        <v>3.256069450584262E-5</v>
      </c>
      <c r="M49">
        <v>2.6185193162270207E-5</v>
      </c>
      <c r="N49">
        <v>1.5281339738433944E-5</v>
      </c>
      <c r="O49">
        <v>1.75668796364668E-5</v>
      </c>
      <c r="P49">
        <v>1.9992652451108702E-5</v>
      </c>
      <c r="Q49">
        <v>0.40721259185190495</v>
      </c>
      <c r="R49">
        <v>0.46225043133830901</v>
      </c>
      <c r="S49">
        <v>0.41821607984959169</v>
      </c>
      <c r="T49">
        <v>0.29818421490396008</v>
      </c>
      <c r="U49">
        <v>0.32217761374926746</v>
      </c>
      <c r="V49">
        <v>-0.42124936315982026</v>
      </c>
      <c r="W49">
        <v>-0.36775476836038368</v>
      </c>
      <c r="X49">
        <v>-0.41022234088060056</v>
      </c>
      <c r="Y49">
        <v>-0.54061340219574339</v>
      </c>
      <c r="Z49">
        <v>-0.51265607525198365</v>
      </c>
    </row>
    <row r="50" spans="1:26" x14ac:dyDescent="0.25">
      <c r="A50" s="28" t="s">
        <v>18</v>
      </c>
      <c r="B50">
        <v>20691</v>
      </c>
      <c r="C50">
        <v>30663</v>
      </c>
      <c r="D50">
        <v>28211</v>
      </c>
      <c r="E50">
        <v>34529</v>
      </c>
      <c r="F50">
        <v>30169</v>
      </c>
      <c r="G50">
        <v>1379900278</v>
      </c>
      <c r="H50">
        <v>1631098969</v>
      </c>
      <c r="I50">
        <v>1645377162</v>
      </c>
      <c r="J50">
        <v>1681974764</v>
      </c>
      <c r="K50">
        <v>1684013664</v>
      </c>
      <c r="L50">
        <v>1.4994561802675425E-5</v>
      </c>
      <c r="M50">
        <v>1.8798981902857178E-5</v>
      </c>
      <c r="N50">
        <v>1.7145612964330182E-5</v>
      </c>
      <c r="O50">
        <v>2.0528845461322274E-5</v>
      </c>
      <c r="P50">
        <v>1.7914937773331511E-5</v>
      </c>
      <c r="Q50">
        <v>0.18752592559889619</v>
      </c>
      <c r="R50">
        <v>0.3318607366944244</v>
      </c>
      <c r="S50">
        <v>0.46923706712218921</v>
      </c>
      <c r="T50">
        <v>0.3484612972506419</v>
      </c>
      <c r="U50">
        <v>0.28869565538606079</v>
      </c>
      <c r="V50">
        <v>-0.6841737572940606</v>
      </c>
      <c r="W50">
        <v>-0.50165850294817282</v>
      </c>
      <c r="X50">
        <v>-0.36125070947020271</v>
      </c>
      <c r="Y50">
        <v>-0.48317197095517012</v>
      </c>
      <c r="Z50">
        <v>-0.55195681124636864</v>
      </c>
    </row>
    <row r="51" spans="1:26" x14ac:dyDescent="0.25">
      <c r="A51" s="28" t="s">
        <v>109</v>
      </c>
      <c r="C51">
        <v>13</v>
      </c>
      <c r="E51">
        <v>8</v>
      </c>
      <c r="F51">
        <v>9</v>
      </c>
      <c r="G51">
        <v>1636389</v>
      </c>
      <c r="H51">
        <v>2216075</v>
      </c>
      <c r="I51">
        <v>2141340</v>
      </c>
      <c r="J51">
        <v>1071443</v>
      </c>
      <c r="K51">
        <v>560184</v>
      </c>
      <c r="L51">
        <v>0</v>
      </c>
      <c r="M51">
        <v>5.8662274516882325E-6</v>
      </c>
      <c r="N51">
        <v>0</v>
      </c>
      <c r="O51">
        <v>7.4665661169096254E-6</v>
      </c>
      <c r="P51">
        <v>1.6066149693672078E-5</v>
      </c>
      <c r="Q51">
        <v>0</v>
      </c>
      <c r="R51">
        <v>0.10355723377968844</v>
      </c>
      <c r="S51">
        <v>0</v>
      </c>
      <c r="T51">
        <v>0.12673919339536166</v>
      </c>
      <c r="U51">
        <v>0.25890280357265694</v>
      </c>
      <c r="V51">
        <v>-1</v>
      </c>
      <c r="W51">
        <v>-0.81232104577846964</v>
      </c>
      <c r="X51">
        <v>-1</v>
      </c>
      <c r="Y51">
        <v>-0.77503366504285587</v>
      </c>
      <c r="Z51">
        <v>-0.58868499960773268</v>
      </c>
    </row>
    <row r="52" spans="1:26" x14ac:dyDescent="0.25">
      <c r="A52" s="28" t="s">
        <v>103</v>
      </c>
      <c r="B52">
        <v>0</v>
      </c>
      <c r="C52">
        <v>0</v>
      </c>
      <c r="D52">
        <v>1</v>
      </c>
      <c r="E52">
        <v>3</v>
      </c>
      <c r="F52">
        <v>20</v>
      </c>
      <c r="G52">
        <v>980130</v>
      </c>
      <c r="H52">
        <v>1069303</v>
      </c>
      <c r="I52">
        <v>1351193</v>
      </c>
      <c r="J52">
        <v>1455976</v>
      </c>
      <c r="K52">
        <v>1366135</v>
      </c>
      <c r="L52">
        <v>0</v>
      </c>
      <c r="M52">
        <v>0</v>
      </c>
      <c r="N52">
        <v>7.4008672336224362E-7</v>
      </c>
      <c r="O52">
        <v>2.0604735242888621E-6</v>
      </c>
      <c r="P52">
        <v>1.4639841596913922E-5</v>
      </c>
      <c r="Q52">
        <v>0</v>
      </c>
      <c r="R52">
        <v>0</v>
      </c>
      <c r="S52">
        <v>2.0254517829665534E-2</v>
      </c>
      <c r="T52">
        <v>3.49749467682949E-2</v>
      </c>
      <c r="U52">
        <v>0.23591813256871927</v>
      </c>
      <c r="V52">
        <v>-1</v>
      </c>
      <c r="W52">
        <v>-1</v>
      </c>
      <c r="X52">
        <v>-0.96029516659675873</v>
      </c>
      <c r="Y52">
        <v>-0.93241392581046711</v>
      </c>
      <c r="Z52">
        <v>-0.61823016209271164</v>
      </c>
    </row>
    <row r="53" spans="1:26" x14ac:dyDescent="0.25">
      <c r="A53" s="28" t="s">
        <v>42</v>
      </c>
      <c r="B53">
        <v>0</v>
      </c>
      <c r="C53">
        <v>0</v>
      </c>
      <c r="D53">
        <v>16</v>
      </c>
      <c r="E53">
        <v>21</v>
      </c>
      <c r="F53">
        <v>979</v>
      </c>
      <c r="G53">
        <v>63879430</v>
      </c>
      <c r="H53">
        <v>74619723</v>
      </c>
      <c r="I53">
        <v>78929719</v>
      </c>
      <c r="J53">
        <v>72923286</v>
      </c>
      <c r="K53">
        <v>72983914</v>
      </c>
      <c r="L53">
        <v>0</v>
      </c>
      <c r="M53">
        <v>0</v>
      </c>
      <c r="N53">
        <v>2.0271198482285234E-7</v>
      </c>
      <c r="O53">
        <v>2.8797385789773652E-7</v>
      </c>
      <c r="P53">
        <v>1.3413914742911706E-5</v>
      </c>
      <c r="Q53">
        <v>0</v>
      </c>
      <c r="R53">
        <v>0</v>
      </c>
      <c r="S53">
        <v>5.5477734990683055E-3</v>
      </c>
      <c r="T53">
        <v>4.8881338352114922E-3</v>
      </c>
      <c r="U53">
        <v>0.21616256539625647</v>
      </c>
      <c r="V53">
        <v>-1</v>
      </c>
      <c r="W53">
        <v>-1</v>
      </c>
      <c r="X53">
        <v>-0.98896566897112526</v>
      </c>
      <c r="Y53">
        <v>-0.99027128757794025</v>
      </c>
      <c r="Z53">
        <v>-0.64451698885202036</v>
      </c>
    </row>
    <row r="54" spans="1:26" x14ac:dyDescent="0.25">
      <c r="A54" s="28" t="s">
        <v>124</v>
      </c>
      <c r="B54">
        <v>1</v>
      </c>
      <c r="D54">
        <v>1</v>
      </c>
      <c r="E54">
        <v>2</v>
      </c>
      <c r="F54">
        <v>1</v>
      </c>
      <c r="G54">
        <v>67437</v>
      </c>
      <c r="H54">
        <v>68087</v>
      </c>
      <c r="I54">
        <v>68381</v>
      </c>
      <c r="J54">
        <v>82601</v>
      </c>
      <c r="K54">
        <v>84895</v>
      </c>
      <c r="L54">
        <v>1.4828654892714683E-5</v>
      </c>
      <c r="M54">
        <v>0</v>
      </c>
      <c r="N54">
        <v>1.4623945247948992E-5</v>
      </c>
      <c r="O54">
        <v>2.4212781927579568E-5</v>
      </c>
      <c r="P54">
        <v>1.1779256728900407E-5</v>
      </c>
      <c r="Q54">
        <v>0.18545105023654385</v>
      </c>
      <c r="R54">
        <v>0</v>
      </c>
      <c r="S54">
        <v>0.40022466342725699</v>
      </c>
      <c r="T54">
        <v>0.41099327365621025</v>
      </c>
      <c r="U54">
        <v>0.18982037695786988</v>
      </c>
      <c r="V54">
        <v>-0.68712153876022275</v>
      </c>
      <c r="W54">
        <v>-1</v>
      </c>
      <c r="X54">
        <v>-0.42834221695874436</v>
      </c>
      <c r="Y54">
        <v>-0.41744120070646185</v>
      </c>
      <c r="Z54">
        <v>-0.68092599415181942</v>
      </c>
    </row>
    <row r="55" spans="1:26" x14ac:dyDescent="0.25">
      <c r="A55" s="28" t="s">
        <v>79</v>
      </c>
      <c r="B55">
        <v>194</v>
      </c>
      <c r="C55">
        <v>267</v>
      </c>
      <c r="D55">
        <v>186</v>
      </c>
      <c r="E55">
        <v>170</v>
      </c>
      <c r="F55">
        <v>217</v>
      </c>
      <c r="G55">
        <v>16901599</v>
      </c>
      <c r="H55">
        <v>22303231</v>
      </c>
      <c r="I55">
        <v>23600194</v>
      </c>
      <c r="J55">
        <v>20108197</v>
      </c>
      <c r="K55">
        <v>19773052</v>
      </c>
      <c r="L55">
        <v>1.1478203926149236E-5</v>
      </c>
      <c r="M55">
        <v>1.1971359665332794E-5</v>
      </c>
      <c r="N55">
        <v>7.8812911453185519E-6</v>
      </c>
      <c r="O55">
        <v>8.4542637015143625E-6</v>
      </c>
      <c r="P55">
        <v>1.0974532409058552E-5</v>
      </c>
      <c r="Q55">
        <v>0.14354943103972295</v>
      </c>
      <c r="R55">
        <v>0.21133188266793568</v>
      </c>
      <c r="S55">
        <v>0.21569330591207778</v>
      </c>
      <c r="T55">
        <v>0.14350459709383756</v>
      </c>
      <c r="U55">
        <v>0.1768524047627511</v>
      </c>
      <c r="V55">
        <v>-0.74894057546912196</v>
      </c>
      <c r="W55">
        <v>-0.65107517486870548</v>
      </c>
      <c r="X55">
        <v>-0.64515177493676634</v>
      </c>
      <c r="Y55">
        <v>-0.74900914704051447</v>
      </c>
      <c r="Z55">
        <v>-0.69944845411875778</v>
      </c>
    </row>
    <row r="56" spans="1:26" x14ac:dyDescent="0.25">
      <c r="A56" s="28" t="s">
        <v>61</v>
      </c>
      <c r="B56">
        <v>25</v>
      </c>
      <c r="C56">
        <v>21</v>
      </c>
      <c r="D56">
        <v>1</v>
      </c>
      <c r="E56">
        <v>3</v>
      </c>
      <c r="F56">
        <v>239</v>
      </c>
      <c r="G56">
        <v>2805741</v>
      </c>
      <c r="H56">
        <v>4243572</v>
      </c>
      <c r="I56">
        <v>7866427</v>
      </c>
      <c r="J56">
        <v>10811756</v>
      </c>
      <c r="K56">
        <v>22414584</v>
      </c>
      <c r="L56">
        <v>8.9103021269604002E-6</v>
      </c>
      <c r="M56">
        <v>4.9486611750666658E-6</v>
      </c>
      <c r="N56">
        <v>1.2712251699532709E-7</v>
      </c>
      <c r="O56">
        <v>2.7747574029602592E-7</v>
      </c>
      <c r="P56">
        <v>1.0662700677380405E-5</v>
      </c>
      <c r="Q56">
        <v>0.11143457712955158</v>
      </c>
      <c r="R56">
        <v>8.7359323589705593E-2</v>
      </c>
      <c r="S56">
        <v>3.4790588802030777E-3</v>
      </c>
      <c r="T56">
        <v>4.7099363966329735E-3</v>
      </c>
      <c r="U56">
        <v>0.17182729849188227</v>
      </c>
      <c r="V56">
        <v>-0.79947613755665536</v>
      </c>
      <c r="W56">
        <v>-0.83931838961695615</v>
      </c>
      <c r="X56">
        <v>-0.9930660060129497</v>
      </c>
      <c r="Y56">
        <v>-0.99062428622230003</v>
      </c>
      <c r="Z56">
        <v>-0.70673613985094819</v>
      </c>
    </row>
    <row r="57" spans="1:26" x14ac:dyDescent="0.25">
      <c r="A57" s="28" t="s">
        <v>36</v>
      </c>
      <c r="B57">
        <v>2348</v>
      </c>
      <c r="C57">
        <v>918</v>
      </c>
      <c r="D57">
        <v>933</v>
      </c>
      <c r="E57">
        <v>1439</v>
      </c>
      <c r="F57">
        <v>1739</v>
      </c>
      <c r="G57">
        <v>119970720</v>
      </c>
      <c r="H57">
        <v>141157092</v>
      </c>
      <c r="I57">
        <v>149934115</v>
      </c>
      <c r="J57">
        <v>158075487</v>
      </c>
      <c r="K57">
        <v>167705355</v>
      </c>
      <c r="L57">
        <v>1.9571442098538709E-5</v>
      </c>
      <c r="M57">
        <v>6.5033926881973451E-6</v>
      </c>
      <c r="N57">
        <v>6.2227332318598736E-6</v>
      </c>
      <c r="O57">
        <v>9.1032457170288526E-6</v>
      </c>
      <c r="P57">
        <v>1.0369376696409009E-5</v>
      </c>
      <c r="Q57">
        <v>0.244765591894711</v>
      </c>
      <c r="R57">
        <v>0.11480518996564837</v>
      </c>
      <c r="S57">
        <v>0.17030228649604773</v>
      </c>
      <c r="T57">
        <v>0.15452056559750171</v>
      </c>
      <c r="U57">
        <v>0.16710044093879362</v>
      </c>
      <c r="V57">
        <v>-0.60672821696148782</v>
      </c>
      <c r="W57">
        <v>-0.79403542251326265</v>
      </c>
      <c r="X57">
        <v>-0.70896017471529926</v>
      </c>
      <c r="Y57">
        <v>-0.73232080882416795</v>
      </c>
      <c r="Z57">
        <v>-0.71364856857670089</v>
      </c>
    </row>
    <row r="58" spans="1:26" x14ac:dyDescent="0.25">
      <c r="A58" s="28" t="s">
        <v>34</v>
      </c>
      <c r="B58">
        <v>2991</v>
      </c>
      <c r="C58">
        <v>3357</v>
      </c>
      <c r="D58">
        <v>2761</v>
      </c>
      <c r="E58">
        <v>3567</v>
      </c>
      <c r="F58">
        <v>5328</v>
      </c>
      <c r="G58">
        <v>419478288</v>
      </c>
      <c r="H58">
        <v>549499377</v>
      </c>
      <c r="I58">
        <v>636424483</v>
      </c>
      <c r="J58">
        <v>568505277</v>
      </c>
      <c r="K58">
        <v>549570742</v>
      </c>
      <c r="L58">
        <v>7.1302856084889909E-6</v>
      </c>
      <c r="M58">
        <v>6.1091970992352918E-6</v>
      </c>
      <c r="N58">
        <v>4.3382994742519983E-6</v>
      </c>
      <c r="O58">
        <v>6.2743480919351255E-6</v>
      </c>
      <c r="P58">
        <v>9.69483924964841E-6</v>
      </c>
      <c r="Q58">
        <v>8.9173223340065236E-2</v>
      </c>
      <c r="R58">
        <v>0.10784640681288854</v>
      </c>
      <c r="S58">
        <v>0.11872955057546233</v>
      </c>
      <c r="T58">
        <v>0.10650221317302365</v>
      </c>
      <c r="U58">
        <v>0.15623040428341217</v>
      </c>
      <c r="V58">
        <v>-0.8362552045365087</v>
      </c>
      <c r="W58">
        <v>-0.80530440655009772</v>
      </c>
      <c r="X58">
        <v>-0.7877421750155984</v>
      </c>
      <c r="Y58">
        <v>-0.80749751441053852</v>
      </c>
      <c r="Z58">
        <v>-0.72975904507503786</v>
      </c>
    </row>
    <row r="59" spans="1:26" x14ac:dyDescent="0.25">
      <c r="A59" s="28" t="s">
        <v>99</v>
      </c>
      <c r="B59">
        <v>1208</v>
      </c>
      <c r="C59">
        <v>1270</v>
      </c>
      <c r="D59">
        <v>1340</v>
      </c>
      <c r="E59">
        <v>896</v>
      </c>
      <c r="F59">
        <v>11</v>
      </c>
      <c r="G59">
        <v>1250599</v>
      </c>
      <c r="H59">
        <v>1480710</v>
      </c>
      <c r="I59">
        <v>1901416</v>
      </c>
      <c r="J59">
        <v>1521868</v>
      </c>
      <c r="K59">
        <v>1155416</v>
      </c>
      <c r="L59">
        <v>9.659371229306916E-4</v>
      </c>
      <c r="M59">
        <v>8.5769664552815884E-4</v>
      </c>
      <c r="N59">
        <v>7.0473794267009431E-4</v>
      </c>
      <c r="O59">
        <v>5.8875014127375037E-4</v>
      </c>
      <c r="P59">
        <v>9.520380538265006E-6</v>
      </c>
      <c r="Q59">
        <v>12.080263193526129</v>
      </c>
      <c r="R59">
        <v>15.141024238235518</v>
      </c>
      <c r="S59">
        <v>19.28710078760135</v>
      </c>
      <c r="T59">
        <v>9.9935789555861128</v>
      </c>
      <c r="U59">
        <v>0.15341903688387731</v>
      </c>
      <c r="V59">
        <v>0.84709787789362923</v>
      </c>
      <c r="W59">
        <v>0.87609212584773177</v>
      </c>
      <c r="X59">
        <v>0.90141518884638661</v>
      </c>
      <c r="Y59">
        <v>0.81807562322697924</v>
      </c>
      <c r="Z59">
        <v>-0.73397519552241786</v>
      </c>
    </row>
    <row r="60" spans="1:26" x14ac:dyDescent="0.25">
      <c r="A60" s="28" t="s">
        <v>94</v>
      </c>
      <c r="B60">
        <v>67</v>
      </c>
      <c r="C60">
        <v>37</v>
      </c>
      <c r="D60">
        <v>54</v>
      </c>
      <c r="E60">
        <v>71</v>
      </c>
      <c r="F60">
        <v>75</v>
      </c>
      <c r="G60">
        <v>5505147</v>
      </c>
      <c r="H60">
        <v>8579957</v>
      </c>
      <c r="I60">
        <v>13220758</v>
      </c>
      <c r="J60">
        <v>7820638</v>
      </c>
      <c r="K60">
        <v>7910706</v>
      </c>
      <c r="L60">
        <v>1.2170428873198118E-5</v>
      </c>
      <c r="M60">
        <v>4.3123759244947264E-6</v>
      </c>
      <c r="N60">
        <v>4.0844859273575689E-6</v>
      </c>
      <c r="O60">
        <v>9.0785432083673984E-6</v>
      </c>
      <c r="P60">
        <v>9.4808225713356044E-6</v>
      </c>
      <c r="Q60">
        <v>0.15220657791912207</v>
      </c>
      <c r="R60">
        <v>7.6126901903587202E-2</v>
      </c>
      <c r="S60">
        <v>0.11178324165151801</v>
      </c>
      <c r="T60">
        <v>0.15410125959075463</v>
      </c>
      <c r="U60">
        <v>0.1527815681227285</v>
      </c>
      <c r="V60">
        <v>-0.73579984555546252</v>
      </c>
      <c r="W60">
        <v>-0.85851686865382792</v>
      </c>
      <c r="X60">
        <v>-0.79891180679164109</v>
      </c>
      <c r="Y60">
        <v>-0.73295019252400939</v>
      </c>
      <c r="Z60">
        <v>-0.73493405455548899</v>
      </c>
    </row>
    <row r="61" spans="1:26" x14ac:dyDescent="0.25">
      <c r="A61" s="28" t="s">
        <v>24</v>
      </c>
      <c r="B61">
        <v>8775</v>
      </c>
      <c r="C61">
        <v>3816</v>
      </c>
      <c r="D61">
        <v>2928</v>
      </c>
      <c r="E61">
        <v>4687</v>
      </c>
      <c r="F61">
        <v>6069</v>
      </c>
      <c r="G61">
        <v>498803832</v>
      </c>
      <c r="H61">
        <v>615910260</v>
      </c>
      <c r="I61">
        <v>659387209</v>
      </c>
      <c r="J61">
        <v>677095229</v>
      </c>
      <c r="K61">
        <v>674873608</v>
      </c>
      <c r="L61">
        <v>1.7592086181086116E-5</v>
      </c>
      <c r="M61">
        <v>6.1957077967819534E-6</v>
      </c>
      <c r="N61">
        <v>4.4404865002469286E-6</v>
      </c>
      <c r="O61">
        <v>6.9222168452172034E-6</v>
      </c>
      <c r="P61">
        <v>8.9927949886580842E-6</v>
      </c>
      <c r="Q61">
        <v>0.22001124725999671</v>
      </c>
      <c r="R61">
        <v>0.10937359078317685</v>
      </c>
      <c r="S61">
        <v>0.12152618085491372</v>
      </c>
      <c r="T61">
        <v>0.11749928491006656</v>
      </c>
      <c r="U61">
        <v>0.1449171007932748</v>
      </c>
      <c r="V61">
        <v>-0.63932914921216288</v>
      </c>
      <c r="W61">
        <v>-0.80281919149352909</v>
      </c>
      <c r="X61">
        <v>-0.78328427293194869</v>
      </c>
      <c r="Y61">
        <v>-0.78971031749783605</v>
      </c>
      <c r="Z61">
        <v>-0.74685136470952074</v>
      </c>
    </row>
    <row r="62" spans="1:26" x14ac:dyDescent="0.25">
      <c r="A62" s="28" t="s">
        <v>27</v>
      </c>
      <c r="B62">
        <v>6434</v>
      </c>
      <c r="C62">
        <v>4531</v>
      </c>
      <c r="D62">
        <v>4473</v>
      </c>
      <c r="E62">
        <v>5444</v>
      </c>
      <c r="F62">
        <v>3868</v>
      </c>
      <c r="G62">
        <v>346633936</v>
      </c>
      <c r="H62">
        <v>447557398</v>
      </c>
      <c r="I62">
        <v>478224690</v>
      </c>
      <c r="J62">
        <v>432943057</v>
      </c>
      <c r="K62">
        <v>474618994</v>
      </c>
      <c r="L62">
        <v>1.8561367863301185E-5</v>
      </c>
      <c r="M62">
        <v>1.012384114361126E-5</v>
      </c>
      <c r="N62">
        <v>9.353343927098369E-6</v>
      </c>
      <c r="O62">
        <v>1.2574401903389341E-5</v>
      </c>
      <c r="P62">
        <v>8.1496949108614906E-6</v>
      </c>
      <c r="Q62">
        <v>0.2321333383897958</v>
      </c>
      <c r="R62">
        <v>0.17871741126499671</v>
      </c>
      <c r="S62">
        <v>0.25598009714015718</v>
      </c>
      <c r="T62">
        <v>0.21344076108232166</v>
      </c>
      <c r="U62">
        <v>0.13133071089925827</v>
      </c>
      <c r="V62">
        <v>-0.62320094561655559</v>
      </c>
      <c r="W62">
        <v>-0.69675952937150964</v>
      </c>
      <c r="X62">
        <v>-0.59238192114187327</v>
      </c>
      <c r="Y62">
        <v>-0.64820571728290322</v>
      </c>
      <c r="Z62">
        <v>-0.7678296723778183</v>
      </c>
    </row>
    <row r="63" spans="1:26" x14ac:dyDescent="0.25">
      <c r="A63" s="28" t="s">
        <v>29</v>
      </c>
      <c r="B63">
        <v>821</v>
      </c>
      <c r="C63">
        <v>1456</v>
      </c>
      <c r="D63">
        <v>2067</v>
      </c>
      <c r="E63">
        <v>3373</v>
      </c>
      <c r="F63">
        <v>2653</v>
      </c>
      <c r="G63">
        <v>233553703</v>
      </c>
      <c r="H63">
        <v>299288393</v>
      </c>
      <c r="I63">
        <v>353149561</v>
      </c>
      <c r="J63">
        <v>312964855</v>
      </c>
      <c r="K63">
        <v>330045621</v>
      </c>
      <c r="L63">
        <v>3.5152514794423963E-6</v>
      </c>
      <c r="M63">
        <v>4.8648729254261454E-6</v>
      </c>
      <c r="N63">
        <v>5.8530442290426633E-6</v>
      </c>
      <c r="O63">
        <v>1.0777567979637842E-5</v>
      </c>
      <c r="P63">
        <v>8.0382826833506146E-6</v>
      </c>
      <c r="Q63">
        <v>4.396265766684198E-2</v>
      </c>
      <c r="R63">
        <v>8.5880199326714882E-2</v>
      </c>
      <c r="S63">
        <v>0.16018472559051661</v>
      </c>
      <c r="T63">
        <v>0.18294089292392601</v>
      </c>
      <c r="U63">
        <v>0.12953532503489018</v>
      </c>
      <c r="V63">
        <v>-0.91577733677736262</v>
      </c>
      <c r="W63">
        <v>-0.84182380454130445</v>
      </c>
      <c r="X63">
        <v>-0.72386341233895313</v>
      </c>
      <c r="Y63">
        <v>-0.69070154896455882</v>
      </c>
      <c r="Z63">
        <v>-0.7706396211541432</v>
      </c>
    </row>
    <row r="64" spans="1:26" x14ac:dyDescent="0.25">
      <c r="A64" s="28" t="s">
        <v>70</v>
      </c>
      <c r="B64">
        <v>34</v>
      </c>
      <c r="C64">
        <v>122</v>
      </c>
      <c r="D64">
        <v>10</v>
      </c>
      <c r="E64">
        <v>50</v>
      </c>
      <c r="F64">
        <v>302</v>
      </c>
      <c r="G64">
        <v>29322920</v>
      </c>
      <c r="H64">
        <v>43636852</v>
      </c>
      <c r="I64">
        <v>52115728</v>
      </c>
      <c r="J64">
        <v>42051584</v>
      </c>
      <c r="K64">
        <v>38846217</v>
      </c>
      <c r="L64">
        <v>1.1595025324899431E-6</v>
      </c>
      <c r="M64">
        <v>2.7958020436487949E-6</v>
      </c>
      <c r="N64">
        <v>1.9188065453100838E-7</v>
      </c>
      <c r="O64">
        <v>1.1890158525300735E-6</v>
      </c>
      <c r="P64">
        <v>7.7742447868218418E-6</v>
      </c>
      <c r="Q64">
        <v>1.4501043011516638E-2</v>
      </c>
      <c r="R64">
        <v>4.9354636897440254E-2</v>
      </c>
      <c r="S64">
        <v>5.251344221809443E-3</v>
      </c>
      <c r="T64">
        <v>2.018262581813602E-2</v>
      </c>
      <c r="U64">
        <v>0.12528040690178882</v>
      </c>
      <c r="V64">
        <v>-0.97141246307944495</v>
      </c>
      <c r="W64">
        <v>-0.90593335148665477</v>
      </c>
      <c r="X64">
        <v>-0.98955217667303974</v>
      </c>
      <c r="Y64">
        <v>-0.96043330810118321</v>
      </c>
      <c r="Z64">
        <v>-0.77733477605511547</v>
      </c>
    </row>
    <row r="65" spans="1:26" x14ac:dyDescent="0.25">
      <c r="A65" s="28" t="s">
        <v>37</v>
      </c>
      <c r="B65">
        <v>727</v>
      </c>
      <c r="C65">
        <v>1152</v>
      </c>
      <c r="D65">
        <v>804</v>
      </c>
      <c r="E65">
        <v>2014</v>
      </c>
      <c r="F65">
        <v>2025</v>
      </c>
      <c r="G65">
        <v>169657940</v>
      </c>
      <c r="H65">
        <v>225264314</v>
      </c>
      <c r="I65">
        <v>254171899</v>
      </c>
      <c r="J65">
        <v>255627429</v>
      </c>
      <c r="K65">
        <v>261801501</v>
      </c>
      <c r="L65">
        <v>4.2850926988739816E-6</v>
      </c>
      <c r="M65">
        <v>5.1139924453369032E-6</v>
      </c>
      <c r="N65">
        <v>3.1632135698840572E-6</v>
      </c>
      <c r="O65">
        <v>7.87865374180953E-6</v>
      </c>
      <c r="P65">
        <v>7.7348677997075351E-6</v>
      </c>
      <c r="Q65">
        <v>5.3590494020974877E-2</v>
      </c>
      <c r="R65">
        <v>9.0277936812167767E-2</v>
      </c>
      <c r="S65">
        <v>8.6570078381067159E-2</v>
      </c>
      <c r="T65">
        <v>0.13373406257220369</v>
      </c>
      <c r="U65">
        <v>0.1246458545943275</v>
      </c>
      <c r="V65">
        <v>-0.89827073360077614</v>
      </c>
      <c r="W65">
        <v>-0.8343946368829056</v>
      </c>
      <c r="X65">
        <v>-0.8406544039753937</v>
      </c>
      <c r="Y65">
        <v>-0.76408213003887482</v>
      </c>
      <c r="Z65">
        <v>-0.77833759118902601</v>
      </c>
    </row>
    <row r="66" spans="1:26" x14ac:dyDescent="0.25">
      <c r="A66" s="28" t="s">
        <v>43</v>
      </c>
      <c r="B66">
        <v>1968</v>
      </c>
      <c r="C66">
        <v>1477</v>
      </c>
      <c r="D66">
        <v>1007</v>
      </c>
      <c r="E66">
        <v>2447</v>
      </c>
      <c r="F66">
        <v>999</v>
      </c>
      <c r="G66">
        <v>106871154</v>
      </c>
      <c r="H66">
        <v>125384922</v>
      </c>
      <c r="I66">
        <v>129811334</v>
      </c>
      <c r="J66">
        <v>136074398</v>
      </c>
      <c r="K66">
        <v>133654778</v>
      </c>
      <c r="L66">
        <v>1.8414697758386701E-5</v>
      </c>
      <c r="M66">
        <v>1.1779725795099989E-5</v>
      </c>
      <c r="N66">
        <v>7.7574119991710435E-6</v>
      </c>
      <c r="O66">
        <v>1.7982809668575568E-5</v>
      </c>
      <c r="P66">
        <v>7.4744802613790579E-6</v>
      </c>
      <c r="Q66">
        <v>0.23029904356052855</v>
      </c>
      <c r="R66">
        <v>0.20794894641746794</v>
      </c>
      <c r="S66">
        <v>0.21230301083561776</v>
      </c>
      <c r="T66">
        <v>0.30524430597567626</v>
      </c>
      <c r="U66">
        <v>0.12044976125684428</v>
      </c>
      <c r="V66">
        <v>-0.62562103129978053</v>
      </c>
      <c r="W66">
        <v>-0.65569911371800527</v>
      </c>
      <c r="X66">
        <v>-0.64975256361149969</v>
      </c>
      <c r="Y66">
        <v>-0.53228019524282899</v>
      </c>
      <c r="Z66">
        <v>-0.78499747972326417</v>
      </c>
    </row>
    <row r="67" spans="1:26" x14ac:dyDescent="0.25">
      <c r="A67" s="28" t="s">
        <v>30</v>
      </c>
      <c r="B67">
        <v>4453</v>
      </c>
      <c r="C67">
        <v>4856</v>
      </c>
      <c r="D67">
        <v>3184</v>
      </c>
      <c r="E67">
        <v>3197</v>
      </c>
      <c r="F67">
        <v>4659</v>
      </c>
      <c r="G67">
        <v>478282779</v>
      </c>
      <c r="H67">
        <v>573227524</v>
      </c>
      <c r="I67">
        <v>608745460</v>
      </c>
      <c r="J67">
        <v>637660373</v>
      </c>
      <c r="K67">
        <v>626820762</v>
      </c>
      <c r="L67">
        <v>9.3103916668511282E-6</v>
      </c>
      <c r="M67">
        <v>8.4713308358165997E-6</v>
      </c>
      <c r="N67">
        <v>5.2304291517837353E-6</v>
      </c>
      <c r="O67">
        <v>5.0136407018034979E-6</v>
      </c>
      <c r="P67">
        <v>7.4327467793735911E-6</v>
      </c>
      <c r="Q67">
        <v>0.11643820192884771</v>
      </c>
      <c r="R67">
        <v>0.14954544381624268</v>
      </c>
      <c r="S67">
        <v>0.14314514389653848</v>
      </c>
      <c r="T67">
        <v>8.5102678871573356E-2</v>
      </c>
      <c r="U67">
        <v>0.11977723450338573</v>
      </c>
      <c r="V67">
        <v>-0.7914112904275763</v>
      </c>
      <c r="W67">
        <v>-0.73981812616335707</v>
      </c>
      <c r="X67">
        <v>-0.74955910951322902</v>
      </c>
      <c r="Y67">
        <v>-0.84314354663639035</v>
      </c>
      <c r="Z67">
        <v>-0.78606953095183052</v>
      </c>
    </row>
    <row r="68" spans="1:26" x14ac:dyDescent="0.25">
      <c r="A68" s="28" t="s">
        <v>31</v>
      </c>
      <c r="B68">
        <v>5167</v>
      </c>
      <c r="C68">
        <v>5282</v>
      </c>
      <c r="D68">
        <v>2883</v>
      </c>
      <c r="E68">
        <v>3074</v>
      </c>
      <c r="F68">
        <v>3774</v>
      </c>
      <c r="G68">
        <v>402566008</v>
      </c>
      <c r="H68">
        <v>468502713</v>
      </c>
      <c r="I68">
        <v>530481545</v>
      </c>
      <c r="J68">
        <v>519684227</v>
      </c>
      <c r="K68">
        <v>512910100</v>
      </c>
      <c r="L68">
        <v>1.2835162177925366E-5</v>
      </c>
      <c r="M68">
        <v>1.1274214328829298E-5</v>
      </c>
      <c r="N68">
        <v>5.434684820185403E-6</v>
      </c>
      <c r="O68">
        <v>5.9151304586352202E-6</v>
      </c>
      <c r="P68">
        <v>7.3580145916409132E-6</v>
      </c>
      <c r="Q68">
        <v>0.16051990710378344</v>
      </c>
      <c r="R68">
        <v>0.19902509040915009</v>
      </c>
      <c r="S68">
        <v>0.14873516456149086</v>
      </c>
      <c r="T68">
        <v>0.10040477127202509</v>
      </c>
      <c r="U68">
        <v>0.11857294017711482</v>
      </c>
      <c r="V68">
        <v>-0.72336552587989611</v>
      </c>
      <c r="W68">
        <v>-0.66802180871588657</v>
      </c>
      <c r="X68">
        <v>-0.74104533551339857</v>
      </c>
      <c r="Y68">
        <v>-0.81751302085693234</v>
      </c>
      <c r="Z68">
        <v>-0.78799247520087523</v>
      </c>
    </row>
    <row r="69" spans="1:26" x14ac:dyDescent="0.25">
      <c r="A69" s="28" t="s">
        <v>32</v>
      </c>
      <c r="B69">
        <v>2581</v>
      </c>
      <c r="C69">
        <v>3333</v>
      </c>
      <c r="D69">
        <v>2242</v>
      </c>
      <c r="E69">
        <v>2465</v>
      </c>
      <c r="F69">
        <v>2780</v>
      </c>
      <c r="G69">
        <v>254169032</v>
      </c>
      <c r="H69">
        <v>317832125</v>
      </c>
      <c r="I69">
        <v>365750694</v>
      </c>
      <c r="J69">
        <v>381932840</v>
      </c>
      <c r="K69">
        <v>380333187</v>
      </c>
      <c r="L69">
        <v>1.015465959676787E-5</v>
      </c>
      <c r="M69">
        <v>1.0486668079886513E-5</v>
      </c>
      <c r="N69">
        <v>6.1298584986417007E-6</v>
      </c>
      <c r="O69">
        <v>6.4540142712001405E-6</v>
      </c>
      <c r="P69">
        <v>7.3093805511113604E-6</v>
      </c>
      <c r="Q69">
        <v>0.12699683825944405</v>
      </c>
      <c r="R69">
        <v>0.18512243973872414</v>
      </c>
      <c r="S69">
        <v>0.16776051283559501</v>
      </c>
      <c r="T69">
        <v>0.10955190780961238</v>
      </c>
      <c r="U69">
        <v>0.11778921229692914</v>
      </c>
      <c r="V69">
        <v>-0.77462787126256638</v>
      </c>
      <c r="W69">
        <v>-0.68758934346136114</v>
      </c>
      <c r="X69">
        <v>-0.71267993566894405</v>
      </c>
      <c r="Y69">
        <v>-0.80252945889502214</v>
      </c>
      <c r="Z69">
        <v>-0.78924611008745427</v>
      </c>
    </row>
    <row r="70" spans="1:26" x14ac:dyDescent="0.25">
      <c r="A70" s="28" t="s">
        <v>55</v>
      </c>
      <c r="B70">
        <v>671</v>
      </c>
      <c r="C70">
        <v>313</v>
      </c>
      <c r="D70">
        <v>315</v>
      </c>
      <c r="E70">
        <v>459</v>
      </c>
      <c r="F70">
        <v>390</v>
      </c>
      <c r="G70">
        <v>35070462</v>
      </c>
      <c r="H70">
        <v>47244277</v>
      </c>
      <c r="I70">
        <v>57568025</v>
      </c>
      <c r="J70">
        <v>55051587</v>
      </c>
      <c r="K70">
        <v>53357149</v>
      </c>
      <c r="L70">
        <v>1.9132910196620733E-5</v>
      </c>
      <c r="M70">
        <v>6.6251410726425128E-6</v>
      </c>
      <c r="N70">
        <v>5.4717875070405834E-6</v>
      </c>
      <c r="O70">
        <v>8.3376342992618912E-6</v>
      </c>
      <c r="P70">
        <v>7.3092361062994581E-6</v>
      </c>
      <c r="Q70">
        <v>0.23928119682575075</v>
      </c>
      <c r="R70">
        <v>0.11695442915115918</v>
      </c>
      <c r="S70">
        <v>0.14975058209124018</v>
      </c>
      <c r="T70">
        <v>0.14152490306364801</v>
      </c>
      <c r="U70">
        <v>0.11778688459754404</v>
      </c>
      <c r="V70">
        <v>-0.61383873581131254</v>
      </c>
      <c r="W70">
        <v>-0.79058334682456133</v>
      </c>
      <c r="X70">
        <v>-0.73950770815203382</v>
      </c>
      <c r="Y70">
        <v>-0.75204237299804744</v>
      </c>
      <c r="Z70">
        <v>-0.78924983604553045</v>
      </c>
    </row>
    <row r="71" spans="1:26" x14ac:dyDescent="0.25">
      <c r="A71" s="28" t="s">
        <v>20</v>
      </c>
      <c r="B71">
        <v>8326</v>
      </c>
      <c r="C71">
        <v>10415</v>
      </c>
      <c r="D71">
        <v>8993</v>
      </c>
      <c r="E71">
        <v>15084</v>
      </c>
      <c r="F71">
        <v>14995</v>
      </c>
      <c r="G71">
        <v>1424934919</v>
      </c>
      <c r="H71">
        <v>1754300368</v>
      </c>
      <c r="I71">
        <v>2062937261</v>
      </c>
      <c r="J71">
        <v>2019159665</v>
      </c>
      <c r="K71">
        <v>2064516772</v>
      </c>
      <c r="L71">
        <v>5.8430738758532733E-6</v>
      </c>
      <c r="M71">
        <v>5.9368396598318444E-6</v>
      </c>
      <c r="N71">
        <v>4.3593182255289148E-6</v>
      </c>
      <c r="O71">
        <v>7.4704344888941706E-6</v>
      </c>
      <c r="P71">
        <v>7.2632008629668815E-6</v>
      </c>
      <c r="Q71">
        <v>7.3075015551078551E-2</v>
      </c>
      <c r="R71">
        <v>0.10480375976366194</v>
      </c>
      <c r="S71">
        <v>0.1193047867728657</v>
      </c>
      <c r="T71">
        <v>0.12680485602225036</v>
      </c>
      <c r="U71">
        <v>0.11704503581677188</v>
      </c>
      <c r="V71">
        <v>-0.86380259629183365</v>
      </c>
      <c r="W71">
        <v>-0.81027624347317317</v>
      </c>
      <c r="X71">
        <v>-0.78682341363545771</v>
      </c>
      <c r="Y71">
        <v>-0.77493022799016698</v>
      </c>
      <c r="Z71">
        <v>-0.79043810757157218</v>
      </c>
    </row>
    <row r="72" spans="1:26" x14ac:dyDescent="0.25">
      <c r="A72" s="28" t="s">
        <v>108</v>
      </c>
      <c r="B72">
        <v>111</v>
      </c>
      <c r="C72">
        <v>266</v>
      </c>
      <c r="D72">
        <v>355</v>
      </c>
      <c r="E72">
        <v>362</v>
      </c>
      <c r="F72">
        <v>64</v>
      </c>
      <c r="G72">
        <v>7943245</v>
      </c>
      <c r="H72">
        <v>9356550</v>
      </c>
      <c r="I72">
        <v>12779807</v>
      </c>
      <c r="J72">
        <v>12589565</v>
      </c>
      <c r="K72">
        <v>9601965</v>
      </c>
      <c r="L72">
        <v>1.3974137773668066E-5</v>
      </c>
      <c r="M72">
        <v>2.8429282160625443E-5</v>
      </c>
      <c r="N72">
        <v>2.7778197276375144E-5</v>
      </c>
      <c r="O72">
        <v>2.8753972039542272E-5</v>
      </c>
      <c r="P72">
        <v>6.6653023625893243E-6</v>
      </c>
      <c r="Q72">
        <v>0.17476423485653542</v>
      </c>
      <c r="R72">
        <v>0.50186561007779351</v>
      </c>
      <c r="S72">
        <v>0.76022711156638256</v>
      </c>
      <c r="T72">
        <v>0.48807646863946996</v>
      </c>
      <c r="U72">
        <v>0.10741002052367982</v>
      </c>
      <c r="V72">
        <v>-0.70246926205090332</v>
      </c>
      <c r="W72">
        <v>-0.33167707322122125</v>
      </c>
      <c r="X72">
        <v>-0.13621701816662141</v>
      </c>
      <c r="Y72">
        <v>-0.34401695218564637</v>
      </c>
      <c r="Z72">
        <v>-0.80601580528793293</v>
      </c>
    </row>
    <row r="73" spans="1:26" x14ac:dyDescent="0.25">
      <c r="A73" s="28" t="s">
        <v>163</v>
      </c>
      <c r="B73">
        <v>7</v>
      </c>
      <c r="C73">
        <v>5</v>
      </c>
      <c r="D73">
        <v>3</v>
      </c>
      <c r="E73">
        <v>5</v>
      </c>
      <c r="F73">
        <v>54</v>
      </c>
      <c r="G73">
        <v>6633216</v>
      </c>
      <c r="H73">
        <v>8186315</v>
      </c>
      <c r="I73">
        <v>8729356</v>
      </c>
      <c r="J73">
        <v>8994858</v>
      </c>
      <c r="K73">
        <v>8423005</v>
      </c>
      <c r="L73">
        <v>1.0552950484350276E-6</v>
      </c>
      <c r="M73">
        <v>6.107754221527024E-7</v>
      </c>
      <c r="N73">
        <v>3.436679635931906E-7</v>
      </c>
      <c r="O73">
        <v>5.5587314441206293E-7</v>
      </c>
      <c r="P73">
        <v>6.4110136465548818E-6</v>
      </c>
      <c r="Q73">
        <v>1.3197796864087142E-2</v>
      </c>
      <c r="R73">
        <v>1.0782093551546934E-2</v>
      </c>
      <c r="S73">
        <v>9.4054232785852447E-3</v>
      </c>
      <c r="T73">
        <v>9.435517324808412E-3</v>
      </c>
      <c r="U73">
        <v>0.10331220849320066</v>
      </c>
      <c r="V73">
        <v>-0.97394823221105464</v>
      </c>
      <c r="W73">
        <v>-0.97866583980794053</v>
      </c>
      <c r="X73">
        <v>-0.98136442887727693</v>
      </c>
      <c r="Y73">
        <v>-0.98130535895979909</v>
      </c>
      <c r="Z73">
        <v>-0.81272352884720678</v>
      </c>
    </row>
    <row r="74" spans="1:26" x14ac:dyDescent="0.25">
      <c r="A74" s="28" t="s">
        <v>64</v>
      </c>
      <c r="B74">
        <v>84</v>
      </c>
      <c r="C74">
        <v>72</v>
      </c>
      <c r="D74">
        <v>80</v>
      </c>
      <c r="E74">
        <v>65</v>
      </c>
      <c r="F74">
        <v>250</v>
      </c>
      <c r="G74">
        <v>37468046</v>
      </c>
      <c r="H74">
        <v>43361858</v>
      </c>
      <c r="I74">
        <v>43996272</v>
      </c>
      <c r="J74">
        <v>39763418</v>
      </c>
      <c r="K74">
        <v>42530609</v>
      </c>
      <c r="L74">
        <v>2.2419103467525368E-6</v>
      </c>
      <c r="M74">
        <v>1.6604454541592752E-6</v>
      </c>
      <c r="N74">
        <v>1.8183358808219023E-6</v>
      </c>
      <c r="O74">
        <v>1.6346683275567507E-6</v>
      </c>
      <c r="P74">
        <v>5.8781194503939505E-6</v>
      </c>
      <c r="Q74">
        <v>2.8037919241461158E-2</v>
      </c>
      <c r="R74">
        <v>2.9312047562238222E-2</v>
      </c>
      <c r="S74">
        <v>4.976378491308401E-2</v>
      </c>
      <c r="T74">
        <v>2.7747232403700563E-2</v>
      </c>
      <c r="U74">
        <v>9.4724724620322054E-2</v>
      </c>
      <c r="V74">
        <v>-0.94545353100953899</v>
      </c>
      <c r="W74">
        <v>-0.94304536193536426</v>
      </c>
      <c r="X74">
        <v>-0.90519050927784817</v>
      </c>
      <c r="Y74">
        <v>-0.94600378083469971</v>
      </c>
      <c r="Z74">
        <v>-0.82694329909617248</v>
      </c>
    </row>
    <row r="75" spans="1:26" x14ac:dyDescent="0.25">
      <c r="A75" s="28" t="s">
        <v>81</v>
      </c>
      <c r="B75">
        <v>41</v>
      </c>
      <c r="C75">
        <v>10</v>
      </c>
      <c r="D75">
        <v>15</v>
      </c>
      <c r="E75">
        <v>16</v>
      </c>
      <c r="F75">
        <v>68</v>
      </c>
      <c r="G75">
        <v>33036571</v>
      </c>
      <c r="H75">
        <v>69495784</v>
      </c>
      <c r="I75">
        <v>93458233</v>
      </c>
      <c r="J75">
        <v>104487285</v>
      </c>
      <c r="K75">
        <v>12301138</v>
      </c>
      <c r="L75">
        <v>1.2410488969935772E-6</v>
      </c>
      <c r="M75">
        <v>1.4389362094253083E-7</v>
      </c>
      <c r="N75">
        <v>1.6049950355898553E-7</v>
      </c>
      <c r="O75">
        <v>1.531286797240449E-7</v>
      </c>
      <c r="P75">
        <v>5.5279438373913044E-6</v>
      </c>
      <c r="Q75">
        <v>1.5520883249864949E-2</v>
      </c>
      <c r="R75">
        <v>2.5401717655975198E-3</v>
      </c>
      <c r="S75">
        <v>4.3925123284461074E-3</v>
      </c>
      <c r="T75">
        <v>2.5992410768277976E-3</v>
      </c>
      <c r="U75">
        <v>8.9081714336105219E-2</v>
      </c>
      <c r="V75">
        <v>-0.96943266552984086</v>
      </c>
      <c r="W75">
        <v>-0.9949325287162829</v>
      </c>
      <c r="X75">
        <v>-0.99125339491378117</v>
      </c>
      <c r="Y75">
        <v>-0.99481499492452008</v>
      </c>
      <c r="Z75">
        <v>-0.8364094940471779</v>
      </c>
    </row>
    <row r="76" spans="1:26" x14ac:dyDescent="0.25">
      <c r="A76" s="28" t="s">
        <v>63</v>
      </c>
      <c r="B76">
        <v>3128</v>
      </c>
      <c r="C76">
        <v>2244</v>
      </c>
      <c r="D76">
        <v>1707</v>
      </c>
      <c r="E76">
        <v>1351</v>
      </c>
      <c r="F76">
        <v>1172</v>
      </c>
      <c r="G76">
        <v>169238399</v>
      </c>
      <c r="H76">
        <v>203023624</v>
      </c>
      <c r="I76">
        <v>212249157</v>
      </c>
      <c r="J76">
        <v>224181574</v>
      </c>
      <c r="K76">
        <v>213878140</v>
      </c>
      <c r="L76">
        <v>1.8482803066460113E-5</v>
      </c>
      <c r="M76">
        <v>1.1052900917579916E-5</v>
      </c>
      <c r="N76">
        <v>8.0424347692462211E-6</v>
      </c>
      <c r="O76">
        <v>6.0263650392605418E-6</v>
      </c>
      <c r="P76">
        <v>5.4797559021225826E-6</v>
      </c>
      <c r="Q76">
        <v>0.23115078641922188</v>
      </c>
      <c r="R76">
        <v>0.19511821757544556</v>
      </c>
      <c r="S76">
        <v>0.22010344637393059</v>
      </c>
      <c r="T76">
        <v>0.10229289237152184</v>
      </c>
      <c r="U76">
        <v>8.830517535337909E-2</v>
      </c>
      <c r="V76">
        <v>-0.62449638343403979</v>
      </c>
      <c r="W76">
        <v>-0.67347461580615042</v>
      </c>
      <c r="X76">
        <v>-0.63920527062182475</v>
      </c>
      <c r="Y76">
        <v>-0.81439979686080644</v>
      </c>
      <c r="Z76">
        <v>-0.83771982831064662</v>
      </c>
    </row>
    <row r="77" spans="1:26" x14ac:dyDescent="0.25">
      <c r="A77" s="28" t="s">
        <v>101</v>
      </c>
      <c r="B77">
        <v>300</v>
      </c>
      <c r="C77">
        <v>86</v>
      </c>
      <c r="D77">
        <v>79</v>
      </c>
      <c r="E77">
        <v>8</v>
      </c>
      <c r="F77">
        <v>8</v>
      </c>
      <c r="G77">
        <v>1822291</v>
      </c>
      <c r="H77">
        <v>1986135</v>
      </c>
      <c r="I77">
        <v>1666286</v>
      </c>
      <c r="J77">
        <v>1700344</v>
      </c>
      <c r="K77">
        <v>1595871</v>
      </c>
      <c r="L77">
        <v>1.6462793264083509E-4</v>
      </c>
      <c r="M77">
        <v>4.3300178487363651E-5</v>
      </c>
      <c r="N77">
        <v>4.7410828633259836E-5</v>
      </c>
      <c r="O77">
        <v>4.7049302964576581E-6</v>
      </c>
      <c r="P77">
        <v>5.0129365092792584E-6</v>
      </c>
      <c r="Q77">
        <v>2.0588801362902753</v>
      </c>
      <c r="R77">
        <v>0.76438336959261555</v>
      </c>
      <c r="S77">
        <v>1.2975283079109596</v>
      </c>
      <c r="T77">
        <v>7.9862558158294142E-2</v>
      </c>
      <c r="U77">
        <v>8.0782473780591849E-2</v>
      </c>
      <c r="V77">
        <v>0.34616594606889556</v>
      </c>
      <c r="W77">
        <v>-0.1335404960554501</v>
      </c>
      <c r="X77">
        <v>0.12949930013331976</v>
      </c>
      <c r="Y77">
        <v>-0.85208755029992012</v>
      </c>
      <c r="Z77">
        <v>-0.85051113292388314</v>
      </c>
    </row>
    <row r="78" spans="1:26" x14ac:dyDescent="0.25">
      <c r="A78" s="28" t="s">
        <v>28</v>
      </c>
      <c r="B78">
        <v>2187</v>
      </c>
      <c r="C78">
        <v>1400</v>
      </c>
      <c r="D78">
        <v>1552</v>
      </c>
      <c r="E78">
        <v>1875</v>
      </c>
      <c r="F78">
        <v>3130</v>
      </c>
      <c r="G78">
        <v>416982170</v>
      </c>
      <c r="H78">
        <v>494460765</v>
      </c>
      <c r="I78">
        <v>577730713</v>
      </c>
      <c r="J78">
        <v>592997234</v>
      </c>
      <c r="K78">
        <v>669295575</v>
      </c>
      <c r="L78">
        <v>5.2448285738452554E-6</v>
      </c>
      <c r="M78">
        <v>2.8313672167699697E-6</v>
      </c>
      <c r="N78">
        <v>2.686372673422332E-6</v>
      </c>
      <c r="O78">
        <v>3.1619034499577447E-6</v>
      </c>
      <c r="P78">
        <v>4.6765586340534223E-6</v>
      </c>
      <c r="Q78">
        <v>6.5593202779849202E-2</v>
      </c>
      <c r="R78">
        <v>4.9982473267178119E-2</v>
      </c>
      <c r="S78">
        <v>7.3520009876365172E-2</v>
      </c>
      <c r="T78">
        <v>5.3670869120692785E-2</v>
      </c>
      <c r="U78">
        <v>7.5361811293544079E-2</v>
      </c>
      <c r="V78">
        <v>-0.87688884912416121</v>
      </c>
      <c r="W78">
        <v>-0.90479369981929292</v>
      </c>
      <c r="X78">
        <v>-0.86303001490427311</v>
      </c>
      <c r="Y78">
        <v>-0.89812593155302456</v>
      </c>
      <c r="Z78">
        <v>-0.85983915273522316</v>
      </c>
    </row>
    <row r="79" spans="1:26" x14ac:dyDescent="0.25">
      <c r="A79" s="28" t="s">
        <v>62</v>
      </c>
      <c r="B79">
        <v>254</v>
      </c>
      <c r="C79">
        <v>209</v>
      </c>
      <c r="D79">
        <v>168</v>
      </c>
      <c r="E79">
        <v>367</v>
      </c>
      <c r="F79">
        <v>348</v>
      </c>
      <c r="G79">
        <v>61400262</v>
      </c>
      <c r="H79">
        <v>75242767</v>
      </c>
      <c r="I79">
        <v>82559524</v>
      </c>
      <c r="J79">
        <v>83908918</v>
      </c>
      <c r="K79">
        <v>85813704</v>
      </c>
      <c r="L79">
        <v>4.1367901654882185E-6</v>
      </c>
      <c r="M79">
        <v>2.7776756269476376E-6</v>
      </c>
      <c r="N79">
        <v>2.0348954531278547E-6</v>
      </c>
      <c r="O79">
        <v>4.3737901613747424E-6</v>
      </c>
      <c r="P79">
        <v>4.055296342877823E-6</v>
      </c>
      <c r="Q79">
        <v>5.1735783612774464E-2</v>
      </c>
      <c r="R79">
        <v>4.9034649036865635E-2</v>
      </c>
      <c r="S79">
        <v>5.5690535900493263E-2</v>
      </c>
      <c r="T79">
        <v>7.4241710105238876E-2</v>
      </c>
      <c r="U79">
        <v>6.5350293163429357E-2</v>
      </c>
      <c r="V79">
        <v>-0.90161828775082842</v>
      </c>
      <c r="W79">
        <v>-0.90651471982954035</v>
      </c>
      <c r="X79">
        <v>-0.89449458149591199</v>
      </c>
      <c r="Y79">
        <v>-0.86177838859381894</v>
      </c>
      <c r="Z79">
        <v>-0.87731679695815445</v>
      </c>
    </row>
    <row r="80" spans="1:26" x14ac:dyDescent="0.25">
      <c r="A80" s="28" t="s">
        <v>100</v>
      </c>
      <c r="B80">
        <v>22</v>
      </c>
      <c r="C80">
        <v>12</v>
      </c>
      <c r="D80">
        <v>1</v>
      </c>
      <c r="E80">
        <v>53</v>
      </c>
      <c r="F80">
        <v>11</v>
      </c>
      <c r="G80">
        <v>2554547</v>
      </c>
      <c r="H80">
        <v>3291376</v>
      </c>
      <c r="I80">
        <v>3887489</v>
      </c>
      <c r="J80">
        <v>3043750</v>
      </c>
      <c r="K80">
        <v>3194208</v>
      </c>
      <c r="L80">
        <v>8.6120944339642222E-6</v>
      </c>
      <c r="M80">
        <v>3.6458915663236286E-6</v>
      </c>
      <c r="N80">
        <v>2.5723545455691322E-7</v>
      </c>
      <c r="O80">
        <v>1.7412731006160164E-5</v>
      </c>
      <c r="P80">
        <v>3.4437331570141959E-6</v>
      </c>
      <c r="Q80">
        <v>0.10770511344893627</v>
      </c>
      <c r="R80">
        <v>6.4361371661528999E-2</v>
      </c>
      <c r="S80">
        <v>7.039958880866096E-3</v>
      </c>
      <c r="T80">
        <v>0.29556766095370202</v>
      </c>
      <c r="U80">
        <v>5.5495074184343039E-2</v>
      </c>
      <c r="V80">
        <v>-0.80553468221594282</v>
      </c>
      <c r="W80">
        <v>-0.87906105318148253</v>
      </c>
      <c r="X80">
        <v>-0.98601851134350293</v>
      </c>
      <c r="Y80">
        <v>-0.54372485534853998</v>
      </c>
      <c r="Z80">
        <v>-0.89484541322520517</v>
      </c>
    </row>
    <row r="81" spans="1:26" x14ac:dyDescent="0.25">
      <c r="A81" s="28" t="s">
        <v>78</v>
      </c>
      <c r="B81">
        <v>67</v>
      </c>
      <c r="C81">
        <v>47</v>
      </c>
      <c r="D81">
        <v>44</v>
      </c>
      <c r="E81">
        <v>59</v>
      </c>
      <c r="F81">
        <v>54</v>
      </c>
      <c r="G81">
        <v>13824679</v>
      </c>
      <c r="H81">
        <v>16816056</v>
      </c>
      <c r="I81">
        <v>17395555</v>
      </c>
      <c r="J81">
        <v>17197406</v>
      </c>
      <c r="K81">
        <v>16215423</v>
      </c>
      <c r="L81">
        <v>4.8464054753097705E-6</v>
      </c>
      <c r="M81">
        <v>2.7949478760061217E-6</v>
      </c>
      <c r="N81">
        <v>2.5293817874738692E-6</v>
      </c>
      <c r="O81">
        <v>3.4307499631049009E-6</v>
      </c>
      <c r="P81">
        <v>3.3301628949180048E-6</v>
      </c>
      <c r="Q81">
        <v>6.0610418933540598E-2</v>
      </c>
      <c r="R81">
        <v>4.9339558171122899E-2</v>
      </c>
      <c r="S81">
        <v>6.9223520562123345E-2</v>
      </c>
      <c r="T81">
        <v>5.8234331050837571E-2</v>
      </c>
      <c r="U81">
        <v>5.3664912022293315E-2</v>
      </c>
      <c r="V81">
        <v>-0.88570653681775968</v>
      </c>
      <c r="W81">
        <v>-0.90596073923465537</v>
      </c>
      <c r="X81">
        <v>-0.87051627797014708</v>
      </c>
      <c r="Y81">
        <v>-0.88994057489514589</v>
      </c>
      <c r="Z81">
        <v>-0.89813666297514916</v>
      </c>
    </row>
    <row r="82" spans="1:26" x14ac:dyDescent="0.25">
      <c r="A82" s="28" t="s">
        <v>47</v>
      </c>
      <c r="B82">
        <v>2269</v>
      </c>
      <c r="C82">
        <v>2047</v>
      </c>
      <c r="D82">
        <v>1204</v>
      </c>
      <c r="E82">
        <v>1046</v>
      </c>
      <c r="F82">
        <v>800</v>
      </c>
      <c r="G82">
        <v>192307380</v>
      </c>
      <c r="H82">
        <v>227168411</v>
      </c>
      <c r="I82">
        <v>241689131</v>
      </c>
      <c r="J82">
        <v>253327521</v>
      </c>
      <c r="K82">
        <v>259292432</v>
      </c>
      <c r="L82">
        <v>1.1798819161282319E-5</v>
      </c>
      <c r="M82">
        <v>9.0109359439063905E-6</v>
      </c>
      <c r="N82">
        <v>4.9816058960466868E-6</v>
      </c>
      <c r="O82">
        <v>4.1290421027725604E-6</v>
      </c>
      <c r="P82">
        <v>3.0853195129119694E-6</v>
      </c>
      <c r="Q82">
        <v>0.14755912932371759</v>
      </c>
      <c r="R82">
        <v>0.15907115907146807</v>
      </c>
      <c r="S82">
        <v>0.13633540807684227</v>
      </c>
      <c r="T82">
        <v>7.0087300829725765E-2</v>
      </c>
      <c r="U82">
        <v>4.9719309669133308E-2</v>
      </c>
      <c r="V82">
        <v>-0.74282958402208432</v>
      </c>
      <c r="W82">
        <v>-0.72551959760796747</v>
      </c>
      <c r="X82">
        <v>-0.76004372105665674</v>
      </c>
      <c r="Y82">
        <v>-0.86900638709499423</v>
      </c>
      <c r="Z82">
        <v>-0.90527122972558327</v>
      </c>
    </row>
    <row r="83" spans="1:26" x14ac:dyDescent="0.25">
      <c r="A83" s="28" t="s">
        <v>89</v>
      </c>
      <c r="B83">
        <v>25</v>
      </c>
      <c r="C83">
        <v>73</v>
      </c>
      <c r="D83">
        <v>316</v>
      </c>
      <c r="E83">
        <v>458</v>
      </c>
      <c r="F83">
        <v>173</v>
      </c>
      <c r="G83">
        <v>42079930</v>
      </c>
      <c r="H83">
        <v>53835876</v>
      </c>
      <c r="I83">
        <v>67438274</v>
      </c>
      <c r="J83">
        <v>56865095</v>
      </c>
      <c r="K83">
        <v>57522809</v>
      </c>
      <c r="L83">
        <v>5.9410745217494416E-7</v>
      </c>
      <c r="M83">
        <v>1.3559731061123626E-6</v>
      </c>
      <c r="N83">
        <v>4.6857664239746113E-6</v>
      </c>
      <c r="O83">
        <v>8.0541499139322637E-6</v>
      </c>
      <c r="P83">
        <v>3.0075026412566185E-6</v>
      </c>
      <c r="Q83">
        <v>7.4300637351356136E-3</v>
      </c>
      <c r="R83">
        <v>2.3937159802461583E-2</v>
      </c>
      <c r="S83">
        <v>0.12823894360497551</v>
      </c>
      <c r="T83">
        <v>0.1367129745580544</v>
      </c>
      <c r="U83">
        <v>4.8465306275603415E-2</v>
      </c>
      <c r="V83">
        <v>-0.98524946990843598</v>
      </c>
      <c r="W83">
        <v>-0.95324486552069354</v>
      </c>
      <c r="X83">
        <v>-0.77267414082477337</v>
      </c>
      <c r="Y83">
        <v>-0.75945911128320254</v>
      </c>
      <c r="Z83">
        <v>-0.90755000478220194</v>
      </c>
    </row>
    <row r="84" spans="1:26" x14ac:dyDescent="0.25">
      <c r="A84" s="28" t="s">
        <v>72</v>
      </c>
      <c r="B84">
        <v>3822</v>
      </c>
      <c r="C84">
        <v>1273</v>
      </c>
      <c r="D84">
        <v>963</v>
      </c>
      <c r="E84">
        <v>2578</v>
      </c>
      <c r="F84">
        <v>90</v>
      </c>
      <c r="G84">
        <v>20226568</v>
      </c>
      <c r="H84">
        <v>26269228</v>
      </c>
      <c r="I84">
        <v>35380362</v>
      </c>
      <c r="J84">
        <v>31126424</v>
      </c>
      <c r="K84">
        <v>34420386</v>
      </c>
      <c r="L84">
        <v>1.8895939241892149E-4</v>
      </c>
      <c r="M84">
        <v>4.8459741565302184E-5</v>
      </c>
      <c r="N84">
        <v>2.7218489172044084E-5</v>
      </c>
      <c r="O84">
        <v>8.2823519977752658E-5</v>
      </c>
      <c r="P84">
        <v>2.6147295384775753E-6</v>
      </c>
      <c r="Q84">
        <v>2.3631757586701068</v>
      </c>
      <c r="R84">
        <v>0.85546577037974514</v>
      </c>
      <c r="S84">
        <v>0.74490915298028737</v>
      </c>
      <c r="T84">
        <v>1.4058652869050927</v>
      </c>
      <c r="U84">
        <v>4.2135845924721839E-2</v>
      </c>
      <c r="V84">
        <v>0.4053239724852038</v>
      </c>
      <c r="W84">
        <v>-7.7896467791305074E-2</v>
      </c>
      <c r="X84">
        <v>-0.14619147740959465</v>
      </c>
      <c r="Y84">
        <v>0.16869825967155383</v>
      </c>
      <c r="Z84">
        <v>-0.91913559812860424</v>
      </c>
    </row>
    <row r="85" spans="1:26" x14ac:dyDescent="0.25">
      <c r="A85" s="28" t="s">
        <v>58</v>
      </c>
      <c r="B85">
        <v>45850</v>
      </c>
      <c r="C85">
        <v>42709</v>
      </c>
      <c r="D85">
        <v>47074</v>
      </c>
      <c r="E85">
        <v>47311</v>
      </c>
      <c r="F85">
        <v>736</v>
      </c>
      <c r="G85">
        <v>335296908</v>
      </c>
      <c r="H85">
        <v>425159797</v>
      </c>
      <c r="I85">
        <v>515621189</v>
      </c>
      <c r="J85">
        <v>570245384</v>
      </c>
      <c r="K85">
        <v>296147744</v>
      </c>
      <c r="L85">
        <v>1.3674447603316401E-4</v>
      </c>
      <c r="M85">
        <v>1.004539947129573E-4</v>
      </c>
      <c r="N85">
        <v>9.1295705072353027E-5</v>
      </c>
      <c r="O85">
        <v>8.296603765231004E-5</v>
      </c>
      <c r="P85">
        <v>2.4852460128820027E-6</v>
      </c>
      <c r="Q85">
        <v>1.7101623092499942</v>
      </c>
      <c r="R85">
        <v>1.7733267078826815</v>
      </c>
      <c r="S85">
        <v>2.4985591928458</v>
      </c>
      <c r="T85">
        <v>1.4082844143641102</v>
      </c>
      <c r="U85">
        <v>4.0049244689681095E-2</v>
      </c>
      <c r="V85">
        <v>0.26203681854262206</v>
      </c>
      <c r="W85">
        <v>0.27884443101659812</v>
      </c>
      <c r="X85">
        <v>0.42833609787429122</v>
      </c>
      <c r="Y85">
        <v>0.16953330425962779</v>
      </c>
      <c r="Z85">
        <v>-0.92298586842081576</v>
      </c>
    </row>
    <row r="86" spans="1:26" x14ac:dyDescent="0.25">
      <c r="A86" s="28" t="s">
        <v>53</v>
      </c>
      <c r="B86">
        <v>1314</v>
      </c>
      <c r="C86">
        <v>1005</v>
      </c>
      <c r="D86">
        <v>1049</v>
      </c>
      <c r="E86">
        <v>385</v>
      </c>
      <c r="F86">
        <v>837</v>
      </c>
      <c r="G86">
        <v>254531426</v>
      </c>
      <c r="H86">
        <v>345599938</v>
      </c>
      <c r="I86">
        <v>402166083</v>
      </c>
      <c r="J86">
        <v>370869477</v>
      </c>
      <c r="K86">
        <v>345858153</v>
      </c>
      <c r="L86">
        <v>5.1624273695775388E-6</v>
      </c>
      <c r="M86">
        <v>2.9079866327985278E-6</v>
      </c>
      <c r="N86">
        <v>2.6083751075547561E-6</v>
      </c>
      <c r="O86">
        <v>1.0381010675623759E-6</v>
      </c>
      <c r="P86">
        <v>2.4200672811665654E-6</v>
      </c>
      <c r="Q86">
        <v>6.4562671691037368E-2</v>
      </c>
      <c r="R86">
        <v>5.1335045229836875E-2</v>
      </c>
      <c r="S86">
        <v>7.138539100175785E-2</v>
      </c>
      <c r="T86">
        <v>1.7620963895003283E-2</v>
      </c>
      <c r="U86">
        <v>3.8998902405052487E-2</v>
      </c>
      <c r="V86">
        <v>-0.87870573821928055</v>
      </c>
      <c r="W86">
        <v>-0.90234312940911365</v>
      </c>
      <c r="X86">
        <v>-0.86674189959784365</v>
      </c>
      <c r="Y86">
        <v>-0.96536831586574612</v>
      </c>
      <c r="Z86">
        <v>-0.92492984869420236</v>
      </c>
    </row>
    <row r="87" spans="1:26" x14ac:dyDescent="0.25">
      <c r="A87" s="28" t="s">
        <v>137</v>
      </c>
      <c r="B87">
        <v>162</v>
      </c>
      <c r="C87">
        <v>124</v>
      </c>
      <c r="D87">
        <v>143</v>
      </c>
      <c r="E87">
        <v>108</v>
      </c>
      <c r="F87">
        <v>28</v>
      </c>
      <c r="G87">
        <v>11559667</v>
      </c>
      <c r="H87">
        <v>19331738</v>
      </c>
      <c r="I87">
        <v>22252183</v>
      </c>
      <c r="J87">
        <v>12406928</v>
      </c>
      <c r="K87">
        <v>12403360</v>
      </c>
      <c r="L87">
        <v>1.4014244527978185E-5</v>
      </c>
      <c r="M87">
        <v>6.4143223956376817E-6</v>
      </c>
      <c r="N87">
        <v>6.4263357891672923E-6</v>
      </c>
      <c r="O87">
        <v>8.7048139555577331E-6</v>
      </c>
      <c r="P87">
        <v>2.2574528192360779E-6</v>
      </c>
      <c r="Q87">
        <v>0.17526582045295014</v>
      </c>
      <c r="R87">
        <v>0.113232821150189</v>
      </c>
      <c r="S87">
        <v>0.17587443297154953</v>
      </c>
      <c r="T87">
        <v>0.1477574941559214</v>
      </c>
      <c r="U87">
        <v>3.6378402727283106E-2</v>
      </c>
      <c r="V87">
        <v>-0.70174267403539015</v>
      </c>
      <c r="W87">
        <v>-0.79656938063827987</v>
      </c>
      <c r="X87">
        <v>-0.70086188109882153</v>
      </c>
      <c r="Y87">
        <v>-0.74252837396703808</v>
      </c>
      <c r="Z87">
        <v>-0.92979706518091954</v>
      </c>
    </row>
    <row r="88" spans="1:26" x14ac:dyDescent="0.25">
      <c r="A88" s="28" t="s">
        <v>85</v>
      </c>
      <c r="B88">
        <v>205</v>
      </c>
      <c r="C88">
        <v>141</v>
      </c>
      <c r="D88">
        <v>129</v>
      </c>
      <c r="E88">
        <v>154</v>
      </c>
      <c r="F88">
        <v>102</v>
      </c>
      <c r="G88">
        <v>31918087</v>
      </c>
      <c r="H88">
        <v>41213065</v>
      </c>
      <c r="I88">
        <v>50068471</v>
      </c>
      <c r="J88">
        <v>48001673</v>
      </c>
      <c r="K88">
        <v>46416985</v>
      </c>
      <c r="L88">
        <v>6.4226906831853678E-6</v>
      </c>
      <c r="M88">
        <v>3.4212451803815125E-6</v>
      </c>
      <c r="N88">
        <v>2.5764717280861244E-6</v>
      </c>
      <c r="O88">
        <v>3.2082215134460002E-6</v>
      </c>
      <c r="P88">
        <v>2.1974714643788261E-6</v>
      </c>
      <c r="Q88">
        <v>8.0323855478380349E-2</v>
      </c>
      <c r="R88">
        <v>6.039566141616938E-2</v>
      </c>
      <c r="S88">
        <v>7.0512266882819016E-2</v>
      </c>
      <c r="T88">
        <v>5.4457082476902417E-2</v>
      </c>
      <c r="U88">
        <v>3.5411815135935977E-2</v>
      </c>
      <c r="V88">
        <v>-0.85129671057238299</v>
      </c>
      <c r="W88">
        <v>-0.88608844110978291</v>
      </c>
      <c r="X88">
        <v>-0.86826443925179708</v>
      </c>
      <c r="Y88">
        <v>-0.89671067057753817</v>
      </c>
      <c r="Z88">
        <v>-0.93159858788884531</v>
      </c>
    </row>
    <row r="89" spans="1:26" x14ac:dyDescent="0.25">
      <c r="A89" s="28" t="s">
        <v>112</v>
      </c>
      <c r="B89">
        <v>0</v>
      </c>
      <c r="C89">
        <v>0</v>
      </c>
      <c r="D89">
        <v>0</v>
      </c>
      <c r="E89">
        <v>0</v>
      </c>
      <c r="F89">
        <v>2</v>
      </c>
      <c r="G89">
        <v>818488</v>
      </c>
      <c r="H89">
        <v>977659</v>
      </c>
      <c r="I89">
        <v>917187</v>
      </c>
      <c r="J89">
        <v>831235</v>
      </c>
      <c r="K89">
        <v>934653</v>
      </c>
      <c r="L89">
        <v>0</v>
      </c>
      <c r="M89">
        <v>0</v>
      </c>
      <c r="N89">
        <v>0</v>
      </c>
      <c r="O89">
        <v>0</v>
      </c>
      <c r="P89">
        <v>2.1398315738568216E-6</v>
      </c>
      <c r="Q89">
        <v>0</v>
      </c>
      <c r="R89">
        <v>0</v>
      </c>
      <c r="S89">
        <v>0</v>
      </c>
      <c r="T89">
        <v>0</v>
      </c>
      <c r="U89">
        <v>3.4482959776170115E-2</v>
      </c>
      <c r="V89">
        <v>-1</v>
      </c>
      <c r="W89">
        <v>-1</v>
      </c>
      <c r="X89">
        <v>-1</v>
      </c>
      <c r="Y89">
        <v>-1</v>
      </c>
      <c r="Z89">
        <v>-0.93333295739616395</v>
      </c>
    </row>
    <row r="90" spans="1:26" x14ac:dyDescent="0.25">
      <c r="A90" s="28" t="s">
        <v>49</v>
      </c>
      <c r="B90">
        <v>458</v>
      </c>
      <c r="C90">
        <v>504</v>
      </c>
      <c r="D90">
        <v>590</v>
      </c>
      <c r="E90">
        <v>719</v>
      </c>
      <c r="F90">
        <v>1065</v>
      </c>
      <c r="G90">
        <v>373909153</v>
      </c>
      <c r="H90">
        <v>457749966</v>
      </c>
      <c r="I90">
        <v>515077895</v>
      </c>
      <c r="J90">
        <v>475472598</v>
      </c>
      <c r="K90">
        <v>504878086</v>
      </c>
      <c r="L90">
        <v>1.2248964656930984E-6</v>
      </c>
      <c r="M90">
        <v>1.1010377661065736E-6</v>
      </c>
      <c r="N90">
        <v>1.1454578146864564E-6</v>
      </c>
      <c r="O90">
        <v>1.5121796777024783E-6</v>
      </c>
      <c r="P90">
        <v>2.1094201343490276E-6</v>
      </c>
      <c r="Q90">
        <v>1.5318876704414956E-2</v>
      </c>
      <c r="R90">
        <v>1.9436754930487837E-2</v>
      </c>
      <c r="S90">
        <v>3.1348617666447059E-2</v>
      </c>
      <c r="T90">
        <v>2.5668082170575361E-2</v>
      </c>
      <c r="U90">
        <v>3.3992885483363711E-2</v>
      </c>
      <c r="V90">
        <v>-0.96982450133471765</v>
      </c>
      <c r="W90">
        <v>-0.96186765910394667</v>
      </c>
      <c r="X90">
        <v>-0.93920849433554843</v>
      </c>
      <c r="Y90">
        <v>-0.94994856013018347</v>
      </c>
      <c r="Z90">
        <v>-0.9342492855403487</v>
      </c>
    </row>
    <row r="91" spans="1:26" x14ac:dyDescent="0.25">
      <c r="A91" s="28" t="s">
        <v>73</v>
      </c>
      <c r="B91">
        <v>162</v>
      </c>
      <c r="C91">
        <v>63</v>
      </c>
      <c r="D91">
        <v>62</v>
      </c>
      <c r="E91">
        <v>12</v>
      </c>
      <c r="F91">
        <v>100</v>
      </c>
      <c r="G91">
        <v>27704922</v>
      </c>
      <c r="H91">
        <v>36578743</v>
      </c>
      <c r="I91">
        <v>42331463</v>
      </c>
      <c r="J91">
        <v>42477876</v>
      </c>
      <c r="K91">
        <v>47487556</v>
      </c>
      <c r="L91">
        <v>5.8473364407956104E-6</v>
      </c>
      <c r="M91">
        <v>1.7223117809160365E-6</v>
      </c>
      <c r="N91">
        <v>1.4646316381741874E-6</v>
      </c>
      <c r="O91">
        <v>2.8250000070624998E-7</v>
      </c>
      <c r="P91">
        <v>2.1058148370490997E-6</v>
      </c>
      <c r="Q91">
        <v>7.31283243070633E-2</v>
      </c>
      <c r="R91">
        <v>3.0404181427793799E-2</v>
      </c>
      <c r="S91">
        <v>4.008369113084502E-2</v>
      </c>
      <c r="T91">
        <v>4.7952193368533706E-3</v>
      </c>
      <c r="U91">
        <v>3.3934786835183438E-2</v>
      </c>
      <c r="V91">
        <v>-0.86371000997614433</v>
      </c>
      <c r="W91">
        <v>-0.94098591217736749</v>
      </c>
      <c r="X91">
        <v>-0.92292218121935266</v>
      </c>
      <c r="Y91">
        <v>-0.99045533011190445</v>
      </c>
      <c r="Z91">
        <v>-0.93435797447331104</v>
      </c>
    </row>
    <row r="92" spans="1:26" x14ac:dyDescent="0.25">
      <c r="A92" s="28" t="s">
        <v>86</v>
      </c>
      <c r="C92">
        <v>28</v>
      </c>
      <c r="D92">
        <v>11</v>
      </c>
      <c r="E92">
        <v>40</v>
      </c>
      <c r="F92">
        <v>32</v>
      </c>
      <c r="G92">
        <v>0</v>
      </c>
      <c r="H92">
        <v>14823232</v>
      </c>
      <c r="I92">
        <v>17378757</v>
      </c>
      <c r="J92">
        <v>16874662</v>
      </c>
      <c r="K92">
        <v>15860376</v>
      </c>
      <c r="L92" t="e">
        <v>#DIV/0!</v>
      </c>
      <c r="M92">
        <v>1.8889267873564955E-6</v>
      </c>
      <c r="N92">
        <v>6.329566608244767E-7</v>
      </c>
      <c r="O92">
        <v>2.3704178489619526E-6</v>
      </c>
      <c r="P92">
        <v>2.0176066443822011E-6</v>
      </c>
      <c r="Q92" t="e">
        <v>#DIV/0!</v>
      </c>
      <c r="R92">
        <v>3.3345456602555966E-2</v>
      </c>
      <c r="S92">
        <v>1.732260769904383E-2</v>
      </c>
      <c r="T92">
        <v>4.0236012309196621E-2</v>
      </c>
      <c r="U92">
        <v>3.2513329372445367E-2</v>
      </c>
      <c r="V92" t="e">
        <v>#DIV/0!</v>
      </c>
      <c r="W92">
        <v>-0.93546116375797594</v>
      </c>
      <c r="X92">
        <v>-0.96594471101310986</v>
      </c>
      <c r="Y92">
        <v>-0.92264060879823295</v>
      </c>
      <c r="Z92">
        <v>-0.93702099828152974</v>
      </c>
    </row>
    <row r="93" spans="1:26" x14ac:dyDescent="0.25">
      <c r="A93" s="28" t="s">
        <v>76</v>
      </c>
      <c r="B93">
        <v>742</v>
      </c>
      <c r="C93">
        <v>752</v>
      </c>
      <c r="D93">
        <v>435</v>
      </c>
      <c r="E93">
        <v>404</v>
      </c>
      <c r="F93">
        <v>387</v>
      </c>
      <c r="G93">
        <v>154935587</v>
      </c>
      <c r="H93">
        <v>189635063</v>
      </c>
      <c r="I93">
        <v>197527811</v>
      </c>
      <c r="J93">
        <v>197533884</v>
      </c>
      <c r="K93">
        <v>195761855</v>
      </c>
      <c r="L93">
        <v>4.7890869642492142E-6</v>
      </c>
      <c r="M93">
        <v>3.9655113780303381E-6</v>
      </c>
      <c r="N93">
        <v>2.2022215393254167E-6</v>
      </c>
      <c r="O93">
        <v>2.0452187332073113E-6</v>
      </c>
      <c r="P93">
        <v>1.9768917698496471E-6</v>
      </c>
      <c r="Q93">
        <v>5.9893578589552451E-2</v>
      </c>
      <c r="R93">
        <v>7.0003659457922945E-2</v>
      </c>
      <c r="S93">
        <v>6.0269876522710902E-2</v>
      </c>
      <c r="T93">
        <v>3.4716008470981503E-2</v>
      </c>
      <c r="U93">
        <v>3.1857217275609931E-2</v>
      </c>
      <c r="V93">
        <v>-0.88698190120322173</v>
      </c>
      <c r="W93">
        <v>-0.86915248590198713</v>
      </c>
      <c r="X93">
        <v>-0.88631219681469475</v>
      </c>
      <c r="Y93">
        <v>-0.93289751354619133</v>
      </c>
      <c r="Z93">
        <v>-0.93825266375570471</v>
      </c>
    </row>
    <row r="94" spans="1:26" x14ac:dyDescent="0.25">
      <c r="A94" s="28" t="s">
        <v>110</v>
      </c>
      <c r="B94">
        <v>70</v>
      </c>
      <c r="C94">
        <v>84</v>
      </c>
      <c r="D94">
        <v>53</v>
      </c>
      <c r="E94">
        <v>41</v>
      </c>
      <c r="F94">
        <v>58</v>
      </c>
      <c r="G94">
        <v>19384734</v>
      </c>
      <c r="H94">
        <v>25566161</v>
      </c>
      <c r="I94">
        <v>28565681</v>
      </c>
      <c r="J94">
        <v>30790286</v>
      </c>
      <c r="K94">
        <v>31115484</v>
      </c>
      <c r="L94">
        <v>3.6110890146854735E-6</v>
      </c>
      <c r="M94">
        <v>3.2855930149231242E-6</v>
      </c>
      <c r="N94">
        <v>1.8553732361570515E-6</v>
      </c>
      <c r="O94">
        <v>1.3315888004418017E-6</v>
      </c>
      <c r="P94">
        <v>1.864023712438476E-6</v>
      </c>
      <c r="Q94">
        <v>4.516122703752997E-2</v>
      </c>
      <c r="R94">
        <v>5.8000977076568379E-2</v>
      </c>
      <c r="S94">
        <v>5.0777414465295635E-2</v>
      </c>
      <c r="T94">
        <v>2.2602691499655794E-2</v>
      </c>
      <c r="U94">
        <v>3.0038371002251648E-2</v>
      </c>
      <c r="V94">
        <v>-0.91358036278184995</v>
      </c>
      <c r="W94">
        <v>-0.89035742247264338</v>
      </c>
      <c r="X94">
        <v>-0.90335267247605522</v>
      </c>
      <c r="Y94">
        <v>-0.95579379618782589</v>
      </c>
      <c r="Z94">
        <v>-0.94167523881071813</v>
      </c>
    </row>
    <row r="95" spans="1:26" x14ac:dyDescent="0.25">
      <c r="A95" s="28" t="s">
        <v>87</v>
      </c>
      <c r="B95">
        <v>177</v>
      </c>
      <c r="C95">
        <v>0</v>
      </c>
      <c r="D95">
        <v>0</v>
      </c>
      <c r="E95">
        <v>28</v>
      </c>
      <c r="F95">
        <v>24</v>
      </c>
      <c r="G95">
        <v>2512497</v>
      </c>
      <c r="H95">
        <v>2964798</v>
      </c>
      <c r="I95">
        <v>5306984</v>
      </c>
      <c r="J95">
        <v>8371155</v>
      </c>
      <c r="K95">
        <v>13028124</v>
      </c>
      <c r="L95">
        <v>7.0447845310860072E-5</v>
      </c>
      <c r="M95">
        <v>0</v>
      </c>
      <c r="N95">
        <v>0</v>
      </c>
      <c r="O95">
        <v>3.3448192035627103E-6</v>
      </c>
      <c r="P95">
        <v>1.8421685271033649E-6</v>
      </c>
      <c r="Q95">
        <v>0.88103924424185176</v>
      </c>
      <c r="R95">
        <v>0</v>
      </c>
      <c r="S95">
        <v>0</v>
      </c>
      <c r="T95">
        <v>5.6775722772051493E-2</v>
      </c>
      <c r="U95">
        <v>2.9686179041903554E-2</v>
      </c>
      <c r="V95">
        <v>-6.3242038209625484E-2</v>
      </c>
      <c r="W95">
        <v>-1</v>
      </c>
      <c r="X95">
        <v>-1</v>
      </c>
      <c r="Y95">
        <v>-0.89254915390538714</v>
      </c>
      <c r="Z95">
        <v>-0.94233936582595335</v>
      </c>
    </row>
    <row r="96" spans="1:26" x14ac:dyDescent="0.25">
      <c r="A96" s="28" t="s">
        <v>97</v>
      </c>
      <c r="B96">
        <v>6</v>
      </c>
      <c r="C96">
        <v>10</v>
      </c>
      <c r="D96">
        <v>28</v>
      </c>
      <c r="E96">
        <v>28</v>
      </c>
      <c r="F96">
        <v>88</v>
      </c>
      <c r="G96">
        <v>31045676</v>
      </c>
      <c r="H96">
        <v>40488600</v>
      </c>
      <c r="I96">
        <v>57259330</v>
      </c>
      <c r="J96">
        <v>49542894</v>
      </c>
      <c r="K96">
        <v>49551988</v>
      </c>
      <c r="L96">
        <v>1.9326362872562351E-7</v>
      </c>
      <c r="M96">
        <v>2.469831014162011E-7</v>
      </c>
      <c r="N96">
        <v>4.8900327684588693E-7</v>
      </c>
      <c r="O96">
        <v>5.651668229151087E-7</v>
      </c>
      <c r="P96">
        <v>1.7759126031431876E-6</v>
      </c>
      <c r="Q96">
        <v>2.4170056676752938E-3</v>
      </c>
      <c r="R96">
        <v>4.3600230273426075E-3</v>
      </c>
      <c r="S96">
        <v>1.3382925645042287E-2</v>
      </c>
      <c r="T96">
        <v>9.5932703398770511E-3</v>
      </c>
      <c r="U96">
        <v>2.8618478018717957E-2</v>
      </c>
      <c r="V96">
        <v>-0.99517764432564582</v>
      </c>
      <c r="W96">
        <v>-0.99131780850018181</v>
      </c>
      <c r="X96">
        <v>-0.97358762357965767</v>
      </c>
      <c r="Y96">
        <v>-0.98099577201688848</v>
      </c>
      <c r="Z96">
        <v>-0.94435550472738605</v>
      </c>
    </row>
    <row r="97" spans="1:26" x14ac:dyDescent="0.25">
      <c r="A97" s="28" t="s">
        <v>91</v>
      </c>
      <c r="B97">
        <v>0</v>
      </c>
      <c r="C97">
        <v>111</v>
      </c>
      <c r="D97">
        <v>111</v>
      </c>
      <c r="E97">
        <v>158</v>
      </c>
      <c r="F97">
        <v>23</v>
      </c>
      <c r="G97">
        <v>9656808</v>
      </c>
      <c r="H97">
        <v>13373218</v>
      </c>
      <c r="I97">
        <v>15466804</v>
      </c>
      <c r="J97">
        <v>16738253</v>
      </c>
      <c r="K97">
        <v>13181447</v>
      </c>
      <c r="L97">
        <v>0</v>
      </c>
      <c r="M97">
        <v>8.3001712826336945E-6</v>
      </c>
      <c r="N97">
        <v>7.1766604141359776E-6</v>
      </c>
      <c r="O97">
        <v>9.4394558380734243E-6</v>
      </c>
      <c r="P97">
        <v>1.7448767195285919E-6</v>
      </c>
      <c r="Q97">
        <v>0</v>
      </c>
      <c r="R97">
        <v>0.14652394319960904</v>
      </c>
      <c r="S97">
        <v>0.19640913926302664</v>
      </c>
      <c r="T97">
        <v>0.16022747274669905</v>
      </c>
      <c r="U97">
        <v>2.8118340933456117E-2</v>
      </c>
      <c r="V97">
        <v>-1</v>
      </c>
      <c r="W97">
        <v>-0.74440316912928295</v>
      </c>
      <c r="X97">
        <v>-0.67166894197412719</v>
      </c>
      <c r="Y97">
        <v>-0.72379989870886308</v>
      </c>
      <c r="Z97">
        <v>-0.94530135332878751</v>
      </c>
    </row>
    <row r="98" spans="1:26" x14ac:dyDescent="0.25">
      <c r="A98" s="28" t="s">
        <v>115</v>
      </c>
      <c r="B98">
        <v>15</v>
      </c>
      <c r="C98">
        <v>23</v>
      </c>
      <c r="D98">
        <v>34</v>
      </c>
      <c r="E98">
        <v>24</v>
      </c>
      <c r="F98">
        <v>15</v>
      </c>
      <c r="G98">
        <v>6148985</v>
      </c>
      <c r="H98">
        <v>8614111</v>
      </c>
      <c r="I98">
        <v>9678153</v>
      </c>
      <c r="J98">
        <v>9228186</v>
      </c>
      <c r="K98">
        <v>8893857</v>
      </c>
      <c r="L98">
        <v>2.4394269948617537E-6</v>
      </c>
      <c r="M98">
        <v>2.6700375697503781E-6</v>
      </c>
      <c r="N98">
        <v>3.5130670077234777E-6</v>
      </c>
      <c r="O98">
        <v>2.600727813678658E-6</v>
      </c>
      <c r="P98">
        <v>1.6865573620084064E-6</v>
      </c>
      <c r="Q98">
        <v>3.050811428585809E-2</v>
      </c>
      <c r="R98">
        <v>4.7134501191496939E-2</v>
      </c>
      <c r="S98">
        <v>9.6144784251070925E-2</v>
      </c>
      <c r="T98">
        <v>4.4145346091563335E-2</v>
      </c>
      <c r="U98">
        <v>2.7178536098295198E-2</v>
      </c>
      <c r="V98">
        <v>-0.94079015223087259</v>
      </c>
      <c r="W98">
        <v>-0.90997431344709911</v>
      </c>
      <c r="X98">
        <v>-0.82457648728080957</v>
      </c>
      <c r="Y98">
        <v>-0.91544214365019616</v>
      </c>
      <c r="Z98">
        <v>-0.94708118376084449</v>
      </c>
    </row>
    <row r="99" spans="1:26" x14ac:dyDescent="0.25">
      <c r="A99" s="28" t="s">
        <v>95</v>
      </c>
      <c r="B99">
        <v>2</v>
      </c>
      <c r="C99">
        <v>1</v>
      </c>
      <c r="D99">
        <v>15</v>
      </c>
      <c r="E99">
        <v>9</v>
      </c>
      <c r="F99">
        <v>16</v>
      </c>
      <c r="G99">
        <v>12137304</v>
      </c>
      <c r="H99">
        <v>10229924</v>
      </c>
      <c r="I99">
        <v>11429863</v>
      </c>
      <c r="J99">
        <v>18027777</v>
      </c>
      <c r="K99">
        <v>9609781</v>
      </c>
      <c r="L99">
        <v>1.6478123972177016E-7</v>
      </c>
      <c r="M99">
        <v>9.7752436870498745E-8</v>
      </c>
      <c r="N99">
        <v>1.3123516878548764E-6</v>
      </c>
      <c r="O99">
        <v>4.9922960551375804E-7</v>
      </c>
      <c r="P99">
        <v>1.6649703047343119E-6</v>
      </c>
      <c r="Q99">
        <v>2.0607974348836951E-3</v>
      </c>
      <c r="R99">
        <v>1.7256357754452905E-3</v>
      </c>
      <c r="S99">
        <v>3.5916129585043047E-2</v>
      </c>
      <c r="T99">
        <v>8.4740369978919088E-3</v>
      </c>
      <c r="U99">
        <v>2.6830664968266586E-2</v>
      </c>
      <c r="V99">
        <v>-0.99588688143442194</v>
      </c>
      <c r="W99">
        <v>-0.99655467382721119</v>
      </c>
      <c r="X99">
        <v>-0.93065822886756289</v>
      </c>
      <c r="Y99">
        <v>-0.98319433780741017</v>
      </c>
      <c r="Z99">
        <v>-0.94774081864979021</v>
      </c>
    </row>
    <row r="100" spans="1:26" x14ac:dyDescent="0.25">
      <c r="A100" s="28" t="s">
        <v>120</v>
      </c>
      <c r="B100">
        <v>88</v>
      </c>
      <c r="C100">
        <v>56</v>
      </c>
      <c r="D100">
        <v>20</v>
      </c>
      <c r="E100">
        <v>80</v>
      </c>
      <c r="F100">
        <v>18</v>
      </c>
      <c r="G100">
        <v>8060547</v>
      </c>
      <c r="H100">
        <v>11217517</v>
      </c>
      <c r="I100">
        <v>11689732</v>
      </c>
      <c r="J100">
        <v>10535675</v>
      </c>
      <c r="K100">
        <v>11275830</v>
      </c>
      <c r="L100">
        <v>1.0917373225415099E-5</v>
      </c>
      <c r="M100">
        <v>4.9921921223743185E-6</v>
      </c>
      <c r="N100">
        <v>1.7109032097570756E-6</v>
      </c>
      <c r="O100">
        <v>7.5932486527915865E-6</v>
      </c>
      <c r="P100">
        <v>1.5963348152641534E-6</v>
      </c>
      <c r="Q100">
        <v>0.13653553509241484</v>
      </c>
      <c r="R100">
        <v>8.8127780749629153E-2</v>
      </c>
      <c r="S100">
        <v>4.6823593064099771E-2</v>
      </c>
      <c r="T100">
        <v>0.12888953160486299</v>
      </c>
      <c r="U100">
        <v>2.5724617720654756E-2</v>
      </c>
      <c r="V100">
        <v>-0.75973380351664443</v>
      </c>
      <c r="W100">
        <v>-0.83801942692995768</v>
      </c>
      <c r="X100">
        <v>-0.91054157859196705</v>
      </c>
      <c r="Y100">
        <v>-0.77165253464326156</v>
      </c>
      <c r="Z100">
        <v>-0.9498410835106611</v>
      </c>
    </row>
    <row r="101" spans="1:26" x14ac:dyDescent="0.25">
      <c r="A101" s="28" t="s">
        <v>166</v>
      </c>
      <c r="B101">
        <v>10</v>
      </c>
      <c r="C101">
        <v>6</v>
      </c>
      <c r="D101">
        <v>11</v>
      </c>
      <c r="E101">
        <v>7</v>
      </c>
      <c r="F101">
        <v>10</v>
      </c>
      <c r="G101">
        <v>4805450</v>
      </c>
      <c r="H101">
        <v>6394889</v>
      </c>
      <c r="I101">
        <v>7115105</v>
      </c>
      <c r="J101">
        <v>6498114</v>
      </c>
      <c r="K101">
        <v>6447499</v>
      </c>
      <c r="L101">
        <v>2.0809705646713626E-6</v>
      </c>
      <c r="M101">
        <v>9.3824928001095871E-7</v>
      </c>
      <c r="N101">
        <v>1.5460066998308529E-6</v>
      </c>
      <c r="O101">
        <v>1.0772356409875235E-6</v>
      </c>
      <c r="P101">
        <v>1.550988995888173E-6</v>
      </c>
      <c r="Q101">
        <v>2.6025164084116589E-2</v>
      </c>
      <c r="R101">
        <v>1.6563029789401867E-2</v>
      </c>
      <c r="S101">
        <v>4.2310744508761551E-2</v>
      </c>
      <c r="T101">
        <v>1.8285243055210818E-2</v>
      </c>
      <c r="U101">
        <v>2.4993878869680106E-2</v>
      </c>
      <c r="V101">
        <v>-0.94926993022174466</v>
      </c>
      <c r="W101">
        <v>-0.96741366879566104</v>
      </c>
      <c r="X101">
        <v>-0.91881356930902114</v>
      </c>
      <c r="Y101">
        <v>-0.9640862063357637</v>
      </c>
      <c r="Z101">
        <v>-0.9512311646246272</v>
      </c>
    </row>
    <row r="102" spans="1:26" x14ac:dyDescent="0.25">
      <c r="A102" s="28" t="s">
        <v>74</v>
      </c>
      <c r="B102">
        <v>1217</v>
      </c>
      <c r="C102">
        <v>1095</v>
      </c>
      <c r="D102">
        <v>614</v>
      </c>
      <c r="E102">
        <v>740</v>
      </c>
      <c r="F102">
        <v>110</v>
      </c>
      <c r="G102">
        <v>44791710</v>
      </c>
      <c r="H102">
        <v>57453555</v>
      </c>
      <c r="I102">
        <v>69988673</v>
      </c>
      <c r="J102">
        <v>73097825</v>
      </c>
      <c r="K102">
        <v>79073154</v>
      </c>
      <c r="L102">
        <v>2.7170206272544631E-5</v>
      </c>
      <c r="M102">
        <v>1.9058872858259161E-5</v>
      </c>
      <c r="N102">
        <v>8.7728481435846051E-6</v>
      </c>
      <c r="O102">
        <v>1.0123420224883571E-5</v>
      </c>
      <c r="P102">
        <v>1.3911168890518772E-6</v>
      </c>
      <c r="Q102">
        <v>0.33979773113894962</v>
      </c>
      <c r="R102">
        <v>0.33644862365370765</v>
      </c>
      <c r="S102">
        <v>0.24009322628290186</v>
      </c>
      <c r="T102">
        <v>0.17183723998617401</v>
      </c>
      <c r="U102">
        <v>2.241757169825577E-2</v>
      </c>
      <c r="V102">
        <v>-0.49276264134274844</v>
      </c>
      <c r="W102">
        <v>-0.49650346792397737</v>
      </c>
      <c r="X102">
        <v>-0.61278197284801628</v>
      </c>
      <c r="Y102">
        <v>-0.70672166044458273</v>
      </c>
      <c r="Z102">
        <v>-0.95614791388802189</v>
      </c>
    </row>
    <row r="103" spans="1:26" x14ac:dyDescent="0.25">
      <c r="A103" s="28" t="s">
        <v>93</v>
      </c>
      <c r="B103">
        <v>214</v>
      </c>
      <c r="C103">
        <v>105</v>
      </c>
      <c r="D103">
        <v>75</v>
      </c>
      <c r="E103">
        <v>116</v>
      </c>
      <c r="F103">
        <v>123</v>
      </c>
      <c r="G103">
        <v>86265125</v>
      </c>
      <c r="H103">
        <v>103994252</v>
      </c>
      <c r="I103">
        <v>108594464</v>
      </c>
      <c r="J103">
        <v>117590707</v>
      </c>
      <c r="K103">
        <v>115616351</v>
      </c>
      <c r="L103">
        <v>2.4807243947075948E-6</v>
      </c>
      <c r="M103">
        <v>1.0096711883652954E-6</v>
      </c>
      <c r="N103">
        <v>6.9064294106189431E-7</v>
      </c>
      <c r="O103">
        <v>9.864725109612615E-7</v>
      </c>
      <c r="P103">
        <v>1.063863363063586E-6</v>
      </c>
      <c r="Q103">
        <v>3.102459040785702E-2</v>
      </c>
      <c r="R103">
        <v>1.7823849510654403E-2</v>
      </c>
      <c r="S103">
        <v>1.8901352128193612E-2</v>
      </c>
      <c r="T103">
        <v>1.674460901950393E-2</v>
      </c>
      <c r="U103">
        <v>1.7143946282529871E-2</v>
      </c>
      <c r="V103">
        <v>-0.93981794285704834</v>
      </c>
      <c r="W103">
        <v>-0.96497655361637735</v>
      </c>
      <c r="X103">
        <v>-0.9628985630675353</v>
      </c>
      <c r="Y103">
        <v>-0.96706231069048576</v>
      </c>
      <c r="Z103">
        <v>-0.96629002936076502</v>
      </c>
    </row>
    <row r="104" spans="1:26" x14ac:dyDescent="0.25">
      <c r="A104" s="28" t="s">
        <v>77</v>
      </c>
      <c r="B104">
        <v>649</v>
      </c>
      <c r="C104">
        <v>421</v>
      </c>
      <c r="D104">
        <v>573</v>
      </c>
      <c r="E104">
        <v>637</v>
      </c>
      <c r="F104">
        <v>523</v>
      </c>
      <c r="G104">
        <v>389926388</v>
      </c>
      <c r="H104">
        <v>503963502</v>
      </c>
      <c r="I104">
        <v>598582866</v>
      </c>
      <c r="J104">
        <v>568413103</v>
      </c>
      <c r="K104">
        <v>569244052</v>
      </c>
      <c r="L104">
        <v>1.6644167206247145E-6</v>
      </c>
      <c r="M104">
        <v>8.3537795560441195E-7</v>
      </c>
      <c r="N104">
        <v>9.5726094505351239E-7</v>
      </c>
      <c r="O104">
        <v>1.1206638211505127E-6</v>
      </c>
      <c r="P104">
        <v>9.187623448369382E-7</v>
      </c>
      <c r="Q104">
        <v>2.0815632375581549E-2</v>
      </c>
      <c r="R104">
        <v>1.4747029663506802E-2</v>
      </c>
      <c r="S104">
        <v>2.6198090395601857E-2</v>
      </c>
      <c r="T104">
        <v>1.9022402873834884E-2</v>
      </c>
      <c r="U104">
        <v>1.4805672263153422E-2</v>
      </c>
      <c r="V104">
        <v>-0.95921764574247237</v>
      </c>
      <c r="W104">
        <v>-0.97093456943964251</v>
      </c>
      <c r="X104">
        <v>-0.94894145557120968</v>
      </c>
      <c r="Y104">
        <v>-0.96266538827765102</v>
      </c>
      <c r="Z104">
        <v>-0.97082067499655433</v>
      </c>
    </row>
    <row r="105" spans="1:26" x14ac:dyDescent="0.25">
      <c r="A105" s="28" t="s">
        <v>60</v>
      </c>
      <c r="B105">
        <v>264</v>
      </c>
      <c r="C105">
        <v>278</v>
      </c>
      <c r="D105">
        <v>216</v>
      </c>
      <c r="E105">
        <v>526</v>
      </c>
      <c r="F105">
        <v>625</v>
      </c>
      <c r="G105">
        <v>640953137</v>
      </c>
      <c r="H105">
        <v>757461387</v>
      </c>
      <c r="I105">
        <v>752071999</v>
      </c>
      <c r="J105">
        <v>719844077</v>
      </c>
      <c r="K105">
        <v>707995434</v>
      </c>
      <c r="L105">
        <v>4.1188658695963292E-7</v>
      </c>
      <c r="M105">
        <v>3.6701540800785399E-7</v>
      </c>
      <c r="N105">
        <v>2.8720654443617972E-7</v>
      </c>
      <c r="O105">
        <v>7.3071379873283313E-7</v>
      </c>
      <c r="P105">
        <v>8.8277405472646029E-7</v>
      </c>
      <c r="Q105">
        <v>5.1511617663674483E-3</v>
      </c>
      <c r="R105">
        <v>6.4789680797117857E-3</v>
      </c>
      <c r="S105">
        <v>7.8602005568365278E-3</v>
      </c>
      <c r="T105">
        <v>1.2403302402228077E-2</v>
      </c>
      <c r="U105">
        <v>1.4225728133225471E-2</v>
      </c>
      <c r="V105">
        <v>-0.9897504734366217</v>
      </c>
      <c r="W105">
        <v>-0.9871254774611472</v>
      </c>
      <c r="X105">
        <v>-0.98440220071693718</v>
      </c>
      <c r="Y105">
        <v>-0.97549730947578384</v>
      </c>
      <c r="Z105">
        <v>-0.97194760941549141</v>
      </c>
    </row>
    <row r="106" spans="1:26" x14ac:dyDescent="0.25">
      <c r="A106" s="28" t="s">
        <v>114</v>
      </c>
      <c r="C106">
        <v>6</v>
      </c>
      <c r="D106">
        <v>4</v>
      </c>
      <c r="E106">
        <v>137</v>
      </c>
      <c r="F106">
        <v>41</v>
      </c>
      <c r="G106">
        <v>22650197</v>
      </c>
      <c r="H106">
        <v>39118633</v>
      </c>
      <c r="I106">
        <v>66244497</v>
      </c>
      <c r="J106">
        <v>57044198</v>
      </c>
      <c r="K106">
        <v>47096935</v>
      </c>
      <c r="L106">
        <v>0</v>
      </c>
      <c r="M106">
        <v>1.5337959278894024E-7</v>
      </c>
      <c r="N106">
        <v>6.03823741012027E-8</v>
      </c>
      <c r="O106">
        <v>2.4016465267861245E-6</v>
      </c>
      <c r="P106">
        <v>8.7054497283103455E-7</v>
      </c>
      <c r="Q106">
        <v>0</v>
      </c>
      <c r="R106">
        <v>2.7076287918066646E-3</v>
      </c>
      <c r="S106">
        <v>1.6525304862572514E-3</v>
      </c>
      <c r="T106">
        <v>4.0766094997311535E-2</v>
      </c>
      <c r="U106">
        <v>1.402865891326841E-2</v>
      </c>
      <c r="V106">
        <v>-1</v>
      </c>
      <c r="W106">
        <v>-0.99459936533031235</v>
      </c>
      <c r="X106">
        <v>-0.9967003917307431</v>
      </c>
      <c r="Y106">
        <v>-0.92166137003643112</v>
      </c>
      <c r="Z106">
        <v>-0.97233084333473796</v>
      </c>
    </row>
    <row r="107" spans="1:26" x14ac:dyDescent="0.25">
      <c r="A107" s="28" t="s">
        <v>172</v>
      </c>
      <c r="B107">
        <v>0</v>
      </c>
      <c r="C107">
        <v>0</v>
      </c>
      <c r="D107">
        <v>0</v>
      </c>
      <c r="E107">
        <v>0</v>
      </c>
      <c r="F107">
        <v>3</v>
      </c>
      <c r="G107">
        <v>2415632</v>
      </c>
      <c r="H107">
        <v>3562297</v>
      </c>
      <c r="I107">
        <v>4306235</v>
      </c>
      <c r="J107">
        <v>4374857</v>
      </c>
      <c r="K107">
        <v>3766568</v>
      </c>
      <c r="L107">
        <v>0</v>
      </c>
      <c r="M107">
        <v>0</v>
      </c>
      <c r="N107">
        <v>0</v>
      </c>
      <c r="O107">
        <v>0</v>
      </c>
      <c r="P107">
        <v>7.9648104056531038E-7</v>
      </c>
      <c r="Q107">
        <v>0</v>
      </c>
      <c r="R107">
        <v>0</v>
      </c>
      <c r="S107">
        <v>0</v>
      </c>
      <c r="T107">
        <v>0</v>
      </c>
      <c r="U107">
        <v>1.2835133390799022E-2</v>
      </c>
      <c r="V107">
        <v>-1</v>
      </c>
      <c r="W107">
        <v>-1</v>
      </c>
      <c r="X107">
        <v>-1</v>
      </c>
      <c r="Y107">
        <v>-1</v>
      </c>
      <c r="Z107">
        <v>-0.97465503917142138</v>
      </c>
    </row>
    <row r="108" spans="1:26" x14ac:dyDescent="0.25">
      <c r="A108" s="28" t="s">
        <v>184</v>
      </c>
      <c r="F108">
        <v>1</v>
      </c>
      <c r="G108">
        <v>1895763</v>
      </c>
      <c r="H108">
        <v>2055265</v>
      </c>
      <c r="I108">
        <v>3057459</v>
      </c>
      <c r="J108">
        <v>2422287</v>
      </c>
      <c r="K108">
        <v>1379628</v>
      </c>
      <c r="L108">
        <v>0</v>
      </c>
      <c r="M108">
        <v>0</v>
      </c>
      <c r="N108">
        <v>0</v>
      </c>
      <c r="O108">
        <v>0</v>
      </c>
      <c r="P108">
        <v>7.248330709437616E-7</v>
      </c>
      <c r="Q108">
        <v>0</v>
      </c>
      <c r="R108">
        <v>0</v>
      </c>
      <c r="S108">
        <v>0</v>
      </c>
      <c r="T108">
        <v>0</v>
      </c>
      <c r="U108">
        <v>1.16805406253268E-2</v>
      </c>
      <c r="V108">
        <v>-1</v>
      </c>
      <c r="W108">
        <v>-1</v>
      </c>
      <c r="X108">
        <v>-1</v>
      </c>
      <c r="Y108">
        <v>-1</v>
      </c>
      <c r="Z108">
        <v>-0.97690863833734121</v>
      </c>
    </row>
    <row r="109" spans="1:26" x14ac:dyDescent="0.25">
      <c r="A109" s="28" t="s">
        <v>82</v>
      </c>
      <c r="B109">
        <v>32</v>
      </c>
      <c r="C109">
        <v>4</v>
      </c>
      <c r="D109">
        <v>73</v>
      </c>
      <c r="E109">
        <v>0</v>
      </c>
      <c r="F109">
        <v>40</v>
      </c>
      <c r="G109">
        <v>50153246</v>
      </c>
      <c r="H109">
        <v>60159734</v>
      </c>
      <c r="I109">
        <v>72568881</v>
      </c>
      <c r="J109">
        <v>59915951</v>
      </c>
      <c r="K109">
        <v>61702646</v>
      </c>
      <c r="L109">
        <v>6.3804444482018173E-7</v>
      </c>
      <c r="M109">
        <v>6.6489655688969639E-8</v>
      </c>
      <c r="N109">
        <v>1.0059408246904069E-6</v>
      </c>
      <c r="O109">
        <v>0</v>
      </c>
      <c r="P109">
        <v>6.4827041615038683E-7</v>
      </c>
      <c r="Q109">
        <v>7.979551297510391E-3</v>
      </c>
      <c r="R109">
        <v>1.1737500591000878E-3</v>
      </c>
      <c r="S109">
        <v>2.753034979024695E-2</v>
      </c>
      <c r="T109">
        <v>0</v>
      </c>
      <c r="U109">
        <v>1.0446748686815385E-2</v>
      </c>
      <c r="V109">
        <v>-0.98416723575941822</v>
      </c>
      <c r="W109">
        <v>-0.99765525202986838</v>
      </c>
      <c r="X109">
        <v>-0.94641452722857899</v>
      </c>
      <c r="Y109">
        <v>-1</v>
      </c>
      <c r="Z109">
        <v>-0.97932251511444401</v>
      </c>
    </row>
    <row r="110" spans="1:26" x14ac:dyDescent="0.25">
      <c r="A110" s="28" t="s">
        <v>83</v>
      </c>
      <c r="B110">
        <v>13</v>
      </c>
      <c r="C110">
        <v>28</v>
      </c>
      <c r="D110">
        <v>60</v>
      </c>
      <c r="E110">
        <v>98</v>
      </c>
      <c r="F110">
        <v>155</v>
      </c>
      <c r="G110">
        <v>185185365</v>
      </c>
      <c r="H110">
        <v>195997876</v>
      </c>
      <c r="I110">
        <v>219836715</v>
      </c>
      <c r="J110">
        <v>212869514</v>
      </c>
      <c r="K110">
        <v>242218972</v>
      </c>
      <c r="L110">
        <v>7.0199931835866189E-8</v>
      </c>
      <c r="M110">
        <v>1.428586909788757E-7</v>
      </c>
      <c r="N110">
        <v>2.7292984249696419E-7</v>
      </c>
      <c r="O110">
        <v>4.6037592776201857E-7</v>
      </c>
      <c r="P110">
        <v>6.3991684350803036E-7</v>
      </c>
      <c r="Q110">
        <v>8.7793877325253805E-4</v>
      </c>
      <c r="R110">
        <v>2.5219020198240251E-3</v>
      </c>
      <c r="S110">
        <v>7.4694791658852597E-3</v>
      </c>
      <c r="T110">
        <v>7.8145258248043664E-3</v>
      </c>
      <c r="U110">
        <v>1.0312132526864767E-2</v>
      </c>
      <c r="V110">
        <v>-0.99824566265427217</v>
      </c>
      <c r="W110">
        <v>-0.99496888394210037</v>
      </c>
      <c r="X110">
        <v>-0.98517180059475451</v>
      </c>
      <c r="Y110">
        <v>-0.98449213496221666</v>
      </c>
      <c r="Z110">
        <v>-0.97958624430041563</v>
      </c>
    </row>
    <row r="111" spans="1:26" x14ac:dyDescent="0.25">
      <c r="A111" s="28" t="s">
        <v>96</v>
      </c>
      <c r="B111">
        <v>91</v>
      </c>
      <c r="C111">
        <v>117</v>
      </c>
      <c r="D111">
        <v>42</v>
      </c>
      <c r="E111">
        <v>47</v>
      </c>
      <c r="F111">
        <v>60</v>
      </c>
      <c r="G111">
        <v>70503421</v>
      </c>
      <c r="H111">
        <v>87489809</v>
      </c>
      <c r="I111">
        <v>96928059</v>
      </c>
      <c r="J111">
        <v>100671174</v>
      </c>
      <c r="K111">
        <v>100300263</v>
      </c>
      <c r="L111">
        <v>1.2907175100056493E-6</v>
      </c>
      <c r="M111">
        <v>1.337298610401584E-6</v>
      </c>
      <c r="N111">
        <v>4.3331106011315051E-7</v>
      </c>
      <c r="O111">
        <v>4.6686651334770369E-7</v>
      </c>
      <c r="P111">
        <v>5.9820381527813144E-7</v>
      </c>
      <c r="Q111">
        <v>1.6142051960953276E-2</v>
      </c>
      <c r="R111">
        <v>2.3607496635807117E-2</v>
      </c>
      <c r="S111">
        <v>1.1858754272716931E-2</v>
      </c>
      <c r="T111">
        <v>7.9246985024332851E-3</v>
      </c>
      <c r="U111">
        <v>9.6399353819271831E-3</v>
      </c>
      <c r="V111">
        <v>-0.96822874925842839</v>
      </c>
      <c r="W111">
        <v>-0.95387392782214753</v>
      </c>
      <c r="X111">
        <v>-0.97656045525595025</v>
      </c>
      <c r="Y111">
        <v>-0.98427521715817123</v>
      </c>
      <c r="Z111">
        <v>-0.98090421140427531</v>
      </c>
    </row>
    <row r="112" spans="1:26" x14ac:dyDescent="0.25">
      <c r="A112" s="28" t="s">
        <v>173</v>
      </c>
      <c r="B112">
        <v>0</v>
      </c>
      <c r="C112">
        <v>0</v>
      </c>
      <c r="D112">
        <v>0</v>
      </c>
      <c r="E112">
        <v>2</v>
      </c>
      <c r="F112">
        <v>2</v>
      </c>
      <c r="G112">
        <v>2467107</v>
      </c>
      <c r="H112">
        <v>3144505</v>
      </c>
      <c r="I112">
        <v>4332145</v>
      </c>
      <c r="J112">
        <v>4048617</v>
      </c>
      <c r="K112">
        <v>3555062</v>
      </c>
      <c r="L112">
        <v>0</v>
      </c>
      <c r="M112">
        <v>0</v>
      </c>
      <c r="N112">
        <v>0</v>
      </c>
      <c r="O112">
        <v>4.93995850928848E-7</v>
      </c>
      <c r="P112">
        <v>5.6257809287151671E-7</v>
      </c>
      <c r="Q112">
        <v>0</v>
      </c>
      <c r="R112">
        <v>0</v>
      </c>
      <c r="S112">
        <v>0</v>
      </c>
      <c r="T112">
        <v>8.3851980558488533E-3</v>
      </c>
      <c r="U112">
        <v>9.0658339583604246E-3</v>
      </c>
      <c r="V112">
        <v>-1</v>
      </c>
      <c r="W112">
        <v>-1</v>
      </c>
      <c r="X112">
        <v>-1</v>
      </c>
      <c r="Y112">
        <v>-0.98336905763389748</v>
      </c>
      <c r="Z112">
        <v>-0.98203123393288017</v>
      </c>
    </row>
    <row r="113" spans="1:26" x14ac:dyDescent="0.25">
      <c r="A113" s="28" t="s">
        <v>119</v>
      </c>
      <c r="B113">
        <v>0</v>
      </c>
      <c r="C113">
        <v>0</v>
      </c>
      <c r="D113">
        <v>0</v>
      </c>
      <c r="E113">
        <v>0</v>
      </c>
      <c r="F113">
        <v>2</v>
      </c>
      <c r="G113">
        <v>4394831</v>
      </c>
      <c r="H113">
        <v>6036173</v>
      </c>
      <c r="I113">
        <v>6586208</v>
      </c>
      <c r="J113">
        <v>7225586</v>
      </c>
      <c r="K113">
        <v>4051471</v>
      </c>
      <c r="L113">
        <v>0</v>
      </c>
      <c r="M113">
        <v>0</v>
      </c>
      <c r="N113">
        <v>0</v>
      </c>
      <c r="O113">
        <v>0</v>
      </c>
      <c r="P113">
        <v>4.9364786271455477E-7</v>
      </c>
      <c r="Q113">
        <v>0</v>
      </c>
      <c r="R113">
        <v>0</v>
      </c>
      <c r="S113">
        <v>0</v>
      </c>
      <c r="T113">
        <v>0</v>
      </c>
      <c r="U113">
        <v>7.9550370232630875E-3</v>
      </c>
      <c r="V113">
        <v>-1</v>
      </c>
      <c r="W113">
        <v>-1</v>
      </c>
      <c r="X113">
        <v>-1</v>
      </c>
      <c r="Y113">
        <v>-1</v>
      </c>
      <c r="Z113">
        <v>-0.98421549229664806</v>
      </c>
    </row>
    <row r="114" spans="1:26" x14ac:dyDescent="0.25">
      <c r="A114" s="28" t="s">
        <v>143</v>
      </c>
      <c r="B114">
        <v>5</v>
      </c>
      <c r="C114">
        <v>3</v>
      </c>
      <c r="D114">
        <v>0</v>
      </c>
      <c r="E114">
        <v>0</v>
      </c>
      <c r="F114">
        <v>10</v>
      </c>
      <c r="G114">
        <v>13828833</v>
      </c>
      <c r="H114">
        <v>16432745</v>
      </c>
      <c r="I114">
        <v>18545385</v>
      </c>
      <c r="J114">
        <v>20039656</v>
      </c>
      <c r="K114">
        <v>20339219</v>
      </c>
      <c r="L114">
        <v>3.6156340885742132E-7</v>
      </c>
      <c r="M114">
        <v>1.8256231688619279E-7</v>
      </c>
      <c r="N114">
        <v>0</v>
      </c>
      <c r="O114">
        <v>0</v>
      </c>
      <c r="P114">
        <v>4.9166096298977848E-7</v>
      </c>
      <c r="Q114">
        <v>4.5218068924549916E-3</v>
      </c>
      <c r="R114">
        <v>3.2227950049403898E-3</v>
      </c>
      <c r="S114">
        <v>0</v>
      </c>
      <c r="T114">
        <v>0</v>
      </c>
      <c r="U114">
        <v>7.9230185297864009E-3</v>
      </c>
      <c r="V114">
        <v>-0.99099709561021188</v>
      </c>
      <c r="W114">
        <v>-0.99357511607394344</v>
      </c>
      <c r="X114">
        <v>-1</v>
      </c>
      <c r="Y114">
        <v>-1</v>
      </c>
      <c r="Z114">
        <v>-0.98427852448226971</v>
      </c>
    </row>
    <row r="115" spans="1:26" x14ac:dyDescent="0.25">
      <c r="A115" s="28" t="s">
        <v>104</v>
      </c>
      <c r="B115">
        <v>2</v>
      </c>
      <c r="C115">
        <v>2</v>
      </c>
      <c r="D115">
        <v>2</v>
      </c>
      <c r="E115">
        <v>3</v>
      </c>
      <c r="F115">
        <v>5</v>
      </c>
      <c r="G115">
        <v>7010245</v>
      </c>
      <c r="H115">
        <v>9541027</v>
      </c>
      <c r="I115">
        <v>11190032</v>
      </c>
      <c r="J115">
        <v>9189874</v>
      </c>
      <c r="K115">
        <v>10248403</v>
      </c>
      <c r="L115">
        <v>2.8529673356637324E-7</v>
      </c>
      <c r="M115">
        <v>2.0962103974760788E-7</v>
      </c>
      <c r="N115">
        <v>1.7873049871528517E-7</v>
      </c>
      <c r="O115">
        <v>3.2644626030781273E-7</v>
      </c>
      <c r="P115">
        <v>4.8788089227170324E-7</v>
      </c>
      <c r="Q115">
        <v>3.5679958331846628E-3</v>
      </c>
      <c r="R115">
        <v>3.7004659633572755E-3</v>
      </c>
      <c r="S115">
        <v>4.8914538778475807E-3</v>
      </c>
      <c r="T115">
        <v>5.5411731538337668E-3</v>
      </c>
      <c r="U115">
        <v>7.8621034427697484E-3</v>
      </c>
      <c r="V115">
        <v>-0.99288937899973095</v>
      </c>
      <c r="W115">
        <v>-0.99262635399933674</v>
      </c>
      <c r="X115">
        <v>-0.99026471195675592</v>
      </c>
      <c r="Y115">
        <v>-0.98897872448831892</v>
      </c>
      <c r="Z115">
        <v>-0.9843984540823324</v>
      </c>
    </row>
    <row r="116" spans="1:26" x14ac:dyDescent="0.25">
      <c r="A116" s="28" t="s">
        <v>116</v>
      </c>
      <c r="B116">
        <v>5</v>
      </c>
      <c r="C116">
        <v>14</v>
      </c>
      <c r="D116">
        <v>47</v>
      </c>
      <c r="E116">
        <v>9</v>
      </c>
      <c r="F116">
        <v>11</v>
      </c>
      <c r="G116">
        <v>17716469</v>
      </c>
      <c r="H116">
        <v>17571783</v>
      </c>
      <c r="I116">
        <v>20575773</v>
      </c>
      <c r="J116">
        <v>23775412</v>
      </c>
      <c r="K116">
        <v>26664502</v>
      </c>
      <c r="L116">
        <v>2.8222328049680778E-7</v>
      </c>
      <c r="M116">
        <v>7.9673189681434151E-7</v>
      </c>
      <c r="N116">
        <v>2.2842398193253786E-6</v>
      </c>
      <c r="O116">
        <v>3.7854233609074788E-7</v>
      </c>
      <c r="P116">
        <v>4.1253348740584017E-7</v>
      </c>
      <c r="Q116">
        <v>3.5295584223926919E-3</v>
      </c>
      <c r="R116">
        <v>1.4064806040616905E-2</v>
      </c>
      <c r="S116">
        <v>6.2514533347617376E-2</v>
      </c>
      <c r="T116">
        <v>6.4254638063788259E-3</v>
      </c>
      <c r="U116">
        <v>6.6478950148861583E-3</v>
      </c>
      <c r="V116">
        <v>-0.99296571108888643</v>
      </c>
      <c r="W116">
        <v>-0.97226053807047597</v>
      </c>
      <c r="X116">
        <v>-0.88232719386782299</v>
      </c>
      <c r="Y116">
        <v>-0.98723111837397826</v>
      </c>
      <c r="Z116">
        <v>-0.98679201526609694</v>
      </c>
    </row>
    <row r="117" spans="1:26" x14ac:dyDescent="0.25">
      <c r="A117" s="28" t="s">
        <v>121</v>
      </c>
      <c r="B117">
        <v>63</v>
      </c>
      <c r="C117">
        <v>43</v>
      </c>
      <c r="D117">
        <v>29</v>
      </c>
      <c r="E117">
        <v>24</v>
      </c>
      <c r="F117">
        <v>15</v>
      </c>
      <c r="G117">
        <v>49191564</v>
      </c>
      <c r="H117">
        <v>68072095</v>
      </c>
      <c r="I117">
        <v>44443214</v>
      </c>
      <c r="J117">
        <v>36185539</v>
      </c>
      <c r="K117">
        <v>40409549</v>
      </c>
      <c r="L117">
        <v>1.2807073993418872E-6</v>
      </c>
      <c r="M117">
        <v>6.31683217623903E-7</v>
      </c>
      <c r="N117">
        <v>6.5251806496262847E-7</v>
      </c>
      <c r="O117">
        <v>6.632483766512363E-7</v>
      </c>
      <c r="P117">
        <v>3.7119939151016011E-7</v>
      </c>
      <c r="Q117">
        <v>1.6016862889590457E-2</v>
      </c>
      <c r="R117">
        <v>1.1151181433198357E-2</v>
      </c>
      <c r="S117">
        <v>1.7857959565767644E-2</v>
      </c>
      <c r="T117">
        <v>1.125812896603031E-2</v>
      </c>
      <c r="U117">
        <v>5.9818042890697797E-3</v>
      </c>
      <c r="V117">
        <v>-0.96847126563620622</v>
      </c>
      <c r="W117">
        <v>-0.97794359213942117</v>
      </c>
      <c r="X117">
        <v>-0.96491070409591106</v>
      </c>
      <c r="Y117">
        <v>-0.9777344109410695</v>
      </c>
      <c r="Z117">
        <v>-0.98810752985080652</v>
      </c>
    </row>
    <row r="118" spans="1:26" x14ac:dyDescent="0.25">
      <c r="A118" s="28" t="s">
        <v>90</v>
      </c>
      <c r="B118">
        <v>714</v>
      </c>
      <c r="C118">
        <v>363</v>
      </c>
      <c r="D118">
        <v>140</v>
      </c>
      <c r="E118">
        <v>132</v>
      </c>
      <c r="F118">
        <v>132</v>
      </c>
      <c r="G118">
        <v>337105352</v>
      </c>
      <c r="H118">
        <v>492314339</v>
      </c>
      <c r="I118">
        <v>575226571</v>
      </c>
      <c r="J118">
        <v>421884417</v>
      </c>
      <c r="K118">
        <v>386035772</v>
      </c>
      <c r="L118">
        <v>2.1180322286903356E-6</v>
      </c>
      <c r="M118">
        <v>7.3733379518730609E-7</v>
      </c>
      <c r="N118">
        <v>2.4338235933124169E-7</v>
      </c>
      <c r="O118">
        <v>3.1288190480853906E-7</v>
      </c>
      <c r="P118">
        <v>3.4193722337213867E-7</v>
      </c>
      <c r="Q118">
        <v>2.6488666982090785E-2</v>
      </c>
      <c r="R118">
        <v>1.3016244056459543E-2</v>
      </c>
      <c r="S118">
        <v>6.6608306579333879E-3</v>
      </c>
      <c r="T118">
        <v>5.3109286950038196E-3</v>
      </c>
      <c r="U118">
        <v>5.5102502755694461E-3</v>
      </c>
      <c r="V118">
        <v>-0.94838975268968484</v>
      </c>
      <c r="W118">
        <v>-0.97430200328409711</v>
      </c>
      <c r="X118">
        <v>-0.986766484887308</v>
      </c>
      <c r="Y118">
        <v>-0.98943425652022321</v>
      </c>
      <c r="Z118">
        <v>-0.98903989238486767</v>
      </c>
    </row>
    <row r="119" spans="1:26" x14ac:dyDescent="0.25">
      <c r="A119" s="28" t="s">
        <v>117</v>
      </c>
      <c r="B119">
        <v>0</v>
      </c>
      <c r="C119">
        <v>0</v>
      </c>
      <c r="D119">
        <v>8</v>
      </c>
      <c r="E119">
        <v>0</v>
      </c>
      <c r="F119">
        <v>1</v>
      </c>
      <c r="G119">
        <v>4294764</v>
      </c>
      <c r="H119">
        <v>7424962</v>
      </c>
      <c r="I119">
        <v>8308478</v>
      </c>
      <c r="J119">
        <v>5502717</v>
      </c>
      <c r="K119">
        <v>3691979</v>
      </c>
      <c r="L119">
        <v>0</v>
      </c>
      <c r="M119">
        <v>0</v>
      </c>
      <c r="N119">
        <v>9.6287190024454546E-7</v>
      </c>
      <c r="O119">
        <v>0</v>
      </c>
      <c r="P119">
        <v>2.7085744528882746E-7</v>
      </c>
      <c r="Q119">
        <v>0</v>
      </c>
      <c r="R119">
        <v>0</v>
      </c>
      <c r="S119">
        <v>2.6351649685845479E-2</v>
      </c>
      <c r="T119">
        <v>0</v>
      </c>
      <c r="U119">
        <v>4.3648138036100322E-3</v>
      </c>
      <c r="V119">
        <v>-1</v>
      </c>
      <c r="W119">
        <v>-1</v>
      </c>
      <c r="X119">
        <v>-0.94864986148965325</v>
      </c>
      <c r="Y119">
        <v>-1</v>
      </c>
      <c r="Z119">
        <v>-0.99130831000126307</v>
      </c>
    </row>
    <row r="120" spans="1:26" x14ac:dyDescent="0.25">
      <c r="A120" s="28" t="s">
        <v>145</v>
      </c>
      <c r="B120">
        <v>0</v>
      </c>
      <c r="C120">
        <v>1</v>
      </c>
      <c r="D120">
        <v>3</v>
      </c>
      <c r="E120">
        <v>1</v>
      </c>
      <c r="F120">
        <v>1</v>
      </c>
      <c r="G120">
        <v>3934554</v>
      </c>
      <c r="H120">
        <v>4486066</v>
      </c>
      <c r="I120">
        <v>5725131</v>
      </c>
      <c r="J120">
        <v>5316530</v>
      </c>
      <c r="K120">
        <v>4715944</v>
      </c>
      <c r="L120">
        <v>0</v>
      </c>
      <c r="M120">
        <v>2.2291245826521501E-7</v>
      </c>
      <c r="N120">
        <v>5.2400547690524459E-7</v>
      </c>
      <c r="O120">
        <v>1.8809260927710368E-7</v>
      </c>
      <c r="P120">
        <v>2.1204662311511758E-7</v>
      </c>
      <c r="Q120">
        <v>0</v>
      </c>
      <c r="R120">
        <v>3.935101007093161E-3</v>
      </c>
      <c r="S120">
        <v>1.434085755058841E-2</v>
      </c>
      <c r="T120">
        <v>3.1927267783005667E-3</v>
      </c>
      <c r="U120">
        <v>3.4170891134072761E-3</v>
      </c>
      <c r="V120">
        <v>-1</v>
      </c>
      <c r="W120">
        <v>-0.99216064663314252</v>
      </c>
      <c r="X120">
        <v>-0.97172378999852493</v>
      </c>
      <c r="Y120">
        <v>-0.99363486856896621</v>
      </c>
      <c r="Z120">
        <v>-0.99318909524168741</v>
      </c>
    </row>
    <row r="121" spans="1:26" x14ac:dyDescent="0.25">
      <c r="A121" s="28" t="s">
        <v>92</v>
      </c>
      <c r="B121">
        <v>157</v>
      </c>
      <c r="C121">
        <v>94</v>
      </c>
      <c r="D121">
        <v>97</v>
      </c>
      <c r="E121">
        <v>159</v>
      </c>
      <c r="F121">
        <v>134</v>
      </c>
      <c r="G121">
        <v>551515756</v>
      </c>
      <c r="H121">
        <v>672153980</v>
      </c>
      <c r="I121">
        <v>611481903</v>
      </c>
      <c r="J121">
        <v>576144442</v>
      </c>
      <c r="K121">
        <v>640570014</v>
      </c>
      <c r="L121">
        <v>2.8467001765947733E-7</v>
      </c>
      <c r="M121">
        <v>1.3984890783507671E-7</v>
      </c>
      <c r="N121">
        <v>1.5863102329620376E-7</v>
      </c>
      <c r="O121">
        <v>2.7597246178068659E-7</v>
      </c>
      <c r="P121">
        <v>2.0918868674986088E-7</v>
      </c>
      <c r="Q121">
        <v>3.5601579595558892E-3</v>
      </c>
      <c r="R121">
        <v>2.4687699482813749E-3</v>
      </c>
      <c r="S121">
        <v>4.3413762039863158E-3</v>
      </c>
      <c r="T121">
        <v>4.6844194048191326E-3</v>
      </c>
      <c r="U121">
        <v>3.3710340378910412E-3</v>
      </c>
      <c r="V121">
        <v>-0.99290494360239567</v>
      </c>
      <c r="W121">
        <v>-0.9950746197342214</v>
      </c>
      <c r="X121">
        <v>-0.99135477974551833</v>
      </c>
      <c r="Y121">
        <v>-0.99067484413146523</v>
      </c>
      <c r="Z121">
        <v>-0.99328058330660618</v>
      </c>
    </row>
    <row r="122" spans="1:26" x14ac:dyDescent="0.25">
      <c r="A122" s="28" t="s">
        <v>127</v>
      </c>
      <c r="B122">
        <v>6</v>
      </c>
      <c r="C122">
        <v>1</v>
      </c>
      <c r="D122">
        <v>0</v>
      </c>
      <c r="E122">
        <v>0</v>
      </c>
      <c r="F122">
        <v>4</v>
      </c>
      <c r="G122">
        <v>13127295</v>
      </c>
      <c r="H122">
        <v>14034977</v>
      </c>
      <c r="I122">
        <v>15286928</v>
      </c>
      <c r="J122">
        <v>21016917</v>
      </c>
      <c r="K122">
        <v>31856439</v>
      </c>
      <c r="L122">
        <v>4.5706293642368821E-7</v>
      </c>
      <c r="M122">
        <v>7.1250562077871597E-8</v>
      </c>
      <c r="N122">
        <v>0</v>
      </c>
      <c r="O122">
        <v>0</v>
      </c>
      <c r="P122">
        <v>1.2556331233381107E-7</v>
      </c>
      <c r="Q122">
        <v>5.7161490504182956E-3</v>
      </c>
      <c r="R122">
        <v>1.257794924386865E-3</v>
      </c>
      <c r="S122">
        <v>0</v>
      </c>
      <c r="T122">
        <v>0</v>
      </c>
      <c r="U122">
        <v>2.0234277788347107E-3</v>
      </c>
      <c r="V122">
        <v>-0.98863267919916498</v>
      </c>
      <c r="W122">
        <v>-0.99748757027258539</v>
      </c>
      <c r="X122">
        <v>-1</v>
      </c>
      <c r="Y122">
        <v>-1</v>
      </c>
      <c r="Z122">
        <v>-0.99596131642686248</v>
      </c>
    </row>
    <row r="123" spans="1:26" x14ac:dyDescent="0.25">
      <c r="A123" s="28" t="s">
        <v>88</v>
      </c>
      <c r="B123">
        <v>100</v>
      </c>
      <c r="C123">
        <v>119</v>
      </c>
      <c r="D123">
        <v>61</v>
      </c>
      <c r="E123">
        <v>59</v>
      </c>
      <c r="F123">
        <v>55</v>
      </c>
      <c r="G123">
        <v>318985767</v>
      </c>
      <c r="H123">
        <v>380557523</v>
      </c>
      <c r="I123">
        <v>402112025</v>
      </c>
      <c r="J123">
        <v>420656666</v>
      </c>
      <c r="K123">
        <v>446846629</v>
      </c>
      <c r="L123">
        <v>3.1349361114284449E-7</v>
      </c>
      <c r="M123">
        <v>3.1269911329541629E-7</v>
      </c>
      <c r="N123">
        <v>1.5169901969482261E-7</v>
      </c>
      <c r="O123">
        <v>1.4025690014858815E-7</v>
      </c>
      <c r="P123">
        <v>1.2308473742564588E-7</v>
      </c>
      <c r="Q123">
        <v>3.9206333851258659E-3</v>
      </c>
      <c r="R123">
        <v>5.5201158572389594E-3</v>
      </c>
      <c r="S123">
        <v>4.1516627743201032E-3</v>
      </c>
      <c r="T123">
        <v>2.3807525594273129E-3</v>
      </c>
      <c r="U123">
        <v>1.9834860376693364E-3</v>
      </c>
      <c r="V123">
        <v>-0.99218935590175927</v>
      </c>
      <c r="W123">
        <v>-0.98902037707613066</v>
      </c>
      <c r="X123">
        <v>-0.99173100453202523</v>
      </c>
      <c r="Y123">
        <v>-0.99524980392261453</v>
      </c>
      <c r="Z123">
        <v>-0.99604088078235109</v>
      </c>
    </row>
    <row r="124" spans="1:26" x14ac:dyDescent="0.25">
      <c r="A124" s="28" t="s">
        <v>102</v>
      </c>
      <c r="B124">
        <v>103</v>
      </c>
      <c r="C124">
        <v>40</v>
      </c>
      <c r="D124">
        <v>6</v>
      </c>
      <c r="E124">
        <v>1</v>
      </c>
      <c r="F124">
        <v>7</v>
      </c>
      <c r="G124">
        <v>46949697</v>
      </c>
      <c r="H124">
        <v>60321024</v>
      </c>
      <c r="I124">
        <v>76139805</v>
      </c>
      <c r="J124">
        <v>78735591</v>
      </c>
      <c r="K124">
        <v>81618417</v>
      </c>
      <c r="L124">
        <v>2.1938373744989239E-6</v>
      </c>
      <c r="M124">
        <v>6.6311871628704451E-7</v>
      </c>
      <c r="N124">
        <v>7.8802408280399462E-8</v>
      </c>
      <c r="O124">
        <v>1.270073657032688E-8</v>
      </c>
      <c r="P124">
        <v>8.5764956700887749E-8</v>
      </c>
      <c r="Q124">
        <v>2.7436706032513612E-2</v>
      </c>
      <c r="R124">
        <v>1.1706116152462127E-2</v>
      </c>
      <c r="S124">
        <v>2.1566456107802688E-3</v>
      </c>
      <c r="T124">
        <v>2.1558519448515109E-4</v>
      </c>
      <c r="U124">
        <v>1.3820852015895941E-3</v>
      </c>
      <c r="V124">
        <v>-0.94659192946597859</v>
      </c>
      <c r="W124">
        <v>-0.97685866287537992</v>
      </c>
      <c r="X124">
        <v>-0.99569599100055695</v>
      </c>
      <c r="Y124">
        <v>-0.99956892254494667</v>
      </c>
      <c r="Z124">
        <v>-0.99723964464311077</v>
      </c>
    </row>
    <row r="125" spans="1:26" x14ac:dyDescent="0.25">
      <c r="A125" s="28" t="s">
        <v>122</v>
      </c>
      <c r="B125">
        <v>15</v>
      </c>
      <c r="C125">
        <v>42</v>
      </c>
      <c r="D125">
        <v>21</v>
      </c>
      <c r="E125">
        <v>22</v>
      </c>
      <c r="F125">
        <v>12</v>
      </c>
      <c r="G125">
        <v>82429462</v>
      </c>
      <c r="H125">
        <v>160479746</v>
      </c>
      <c r="I125">
        <v>271667221</v>
      </c>
      <c r="J125">
        <v>177454635</v>
      </c>
      <c r="K125">
        <v>168052921</v>
      </c>
      <c r="L125">
        <v>1.8197377049482624E-7</v>
      </c>
      <c r="M125">
        <v>2.6171526966399858E-7</v>
      </c>
      <c r="N125">
        <v>7.7300455766063883E-8</v>
      </c>
      <c r="O125">
        <v>1.2397534727678428E-7</v>
      </c>
      <c r="P125">
        <v>7.1406078088937231E-8</v>
      </c>
      <c r="Q125">
        <v>2.2758117373376419E-3</v>
      </c>
      <c r="R125">
        <v>4.6200918030392963E-3</v>
      </c>
      <c r="S125">
        <v>2.1155405307665162E-3</v>
      </c>
      <c r="T125">
        <v>2.1043857736938953E-3</v>
      </c>
      <c r="U125">
        <v>1.1506947315843463E-3</v>
      </c>
      <c r="V125">
        <v>-0.99545871164267108</v>
      </c>
      <c r="W125">
        <v>-0.99080231056349388</v>
      </c>
      <c r="X125">
        <v>-0.99577785106566452</v>
      </c>
      <c r="Y125">
        <v>-0.99580006673243093</v>
      </c>
      <c r="Z125">
        <v>-0.99770125568979839</v>
      </c>
    </row>
    <row r="126" spans="1:26" x14ac:dyDescent="0.25">
      <c r="A126" s="28" t="s">
        <v>130</v>
      </c>
      <c r="B126">
        <v>16</v>
      </c>
      <c r="C126">
        <v>135</v>
      </c>
      <c r="D126">
        <v>97</v>
      </c>
      <c r="E126">
        <v>92</v>
      </c>
      <c r="F126">
        <v>4</v>
      </c>
      <c r="G126">
        <v>40149524</v>
      </c>
      <c r="H126">
        <v>63129694</v>
      </c>
      <c r="I126">
        <v>99712377</v>
      </c>
      <c r="J126">
        <v>83983279</v>
      </c>
      <c r="K126">
        <v>59549263</v>
      </c>
      <c r="L126">
        <v>3.9851032854088132E-7</v>
      </c>
      <c r="M126">
        <v>2.1384548450369488E-6</v>
      </c>
      <c r="N126">
        <v>9.7279799076497805E-7</v>
      </c>
      <c r="O126">
        <v>1.0954561562189065E-6</v>
      </c>
      <c r="P126">
        <v>6.7171276326291393E-8</v>
      </c>
      <c r="Q126">
        <v>4.9838747676517635E-3</v>
      </c>
      <c r="R126">
        <v>3.7750406055439813E-2</v>
      </c>
      <c r="S126">
        <v>2.6623304575844865E-2</v>
      </c>
      <c r="T126">
        <v>1.859452222953482E-2</v>
      </c>
      <c r="U126">
        <v>1.0824517443205545E-3</v>
      </c>
      <c r="V126">
        <v>-0.99008168211892156</v>
      </c>
      <c r="W126">
        <v>-0.92724569253808975</v>
      </c>
      <c r="X126">
        <v>-0.94813422906497458</v>
      </c>
      <c r="Y126">
        <v>-0.96348984444009289</v>
      </c>
      <c r="Z126">
        <v>-0.99783743738103792</v>
      </c>
    </row>
    <row r="127" spans="1:26" x14ac:dyDescent="0.25">
      <c r="A127" s="28" t="s">
        <v>118</v>
      </c>
      <c r="B127">
        <v>40</v>
      </c>
      <c r="C127">
        <v>139</v>
      </c>
      <c r="D127">
        <v>40</v>
      </c>
      <c r="E127">
        <v>46</v>
      </c>
      <c r="F127">
        <v>39</v>
      </c>
      <c r="G127">
        <v>512788606</v>
      </c>
      <c r="H127">
        <v>644438622</v>
      </c>
      <c r="I127">
        <v>683584759</v>
      </c>
      <c r="J127">
        <v>632225745</v>
      </c>
      <c r="K127">
        <v>683691488</v>
      </c>
      <c r="L127">
        <v>7.8004853329365902E-8</v>
      </c>
      <c r="M127">
        <v>2.1569160390886689E-7</v>
      </c>
      <c r="N127">
        <v>5.8515055336393185E-8</v>
      </c>
      <c r="O127">
        <v>7.2758821297288364E-8</v>
      </c>
      <c r="P127">
        <v>5.7043272710746402E-8</v>
      </c>
      <c r="Q127">
        <v>9.7554917004546754E-4</v>
      </c>
      <c r="R127">
        <v>3.8076303781706118E-3</v>
      </c>
      <c r="S127">
        <v>1.6014261493983517E-3</v>
      </c>
      <c r="T127">
        <v>1.2350247997847071E-3</v>
      </c>
      <c r="U127">
        <v>9.1924098252294786E-4</v>
      </c>
      <c r="V127">
        <v>-0.99805080319723227</v>
      </c>
      <c r="W127">
        <v>-0.99241362535422029</v>
      </c>
      <c r="X127">
        <v>-0.99680226863183496</v>
      </c>
      <c r="Y127">
        <v>-0.99753299721005728</v>
      </c>
      <c r="Z127">
        <v>-0.99816320649082424</v>
      </c>
    </row>
    <row r="128" spans="1:26" x14ac:dyDescent="0.25">
      <c r="A128" s="28" t="s">
        <v>113</v>
      </c>
      <c r="B128">
        <v>31</v>
      </c>
      <c r="C128">
        <v>12</v>
      </c>
      <c r="D128">
        <v>8</v>
      </c>
      <c r="E128">
        <v>4</v>
      </c>
      <c r="F128">
        <v>4</v>
      </c>
      <c r="G128">
        <v>65606976</v>
      </c>
      <c r="H128">
        <v>81500265</v>
      </c>
      <c r="I128">
        <v>86228240</v>
      </c>
      <c r="J128">
        <v>82567753</v>
      </c>
      <c r="K128">
        <v>78154637</v>
      </c>
      <c r="L128">
        <v>4.7251072812744789E-7</v>
      </c>
      <c r="M128">
        <v>1.4723878505180321E-7</v>
      </c>
      <c r="N128">
        <v>9.2777029891831259E-8</v>
      </c>
      <c r="O128">
        <v>4.8445063050220105E-8</v>
      </c>
      <c r="P128">
        <v>5.11805844610346E-8</v>
      </c>
      <c r="Q128">
        <v>5.90934318812158E-3</v>
      </c>
      <c r="R128">
        <v>2.5992243585200203E-3</v>
      </c>
      <c r="S128">
        <v>2.5390997390014464E-3</v>
      </c>
      <c r="T128">
        <v>8.2231753108932555E-4</v>
      </c>
      <c r="U128">
        <v>8.2476492862929495E-4</v>
      </c>
      <c r="V128">
        <v>-0.98825074400960911</v>
      </c>
      <c r="W128">
        <v>-0.99481502818799206</v>
      </c>
      <c r="X128">
        <v>-0.99493466192059254</v>
      </c>
      <c r="Y128">
        <v>-0.99835671623886668</v>
      </c>
      <c r="Z128">
        <v>-0.99835182949596957</v>
      </c>
    </row>
    <row r="129" spans="1:26" x14ac:dyDescent="0.25">
      <c r="A129" s="28" t="s">
        <v>106</v>
      </c>
      <c r="B129">
        <v>0</v>
      </c>
      <c r="C129">
        <v>12</v>
      </c>
      <c r="D129">
        <v>15</v>
      </c>
      <c r="E129">
        <v>0</v>
      </c>
      <c r="F129">
        <v>4</v>
      </c>
      <c r="G129">
        <v>69964786</v>
      </c>
      <c r="H129">
        <v>92887987</v>
      </c>
      <c r="I129">
        <v>102625791</v>
      </c>
      <c r="J129">
        <v>100290449</v>
      </c>
      <c r="K129">
        <v>103312004</v>
      </c>
      <c r="L129">
        <v>0</v>
      </c>
      <c r="M129">
        <v>1.2918785719836947E-7</v>
      </c>
      <c r="N129">
        <v>1.4616208902107268E-7</v>
      </c>
      <c r="O129">
        <v>0</v>
      </c>
      <c r="P129">
        <v>3.8717669245870014E-8</v>
      </c>
      <c r="Q129">
        <v>0</v>
      </c>
      <c r="R129">
        <v>2.2805691118469029E-3</v>
      </c>
      <c r="S129">
        <v>4.0001293695001959E-3</v>
      </c>
      <c r="T129">
        <v>0</v>
      </c>
      <c r="U129">
        <v>6.2392753128042561E-4</v>
      </c>
      <c r="V129">
        <v>-1</v>
      </c>
      <c r="W129">
        <v>-0.99544924009877245</v>
      </c>
      <c r="X129">
        <v>-0.99203161582855126</v>
      </c>
      <c r="Y129">
        <v>-1</v>
      </c>
      <c r="Z129">
        <v>-0.9987529230230987</v>
      </c>
    </row>
    <row r="130" spans="1:26" x14ac:dyDescent="0.25">
      <c r="A130" s="28" t="s">
        <v>125</v>
      </c>
      <c r="B130">
        <v>0</v>
      </c>
      <c r="C130">
        <v>0</v>
      </c>
      <c r="D130">
        <v>0</v>
      </c>
      <c r="E130">
        <v>0</v>
      </c>
      <c r="F130">
        <v>1</v>
      </c>
      <c r="G130">
        <v>51504158</v>
      </c>
      <c r="H130">
        <v>87203291</v>
      </c>
      <c r="I130">
        <v>130964473</v>
      </c>
      <c r="J130">
        <v>97751494</v>
      </c>
      <c r="K130">
        <v>88182863</v>
      </c>
      <c r="L130">
        <v>0</v>
      </c>
      <c r="M130">
        <v>0</v>
      </c>
      <c r="N130">
        <v>0</v>
      </c>
      <c r="O130">
        <v>0</v>
      </c>
      <c r="P130">
        <v>1.1340071823252099E-8</v>
      </c>
      <c r="Q130">
        <v>0</v>
      </c>
      <c r="R130">
        <v>0</v>
      </c>
      <c r="S130">
        <v>0</v>
      </c>
      <c r="T130">
        <v>0</v>
      </c>
      <c r="U130">
        <v>1.8274299964425475E-4</v>
      </c>
      <c r="V130">
        <v>-1</v>
      </c>
      <c r="W130">
        <v>-1</v>
      </c>
      <c r="X130">
        <v>-1</v>
      </c>
      <c r="Y130">
        <v>-1</v>
      </c>
      <c r="Z130">
        <v>-0.99963458077851619</v>
      </c>
    </row>
    <row r="131" spans="1:26" x14ac:dyDescent="0.25">
      <c r="A131" s="28" t="s">
        <v>198</v>
      </c>
      <c r="B131">
        <v>1</v>
      </c>
      <c r="C131">
        <v>0</v>
      </c>
      <c r="D131">
        <v>0</v>
      </c>
      <c r="E131">
        <v>0</v>
      </c>
      <c r="F131">
        <v>0</v>
      </c>
      <c r="G131">
        <v>211873</v>
      </c>
      <c r="H131">
        <v>257479</v>
      </c>
      <c r="I131">
        <v>286430</v>
      </c>
      <c r="J131">
        <v>253373</v>
      </c>
      <c r="K131">
        <v>277036</v>
      </c>
      <c r="L131">
        <v>4.7198085645646214E-6</v>
      </c>
      <c r="M131">
        <v>0</v>
      </c>
      <c r="N131">
        <v>0</v>
      </c>
      <c r="O131">
        <v>0</v>
      </c>
      <c r="P131">
        <v>0</v>
      </c>
      <c r="Q131">
        <v>5.9027164739262707E-2</v>
      </c>
      <c r="R131">
        <v>0</v>
      </c>
      <c r="S131">
        <v>0</v>
      </c>
      <c r="T131">
        <v>0</v>
      </c>
      <c r="U131">
        <v>0</v>
      </c>
      <c r="V131">
        <v>-0.88852568337320137</v>
      </c>
      <c r="W131">
        <v>-1</v>
      </c>
      <c r="X131">
        <v>-1</v>
      </c>
      <c r="Y131">
        <v>-1</v>
      </c>
      <c r="Z131">
        <v>-1</v>
      </c>
    </row>
    <row r="132" spans="1:26" x14ac:dyDescent="0.25">
      <c r="A132" s="28" t="s">
        <v>159</v>
      </c>
      <c r="B132">
        <v>0</v>
      </c>
      <c r="C132">
        <v>0</v>
      </c>
      <c r="D132">
        <v>0</v>
      </c>
      <c r="E132">
        <v>10</v>
      </c>
      <c r="F132">
        <v>0</v>
      </c>
      <c r="G132">
        <v>6614320</v>
      </c>
      <c r="H132">
        <v>10575072</v>
      </c>
      <c r="I132">
        <v>14238438</v>
      </c>
      <c r="J132">
        <v>11218109</v>
      </c>
      <c r="K132">
        <v>11258495</v>
      </c>
      <c r="L132">
        <v>0</v>
      </c>
      <c r="M132">
        <v>0</v>
      </c>
      <c r="N132">
        <v>0</v>
      </c>
      <c r="O132">
        <v>8.9141583487912268E-7</v>
      </c>
      <c r="P132">
        <v>0</v>
      </c>
      <c r="Q132">
        <v>0</v>
      </c>
      <c r="R132">
        <v>0</v>
      </c>
      <c r="S132">
        <v>0</v>
      </c>
      <c r="T132">
        <v>1.5131095355409999E-2</v>
      </c>
      <c r="U132">
        <v>0</v>
      </c>
      <c r="V132">
        <v>-1</v>
      </c>
      <c r="W132">
        <v>-1</v>
      </c>
      <c r="X132">
        <v>-1</v>
      </c>
      <c r="Y132">
        <v>-0.97018888412611881</v>
      </c>
      <c r="Z132">
        <v>-1</v>
      </c>
    </row>
    <row r="133" spans="1:26" x14ac:dyDescent="0.25">
      <c r="A133" s="28" t="s">
        <v>155</v>
      </c>
      <c r="B133">
        <v>0</v>
      </c>
      <c r="C133">
        <v>1</v>
      </c>
      <c r="D133">
        <v>0</v>
      </c>
      <c r="E133">
        <v>0</v>
      </c>
      <c r="F133">
        <v>0</v>
      </c>
      <c r="G133">
        <v>13732637</v>
      </c>
      <c r="H133">
        <v>22206671</v>
      </c>
      <c r="I133">
        <v>38146630</v>
      </c>
      <c r="J133">
        <v>33898555</v>
      </c>
      <c r="K133">
        <v>26554057</v>
      </c>
      <c r="L133">
        <v>0</v>
      </c>
      <c r="M133">
        <v>4.5031513278149615E-8</v>
      </c>
      <c r="N133">
        <v>0</v>
      </c>
      <c r="O133">
        <v>0</v>
      </c>
      <c r="P133">
        <v>0</v>
      </c>
      <c r="Q133">
        <v>0</v>
      </c>
      <c r="R133">
        <v>7.9494683532197992E-4</v>
      </c>
      <c r="S133">
        <v>0</v>
      </c>
      <c r="T133">
        <v>0</v>
      </c>
      <c r="U133">
        <v>0</v>
      </c>
      <c r="V133">
        <v>-1</v>
      </c>
      <c r="W133">
        <v>-0.99841136920637796</v>
      </c>
      <c r="X133">
        <v>-1</v>
      </c>
      <c r="Y133">
        <v>-1</v>
      </c>
      <c r="Z133">
        <v>-1</v>
      </c>
    </row>
    <row r="134" spans="1:26" x14ac:dyDescent="0.25">
      <c r="A134" s="28" t="s">
        <v>207</v>
      </c>
      <c r="B134">
        <v>0</v>
      </c>
      <c r="C134">
        <v>1</v>
      </c>
      <c r="D134">
        <v>0</v>
      </c>
      <c r="E134">
        <v>0</v>
      </c>
      <c r="F134">
        <v>0</v>
      </c>
      <c r="G134">
        <v>162313</v>
      </c>
      <c r="H134">
        <v>113150</v>
      </c>
      <c r="I134">
        <v>188869</v>
      </c>
      <c r="J134">
        <v>217474</v>
      </c>
      <c r="K134">
        <v>184439</v>
      </c>
      <c r="L134">
        <v>0</v>
      </c>
      <c r="M134">
        <v>8.8378258948298717E-6</v>
      </c>
      <c r="N134">
        <v>0</v>
      </c>
      <c r="O134">
        <v>0</v>
      </c>
      <c r="P134">
        <v>0</v>
      </c>
      <c r="Q134">
        <v>0</v>
      </c>
      <c r="R134">
        <v>0.1560152261112363</v>
      </c>
      <c r="S134">
        <v>0</v>
      </c>
      <c r="T134">
        <v>0</v>
      </c>
      <c r="U134">
        <v>0</v>
      </c>
      <c r="V134">
        <v>-1</v>
      </c>
      <c r="W134">
        <v>-0.73008101867989761</v>
      </c>
      <c r="X134">
        <v>-1</v>
      </c>
      <c r="Y134">
        <v>-1</v>
      </c>
      <c r="Z134">
        <v>-1</v>
      </c>
    </row>
    <row r="135" spans="1:26" x14ac:dyDescent="0.25">
      <c r="A135" s="28" t="s">
        <v>128</v>
      </c>
      <c r="B135">
        <v>1</v>
      </c>
      <c r="C135">
        <v>1</v>
      </c>
      <c r="D135">
        <v>0</v>
      </c>
      <c r="E135">
        <v>0</v>
      </c>
      <c r="F135">
        <v>0</v>
      </c>
      <c r="G135">
        <v>4595669</v>
      </c>
      <c r="H135">
        <v>5976689</v>
      </c>
      <c r="I135">
        <v>7423913</v>
      </c>
      <c r="J135">
        <v>6632834</v>
      </c>
      <c r="K135">
        <v>6946842</v>
      </c>
      <c r="L135">
        <v>2.1759617587776665E-7</v>
      </c>
      <c r="M135">
        <v>1.6731672001002562E-7</v>
      </c>
      <c r="N135">
        <v>0</v>
      </c>
      <c r="O135">
        <v>0</v>
      </c>
      <c r="P135">
        <v>0</v>
      </c>
      <c r="Q135">
        <v>2.7213148890404873E-3</v>
      </c>
      <c r="R135">
        <v>2.9536626106003491E-3</v>
      </c>
      <c r="S135">
        <v>0</v>
      </c>
      <c r="T135">
        <v>0</v>
      </c>
      <c r="U135">
        <v>0</v>
      </c>
      <c r="V135">
        <v>-0.99457214113506365</v>
      </c>
      <c r="W135">
        <v>-0.99411007163997533</v>
      </c>
      <c r="X135">
        <v>-1</v>
      </c>
      <c r="Y135">
        <v>-1</v>
      </c>
      <c r="Z135">
        <v>-1</v>
      </c>
    </row>
    <row r="136" spans="1:26" x14ac:dyDescent="0.25">
      <c r="A136" s="28" t="s">
        <v>126</v>
      </c>
      <c r="B136">
        <v>0</v>
      </c>
      <c r="C136">
        <v>3</v>
      </c>
      <c r="D136">
        <v>15</v>
      </c>
      <c r="E136">
        <v>6</v>
      </c>
      <c r="F136">
        <v>0</v>
      </c>
      <c r="G136">
        <v>1548472</v>
      </c>
      <c r="H136">
        <v>1684826</v>
      </c>
      <c r="I136">
        <v>1880859</v>
      </c>
      <c r="J136">
        <v>1860980</v>
      </c>
      <c r="K136">
        <v>1753473</v>
      </c>
      <c r="L136">
        <v>0</v>
      </c>
      <c r="M136">
        <v>1.7805993022424869E-6</v>
      </c>
      <c r="N136">
        <v>7.9750794716669358E-6</v>
      </c>
      <c r="O136">
        <v>3.2241077281862243E-6</v>
      </c>
      <c r="P136">
        <v>0</v>
      </c>
      <c r="Q136">
        <v>0</v>
      </c>
      <c r="R136">
        <v>3.1433138201487375E-2</v>
      </c>
      <c r="S136">
        <v>0.21826008257253143</v>
      </c>
      <c r="T136">
        <v>5.4726738703172448E-2</v>
      </c>
      <c r="U136">
        <v>0</v>
      </c>
      <c r="V136">
        <v>-1</v>
      </c>
      <c r="W136">
        <v>-0.93904958637203095</v>
      </c>
      <c r="X136">
        <v>-0.64168557158723638</v>
      </c>
      <c r="Y136">
        <v>-0.89622574891680262</v>
      </c>
      <c r="Z136">
        <v>-1</v>
      </c>
    </row>
    <row r="137" spans="1:26" x14ac:dyDescent="0.25">
      <c r="A137" s="28" t="s">
        <v>149</v>
      </c>
      <c r="B137">
        <v>58</v>
      </c>
      <c r="C137">
        <v>59</v>
      </c>
      <c r="D137">
        <v>13</v>
      </c>
      <c r="E137">
        <v>52</v>
      </c>
      <c r="G137">
        <v>781981</v>
      </c>
      <c r="H137">
        <v>1019154</v>
      </c>
      <c r="I137">
        <v>944241</v>
      </c>
      <c r="J137">
        <v>1032089</v>
      </c>
      <c r="K137">
        <v>824060</v>
      </c>
      <c r="L137">
        <v>7.4170600052942464E-5</v>
      </c>
      <c r="M137">
        <v>5.7891152858154904E-5</v>
      </c>
      <c r="N137">
        <v>1.3767671600788358E-5</v>
      </c>
      <c r="O137">
        <v>5.0383251831964104E-5</v>
      </c>
      <c r="P137">
        <v>0</v>
      </c>
      <c r="Q137">
        <v>0.92759699217564728</v>
      </c>
      <c r="R137">
        <v>1.0219596324350362</v>
      </c>
      <c r="S137">
        <v>0.37679036943709326</v>
      </c>
      <c r="T137">
        <v>0.85521678879359453</v>
      </c>
      <c r="U137">
        <v>0</v>
      </c>
      <c r="V137">
        <v>-3.7561278689604419E-2</v>
      </c>
      <c r="W137">
        <v>1.086056916407886E-2</v>
      </c>
      <c r="X137">
        <v>-0.45265397289037446</v>
      </c>
      <c r="Y137">
        <v>-7.8041128174866678E-2</v>
      </c>
      <c r="Z137">
        <v>-1</v>
      </c>
    </row>
    <row r="138" spans="1:26" x14ac:dyDescent="0.25">
      <c r="A138" s="28" t="s">
        <v>147</v>
      </c>
      <c r="B138">
        <v>12</v>
      </c>
      <c r="C138">
        <v>0</v>
      </c>
      <c r="D138">
        <v>0</v>
      </c>
      <c r="E138">
        <v>0</v>
      </c>
      <c r="G138">
        <v>418057</v>
      </c>
      <c r="H138">
        <v>171669</v>
      </c>
      <c r="I138">
        <v>202889</v>
      </c>
      <c r="J138">
        <v>153703</v>
      </c>
      <c r="K138">
        <v>2370813</v>
      </c>
      <c r="L138">
        <v>2.8704219759506479E-5</v>
      </c>
      <c r="M138">
        <v>0</v>
      </c>
      <c r="N138">
        <v>0</v>
      </c>
      <c r="O138">
        <v>0</v>
      </c>
      <c r="P138">
        <v>0</v>
      </c>
      <c r="Q138">
        <v>0.35898250644678042</v>
      </c>
      <c r="R138">
        <v>0</v>
      </c>
      <c r="S138">
        <v>0</v>
      </c>
      <c r="T138">
        <v>0</v>
      </c>
      <c r="U138">
        <v>0</v>
      </c>
      <c r="V138">
        <v>-0.47168928997418458</v>
      </c>
      <c r="W138">
        <v>-1</v>
      </c>
      <c r="X138">
        <v>-1</v>
      </c>
      <c r="Y138">
        <v>-1</v>
      </c>
      <c r="Z138">
        <v>-1</v>
      </c>
    </row>
    <row r="139" spans="1:26" x14ac:dyDescent="0.25">
      <c r="A139" s="28" t="s">
        <v>148</v>
      </c>
      <c r="D139">
        <v>27</v>
      </c>
      <c r="G139">
        <v>9465167</v>
      </c>
      <c r="H139">
        <v>33190868</v>
      </c>
      <c r="I139">
        <v>40248130</v>
      </c>
      <c r="J139">
        <v>35743253</v>
      </c>
      <c r="K139">
        <v>29754476</v>
      </c>
      <c r="L139">
        <v>0</v>
      </c>
      <c r="M139">
        <v>0</v>
      </c>
      <c r="N139">
        <v>6.7083862032844752E-7</v>
      </c>
      <c r="O139">
        <v>0</v>
      </c>
      <c r="P139">
        <v>0</v>
      </c>
      <c r="Q139">
        <v>0</v>
      </c>
      <c r="R139">
        <v>0</v>
      </c>
      <c r="S139">
        <v>1.8359352177731485E-2</v>
      </c>
      <c r="T139">
        <v>0</v>
      </c>
      <c r="U139">
        <v>0</v>
      </c>
      <c r="V139">
        <v>-1</v>
      </c>
      <c r="W139">
        <v>-1</v>
      </c>
      <c r="X139">
        <v>-0.96394327377959366</v>
      </c>
      <c r="Y139">
        <v>-1</v>
      </c>
      <c r="Z139">
        <v>-1</v>
      </c>
    </row>
    <row r="140" spans="1:26" x14ac:dyDescent="0.25">
      <c r="A140" s="28" t="s">
        <v>131</v>
      </c>
      <c r="B140">
        <v>3</v>
      </c>
      <c r="C140">
        <v>5</v>
      </c>
      <c r="D140">
        <v>281</v>
      </c>
      <c r="E140">
        <v>559</v>
      </c>
      <c r="G140">
        <v>1964466</v>
      </c>
      <c r="H140">
        <v>1658949</v>
      </c>
      <c r="I140">
        <v>2254702</v>
      </c>
      <c r="J140">
        <v>3308874</v>
      </c>
      <c r="K140">
        <v>7262395</v>
      </c>
      <c r="L140">
        <v>1.527132564269374E-6</v>
      </c>
      <c r="M140">
        <v>3.0139564266291489E-6</v>
      </c>
      <c r="N140">
        <v>1.2462844313794019E-4</v>
      </c>
      <c r="O140">
        <v>1.689396453294988E-4</v>
      </c>
      <c r="P140">
        <v>0</v>
      </c>
      <c r="Q140">
        <v>1.9098720682569931E-2</v>
      </c>
      <c r="R140">
        <v>5.3205743017074029E-2</v>
      </c>
      <c r="S140">
        <v>3.4108016586933494</v>
      </c>
      <c r="T140">
        <v>2.8676200071501108</v>
      </c>
      <c r="U140">
        <v>0</v>
      </c>
      <c r="V140">
        <v>-0.96251840907075614</v>
      </c>
      <c r="W140">
        <v>-0.89896419883800138</v>
      </c>
      <c r="X140">
        <v>0.54656768661130917</v>
      </c>
      <c r="Y140">
        <v>0.48288611696532274</v>
      </c>
      <c r="Z140">
        <v>-1</v>
      </c>
    </row>
    <row r="141" spans="1:26" x14ac:dyDescent="0.25">
      <c r="A141" s="28" t="s">
        <v>196</v>
      </c>
      <c r="B141">
        <v>5</v>
      </c>
      <c r="D141">
        <v>2</v>
      </c>
      <c r="E141">
        <v>11</v>
      </c>
      <c r="G141">
        <v>211861</v>
      </c>
      <c r="H141">
        <v>312871</v>
      </c>
      <c r="I141">
        <v>224030</v>
      </c>
      <c r="J141">
        <v>209615</v>
      </c>
      <c r="K141">
        <v>316293</v>
      </c>
      <c r="L141">
        <v>2.3600379494102265E-5</v>
      </c>
      <c r="M141">
        <v>0</v>
      </c>
      <c r="N141">
        <v>8.9273757978842114E-6</v>
      </c>
      <c r="O141">
        <v>5.2477160508551389E-5</v>
      </c>
      <c r="P141">
        <v>0</v>
      </c>
      <c r="Q141">
        <v>0.29515254045817318</v>
      </c>
      <c r="R141">
        <v>0</v>
      </c>
      <c r="S141">
        <v>0.24432230245787848</v>
      </c>
      <c r="T141">
        <v>0.89075927145014155</v>
      </c>
      <c r="U141">
        <v>0</v>
      </c>
      <c r="V141">
        <v>-0.54421964789759825</v>
      </c>
      <c r="W141">
        <v>-1</v>
      </c>
      <c r="X141">
        <v>-0.60730061339369268</v>
      </c>
      <c r="Y141">
        <v>-5.7776116822145687E-2</v>
      </c>
      <c r="Z141">
        <v>-1</v>
      </c>
    </row>
    <row r="142" spans="1:26" x14ac:dyDescent="0.25">
      <c r="A142" s="28" t="s">
        <v>146</v>
      </c>
      <c r="B142">
        <v>682</v>
      </c>
      <c r="C142">
        <v>347</v>
      </c>
      <c r="D142">
        <v>245</v>
      </c>
      <c r="E142">
        <v>247</v>
      </c>
      <c r="G142">
        <v>33479359</v>
      </c>
      <c r="H142">
        <v>44590927</v>
      </c>
      <c r="I142">
        <v>66063353</v>
      </c>
      <c r="J142">
        <v>59010531</v>
      </c>
      <c r="K142">
        <v>67321553</v>
      </c>
      <c r="L142">
        <v>2.0370760384032441E-5</v>
      </c>
      <c r="M142">
        <v>7.7818521243121947E-6</v>
      </c>
      <c r="N142">
        <v>3.7085613865224189E-6</v>
      </c>
      <c r="O142">
        <v>4.1856935671363474E-6</v>
      </c>
      <c r="P142">
        <v>0</v>
      </c>
      <c r="Q142">
        <v>0.25476207617400415</v>
      </c>
      <c r="R142">
        <v>0.13737399143029203</v>
      </c>
      <c r="S142">
        <v>0.10149502802114387</v>
      </c>
      <c r="T142">
        <v>7.1048915685297989E-2</v>
      </c>
      <c r="U142">
        <v>0</v>
      </c>
      <c r="V142">
        <v>-0.5939276759928549</v>
      </c>
      <c r="W142">
        <v>-0.7584365521537223</v>
      </c>
      <c r="X142">
        <v>-0.81571405146788256</v>
      </c>
      <c r="Y142">
        <v>-0.86732834580232365</v>
      </c>
      <c r="Z142">
        <v>-1</v>
      </c>
    </row>
    <row r="143" spans="1:26" x14ac:dyDescent="0.25">
      <c r="A143" s="28" t="s">
        <v>206</v>
      </c>
      <c r="C143">
        <v>2</v>
      </c>
      <c r="G143">
        <v>111409</v>
      </c>
      <c r="H143">
        <v>209149</v>
      </c>
      <c r="I143">
        <v>222598</v>
      </c>
      <c r="J143">
        <v>223195</v>
      </c>
      <c r="K143">
        <v>192396</v>
      </c>
      <c r="L143">
        <v>0</v>
      </c>
      <c r="M143">
        <v>9.5625606624942034E-6</v>
      </c>
      <c r="N143">
        <v>0</v>
      </c>
      <c r="O143">
        <v>0</v>
      </c>
      <c r="P143">
        <v>0</v>
      </c>
      <c r="Q143">
        <v>0</v>
      </c>
      <c r="R143">
        <v>0.16880905798723769</v>
      </c>
      <c r="S143">
        <v>0</v>
      </c>
      <c r="T143">
        <v>0</v>
      </c>
      <c r="U143">
        <v>0</v>
      </c>
      <c r="V143">
        <v>-1</v>
      </c>
      <c r="W143">
        <v>-0.71114348090707402</v>
      </c>
      <c r="X143">
        <v>-1</v>
      </c>
      <c r="Y143">
        <v>-1</v>
      </c>
      <c r="Z143">
        <v>-1</v>
      </c>
    </row>
    <row r="144" spans="1:26" x14ac:dyDescent="0.25">
      <c r="A144" s="28" t="s">
        <v>151</v>
      </c>
      <c r="D144">
        <v>2</v>
      </c>
      <c r="G144">
        <v>3434</v>
      </c>
      <c r="H144">
        <v>6676</v>
      </c>
      <c r="I144">
        <v>462357</v>
      </c>
      <c r="J144">
        <v>1636</v>
      </c>
      <c r="K144">
        <v>898</v>
      </c>
      <c r="L144">
        <v>0</v>
      </c>
      <c r="M144">
        <v>0</v>
      </c>
      <c r="N144">
        <v>4.3256617721803712E-6</v>
      </c>
      <c r="O144">
        <v>0</v>
      </c>
      <c r="P144">
        <v>0</v>
      </c>
      <c r="Q144">
        <v>0</v>
      </c>
      <c r="R144">
        <v>0</v>
      </c>
      <c r="S144">
        <v>0.11838368494396866</v>
      </c>
      <c r="T144">
        <v>0</v>
      </c>
      <c r="U144">
        <v>0</v>
      </c>
      <c r="V144">
        <v>-1</v>
      </c>
      <c r="W144">
        <v>-1</v>
      </c>
      <c r="X144">
        <v>-0.78829504303811504</v>
      </c>
      <c r="Y144">
        <v>-1</v>
      </c>
      <c r="Z144">
        <v>-1</v>
      </c>
    </row>
    <row r="145" spans="1:26" x14ac:dyDescent="0.25">
      <c r="A145" s="28" t="s">
        <v>152</v>
      </c>
      <c r="B145">
        <v>10</v>
      </c>
      <c r="C145">
        <v>11</v>
      </c>
      <c r="D145">
        <v>2</v>
      </c>
      <c r="G145">
        <v>1431176</v>
      </c>
      <c r="H145">
        <v>1562504</v>
      </c>
      <c r="I145">
        <v>1435898</v>
      </c>
      <c r="J145">
        <v>1393861</v>
      </c>
      <c r="K145">
        <v>587484</v>
      </c>
      <c r="L145">
        <v>6.987260826061924E-6</v>
      </c>
      <c r="M145">
        <v>7.0399819776461376E-6</v>
      </c>
      <c r="N145">
        <v>1.3928565956634803E-6</v>
      </c>
      <c r="O145">
        <v>0</v>
      </c>
      <c r="P145">
        <v>0</v>
      </c>
      <c r="Q145">
        <v>8.7384517870630923E-2</v>
      </c>
      <c r="R145">
        <v>0.12427766660395767</v>
      </c>
      <c r="S145">
        <v>3.8119368798924795E-2</v>
      </c>
      <c r="T145">
        <v>0</v>
      </c>
      <c r="U145">
        <v>0</v>
      </c>
      <c r="V145">
        <v>-0.8392757733175169</v>
      </c>
      <c r="W145">
        <v>-0.77891997627355491</v>
      </c>
      <c r="X145">
        <v>-0.92656072134936118</v>
      </c>
      <c r="Y145">
        <v>-1</v>
      </c>
      <c r="Z145">
        <v>-1</v>
      </c>
    </row>
    <row r="146" spans="1:26" x14ac:dyDescent="0.25">
      <c r="A146" s="28" t="s">
        <v>182</v>
      </c>
      <c r="B146">
        <v>1</v>
      </c>
      <c r="G146">
        <v>605299</v>
      </c>
      <c r="H146">
        <v>1050031</v>
      </c>
      <c r="I146">
        <v>1375093</v>
      </c>
      <c r="J146">
        <v>1494051</v>
      </c>
      <c r="K146">
        <v>1508793</v>
      </c>
      <c r="L146">
        <v>1.6520760814077011E-6</v>
      </c>
      <c r="M146">
        <v>0</v>
      </c>
      <c r="N146">
        <v>0</v>
      </c>
      <c r="O146">
        <v>0</v>
      </c>
      <c r="P146">
        <v>0</v>
      </c>
      <c r="Q146">
        <v>2.0661297102426746E-2</v>
      </c>
      <c r="R146">
        <v>0</v>
      </c>
      <c r="S146">
        <v>0</v>
      </c>
      <c r="T146">
        <v>0</v>
      </c>
      <c r="U146">
        <v>0</v>
      </c>
      <c r="V146">
        <v>-0.95951390111277379</v>
      </c>
      <c r="W146">
        <v>-1</v>
      </c>
      <c r="X146">
        <v>-1</v>
      </c>
      <c r="Y146">
        <v>-1</v>
      </c>
      <c r="Z146">
        <v>-1</v>
      </c>
    </row>
    <row r="147" spans="1:26" x14ac:dyDescent="0.25">
      <c r="A147" s="28" t="s">
        <v>191</v>
      </c>
      <c r="E147">
        <v>3</v>
      </c>
      <c r="G147">
        <v>856964</v>
      </c>
      <c r="H147">
        <v>508817</v>
      </c>
      <c r="I147">
        <v>511007</v>
      </c>
      <c r="J147">
        <v>653024</v>
      </c>
      <c r="K147">
        <v>459996</v>
      </c>
      <c r="L147">
        <v>0</v>
      </c>
      <c r="M147">
        <v>0</v>
      </c>
      <c r="N147">
        <v>0</v>
      </c>
      <c r="O147">
        <v>4.5940118586759442E-6</v>
      </c>
      <c r="P147">
        <v>0</v>
      </c>
      <c r="Q147">
        <v>0</v>
      </c>
      <c r="R147">
        <v>0</v>
      </c>
      <c r="S147">
        <v>0</v>
      </c>
      <c r="T147">
        <v>7.7979803339410084E-2</v>
      </c>
      <c r="U147">
        <v>0</v>
      </c>
      <c r="V147">
        <v>-1</v>
      </c>
      <c r="W147">
        <v>-1</v>
      </c>
      <c r="X147">
        <v>-1</v>
      </c>
      <c r="Y147">
        <v>-0.85532232960610011</v>
      </c>
      <c r="Z147">
        <v>-1</v>
      </c>
    </row>
    <row r="148" spans="1:26" x14ac:dyDescent="0.25">
      <c r="A148" s="28" t="s">
        <v>144</v>
      </c>
      <c r="C148">
        <v>1</v>
      </c>
      <c r="D148">
        <v>2</v>
      </c>
      <c r="G148">
        <v>4164579</v>
      </c>
      <c r="H148">
        <v>5645453</v>
      </c>
      <c r="I148">
        <v>6063384</v>
      </c>
      <c r="J148">
        <v>5012014</v>
      </c>
      <c r="K148">
        <v>2751172</v>
      </c>
      <c r="L148">
        <v>0</v>
      </c>
      <c r="M148">
        <v>1.7713370388523295E-7</v>
      </c>
      <c r="N148">
        <v>3.298488104992196E-7</v>
      </c>
      <c r="O148">
        <v>0</v>
      </c>
      <c r="P148">
        <v>0</v>
      </c>
      <c r="Q148">
        <v>0</v>
      </c>
      <c r="R148">
        <v>3.1269630328135561E-3</v>
      </c>
      <c r="S148">
        <v>9.0272239758587818E-3</v>
      </c>
      <c r="T148">
        <v>0</v>
      </c>
      <c r="U148">
        <v>0</v>
      </c>
      <c r="V148">
        <v>-1</v>
      </c>
      <c r="W148">
        <v>-0.99376556877035871</v>
      </c>
      <c r="X148">
        <v>-0.98210707548545828</v>
      </c>
      <c r="Y148">
        <v>-1</v>
      </c>
      <c r="Z148">
        <v>-1</v>
      </c>
    </row>
    <row r="149" spans="1:26" x14ac:dyDescent="0.25">
      <c r="A149" s="28" t="s">
        <v>158</v>
      </c>
      <c r="C149">
        <v>18</v>
      </c>
      <c r="G149">
        <v>2514683</v>
      </c>
      <c r="H149">
        <v>3423084</v>
      </c>
      <c r="I149">
        <v>14433172</v>
      </c>
      <c r="J149">
        <v>15261471</v>
      </c>
      <c r="K149">
        <v>13708355</v>
      </c>
      <c r="L149">
        <v>0</v>
      </c>
      <c r="M149">
        <v>5.2584160949599836E-6</v>
      </c>
      <c r="N149">
        <v>0</v>
      </c>
      <c r="O149">
        <v>0</v>
      </c>
      <c r="P149">
        <v>0</v>
      </c>
      <c r="Q149">
        <v>0</v>
      </c>
      <c r="R149">
        <v>9.2827465239168835E-2</v>
      </c>
      <c r="S149">
        <v>0</v>
      </c>
      <c r="T149">
        <v>0</v>
      </c>
      <c r="U149">
        <v>0</v>
      </c>
      <c r="V149">
        <v>-1</v>
      </c>
      <c r="W149">
        <v>-0.83011505806389441</v>
      </c>
      <c r="X149">
        <v>-1</v>
      </c>
      <c r="Y149">
        <v>-1</v>
      </c>
      <c r="Z149">
        <v>-1</v>
      </c>
    </row>
    <row r="150" spans="1:26" x14ac:dyDescent="0.25">
      <c r="A150" s="28" t="s">
        <v>134</v>
      </c>
      <c r="D150">
        <v>1</v>
      </c>
      <c r="G150">
        <v>1047836</v>
      </c>
      <c r="H150">
        <v>1387528</v>
      </c>
      <c r="I150">
        <v>1309157</v>
      </c>
      <c r="J150">
        <v>1055677</v>
      </c>
      <c r="K150">
        <v>798494</v>
      </c>
      <c r="L150">
        <v>0</v>
      </c>
      <c r="M150">
        <v>0</v>
      </c>
      <c r="N150">
        <v>7.6385032505650579E-7</v>
      </c>
      <c r="O150">
        <v>0</v>
      </c>
      <c r="P150">
        <v>0</v>
      </c>
      <c r="Q150">
        <v>0</v>
      </c>
      <c r="R150">
        <v>0</v>
      </c>
      <c r="S150">
        <v>2.090487444196476E-2</v>
      </c>
      <c r="T150">
        <v>0</v>
      </c>
      <c r="U150">
        <v>0</v>
      </c>
      <c r="V150">
        <v>-1</v>
      </c>
      <c r="W150">
        <v>-1</v>
      </c>
      <c r="X150">
        <v>-0.95904638137144449</v>
      </c>
      <c r="Y150">
        <v>-1</v>
      </c>
      <c r="Z150">
        <v>-1</v>
      </c>
    </row>
    <row r="151" spans="1:26" x14ac:dyDescent="0.25">
      <c r="A151" s="28" t="s">
        <v>129</v>
      </c>
      <c r="C151">
        <v>2</v>
      </c>
      <c r="G151">
        <v>65055419</v>
      </c>
      <c r="H151">
        <v>87911709</v>
      </c>
      <c r="I151">
        <v>134470047</v>
      </c>
      <c r="J151">
        <v>114688074</v>
      </c>
      <c r="K151">
        <v>108491307</v>
      </c>
      <c r="L151">
        <v>0</v>
      </c>
      <c r="M151">
        <v>2.2750098055766383E-8</v>
      </c>
      <c r="N151">
        <v>0</v>
      </c>
      <c r="O151">
        <v>0</v>
      </c>
      <c r="P151">
        <v>0</v>
      </c>
      <c r="Q151">
        <v>0</v>
      </c>
      <c r="R151">
        <v>4.016102754750539E-4</v>
      </c>
      <c r="S151">
        <v>0</v>
      </c>
      <c r="T151">
        <v>0</v>
      </c>
      <c r="U151">
        <v>0</v>
      </c>
      <c r="V151">
        <v>-1</v>
      </c>
      <c r="W151">
        <v>-0.9991971019011765</v>
      </c>
      <c r="X151">
        <v>-1</v>
      </c>
      <c r="Y151">
        <v>-1</v>
      </c>
      <c r="Z151">
        <v>-1</v>
      </c>
    </row>
    <row r="152" spans="1:26" x14ac:dyDescent="0.25">
      <c r="A152" s="28" t="s">
        <v>169</v>
      </c>
      <c r="D152">
        <v>40</v>
      </c>
      <c r="G152">
        <v>3237944</v>
      </c>
      <c r="H152">
        <v>5217039</v>
      </c>
      <c r="I152">
        <v>10037890</v>
      </c>
      <c r="J152">
        <v>5165869</v>
      </c>
      <c r="K152">
        <v>4398949</v>
      </c>
      <c r="L152">
        <v>0</v>
      </c>
      <c r="M152">
        <v>0</v>
      </c>
      <c r="N152">
        <v>3.9849012093178942E-6</v>
      </c>
      <c r="O152">
        <v>0</v>
      </c>
      <c r="P152">
        <v>0</v>
      </c>
      <c r="Q152">
        <v>0</v>
      </c>
      <c r="R152">
        <v>0</v>
      </c>
      <c r="S152">
        <v>0.10905783071868394</v>
      </c>
      <c r="T152">
        <v>0</v>
      </c>
      <c r="U152">
        <v>0</v>
      </c>
      <c r="V152">
        <v>-1</v>
      </c>
      <c r="W152">
        <v>-1</v>
      </c>
      <c r="X152">
        <v>-0.80333247248610462</v>
      </c>
      <c r="Y152">
        <v>-1</v>
      </c>
      <c r="Z152">
        <v>-1</v>
      </c>
    </row>
    <row r="153" spans="1:26" x14ac:dyDescent="0.25">
      <c r="A153" s="28" t="s">
        <v>135</v>
      </c>
      <c r="B153">
        <v>843</v>
      </c>
      <c r="C153">
        <v>1267</v>
      </c>
      <c r="G153">
        <v>29179441</v>
      </c>
      <c r="H153">
        <v>39889023</v>
      </c>
      <c r="I153">
        <v>11246065</v>
      </c>
      <c r="J153">
        <v>7876248</v>
      </c>
      <c r="K153">
        <v>6642494</v>
      </c>
      <c r="L153">
        <v>2.8890203893899133E-5</v>
      </c>
      <c r="M153">
        <v>3.1763124406431311E-5</v>
      </c>
      <c r="N153">
        <v>0</v>
      </c>
      <c r="O153">
        <v>0</v>
      </c>
      <c r="P153">
        <v>0</v>
      </c>
      <c r="Q153">
        <v>0.36130847284764378</v>
      </c>
      <c r="R153">
        <v>0.56071833675380445</v>
      </c>
      <c r="S153">
        <v>0</v>
      </c>
      <c r="T153">
        <v>0</v>
      </c>
      <c r="U153">
        <v>0</v>
      </c>
      <c r="V153">
        <v>-0.46917472409197136</v>
      </c>
      <c r="W153">
        <v>-0.2814612046910871</v>
      </c>
      <c r="X153">
        <v>-1</v>
      </c>
      <c r="Y153">
        <v>-1</v>
      </c>
      <c r="Z153">
        <v>-1</v>
      </c>
    </row>
    <row r="154" spans="1:26" x14ac:dyDescent="0.25">
      <c r="A154" s="28" t="s">
        <v>139</v>
      </c>
      <c r="C154">
        <v>4</v>
      </c>
      <c r="G154">
        <v>1708940</v>
      </c>
      <c r="H154">
        <v>2991245</v>
      </c>
      <c r="I154">
        <v>4741921</v>
      </c>
      <c r="J154">
        <v>4436044</v>
      </c>
      <c r="K154">
        <v>3470799</v>
      </c>
      <c r="L154">
        <v>0</v>
      </c>
      <c r="M154">
        <v>1.3372358332400055E-6</v>
      </c>
      <c r="N154">
        <v>0</v>
      </c>
      <c r="O154">
        <v>0</v>
      </c>
      <c r="P154">
        <v>0</v>
      </c>
      <c r="Q154">
        <v>0</v>
      </c>
      <c r="R154">
        <v>2.3606388422862574E-2</v>
      </c>
      <c r="S154">
        <v>0</v>
      </c>
      <c r="T154">
        <v>0</v>
      </c>
      <c r="U154">
        <v>0</v>
      </c>
      <c r="V154">
        <v>-1</v>
      </c>
      <c r="W154">
        <v>-0.95387604319423125</v>
      </c>
      <c r="X154">
        <v>-1</v>
      </c>
      <c r="Y154">
        <v>-1</v>
      </c>
      <c r="Z154">
        <v>-1</v>
      </c>
    </row>
    <row r="155" spans="1:26" x14ac:dyDescent="0.25">
      <c r="A155" s="28" t="s">
        <v>138</v>
      </c>
      <c r="B155">
        <v>0</v>
      </c>
      <c r="C155">
        <v>3</v>
      </c>
      <c r="D155">
        <v>0</v>
      </c>
      <c r="G155">
        <v>1702812</v>
      </c>
      <c r="H155">
        <v>1966040</v>
      </c>
      <c r="I155">
        <v>2170009</v>
      </c>
      <c r="J155">
        <v>1642593</v>
      </c>
      <c r="K155">
        <v>1295994</v>
      </c>
      <c r="L155">
        <v>0</v>
      </c>
      <c r="M155">
        <v>1.525909950967427E-6</v>
      </c>
      <c r="N155">
        <v>0</v>
      </c>
      <c r="O155">
        <v>0</v>
      </c>
      <c r="P155">
        <v>0</v>
      </c>
      <c r="Q155">
        <v>0</v>
      </c>
      <c r="R155">
        <v>2.6937075798793092E-2</v>
      </c>
      <c r="S155">
        <v>0</v>
      </c>
      <c r="T155">
        <v>0</v>
      </c>
      <c r="U155">
        <v>0</v>
      </c>
      <c r="V155">
        <v>-1</v>
      </c>
      <c r="W155">
        <v>-0.94753899448446666</v>
      </c>
      <c r="X155">
        <v>-1</v>
      </c>
      <c r="Y155">
        <v>-1</v>
      </c>
      <c r="Z155">
        <v>-1</v>
      </c>
    </row>
    <row r="156" spans="1:26" x14ac:dyDescent="0.25">
      <c r="A156" s="28" t="s">
        <v>140</v>
      </c>
      <c r="B156">
        <v>6</v>
      </c>
      <c r="C156">
        <v>0</v>
      </c>
      <c r="D156">
        <v>0</v>
      </c>
      <c r="E156">
        <v>0</v>
      </c>
      <c r="G156">
        <v>22993</v>
      </c>
      <c r="H156">
        <v>35354</v>
      </c>
      <c r="I156">
        <v>54638</v>
      </c>
      <c r="J156">
        <v>28530</v>
      </c>
      <c r="K156">
        <v>48400</v>
      </c>
      <c r="L156">
        <v>2.609489844735354E-4</v>
      </c>
      <c r="M156">
        <v>0</v>
      </c>
      <c r="N156">
        <v>0</v>
      </c>
      <c r="O156">
        <v>0</v>
      </c>
      <c r="P156">
        <v>0</v>
      </c>
      <c r="Q156">
        <v>3.2634964923590153</v>
      </c>
      <c r="R156">
        <v>0</v>
      </c>
      <c r="S156">
        <v>0</v>
      </c>
      <c r="T156">
        <v>0</v>
      </c>
      <c r="U156">
        <v>0</v>
      </c>
      <c r="V156">
        <v>0.53090145527635002</v>
      </c>
      <c r="W156">
        <v>-1</v>
      </c>
      <c r="X156">
        <v>-1</v>
      </c>
      <c r="Y156">
        <v>-1</v>
      </c>
      <c r="Z156">
        <v>-1</v>
      </c>
    </row>
    <row r="157" spans="1:26" x14ac:dyDescent="0.25">
      <c r="A157" s="28" t="s">
        <v>141</v>
      </c>
      <c r="B157">
        <v>0</v>
      </c>
      <c r="C157">
        <v>9</v>
      </c>
      <c r="D157">
        <v>0</v>
      </c>
      <c r="E157">
        <v>1</v>
      </c>
      <c r="G157">
        <v>4977501</v>
      </c>
      <c r="H157">
        <v>2362230</v>
      </c>
      <c r="I157">
        <v>8917437</v>
      </c>
      <c r="J157">
        <v>11923697</v>
      </c>
      <c r="K157">
        <v>7960614</v>
      </c>
      <c r="L157">
        <v>0</v>
      </c>
      <c r="M157">
        <v>3.8099592334362022E-6</v>
      </c>
      <c r="N157">
        <v>0</v>
      </c>
      <c r="O157">
        <v>8.3866606137341462E-8</v>
      </c>
      <c r="P157">
        <v>0</v>
      </c>
      <c r="Q157">
        <v>0</v>
      </c>
      <c r="R157">
        <v>6.7257678342234881E-2</v>
      </c>
      <c r="S157">
        <v>0</v>
      </c>
      <c r="T157">
        <v>1.4235708688872513E-3</v>
      </c>
      <c r="U157">
        <v>0</v>
      </c>
      <c r="V157">
        <v>-1</v>
      </c>
      <c r="W157">
        <v>-0.87396168759037485</v>
      </c>
      <c r="X157">
        <v>-1</v>
      </c>
      <c r="Y157">
        <v>-0.99715690560857873</v>
      </c>
      <c r="Z157">
        <v>-1</v>
      </c>
    </row>
    <row r="158" spans="1:26" x14ac:dyDescent="0.25">
      <c r="A158" s="28" t="s">
        <v>136</v>
      </c>
      <c r="B158">
        <v>0</v>
      </c>
      <c r="C158">
        <v>2</v>
      </c>
      <c r="D158">
        <v>0</v>
      </c>
      <c r="E158">
        <v>1</v>
      </c>
      <c r="G158">
        <v>21043779</v>
      </c>
      <c r="H158">
        <v>33743794</v>
      </c>
      <c r="I158">
        <v>51268600</v>
      </c>
      <c r="J158">
        <v>38732408</v>
      </c>
      <c r="K158">
        <v>36720802</v>
      </c>
      <c r="L158">
        <v>0</v>
      </c>
      <c r="M158">
        <v>5.927015794370959E-8</v>
      </c>
      <c r="N158">
        <v>0</v>
      </c>
      <c r="O158">
        <v>2.5818172730185019E-8</v>
      </c>
      <c r="P158">
        <v>0</v>
      </c>
      <c r="Q158">
        <v>0</v>
      </c>
      <c r="R158">
        <v>1.0463033785997145E-3</v>
      </c>
      <c r="S158">
        <v>0</v>
      </c>
      <c r="T158">
        <v>4.3824354268493486E-4</v>
      </c>
      <c r="U158">
        <v>0</v>
      </c>
      <c r="V158">
        <v>-1</v>
      </c>
      <c r="W158">
        <v>-0.99790958045583245</v>
      </c>
      <c r="X158">
        <v>-1</v>
      </c>
      <c r="Y158">
        <v>-0.99912389686117353</v>
      </c>
      <c r="Z158">
        <v>-1</v>
      </c>
    </row>
    <row r="159" spans="1:26" x14ac:dyDescent="0.25">
      <c r="A159" s="28" t="s">
        <v>142</v>
      </c>
      <c r="C159">
        <v>1</v>
      </c>
      <c r="G159">
        <v>5921390</v>
      </c>
      <c r="H159">
        <v>4838857</v>
      </c>
      <c r="I159">
        <v>4972327</v>
      </c>
      <c r="J159">
        <v>7625161</v>
      </c>
      <c r="K159">
        <v>13604535</v>
      </c>
      <c r="L159">
        <v>0</v>
      </c>
      <c r="M159">
        <v>2.0666037454712961E-7</v>
      </c>
      <c r="N159">
        <v>0</v>
      </c>
      <c r="O159">
        <v>0</v>
      </c>
      <c r="P159">
        <v>0</v>
      </c>
      <c r="Q159">
        <v>0</v>
      </c>
      <c r="R159">
        <v>3.6482009769014433E-3</v>
      </c>
      <c r="S159">
        <v>0</v>
      </c>
      <c r="T159">
        <v>0</v>
      </c>
      <c r="U159">
        <v>0</v>
      </c>
      <c r="V159">
        <v>-1</v>
      </c>
      <c r="W159">
        <v>-0.99273012002940775</v>
      </c>
      <c r="X159">
        <v>-1</v>
      </c>
      <c r="Y159">
        <v>-1</v>
      </c>
      <c r="Z159">
        <v>-1</v>
      </c>
    </row>
    <row r="160" spans="1:26" x14ac:dyDescent="0.25">
      <c r="A160" s="28" t="s">
        <v>167</v>
      </c>
      <c r="D160">
        <v>25</v>
      </c>
      <c r="G160">
        <v>3090593</v>
      </c>
      <c r="H160">
        <v>4050906</v>
      </c>
      <c r="I160">
        <v>5809851</v>
      </c>
      <c r="J160">
        <v>5094780</v>
      </c>
      <c r="K160">
        <v>4480113</v>
      </c>
      <c r="L160">
        <v>0</v>
      </c>
      <c r="M160">
        <v>0</v>
      </c>
      <c r="N160">
        <v>4.3030363429285879E-6</v>
      </c>
      <c r="O160">
        <v>0</v>
      </c>
      <c r="P160">
        <v>0</v>
      </c>
      <c r="Q160">
        <v>0</v>
      </c>
      <c r="R160">
        <v>0</v>
      </c>
      <c r="S160">
        <v>0.11776447756499804</v>
      </c>
      <c r="T160">
        <v>0</v>
      </c>
      <c r="U160">
        <v>0</v>
      </c>
      <c r="V160">
        <v>-1</v>
      </c>
      <c r="W160">
        <v>-1</v>
      </c>
      <c r="X160">
        <v>-0.78928570386931085</v>
      </c>
      <c r="Y160">
        <v>-1</v>
      </c>
      <c r="Z160">
        <v>-1</v>
      </c>
    </row>
    <row r="161" spans="1:26" x14ac:dyDescent="0.25">
      <c r="A161" s="28" t="s">
        <v>211</v>
      </c>
      <c r="D161">
        <v>10</v>
      </c>
      <c r="E161">
        <v>1</v>
      </c>
      <c r="G161">
        <v>126798</v>
      </c>
      <c r="H161">
        <v>220078</v>
      </c>
      <c r="I161">
        <v>172882</v>
      </c>
      <c r="J161">
        <v>1030401</v>
      </c>
      <c r="K161">
        <v>94736</v>
      </c>
      <c r="L161">
        <v>0</v>
      </c>
      <c r="M161">
        <v>0</v>
      </c>
      <c r="N161">
        <v>5.7842921761664026E-5</v>
      </c>
      <c r="O161">
        <v>9.7049595254662995E-7</v>
      </c>
      <c r="P161">
        <v>0</v>
      </c>
      <c r="Q161">
        <v>0</v>
      </c>
      <c r="R161">
        <v>0</v>
      </c>
      <c r="S161">
        <v>1.5830313572158616</v>
      </c>
      <c r="T161">
        <v>1.6473419279133379E-2</v>
      </c>
      <c r="U161">
        <v>0</v>
      </c>
      <c r="V161">
        <v>-1</v>
      </c>
      <c r="W161">
        <v>-1</v>
      </c>
      <c r="X161">
        <v>0.22571594246702684</v>
      </c>
      <c r="Y161">
        <v>-0.96758711252712137</v>
      </c>
      <c r="Z161">
        <v>-1</v>
      </c>
    </row>
    <row r="162" spans="1:26" x14ac:dyDescent="0.25">
      <c r="A162" s="28" t="s">
        <v>10</v>
      </c>
      <c r="B162">
        <v>1399902</v>
      </c>
      <c r="C162">
        <v>1255649</v>
      </c>
      <c r="D162">
        <v>903337</v>
      </c>
      <c r="E162">
        <v>1394444</v>
      </c>
      <c r="F162">
        <v>1481862</v>
      </c>
      <c r="G162">
        <v>17507541851</v>
      </c>
      <c r="H162">
        <v>22166126034</v>
      </c>
      <c r="I162">
        <v>24722312663</v>
      </c>
      <c r="J162">
        <v>23669609969</v>
      </c>
      <c r="K162">
        <v>23879911094</v>
      </c>
      <c r="L162">
        <v>7.9959940231131882E-5</v>
      </c>
      <c r="M162">
        <v>5.664720114259006E-5</v>
      </c>
      <c r="N162">
        <v>3.6539340486214124E-5</v>
      </c>
      <c r="O162">
        <v>5.8912842325086811E-5</v>
      </c>
      <c r="P162">
        <v>6.2054753644888086E-5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708D5-E494-42A9-AE43-B5CBD01B9364}">
  <dimension ref="A1:F233"/>
  <sheetViews>
    <sheetView workbookViewId="0">
      <selection activeCell="E6" sqref="E6"/>
    </sheetView>
  </sheetViews>
  <sheetFormatPr baseColWidth="10" defaultRowHeight="15" x14ac:dyDescent="0.25"/>
  <cols>
    <col min="1" max="1" width="45.7109375" bestFit="1" customWidth="1"/>
    <col min="2" max="6" width="17.5703125" bestFit="1" customWidth="1"/>
  </cols>
  <sheetData>
    <row r="1" spans="1:6" x14ac:dyDescent="0.25">
      <c r="A1" s="25" t="s">
        <v>266</v>
      </c>
      <c r="B1" s="25"/>
      <c r="C1" s="25"/>
      <c r="D1" s="25"/>
      <c r="E1" s="25"/>
      <c r="F1" s="25"/>
    </row>
    <row r="2" spans="1:6" x14ac:dyDescent="0.25">
      <c r="A2" s="26" t="s">
        <v>265</v>
      </c>
      <c r="B2" s="26"/>
      <c r="C2" s="26"/>
      <c r="D2" s="26"/>
      <c r="E2" s="26"/>
      <c r="F2" s="26"/>
    </row>
    <row r="3" spans="1:6" x14ac:dyDescent="0.25">
      <c r="A3" s="1"/>
    </row>
    <row r="4" spans="1:6" ht="27" x14ac:dyDescent="0.25">
      <c r="A4" s="2" t="s">
        <v>0</v>
      </c>
    </row>
    <row r="5" spans="1:6" ht="27" x14ac:dyDescent="0.25">
      <c r="A5" s="2" t="s">
        <v>1</v>
      </c>
    </row>
    <row r="6" spans="1:6" ht="40.5" x14ac:dyDescent="0.25">
      <c r="A6" s="2" t="s">
        <v>2</v>
      </c>
    </row>
    <row r="7" spans="1:6" x14ac:dyDescent="0.25">
      <c r="A7" s="1"/>
    </row>
    <row r="8" spans="1:6" x14ac:dyDescent="0.25">
      <c r="A8" s="1"/>
    </row>
    <row r="9" spans="1:6" x14ac:dyDescent="0.25">
      <c r="A9" s="1"/>
    </row>
    <row r="10" spans="1:6" x14ac:dyDescent="0.25">
      <c r="A10" s="1"/>
    </row>
    <row r="11" spans="1:6" x14ac:dyDescent="0.25">
      <c r="A11" s="1"/>
    </row>
    <row r="12" spans="1:6" x14ac:dyDescent="0.25">
      <c r="A12" s="2" t="s">
        <v>3</v>
      </c>
    </row>
    <row r="13" spans="1:6" x14ac:dyDescent="0.25">
      <c r="A13" s="1"/>
    </row>
    <row r="14" spans="1:6" x14ac:dyDescent="0.25">
      <c r="A14" s="8" t="s">
        <v>267</v>
      </c>
      <c r="B14" s="9" t="s">
        <v>268</v>
      </c>
      <c r="C14" s="9" t="s">
        <v>269</v>
      </c>
      <c r="D14" s="9" t="s">
        <v>270</v>
      </c>
      <c r="E14" s="9" t="s">
        <v>271</v>
      </c>
      <c r="F14" s="10" t="s">
        <v>272</v>
      </c>
    </row>
    <row r="15" spans="1:6" x14ac:dyDescent="0.25">
      <c r="A15" s="11" t="s">
        <v>10</v>
      </c>
      <c r="B15" s="3">
        <v>1439234</v>
      </c>
      <c r="C15" s="3">
        <v>1449680</v>
      </c>
      <c r="D15" s="3">
        <v>1129569</v>
      </c>
      <c r="E15" s="3">
        <v>1326834</v>
      </c>
      <c r="F15" s="3">
        <v>1522960</v>
      </c>
    </row>
    <row r="16" spans="1:6" x14ac:dyDescent="0.25">
      <c r="A16" s="12" t="s">
        <v>20</v>
      </c>
      <c r="B16" s="4">
        <v>173426</v>
      </c>
      <c r="C16" s="4">
        <v>181138</v>
      </c>
      <c r="D16" s="4">
        <v>157974</v>
      </c>
      <c r="E16" s="4">
        <v>159987</v>
      </c>
      <c r="F16" s="13">
        <v>187444</v>
      </c>
    </row>
    <row r="17" spans="1:6" x14ac:dyDescent="0.25">
      <c r="A17" s="11" t="s">
        <v>12</v>
      </c>
      <c r="B17" s="5">
        <v>150183</v>
      </c>
      <c r="C17" s="5">
        <v>148505</v>
      </c>
      <c r="D17" s="5">
        <v>102595</v>
      </c>
      <c r="E17" s="5">
        <v>142882</v>
      </c>
      <c r="F17" s="14">
        <v>171890</v>
      </c>
    </row>
    <row r="18" spans="1:6" x14ac:dyDescent="0.25">
      <c r="A18" s="12" t="s">
        <v>89</v>
      </c>
      <c r="B18" s="6">
        <v>85006</v>
      </c>
      <c r="C18" s="6">
        <v>65125</v>
      </c>
      <c r="D18" s="6">
        <v>37267</v>
      </c>
      <c r="E18" s="6">
        <v>51526</v>
      </c>
      <c r="F18" s="6">
        <v>107017</v>
      </c>
    </row>
    <row r="19" spans="1:6" x14ac:dyDescent="0.25">
      <c r="A19" s="11" t="s">
        <v>60</v>
      </c>
      <c r="B19" s="5">
        <v>106776</v>
      </c>
      <c r="C19" s="5">
        <v>121212</v>
      </c>
      <c r="D19" s="5">
        <v>112529</v>
      </c>
      <c r="E19" s="5">
        <v>106327</v>
      </c>
      <c r="F19" s="14">
        <v>101426</v>
      </c>
    </row>
    <row r="20" spans="1:6" x14ac:dyDescent="0.25">
      <c r="A20" s="12" t="s">
        <v>18</v>
      </c>
      <c r="B20" s="4">
        <v>84669</v>
      </c>
      <c r="C20" s="4">
        <v>103603</v>
      </c>
      <c r="D20" s="4">
        <v>93486</v>
      </c>
      <c r="E20" s="4">
        <v>109552</v>
      </c>
      <c r="F20" s="13">
        <v>101361</v>
      </c>
    </row>
    <row r="21" spans="1:6" x14ac:dyDescent="0.25">
      <c r="A21" s="11" t="s">
        <v>58</v>
      </c>
      <c r="B21" s="5">
        <v>41141</v>
      </c>
      <c r="C21" s="5">
        <v>44173</v>
      </c>
      <c r="D21" s="5">
        <v>38431</v>
      </c>
      <c r="E21" s="5">
        <v>43357</v>
      </c>
      <c r="F21" s="7">
        <v>86348</v>
      </c>
    </row>
    <row r="22" spans="1:6" x14ac:dyDescent="0.25">
      <c r="A22" s="12" t="s">
        <v>31</v>
      </c>
      <c r="B22" s="4">
        <v>63378</v>
      </c>
      <c r="C22" s="4">
        <v>65236</v>
      </c>
      <c r="D22" s="4">
        <v>49535</v>
      </c>
      <c r="E22" s="4">
        <v>65646</v>
      </c>
      <c r="F22" s="13">
        <v>66608</v>
      </c>
    </row>
    <row r="23" spans="1:6" x14ac:dyDescent="0.25">
      <c r="A23" s="11" t="s">
        <v>29</v>
      </c>
      <c r="B23" s="5">
        <v>60942</v>
      </c>
      <c r="C23" s="5">
        <v>46519</v>
      </c>
      <c r="D23" s="5">
        <v>32943</v>
      </c>
      <c r="E23" s="5">
        <v>57369</v>
      </c>
      <c r="F23" s="14">
        <v>60581</v>
      </c>
    </row>
    <row r="24" spans="1:6" x14ac:dyDescent="0.25">
      <c r="A24" s="12" t="s">
        <v>105</v>
      </c>
      <c r="B24" s="4">
        <v>93917</v>
      </c>
      <c r="C24" s="4">
        <v>112447</v>
      </c>
      <c r="D24" s="4">
        <v>61681</v>
      </c>
      <c r="E24" s="4">
        <v>43224</v>
      </c>
      <c r="F24" s="13">
        <v>56197</v>
      </c>
    </row>
    <row r="25" spans="1:6" x14ac:dyDescent="0.25">
      <c r="A25" s="11" t="s">
        <v>77</v>
      </c>
      <c r="B25" s="5">
        <v>41399</v>
      </c>
      <c r="C25" s="5">
        <v>45150</v>
      </c>
      <c r="D25" s="5">
        <v>36193</v>
      </c>
      <c r="E25" s="5">
        <v>53679</v>
      </c>
      <c r="F25" s="14">
        <v>53191</v>
      </c>
    </row>
    <row r="26" spans="1:6" x14ac:dyDescent="0.25">
      <c r="A26" s="12" t="s">
        <v>33</v>
      </c>
      <c r="B26" s="4">
        <v>45497</v>
      </c>
      <c r="C26" s="4">
        <v>38482</v>
      </c>
      <c r="D26" s="4">
        <v>32149</v>
      </c>
      <c r="E26" s="4">
        <v>39359</v>
      </c>
      <c r="F26" s="13">
        <v>39190</v>
      </c>
    </row>
    <row r="27" spans="1:6" x14ac:dyDescent="0.25">
      <c r="A27" s="11" t="s">
        <v>21</v>
      </c>
      <c r="B27" s="5">
        <v>6883</v>
      </c>
      <c r="C27" s="5">
        <v>8542</v>
      </c>
      <c r="D27" s="5">
        <v>8446</v>
      </c>
      <c r="E27" s="5">
        <v>6113</v>
      </c>
      <c r="F27" s="7">
        <v>37437</v>
      </c>
    </row>
    <row r="28" spans="1:6" x14ac:dyDescent="0.25">
      <c r="A28" s="12" t="s">
        <v>70</v>
      </c>
      <c r="B28" s="4">
        <v>6905</v>
      </c>
      <c r="C28" s="4">
        <v>9454</v>
      </c>
      <c r="D28" s="4">
        <v>5253</v>
      </c>
      <c r="E28" s="4">
        <v>4128</v>
      </c>
      <c r="F28" s="6">
        <v>32923</v>
      </c>
    </row>
    <row r="29" spans="1:6" x14ac:dyDescent="0.25">
      <c r="A29" s="11" t="s">
        <v>30</v>
      </c>
      <c r="B29" s="5">
        <v>25387</v>
      </c>
      <c r="C29" s="5">
        <v>23693</v>
      </c>
      <c r="D29" s="5">
        <v>19161</v>
      </c>
      <c r="E29" s="5">
        <v>22658</v>
      </c>
      <c r="F29" s="14">
        <v>29921</v>
      </c>
    </row>
    <row r="30" spans="1:6" x14ac:dyDescent="0.25">
      <c r="A30" s="12" t="s">
        <v>73</v>
      </c>
      <c r="B30" s="4">
        <v>15654</v>
      </c>
      <c r="C30" s="4">
        <v>29819</v>
      </c>
      <c r="D30" s="4">
        <v>21479</v>
      </c>
      <c r="E30" s="4">
        <v>19700</v>
      </c>
      <c r="F30" s="6">
        <v>27978</v>
      </c>
    </row>
    <row r="31" spans="1:6" x14ac:dyDescent="0.25">
      <c r="A31" s="11" t="s">
        <v>19</v>
      </c>
      <c r="B31" s="5">
        <v>24344</v>
      </c>
      <c r="C31" s="5">
        <v>24329</v>
      </c>
      <c r="D31" s="5">
        <v>17145</v>
      </c>
      <c r="E31" s="5">
        <v>26778</v>
      </c>
      <c r="F31" s="14">
        <v>26396</v>
      </c>
    </row>
    <row r="32" spans="1:6" x14ac:dyDescent="0.25">
      <c r="A32" s="12" t="s">
        <v>32</v>
      </c>
      <c r="B32" s="4">
        <v>22551</v>
      </c>
      <c r="C32" s="4">
        <v>21078</v>
      </c>
      <c r="D32" s="4">
        <v>14277</v>
      </c>
      <c r="E32" s="4">
        <v>21904</v>
      </c>
      <c r="F32" s="13">
        <v>24643</v>
      </c>
    </row>
    <row r="33" spans="1:6" x14ac:dyDescent="0.25">
      <c r="A33" s="11" t="s">
        <v>49</v>
      </c>
      <c r="B33" s="5">
        <v>18412</v>
      </c>
      <c r="C33" s="5">
        <v>15703</v>
      </c>
      <c r="D33" s="5">
        <v>12041</v>
      </c>
      <c r="E33" s="5">
        <v>21303</v>
      </c>
      <c r="F33" s="14">
        <v>18347</v>
      </c>
    </row>
    <row r="34" spans="1:6" x14ac:dyDescent="0.25">
      <c r="A34" s="12" t="s">
        <v>24</v>
      </c>
      <c r="B34" s="4">
        <v>16871</v>
      </c>
      <c r="C34" s="4">
        <v>15075</v>
      </c>
      <c r="D34" s="4">
        <v>10705</v>
      </c>
      <c r="E34" s="4">
        <v>16601</v>
      </c>
      <c r="F34" s="13">
        <v>16730</v>
      </c>
    </row>
    <row r="35" spans="1:6" x14ac:dyDescent="0.25">
      <c r="A35" s="11" t="s">
        <v>63</v>
      </c>
      <c r="B35" s="5">
        <v>8951</v>
      </c>
      <c r="C35" s="5">
        <v>8504</v>
      </c>
      <c r="D35" s="5">
        <v>6666</v>
      </c>
      <c r="E35" s="5">
        <v>7647</v>
      </c>
      <c r="F35" s="14">
        <v>15920</v>
      </c>
    </row>
    <row r="36" spans="1:6" x14ac:dyDescent="0.25">
      <c r="A36" s="12" t="s">
        <v>15</v>
      </c>
      <c r="B36" s="4">
        <v>18419</v>
      </c>
      <c r="C36" s="4">
        <v>15228</v>
      </c>
      <c r="D36" s="4">
        <v>21361</v>
      </c>
      <c r="E36" s="4">
        <v>33989</v>
      </c>
      <c r="F36" s="13">
        <v>14918</v>
      </c>
    </row>
    <row r="37" spans="1:6" x14ac:dyDescent="0.25">
      <c r="A37" s="11" t="s">
        <v>90</v>
      </c>
      <c r="B37" s="5">
        <v>37786</v>
      </c>
      <c r="C37" s="5">
        <v>28421</v>
      </c>
      <c r="D37" s="7">
        <v>12333</v>
      </c>
      <c r="E37" s="7">
        <v>14842</v>
      </c>
      <c r="F37" s="7">
        <v>11628</v>
      </c>
    </row>
    <row r="38" spans="1:6" x14ac:dyDescent="0.25">
      <c r="A38" s="12" t="s">
        <v>88</v>
      </c>
      <c r="B38" s="4">
        <v>10874</v>
      </c>
      <c r="C38" s="4">
        <v>9427</v>
      </c>
      <c r="D38" s="4">
        <v>7280</v>
      </c>
      <c r="E38" s="4">
        <v>10192</v>
      </c>
      <c r="F38" s="13">
        <v>10842</v>
      </c>
    </row>
    <row r="39" spans="1:6" x14ac:dyDescent="0.25">
      <c r="A39" s="11" t="s">
        <v>34</v>
      </c>
      <c r="B39" s="5">
        <v>7621</v>
      </c>
      <c r="C39" s="5">
        <v>8269</v>
      </c>
      <c r="D39" s="5">
        <v>5655</v>
      </c>
      <c r="E39" s="5">
        <v>9625</v>
      </c>
      <c r="F39" s="14">
        <v>9813</v>
      </c>
    </row>
    <row r="40" spans="1:6" x14ac:dyDescent="0.25">
      <c r="A40" s="12" t="s">
        <v>118</v>
      </c>
      <c r="B40" s="4">
        <v>10883</v>
      </c>
      <c r="C40" s="4">
        <v>9323</v>
      </c>
      <c r="D40" s="4">
        <v>6615</v>
      </c>
      <c r="E40" s="4">
        <v>8927</v>
      </c>
      <c r="F40" s="13">
        <v>9280</v>
      </c>
    </row>
    <row r="41" spans="1:6" x14ac:dyDescent="0.25">
      <c r="A41" s="11" t="s">
        <v>76</v>
      </c>
      <c r="B41" s="5">
        <v>9860</v>
      </c>
      <c r="C41" s="5">
        <v>9379</v>
      </c>
      <c r="D41" s="5">
        <v>7045</v>
      </c>
      <c r="E41" s="5">
        <v>8682</v>
      </c>
      <c r="F41" s="14">
        <v>8577</v>
      </c>
    </row>
    <row r="42" spans="1:6" x14ac:dyDescent="0.25">
      <c r="A42" s="12" t="s">
        <v>81</v>
      </c>
      <c r="B42" s="4">
        <v>9680</v>
      </c>
      <c r="C42" s="4">
        <v>7673</v>
      </c>
      <c r="D42" s="4">
        <v>6364</v>
      </c>
      <c r="E42" s="4">
        <v>5157</v>
      </c>
      <c r="F42" s="6">
        <v>8064</v>
      </c>
    </row>
    <row r="43" spans="1:6" x14ac:dyDescent="0.25">
      <c r="A43" s="11" t="s">
        <v>47</v>
      </c>
      <c r="B43" s="5">
        <v>6438</v>
      </c>
      <c r="C43" s="5">
        <v>6415</v>
      </c>
      <c r="D43" s="5">
        <v>5308</v>
      </c>
      <c r="E43" s="5">
        <v>8004</v>
      </c>
      <c r="F43" s="14">
        <v>7684</v>
      </c>
    </row>
    <row r="44" spans="1:6" x14ac:dyDescent="0.25">
      <c r="A44" s="12" t="s">
        <v>22</v>
      </c>
      <c r="B44" s="4">
        <v>16932</v>
      </c>
      <c r="C44" s="4">
        <v>8796</v>
      </c>
      <c r="D44" s="4">
        <v>941</v>
      </c>
      <c r="E44" s="4">
        <v>2173</v>
      </c>
      <c r="F44" s="13">
        <v>7653</v>
      </c>
    </row>
    <row r="45" spans="1:6" x14ac:dyDescent="0.25">
      <c r="A45" s="11" t="s">
        <v>42</v>
      </c>
      <c r="B45" s="5">
        <v>14536</v>
      </c>
      <c r="C45" s="5">
        <v>12564</v>
      </c>
      <c r="D45" s="5">
        <v>7218</v>
      </c>
      <c r="E45" s="5">
        <v>972</v>
      </c>
      <c r="F45" s="14">
        <v>7545</v>
      </c>
    </row>
    <row r="46" spans="1:6" x14ac:dyDescent="0.25">
      <c r="A46" s="12" t="s">
        <v>125</v>
      </c>
      <c r="B46" s="4">
        <v>6916</v>
      </c>
      <c r="C46" s="4">
        <v>4783</v>
      </c>
      <c r="D46" s="4">
        <v>5272</v>
      </c>
      <c r="E46" s="4">
        <v>8118</v>
      </c>
      <c r="F46" s="6">
        <v>7456</v>
      </c>
    </row>
    <row r="47" spans="1:6" x14ac:dyDescent="0.25">
      <c r="A47" s="11" t="s">
        <v>43</v>
      </c>
      <c r="B47" s="5">
        <v>5468</v>
      </c>
      <c r="C47" s="5">
        <v>5849</v>
      </c>
      <c r="D47" s="5">
        <v>5177</v>
      </c>
      <c r="E47" s="5">
        <v>7648</v>
      </c>
      <c r="F47" s="14">
        <v>7354</v>
      </c>
    </row>
    <row r="48" spans="1:6" x14ac:dyDescent="0.25">
      <c r="A48" s="12" t="s">
        <v>41</v>
      </c>
      <c r="B48" s="4">
        <v>8267</v>
      </c>
      <c r="C48" s="4">
        <v>7635</v>
      </c>
      <c r="D48" s="4">
        <v>3805</v>
      </c>
      <c r="E48" s="4">
        <v>3797</v>
      </c>
      <c r="F48" s="13">
        <v>6916</v>
      </c>
    </row>
    <row r="49" spans="1:6" x14ac:dyDescent="0.25">
      <c r="A49" s="11" t="s">
        <v>37</v>
      </c>
      <c r="B49" s="5">
        <v>6736</v>
      </c>
      <c r="C49" s="5">
        <v>5493</v>
      </c>
      <c r="D49" s="5">
        <v>4718</v>
      </c>
      <c r="E49" s="5">
        <v>3963</v>
      </c>
      <c r="F49" s="14">
        <v>6623</v>
      </c>
    </row>
    <row r="50" spans="1:6" x14ac:dyDescent="0.25">
      <c r="A50" s="12" t="s">
        <v>82</v>
      </c>
      <c r="B50" s="4">
        <v>4907</v>
      </c>
      <c r="C50" s="4">
        <v>5667</v>
      </c>
      <c r="D50" s="4">
        <v>4249</v>
      </c>
      <c r="E50" s="4">
        <v>5012</v>
      </c>
      <c r="F50" s="13">
        <v>5887</v>
      </c>
    </row>
    <row r="51" spans="1:6" x14ac:dyDescent="0.25">
      <c r="A51" s="11" t="s">
        <v>64</v>
      </c>
      <c r="B51" s="5">
        <v>5593</v>
      </c>
      <c r="C51" s="5">
        <v>6415</v>
      </c>
      <c r="D51" s="5">
        <v>4037</v>
      </c>
      <c r="E51" s="5">
        <v>5580</v>
      </c>
      <c r="F51" s="14">
        <v>5691</v>
      </c>
    </row>
    <row r="52" spans="1:6" x14ac:dyDescent="0.25">
      <c r="A52" s="12" t="s">
        <v>146</v>
      </c>
      <c r="B52" s="4">
        <v>8426</v>
      </c>
      <c r="C52" s="4">
        <v>7886</v>
      </c>
      <c r="D52" s="4">
        <v>7807</v>
      </c>
      <c r="E52" s="4">
        <v>9021</v>
      </c>
      <c r="F52" s="6">
        <v>5540</v>
      </c>
    </row>
    <row r="53" spans="1:6" x14ac:dyDescent="0.25">
      <c r="A53" s="11" t="s">
        <v>144</v>
      </c>
      <c r="B53" s="7">
        <v>3653</v>
      </c>
      <c r="C53" s="7">
        <v>6027</v>
      </c>
      <c r="D53" s="7">
        <v>10715</v>
      </c>
      <c r="E53" s="7">
        <v>7219</v>
      </c>
      <c r="F53" s="7">
        <v>5498</v>
      </c>
    </row>
    <row r="54" spans="1:6" x14ac:dyDescent="0.25">
      <c r="A54" s="12" t="s">
        <v>122</v>
      </c>
      <c r="B54" s="4">
        <v>5064</v>
      </c>
      <c r="C54" s="4">
        <v>4420</v>
      </c>
      <c r="D54" s="4">
        <v>3317</v>
      </c>
      <c r="E54" s="4">
        <v>5591</v>
      </c>
      <c r="F54" s="13">
        <v>4783</v>
      </c>
    </row>
    <row r="55" spans="1:6" x14ac:dyDescent="0.25">
      <c r="A55" s="11" t="s">
        <v>96</v>
      </c>
      <c r="B55" s="5">
        <v>2982</v>
      </c>
      <c r="C55" s="5">
        <v>2377</v>
      </c>
      <c r="D55" s="5">
        <v>1771</v>
      </c>
      <c r="E55" s="5">
        <v>3304</v>
      </c>
      <c r="F55" s="14">
        <v>4725</v>
      </c>
    </row>
    <row r="56" spans="1:6" x14ac:dyDescent="0.25">
      <c r="A56" s="12" t="s">
        <v>131</v>
      </c>
      <c r="B56" s="4">
        <v>49</v>
      </c>
      <c r="C56" s="4">
        <v>186</v>
      </c>
      <c r="D56" s="4">
        <v>412</v>
      </c>
      <c r="E56" s="4">
        <v>553</v>
      </c>
      <c r="F56" s="6">
        <v>4682</v>
      </c>
    </row>
    <row r="57" spans="1:6" x14ac:dyDescent="0.25">
      <c r="A57" s="11" t="s">
        <v>36</v>
      </c>
      <c r="B57" s="5">
        <v>3941</v>
      </c>
      <c r="C57" s="5">
        <v>3851</v>
      </c>
      <c r="D57" s="5">
        <v>2980</v>
      </c>
      <c r="E57" s="5">
        <v>4110</v>
      </c>
      <c r="F57" s="14">
        <v>4610</v>
      </c>
    </row>
    <row r="58" spans="1:6" x14ac:dyDescent="0.25">
      <c r="A58" s="12" t="s">
        <v>62</v>
      </c>
      <c r="B58" s="4">
        <v>4725</v>
      </c>
      <c r="C58" s="4">
        <v>4014</v>
      </c>
      <c r="D58" s="4">
        <v>3476</v>
      </c>
      <c r="E58" s="4">
        <v>5335</v>
      </c>
      <c r="F58" s="13">
        <v>4191</v>
      </c>
    </row>
    <row r="59" spans="1:6" x14ac:dyDescent="0.25">
      <c r="A59" s="11" t="s">
        <v>130</v>
      </c>
      <c r="B59" s="5">
        <v>11395</v>
      </c>
      <c r="C59" s="5">
        <v>6904</v>
      </c>
      <c r="D59" s="5">
        <v>8210</v>
      </c>
      <c r="E59" s="5">
        <v>7381</v>
      </c>
      <c r="F59" s="7">
        <v>3637</v>
      </c>
    </row>
    <row r="60" spans="1:6" x14ac:dyDescent="0.25">
      <c r="A60" s="12" t="s">
        <v>53</v>
      </c>
      <c r="B60" s="4">
        <v>3814</v>
      </c>
      <c r="C60" s="4">
        <v>6344</v>
      </c>
      <c r="D60" s="4">
        <v>5175</v>
      </c>
      <c r="E60" s="4">
        <v>2729</v>
      </c>
      <c r="F60" s="13">
        <v>3550</v>
      </c>
    </row>
    <row r="61" spans="1:6" x14ac:dyDescent="0.25">
      <c r="A61" s="11" t="s">
        <v>114</v>
      </c>
      <c r="B61" s="7">
        <v>3288</v>
      </c>
      <c r="C61" s="7">
        <v>3632</v>
      </c>
      <c r="D61" s="7">
        <v>2607</v>
      </c>
      <c r="E61" s="7">
        <v>3478</v>
      </c>
      <c r="F61" s="7">
        <v>3530</v>
      </c>
    </row>
    <row r="62" spans="1:6" x14ac:dyDescent="0.25">
      <c r="A62" s="12" t="s">
        <v>14</v>
      </c>
      <c r="B62" s="4">
        <v>8408</v>
      </c>
      <c r="C62" s="4">
        <v>9558</v>
      </c>
      <c r="D62" s="4">
        <v>17560</v>
      </c>
      <c r="E62" s="4">
        <v>10071</v>
      </c>
      <c r="F62" s="13">
        <v>3529</v>
      </c>
    </row>
    <row r="63" spans="1:6" x14ac:dyDescent="0.25">
      <c r="A63" s="11" t="s">
        <v>121</v>
      </c>
      <c r="B63" s="5">
        <v>5495</v>
      </c>
      <c r="C63" s="5">
        <v>4948</v>
      </c>
      <c r="D63" s="5">
        <v>2386</v>
      </c>
      <c r="E63" s="5">
        <v>3458</v>
      </c>
      <c r="F63" s="14">
        <v>3423</v>
      </c>
    </row>
    <row r="64" spans="1:6" x14ac:dyDescent="0.25">
      <c r="A64" s="12" t="s">
        <v>129</v>
      </c>
      <c r="B64" s="6">
        <v>4097</v>
      </c>
      <c r="C64" s="6">
        <v>3018</v>
      </c>
      <c r="D64" s="6">
        <v>2393</v>
      </c>
      <c r="E64" s="6">
        <v>4002</v>
      </c>
      <c r="F64" s="6">
        <v>3181</v>
      </c>
    </row>
    <row r="65" spans="1:6" x14ac:dyDescent="0.25">
      <c r="A65" s="11" t="s">
        <v>55</v>
      </c>
      <c r="B65" s="5">
        <v>2994</v>
      </c>
      <c r="C65" s="5">
        <v>2657</v>
      </c>
      <c r="D65" s="5">
        <v>2349</v>
      </c>
      <c r="E65" s="5">
        <v>3172</v>
      </c>
      <c r="F65" s="14">
        <v>3001</v>
      </c>
    </row>
    <row r="66" spans="1:6" x14ac:dyDescent="0.25">
      <c r="A66" s="12" t="s">
        <v>83</v>
      </c>
      <c r="B66" s="4">
        <v>2370</v>
      </c>
      <c r="C66" s="4">
        <v>3109</v>
      </c>
      <c r="D66" s="4">
        <v>2248</v>
      </c>
      <c r="E66" s="4">
        <v>3572</v>
      </c>
      <c r="F66" s="13">
        <v>2813</v>
      </c>
    </row>
    <row r="67" spans="1:6" x14ac:dyDescent="0.25">
      <c r="A67" s="11" t="s">
        <v>153</v>
      </c>
      <c r="B67" s="5">
        <v>2684</v>
      </c>
      <c r="C67" s="5">
        <v>3592</v>
      </c>
      <c r="D67" s="5">
        <v>2444</v>
      </c>
      <c r="E67" s="5">
        <v>2084</v>
      </c>
      <c r="F67" s="14">
        <v>2753</v>
      </c>
    </row>
    <row r="68" spans="1:6" x14ac:dyDescent="0.25">
      <c r="A68" s="12" t="s">
        <v>113</v>
      </c>
      <c r="B68" s="4">
        <v>2636</v>
      </c>
      <c r="C68" s="4">
        <v>2755</v>
      </c>
      <c r="D68" s="4">
        <v>1841</v>
      </c>
      <c r="E68" s="4">
        <v>2367</v>
      </c>
      <c r="F68" s="13">
        <v>2672</v>
      </c>
    </row>
    <row r="69" spans="1:6" x14ac:dyDescent="0.25">
      <c r="A69" s="11" t="s">
        <v>11</v>
      </c>
      <c r="B69" s="5">
        <v>3471</v>
      </c>
      <c r="C69" s="5">
        <v>12054</v>
      </c>
      <c r="D69" s="5">
        <v>1536</v>
      </c>
      <c r="E69" s="5">
        <v>10623</v>
      </c>
      <c r="F69" s="14">
        <v>2642</v>
      </c>
    </row>
    <row r="70" spans="1:6" x14ac:dyDescent="0.25">
      <c r="A70" s="12" t="s">
        <v>135</v>
      </c>
      <c r="B70" s="4">
        <v>4943</v>
      </c>
      <c r="C70" s="4">
        <v>2899</v>
      </c>
      <c r="D70" s="6">
        <v>1871</v>
      </c>
      <c r="E70" s="6">
        <v>3129</v>
      </c>
      <c r="F70" s="6">
        <v>2510</v>
      </c>
    </row>
    <row r="71" spans="1:6" x14ac:dyDescent="0.25">
      <c r="A71" s="11" t="s">
        <v>93</v>
      </c>
      <c r="B71" s="5">
        <v>1977</v>
      </c>
      <c r="C71" s="5">
        <v>1947</v>
      </c>
      <c r="D71" s="5">
        <v>1642</v>
      </c>
      <c r="E71" s="5">
        <v>2130</v>
      </c>
      <c r="F71" s="14">
        <v>2385</v>
      </c>
    </row>
    <row r="72" spans="1:6" x14ac:dyDescent="0.25">
      <c r="A72" s="12" t="s">
        <v>110</v>
      </c>
      <c r="B72" s="4">
        <v>2355</v>
      </c>
      <c r="C72" s="4">
        <v>2140</v>
      </c>
      <c r="D72" s="4">
        <v>1541</v>
      </c>
      <c r="E72" s="4">
        <v>2279</v>
      </c>
      <c r="F72" s="13">
        <v>2344</v>
      </c>
    </row>
    <row r="73" spans="1:6" x14ac:dyDescent="0.25">
      <c r="A73" s="11" t="s">
        <v>51</v>
      </c>
      <c r="B73" s="5">
        <v>1936</v>
      </c>
      <c r="C73" s="5">
        <v>1923</v>
      </c>
      <c r="D73" s="5">
        <v>1567</v>
      </c>
      <c r="E73" s="5">
        <v>2450</v>
      </c>
      <c r="F73" s="14">
        <v>2305</v>
      </c>
    </row>
    <row r="74" spans="1:6" x14ac:dyDescent="0.25">
      <c r="A74" s="12" t="s">
        <v>102</v>
      </c>
      <c r="B74" s="4">
        <v>4808</v>
      </c>
      <c r="C74" s="4">
        <v>1549</v>
      </c>
      <c r="D74" s="4">
        <v>1757</v>
      </c>
      <c r="E74" s="4">
        <v>1398</v>
      </c>
      <c r="F74" s="13">
        <v>2069</v>
      </c>
    </row>
    <row r="75" spans="1:6" x14ac:dyDescent="0.25">
      <c r="A75" s="11" t="s">
        <v>148</v>
      </c>
      <c r="B75" s="7">
        <v>1070</v>
      </c>
      <c r="C75" s="7">
        <v>801</v>
      </c>
      <c r="D75" s="7">
        <v>1116</v>
      </c>
      <c r="E75" s="7">
        <v>1519</v>
      </c>
      <c r="F75" s="7">
        <v>1931</v>
      </c>
    </row>
    <row r="76" spans="1:6" x14ac:dyDescent="0.25">
      <c r="A76" s="12" t="s">
        <v>109</v>
      </c>
      <c r="B76" s="6">
        <v>13464</v>
      </c>
      <c r="C76" s="6">
        <v>15080</v>
      </c>
      <c r="D76" s="6">
        <v>16984</v>
      </c>
      <c r="E76" s="6">
        <v>15424</v>
      </c>
      <c r="F76" s="6">
        <v>1779</v>
      </c>
    </row>
    <row r="77" spans="1:6" x14ac:dyDescent="0.25">
      <c r="A77" s="11" t="s">
        <v>27</v>
      </c>
      <c r="B77" s="5">
        <v>1082</v>
      </c>
      <c r="C77" s="5">
        <v>1479</v>
      </c>
      <c r="D77" s="5">
        <v>1444</v>
      </c>
      <c r="E77" s="5">
        <v>2504</v>
      </c>
      <c r="F77" s="14">
        <v>1758</v>
      </c>
    </row>
    <row r="78" spans="1:6" x14ac:dyDescent="0.25">
      <c r="A78" s="12" t="s">
        <v>16</v>
      </c>
      <c r="B78" s="4">
        <v>1664</v>
      </c>
      <c r="C78" s="4">
        <v>1042</v>
      </c>
      <c r="D78" s="4">
        <v>956</v>
      </c>
      <c r="E78" s="4">
        <v>824</v>
      </c>
      <c r="F78" s="13">
        <v>1709</v>
      </c>
    </row>
    <row r="79" spans="1:6" x14ac:dyDescent="0.25">
      <c r="A79" s="11" t="s">
        <v>26</v>
      </c>
      <c r="B79" s="5">
        <v>1380</v>
      </c>
      <c r="C79" s="5">
        <v>1471</v>
      </c>
      <c r="D79" s="5">
        <v>629</v>
      </c>
      <c r="E79" s="7">
        <v>884</v>
      </c>
      <c r="F79" s="7">
        <v>1612</v>
      </c>
    </row>
    <row r="80" spans="1:6" x14ac:dyDescent="0.25">
      <c r="A80" s="12" t="s">
        <v>137</v>
      </c>
      <c r="B80" s="4">
        <v>4296</v>
      </c>
      <c r="C80" s="4">
        <v>3392</v>
      </c>
      <c r="D80" s="4">
        <v>3111</v>
      </c>
      <c r="E80" s="4">
        <v>3919</v>
      </c>
      <c r="F80" s="6">
        <v>1607</v>
      </c>
    </row>
    <row r="81" spans="1:6" x14ac:dyDescent="0.25">
      <c r="A81" s="11" t="s">
        <v>45</v>
      </c>
      <c r="B81" s="5">
        <v>3416</v>
      </c>
      <c r="C81" s="5">
        <v>1724</v>
      </c>
      <c r="D81" s="5">
        <v>1200</v>
      </c>
      <c r="E81" s="5">
        <v>1594</v>
      </c>
      <c r="F81" s="14">
        <v>1562</v>
      </c>
    </row>
    <row r="82" spans="1:6" x14ac:dyDescent="0.25">
      <c r="A82" s="12" t="s">
        <v>92</v>
      </c>
      <c r="B82" s="4">
        <v>1481</v>
      </c>
      <c r="C82" s="4">
        <v>2197</v>
      </c>
      <c r="D82" s="4">
        <v>2735</v>
      </c>
      <c r="E82" s="4">
        <v>2249</v>
      </c>
      <c r="F82" s="13">
        <v>1477</v>
      </c>
    </row>
    <row r="83" spans="1:6" x14ac:dyDescent="0.25">
      <c r="A83" s="11" t="s">
        <v>108</v>
      </c>
      <c r="B83" s="5">
        <v>1576</v>
      </c>
      <c r="C83" s="5">
        <v>2597</v>
      </c>
      <c r="D83" s="5">
        <v>2254</v>
      </c>
      <c r="E83" s="5">
        <v>2352</v>
      </c>
      <c r="F83" s="7">
        <v>1388</v>
      </c>
    </row>
    <row r="84" spans="1:6" x14ac:dyDescent="0.25">
      <c r="A84" s="12" t="s">
        <v>111</v>
      </c>
      <c r="B84" s="4">
        <v>1609</v>
      </c>
      <c r="C84" s="4">
        <v>1211</v>
      </c>
      <c r="D84" s="4">
        <v>1353</v>
      </c>
      <c r="E84" s="4">
        <v>1091</v>
      </c>
      <c r="F84" s="6">
        <v>1315</v>
      </c>
    </row>
    <row r="85" spans="1:6" x14ac:dyDescent="0.25">
      <c r="A85" s="11" t="s">
        <v>159</v>
      </c>
      <c r="B85" s="5">
        <v>1626</v>
      </c>
      <c r="C85" s="5">
        <v>1932</v>
      </c>
      <c r="D85" s="5">
        <v>1865</v>
      </c>
      <c r="E85" s="5">
        <v>2379</v>
      </c>
      <c r="F85" s="14">
        <v>1315</v>
      </c>
    </row>
    <row r="86" spans="1:6" x14ac:dyDescent="0.25">
      <c r="A86" s="12" t="s">
        <v>74</v>
      </c>
      <c r="B86" s="4">
        <v>1542</v>
      </c>
      <c r="C86" s="4">
        <v>1230</v>
      </c>
      <c r="D86" s="4">
        <v>812</v>
      </c>
      <c r="E86" s="4">
        <v>1096</v>
      </c>
      <c r="F86" s="13">
        <v>1138</v>
      </c>
    </row>
    <row r="87" spans="1:6" x14ac:dyDescent="0.25">
      <c r="A87" s="11" t="s">
        <v>199</v>
      </c>
      <c r="B87" s="5">
        <v>1196</v>
      </c>
      <c r="C87" s="5">
        <v>1313</v>
      </c>
      <c r="D87" s="5">
        <v>990</v>
      </c>
      <c r="E87" s="5">
        <v>1291</v>
      </c>
      <c r="F87" s="7">
        <v>1129</v>
      </c>
    </row>
    <row r="88" spans="1:6" x14ac:dyDescent="0.25">
      <c r="A88" s="12" t="s">
        <v>85</v>
      </c>
      <c r="B88" s="4">
        <v>3108</v>
      </c>
      <c r="C88" s="4">
        <v>2040</v>
      </c>
      <c r="D88" s="4">
        <v>1641</v>
      </c>
      <c r="E88" s="4">
        <v>2193</v>
      </c>
      <c r="F88" s="13">
        <v>1087</v>
      </c>
    </row>
    <row r="89" spans="1:6" x14ac:dyDescent="0.25">
      <c r="A89" s="11" t="s">
        <v>84</v>
      </c>
      <c r="B89" s="7">
        <v>674</v>
      </c>
      <c r="C89" s="7">
        <v>1328</v>
      </c>
      <c r="D89" s="7">
        <v>698</v>
      </c>
      <c r="E89" s="7">
        <v>497</v>
      </c>
      <c r="F89" s="7">
        <v>1008</v>
      </c>
    </row>
    <row r="90" spans="1:6" x14ac:dyDescent="0.25">
      <c r="A90" s="12" t="s">
        <v>56</v>
      </c>
      <c r="B90" s="4">
        <v>879</v>
      </c>
      <c r="C90" s="4">
        <v>1399</v>
      </c>
      <c r="D90" s="4">
        <v>84</v>
      </c>
      <c r="E90" s="4">
        <v>228</v>
      </c>
      <c r="F90" s="13">
        <v>949</v>
      </c>
    </row>
    <row r="91" spans="1:6" x14ac:dyDescent="0.25">
      <c r="A91" s="11" t="s">
        <v>172</v>
      </c>
      <c r="B91" s="5">
        <v>462</v>
      </c>
      <c r="C91" s="5">
        <v>8</v>
      </c>
      <c r="D91" s="5">
        <v>3</v>
      </c>
      <c r="E91" s="5">
        <v>570</v>
      </c>
      <c r="F91" s="7">
        <v>872</v>
      </c>
    </row>
    <row r="92" spans="1:6" x14ac:dyDescent="0.25">
      <c r="A92" s="12" t="s">
        <v>28</v>
      </c>
      <c r="B92" s="4">
        <v>1002</v>
      </c>
      <c r="C92" s="4">
        <v>1128</v>
      </c>
      <c r="D92" s="4">
        <v>484</v>
      </c>
      <c r="E92" s="4">
        <v>180</v>
      </c>
      <c r="F92" s="6">
        <v>855</v>
      </c>
    </row>
    <row r="93" spans="1:6" x14ac:dyDescent="0.25">
      <c r="A93" s="11" t="s">
        <v>207</v>
      </c>
      <c r="B93" s="5">
        <v>426</v>
      </c>
      <c r="C93" s="5">
        <v>540</v>
      </c>
      <c r="D93" s="5">
        <v>955</v>
      </c>
      <c r="E93" s="5">
        <v>619</v>
      </c>
      <c r="F93" s="14">
        <v>823</v>
      </c>
    </row>
    <row r="94" spans="1:6" x14ac:dyDescent="0.25">
      <c r="A94" s="12" t="s">
        <v>66</v>
      </c>
      <c r="B94" s="4">
        <v>1056</v>
      </c>
      <c r="C94" s="4">
        <v>1143</v>
      </c>
      <c r="D94" s="4">
        <v>869</v>
      </c>
      <c r="E94" s="4">
        <v>637</v>
      </c>
      <c r="F94" s="13">
        <v>813</v>
      </c>
    </row>
    <row r="95" spans="1:6" x14ac:dyDescent="0.25">
      <c r="A95" s="11" t="s">
        <v>155</v>
      </c>
      <c r="B95" s="5">
        <v>853</v>
      </c>
      <c r="C95" s="5">
        <v>757</v>
      </c>
      <c r="D95" s="5">
        <v>821</v>
      </c>
      <c r="E95" s="5">
        <v>733</v>
      </c>
      <c r="F95" s="14">
        <v>783</v>
      </c>
    </row>
    <row r="96" spans="1:6" x14ac:dyDescent="0.25">
      <c r="A96" s="12" t="s">
        <v>68</v>
      </c>
      <c r="B96" s="4">
        <v>586</v>
      </c>
      <c r="C96" s="4">
        <v>671</v>
      </c>
      <c r="D96" s="4">
        <v>411</v>
      </c>
      <c r="E96" s="4">
        <v>505</v>
      </c>
      <c r="F96" s="13">
        <v>739</v>
      </c>
    </row>
    <row r="97" spans="1:6" x14ac:dyDescent="0.25">
      <c r="A97" s="11" t="s">
        <v>86</v>
      </c>
      <c r="B97" s="5"/>
      <c r="C97" s="5">
        <v>83</v>
      </c>
      <c r="D97" s="5">
        <v>267</v>
      </c>
      <c r="E97" s="5">
        <v>116</v>
      </c>
      <c r="F97" s="7">
        <v>702</v>
      </c>
    </row>
    <row r="98" spans="1:6" x14ac:dyDescent="0.25">
      <c r="A98" s="12" t="s">
        <v>94</v>
      </c>
      <c r="B98" s="4">
        <v>432</v>
      </c>
      <c r="C98" s="4">
        <v>392</v>
      </c>
      <c r="D98" s="4">
        <v>522</v>
      </c>
      <c r="E98" s="4">
        <v>396</v>
      </c>
      <c r="F98" s="13">
        <v>661</v>
      </c>
    </row>
    <row r="99" spans="1:6" x14ac:dyDescent="0.25">
      <c r="A99" s="11" t="s">
        <v>106</v>
      </c>
      <c r="B99" s="5">
        <v>716</v>
      </c>
      <c r="C99" s="5">
        <v>742</v>
      </c>
      <c r="D99" s="5">
        <v>490</v>
      </c>
      <c r="E99" s="5">
        <v>360</v>
      </c>
      <c r="F99" s="14">
        <v>642</v>
      </c>
    </row>
    <row r="100" spans="1:6" x14ac:dyDescent="0.25">
      <c r="A100" s="12" t="s">
        <v>168</v>
      </c>
      <c r="B100" s="4">
        <v>497</v>
      </c>
      <c r="C100" s="4">
        <v>514</v>
      </c>
      <c r="D100" s="4">
        <v>373</v>
      </c>
      <c r="E100" s="4">
        <v>686</v>
      </c>
      <c r="F100" s="13">
        <v>635</v>
      </c>
    </row>
    <row r="101" spans="1:6" x14ac:dyDescent="0.25">
      <c r="A101" s="11" t="s">
        <v>78</v>
      </c>
      <c r="B101" s="5">
        <v>563</v>
      </c>
      <c r="C101" s="5">
        <v>477</v>
      </c>
      <c r="D101" s="5">
        <v>357</v>
      </c>
      <c r="E101" s="5">
        <v>599</v>
      </c>
      <c r="F101" s="14">
        <v>605</v>
      </c>
    </row>
    <row r="102" spans="1:6" x14ac:dyDescent="0.25">
      <c r="A102" s="12" t="s">
        <v>79</v>
      </c>
      <c r="B102" s="4">
        <v>1541</v>
      </c>
      <c r="C102" s="4">
        <v>599</v>
      </c>
      <c r="D102" s="4">
        <v>559</v>
      </c>
      <c r="E102" s="4">
        <v>536</v>
      </c>
      <c r="F102" s="13">
        <v>592</v>
      </c>
    </row>
    <row r="103" spans="1:6" x14ac:dyDescent="0.25">
      <c r="A103" s="11" t="s">
        <v>104</v>
      </c>
      <c r="B103" s="5">
        <v>277</v>
      </c>
      <c r="C103" s="5">
        <v>364</v>
      </c>
      <c r="D103" s="5">
        <v>316</v>
      </c>
      <c r="E103" s="5">
        <v>476</v>
      </c>
      <c r="F103" s="14">
        <v>586</v>
      </c>
    </row>
    <row r="104" spans="1:6" x14ac:dyDescent="0.25">
      <c r="A104" s="12" t="s">
        <v>173</v>
      </c>
      <c r="B104" s="4">
        <v>797</v>
      </c>
      <c r="C104" s="4">
        <v>459</v>
      </c>
      <c r="D104" s="4">
        <v>367</v>
      </c>
      <c r="E104" s="4">
        <v>582</v>
      </c>
      <c r="F104" s="13">
        <v>581</v>
      </c>
    </row>
    <row r="105" spans="1:6" x14ac:dyDescent="0.25">
      <c r="A105" s="11" t="s">
        <v>97</v>
      </c>
      <c r="B105" s="5">
        <v>1380</v>
      </c>
      <c r="C105" s="5">
        <v>658</v>
      </c>
      <c r="D105" s="5">
        <v>495</v>
      </c>
      <c r="E105" s="5">
        <v>382</v>
      </c>
      <c r="F105" s="14">
        <v>570</v>
      </c>
    </row>
    <row r="106" spans="1:6" x14ac:dyDescent="0.25">
      <c r="A106" s="12" t="s">
        <v>143</v>
      </c>
      <c r="B106" s="4">
        <v>275</v>
      </c>
      <c r="C106" s="4">
        <v>509</v>
      </c>
      <c r="D106" s="4">
        <v>396</v>
      </c>
      <c r="E106" s="4">
        <v>308</v>
      </c>
      <c r="F106" s="6">
        <v>569</v>
      </c>
    </row>
    <row r="107" spans="1:6" x14ac:dyDescent="0.25">
      <c r="A107" s="11" t="s">
        <v>115</v>
      </c>
      <c r="B107" s="5">
        <v>904</v>
      </c>
      <c r="C107" s="5">
        <v>647</v>
      </c>
      <c r="D107" s="5">
        <v>451</v>
      </c>
      <c r="E107" s="5">
        <v>601</v>
      </c>
      <c r="F107" s="14">
        <v>567</v>
      </c>
    </row>
    <row r="108" spans="1:6" x14ac:dyDescent="0.25">
      <c r="A108" s="12" t="s">
        <v>127</v>
      </c>
      <c r="B108" s="4">
        <v>220</v>
      </c>
      <c r="C108" s="4">
        <v>188</v>
      </c>
      <c r="D108" s="4">
        <v>270</v>
      </c>
      <c r="E108" s="4">
        <v>377</v>
      </c>
      <c r="F108" s="13">
        <v>542</v>
      </c>
    </row>
    <row r="109" spans="1:6" x14ac:dyDescent="0.25">
      <c r="A109" s="11" t="s">
        <v>150</v>
      </c>
      <c r="B109" s="5">
        <v>146</v>
      </c>
      <c r="C109" s="5">
        <v>47</v>
      </c>
      <c r="D109" s="5">
        <v>138</v>
      </c>
      <c r="E109" s="5">
        <v>332</v>
      </c>
      <c r="F109" s="7">
        <v>524</v>
      </c>
    </row>
    <row r="110" spans="1:6" x14ac:dyDescent="0.25">
      <c r="A110" s="12" t="s">
        <v>145</v>
      </c>
      <c r="B110" s="4">
        <v>49</v>
      </c>
      <c r="C110" s="4">
        <v>6</v>
      </c>
      <c r="D110" s="4">
        <v>85</v>
      </c>
      <c r="E110" s="4">
        <v>53</v>
      </c>
      <c r="F110" s="6">
        <v>521</v>
      </c>
    </row>
    <row r="111" spans="1:6" x14ac:dyDescent="0.25">
      <c r="A111" s="11" t="s">
        <v>171</v>
      </c>
      <c r="B111" s="5">
        <v>400</v>
      </c>
      <c r="C111" s="5">
        <v>345</v>
      </c>
      <c r="D111" s="5">
        <v>250</v>
      </c>
      <c r="E111" s="5">
        <v>544</v>
      </c>
      <c r="F111" s="14">
        <v>518</v>
      </c>
    </row>
    <row r="112" spans="1:6" x14ac:dyDescent="0.25">
      <c r="A112" s="12" t="s">
        <v>117</v>
      </c>
      <c r="B112" s="4">
        <v>918</v>
      </c>
      <c r="C112" s="4">
        <v>1730</v>
      </c>
      <c r="D112" s="4">
        <v>147</v>
      </c>
      <c r="E112" s="4">
        <v>541</v>
      </c>
      <c r="F112" s="13">
        <v>503</v>
      </c>
    </row>
    <row r="113" spans="1:6" x14ac:dyDescent="0.25">
      <c r="A113" s="11" t="s">
        <v>100</v>
      </c>
      <c r="B113" s="5">
        <v>450</v>
      </c>
      <c r="C113" s="5">
        <v>252</v>
      </c>
      <c r="D113" s="5">
        <v>252</v>
      </c>
      <c r="E113" s="5">
        <v>510</v>
      </c>
      <c r="F113" s="14">
        <v>502</v>
      </c>
    </row>
    <row r="114" spans="1:6" x14ac:dyDescent="0.25">
      <c r="A114" s="12" t="s">
        <v>128</v>
      </c>
      <c r="B114" s="4">
        <v>344</v>
      </c>
      <c r="C114" s="4">
        <v>485</v>
      </c>
      <c r="D114" s="4">
        <v>393</v>
      </c>
      <c r="E114" s="4">
        <v>532</v>
      </c>
      <c r="F114" s="13">
        <v>479</v>
      </c>
    </row>
    <row r="115" spans="1:6" x14ac:dyDescent="0.25">
      <c r="A115" s="11" t="s">
        <v>165</v>
      </c>
      <c r="B115" s="5">
        <v>592</v>
      </c>
      <c r="C115" s="5">
        <v>591</v>
      </c>
      <c r="D115" s="5">
        <v>400</v>
      </c>
      <c r="E115" s="5">
        <v>380</v>
      </c>
      <c r="F115" s="14">
        <v>458</v>
      </c>
    </row>
    <row r="116" spans="1:6" x14ac:dyDescent="0.25">
      <c r="A116" s="12" t="s">
        <v>188</v>
      </c>
      <c r="B116" s="4">
        <v>510</v>
      </c>
      <c r="C116" s="4">
        <v>447</v>
      </c>
      <c r="D116" s="4">
        <v>390</v>
      </c>
      <c r="E116" s="4">
        <v>723</v>
      </c>
      <c r="F116" s="13">
        <v>411</v>
      </c>
    </row>
    <row r="117" spans="1:6" x14ac:dyDescent="0.25">
      <c r="A117" s="11" t="s">
        <v>176</v>
      </c>
      <c r="B117" s="5">
        <v>776</v>
      </c>
      <c r="C117" s="5">
        <v>808</v>
      </c>
      <c r="D117" s="5">
        <v>799</v>
      </c>
      <c r="E117" s="5">
        <v>796</v>
      </c>
      <c r="F117" s="7">
        <v>372</v>
      </c>
    </row>
    <row r="118" spans="1:6" x14ac:dyDescent="0.25">
      <c r="A118" s="12" t="s">
        <v>163</v>
      </c>
      <c r="B118" s="4">
        <v>454</v>
      </c>
      <c r="C118" s="4">
        <v>360</v>
      </c>
      <c r="D118" s="4">
        <v>275</v>
      </c>
      <c r="E118" s="4">
        <v>239</v>
      </c>
      <c r="F118" s="13">
        <v>276</v>
      </c>
    </row>
    <row r="119" spans="1:6" x14ac:dyDescent="0.25">
      <c r="A119" s="11" t="s">
        <v>87</v>
      </c>
      <c r="B119" s="5">
        <v>363</v>
      </c>
      <c r="C119" s="5">
        <v>210</v>
      </c>
      <c r="D119" s="5">
        <v>171</v>
      </c>
      <c r="E119" s="5">
        <v>282</v>
      </c>
      <c r="F119" s="14">
        <v>267</v>
      </c>
    </row>
    <row r="120" spans="1:6" x14ac:dyDescent="0.25">
      <c r="A120" s="12" t="s">
        <v>184</v>
      </c>
      <c r="B120" s="6">
        <v>80</v>
      </c>
      <c r="C120" s="6">
        <v>74</v>
      </c>
      <c r="D120" s="6">
        <v>38</v>
      </c>
      <c r="E120" s="6">
        <v>93</v>
      </c>
      <c r="F120" s="6">
        <v>262</v>
      </c>
    </row>
    <row r="121" spans="1:6" x14ac:dyDescent="0.25">
      <c r="A121" s="11" t="s">
        <v>187</v>
      </c>
      <c r="B121" s="5">
        <v>321</v>
      </c>
      <c r="C121" s="5">
        <v>243</v>
      </c>
      <c r="D121" s="5">
        <v>196</v>
      </c>
      <c r="E121" s="5">
        <v>305</v>
      </c>
      <c r="F121" s="14">
        <v>259</v>
      </c>
    </row>
    <row r="122" spans="1:6" x14ac:dyDescent="0.25">
      <c r="A122" s="12" t="s">
        <v>112</v>
      </c>
      <c r="B122" s="4">
        <v>332</v>
      </c>
      <c r="C122" s="4">
        <v>139</v>
      </c>
      <c r="D122" s="4">
        <v>210</v>
      </c>
      <c r="E122" s="4">
        <v>195</v>
      </c>
      <c r="F122" s="6">
        <v>254</v>
      </c>
    </row>
    <row r="123" spans="1:6" x14ac:dyDescent="0.25">
      <c r="A123" s="11" t="s">
        <v>80</v>
      </c>
      <c r="B123" s="5">
        <v>220</v>
      </c>
      <c r="C123" s="5">
        <v>426</v>
      </c>
      <c r="D123" s="5">
        <v>365</v>
      </c>
      <c r="E123" s="5">
        <v>239</v>
      </c>
      <c r="F123" s="14">
        <v>214</v>
      </c>
    </row>
    <row r="124" spans="1:6" x14ac:dyDescent="0.25">
      <c r="A124" s="12" t="s">
        <v>61</v>
      </c>
      <c r="B124" s="4">
        <v>60</v>
      </c>
      <c r="C124" s="4">
        <v>80</v>
      </c>
      <c r="D124" s="4">
        <v>75</v>
      </c>
      <c r="E124" s="4">
        <v>148</v>
      </c>
      <c r="F124" s="13">
        <v>210</v>
      </c>
    </row>
    <row r="125" spans="1:6" x14ac:dyDescent="0.25">
      <c r="A125" s="11" t="s">
        <v>99</v>
      </c>
      <c r="B125" s="5">
        <v>517</v>
      </c>
      <c r="C125" s="5">
        <v>892</v>
      </c>
      <c r="D125" s="5">
        <v>836</v>
      </c>
      <c r="E125" s="5">
        <v>828</v>
      </c>
      <c r="F125" s="7">
        <v>187</v>
      </c>
    </row>
    <row r="126" spans="1:6" x14ac:dyDescent="0.25">
      <c r="A126" s="12" t="s">
        <v>25</v>
      </c>
      <c r="B126" s="4">
        <v>176</v>
      </c>
      <c r="C126" s="4">
        <v>214</v>
      </c>
      <c r="D126" s="4">
        <v>92</v>
      </c>
      <c r="E126" s="4">
        <v>79</v>
      </c>
      <c r="F126" s="13">
        <v>168</v>
      </c>
    </row>
    <row r="127" spans="1:6" x14ac:dyDescent="0.25">
      <c r="A127" s="11" t="s">
        <v>39</v>
      </c>
      <c r="B127" s="5">
        <v>4</v>
      </c>
      <c r="C127" s="5">
        <v>25</v>
      </c>
      <c r="D127" s="5">
        <v>4</v>
      </c>
      <c r="E127" s="5">
        <v>9</v>
      </c>
      <c r="F127" s="7">
        <v>163</v>
      </c>
    </row>
    <row r="128" spans="1:6" x14ac:dyDescent="0.25">
      <c r="A128" s="12" t="s">
        <v>175</v>
      </c>
      <c r="B128" s="4">
        <v>38</v>
      </c>
      <c r="C128" s="4">
        <v>12</v>
      </c>
      <c r="D128" s="4">
        <v>9</v>
      </c>
      <c r="E128" s="4">
        <v>15</v>
      </c>
      <c r="F128" s="6">
        <v>158</v>
      </c>
    </row>
    <row r="129" spans="1:6" x14ac:dyDescent="0.25">
      <c r="A129" s="11" t="s">
        <v>120</v>
      </c>
      <c r="B129" s="5">
        <v>51</v>
      </c>
      <c r="C129" s="5">
        <v>92</v>
      </c>
      <c r="D129" s="5">
        <v>110</v>
      </c>
      <c r="E129" s="5">
        <v>66</v>
      </c>
      <c r="F129" s="14">
        <v>153</v>
      </c>
    </row>
    <row r="130" spans="1:6" x14ac:dyDescent="0.25">
      <c r="A130" s="12" t="s">
        <v>35</v>
      </c>
      <c r="B130" s="4">
        <v>26</v>
      </c>
      <c r="C130" s="4">
        <v>1578</v>
      </c>
      <c r="D130" s="6">
        <v>302</v>
      </c>
      <c r="E130" s="6">
        <v>3457</v>
      </c>
      <c r="F130" s="6">
        <v>151</v>
      </c>
    </row>
    <row r="131" spans="1:6" x14ac:dyDescent="0.25">
      <c r="A131" s="11" t="s">
        <v>54</v>
      </c>
      <c r="B131" s="5">
        <v>42</v>
      </c>
      <c r="C131" s="5">
        <v>75</v>
      </c>
      <c r="D131" s="5">
        <v>26</v>
      </c>
      <c r="E131" s="5">
        <v>52</v>
      </c>
      <c r="F131" s="14">
        <v>149</v>
      </c>
    </row>
    <row r="132" spans="1:6" x14ac:dyDescent="0.25">
      <c r="A132" s="12" t="s">
        <v>190</v>
      </c>
      <c r="B132" s="4">
        <v>146</v>
      </c>
      <c r="C132" s="4">
        <v>181</v>
      </c>
      <c r="D132" s="4">
        <v>185</v>
      </c>
      <c r="E132" s="4">
        <v>128</v>
      </c>
      <c r="F132" s="13">
        <v>134</v>
      </c>
    </row>
    <row r="133" spans="1:6" x14ac:dyDescent="0.25">
      <c r="A133" s="11" t="s">
        <v>166</v>
      </c>
      <c r="B133" s="5">
        <v>100</v>
      </c>
      <c r="C133" s="5">
        <v>97</v>
      </c>
      <c r="D133" s="5">
        <v>86</v>
      </c>
      <c r="E133" s="5">
        <v>100</v>
      </c>
      <c r="F133" s="14">
        <v>133</v>
      </c>
    </row>
    <row r="134" spans="1:6" x14ac:dyDescent="0.25">
      <c r="A134" s="12" t="s">
        <v>119</v>
      </c>
      <c r="B134" s="4">
        <v>44</v>
      </c>
      <c r="C134" s="4">
        <v>52</v>
      </c>
      <c r="D134" s="4">
        <v>17</v>
      </c>
      <c r="E134" s="4">
        <v>14</v>
      </c>
      <c r="F134" s="6">
        <v>133</v>
      </c>
    </row>
    <row r="135" spans="1:6" x14ac:dyDescent="0.25">
      <c r="A135" s="11" t="s">
        <v>177</v>
      </c>
      <c r="B135" s="5">
        <v>204</v>
      </c>
      <c r="C135" s="5">
        <v>201</v>
      </c>
      <c r="D135" s="5">
        <v>112</v>
      </c>
      <c r="E135" s="5">
        <v>119</v>
      </c>
      <c r="F135" s="7">
        <v>131</v>
      </c>
    </row>
    <row r="136" spans="1:6" x14ac:dyDescent="0.25">
      <c r="A136" s="12" t="s">
        <v>126</v>
      </c>
      <c r="B136" s="4">
        <v>324</v>
      </c>
      <c r="C136" s="4">
        <v>120</v>
      </c>
      <c r="D136" s="4">
        <v>144</v>
      </c>
      <c r="E136" s="4">
        <v>95</v>
      </c>
      <c r="F136" s="13">
        <v>126</v>
      </c>
    </row>
    <row r="137" spans="1:6" x14ac:dyDescent="0.25">
      <c r="A137" s="11" t="s">
        <v>192</v>
      </c>
      <c r="B137" s="7">
        <v>1918</v>
      </c>
      <c r="C137" s="7">
        <v>2041</v>
      </c>
      <c r="D137" s="7">
        <v>2239</v>
      </c>
      <c r="E137" s="7">
        <v>1714</v>
      </c>
      <c r="F137" s="7">
        <v>122</v>
      </c>
    </row>
    <row r="138" spans="1:6" x14ac:dyDescent="0.25">
      <c r="A138" s="12" t="s">
        <v>91</v>
      </c>
      <c r="B138" s="4">
        <v>199</v>
      </c>
      <c r="C138" s="4">
        <v>223</v>
      </c>
      <c r="D138" s="4">
        <v>96</v>
      </c>
      <c r="E138" s="4">
        <v>116</v>
      </c>
      <c r="F138" s="13">
        <v>118</v>
      </c>
    </row>
    <row r="139" spans="1:6" x14ac:dyDescent="0.25">
      <c r="A139" s="11" t="s">
        <v>13</v>
      </c>
      <c r="B139" s="5">
        <v>68</v>
      </c>
      <c r="C139" s="5">
        <v>94</v>
      </c>
      <c r="D139" s="5">
        <v>196</v>
      </c>
      <c r="E139" s="5">
        <v>122</v>
      </c>
      <c r="F139" s="14">
        <v>110</v>
      </c>
    </row>
    <row r="140" spans="1:6" x14ac:dyDescent="0.25">
      <c r="A140" s="12" t="s">
        <v>161</v>
      </c>
      <c r="B140" s="6">
        <v>65</v>
      </c>
      <c r="C140" s="6">
        <v>60</v>
      </c>
      <c r="D140" s="6">
        <v>53</v>
      </c>
      <c r="E140" s="6">
        <v>94</v>
      </c>
      <c r="F140" s="6">
        <v>109</v>
      </c>
    </row>
    <row r="141" spans="1:6" x14ac:dyDescent="0.25">
      <c r="A141" s="11" t="s">
        <v>116</v>
      </c>
      <c r="B141" s="5">
        <v>32</v>
      </c>
      <c r="C141" s="5">
        <v>3</v>
      </c>
      <c r="D141" s="5">
        <v>1</v>
      </c>
      <c r="E141" s="5">
        <v>48</v>
      </c>
      <c r="F141" s="14">
        <v>107</v>
      </c>
    </row>
    <row r="142" spans="1:6" x14ac:dyDescent="0.25">
      <c r="A142" s="12" t="s">
        <v>50</v>
      </c>
      <c r="B142" s="4">
        <v>152</v>
      </c>
      <c r="C142" s="4">
        <v>147</v>
      </c>
      <c r="D142" s="4">
        <v>176</v>
      </c>
      <c r="E142" s="4">
        <v>98</v>
      </c>
      <c r="F142" s="6">
        <v>96</v>
      </c>
    </row>
    <row r="143" spans="1:6" x14ac:dyDescent="0.25">
      <c r="A143" s="11" t="s">
        <v>44</v>
      </c>
      <c r="B143" s="5">
        <v>32</v>
      </c>
      <c r="C143" s="5">
        <v>29</v>
      </c>
      <c r="D143" s="5">
        <v>17</v>
      </c>
      <c r="E143" s="5">
        <v>16</v>
      </c>
      <c r="F143" s="7">
        <v>94</v>
      </c>
    </row>
    <row r="144" spans="1:6" x14ac:dyDescent="0.25">
      <c r="A144" s="12" t="s">
        <v>23</v>
      </c>
      <c r="B144" s="4">
        <v>346</v>
      </c>
      <c r="C144" s="4">
        <v>110</v>
      </c>
      <c r="D144" s="4">
        <v>491</v>
      </c>
      <c r="E144" s="4">
        <v>651</v>
      </c>
      <c r="F144" s="6">
        <v>89</v>
      </c>
    </row>
    <row r="145" spans="1:6" x14ac:dyDescent="0.25">
      <c r="A145" s="11" t="s">
        <v>182</v>
      </c>
      <c r="B145" s="7">
        <v>36</v>
      </c>
      <c r="C145" s="7">
        <v>38</v>
      </c>
      <c r="D145" s="7">
        <v>1</v>
      </c>
      <c r="E145" s="7">
        <v>3</v>
      </c>
      <c r="F145" s="7">
        <v>89</v>
      </c>
    </row>
    <row r="146" spans="1:6" x14ac:dyDescent="0.25">
      <c r="A146" s="12" t="s">
        <v>215</v>
      </c>
      <c r="B146" s="4">
        <v>78</v>
      </c>
      <c r="C146" s="4">
        <v>59</v>
      </c>
      <c r="D146" s="4">
        <v>49</v>
      </c>
      <c r="E146" s="4">
        <v>59</v>
      </c>
      <c r="F146" s="13">
        <v>82</v>
      </c>
    </row>
    <row r="147" spans="1:6" x14ac:dyDescent="0.25">
      <c r="A147" s="11" t="s">
        <v>136</v>
      </c>
      <c r="B147" s="5">
        <v>125</v>
      </c>
      <c r="C147" s="5">
        <v>94</v>
      </c>
      <c r="D147" s="5">
        <v>125</v>
      </c>
      <c r="E147" s="5">
        <v>113</v>
      </c>
      <c r="F147" s="7">
        <v>81</v>
      </c>
    </row>
    <row r="148" spans="1:6" x14ac:dyDescent="0.25">
      <c r="A148" s="12" t="s">
        <v>181</v>
      </c>
      <c r="B148" s="6">
        <v>49</v>
      </c>
      <c r="C148" s="6">
        <v>50</v>
      </c>
      <c r="D148" s="6">
        <v>39</v>
      </c>
      <c r="E148" s="6">
        <v>47</v>
      </c>
      <c r="F148" s="6">
        <v>74</v>
      </c>
    </row>
    <row r="149" spans="1:6" x14ac:dyDescent="0.25">
      <c r="A149" s="11" t="s">
        <v>98</v>
      </c>
      <c r="B149" s="5">
        <v>0</v>
      </c>
      <c r="C149" s="5">
        <v>0</v>
      </c>
      <c r="D149" s="5">
        <v>108</v>
      </c>
      <c r="E149" s="5">
        <v>111</v>
      </c>
      <c r="F149" s="7">
        <v>73</v>
      </c>
    </row>
    <row r="150" spans="1:6" x14ac:dyDescent="0.25">
      <c r="A150" s="12" t="s">
        <v>238</v>
      </c>
      <c r="B150" s="6">
        <v>3</v>
      </c>
      <c r="C150" s="4"/>
      <c r="D150" s="4"/>
      <c r="E150" s="6">
        <v>2</v>
      </c>
      <c r="F150" s="6">
        <v>68</v>
      </c>
    </row>
    <row r="151" spans="1:6" x14ac:dyDescent="0.25">
      <c r="A151" s="11" t="s">
        <v>156</v>
      </c>
      <c r="B151" s="5">
        <v>40</v>
      </c>
      <c r="C151" s="5">
        <v>80</v>
      </c>
      <c r="D151" s="5">
        <v>85</v>
      </c>
      <c r="E151" s="5">
        <v>63</v>
      </c>
      <c r="F151" s="14">
        <v>63</v>
      </c>
    </row>
    <row r="152" spans="1:6" x14ac:dyDescent="0.25">
      <c r="A152" s="12" t="s">
        <v>46</v>
      </c>
      <c r="B152" s="4">
        <v>70</v>
      </c>
      <c r="C152" s="4">
        <v>121</v>
      </c>
      <c r="D152" s="4">
        <v>71</v>
      </c>
      <c r="E152" s="4">
        <v>69</v>
      </c>
      <c r="F152" s="6">
        <v>63</v>
      </c>
    </row>
    <row r="153" spans="1:6" x14ac:dyDescent="0.25">
      <c r="A153" s="11" t="s">
        <v>72</v>
      </c>
      <c r="B153" s="5">
        <v>39</v>
      </c>
      <c r="C153" s="5">
        <v>45</v>
      </c>
      <c r="D153" s="5">
        <v>27</v>
      </c>
      <c r="E153" s="5">
        <v>32</v>
      </c>
      <c r="F153" s="14">
        <v>58</v>
      </c>
    </row>
    <row r="154" spans="1:6" x14ac:dyDescent="0.25">
      <c r="A154" s="12" t="s">
        <v>208</v>
      </c>
      <c r="B154" s="6">
        <v>31</v>
      </c>
      <c r="C154" s="6">
        <v>30</v>
      </c>
      <c r="D154" s="6">
        <v>16</v>
      </c>
      <c r="E154" s="6">
        <v>47</v>
      </c>
      <c r="F154" s="6">
        <v>49</v>
      </c>
    </row>
    <row r="155" spans="1:6" x14ac:dyDescent="0.25">
      <c r="A155" s="11" t="s">
        <v>65</v>
      </c>
      <c r="B155" s="5">
        <v>14</v>
      </c>
      <c r="C155" s="5">
        <v>25</v>
      </c>
      <c r="D155" s="5">
        <v>10</v>
      </c>
      <c r="E155" s="5">
        <v>14</v>
      </c>
      <c r="F155" s="14">
        <v>49</v>
      </c>
    </row>
    <row r="156" spans="1:6" x14ac:dyDescent="0.25">
      <c r="A156" s="12" t="s">
        <v>174</v>
      </c>
      <c r="B156" s="4">
        <v>370</v>
      </c>
      <c r="C156" s="4">
        <v>1004</v>
      </c>
      <c r="D156" s="4">
        <v>413</v>
      </c>
      <c r="E156" s="4">
        <v>385</v>
      </c>
      <c r="F156" s="6">
        <v>47</v>
      </c>
    </row>
    <row r="157" spans="1:6" x14ac:dyDescent="0.25">
      <c r="A157" s="11" t="s">
        <v>180</v>
      </c>
      <c r="B157" s="7">
        <v>46</v>
      </c>
      <c r="C157" s="7">
        <v>40</v>
      </c>
      <c r="D157" s="7">
        <v>40</v>
      </c>
      <c r="E157" s="7">
        <v>44</v>
      </c>
      <c r="F157" s="7">
        <v>46</v>
      </c>
    </row>
    <row r="158" spans="1:6" x14ac:dyDescent="0.25">
      <c r="A158" s="12" t="s">
        <v>142</v>
      </c>
      <c r="B158" s="6">
        <v>12</v>
      </c>
      <c r="C158" s="6">
        <v>20</v>
      </c>
      <c r="D158" s="6">
        <v>22</v>
      </c>
      <c r="E158" s="6">
        <v>20</v>
      </c>
      <c r="F158" s="6">
        <v>45</v>
      </c>
    </row>
    <row r="159" spans="1:6" x14ac:dyDescent="0.25">
      <c r="A159" s="11" t="s">
        <v>225</v>
      </c>
      <c r="B159" s="5">
        <v>32</v>
      </c>
      <c r="C159" s="5">
        <v>37</v>
      </c>
      <c r="D159" s="5">
        <v>35</v>
      </c>
      <c r="E159" s="5">
        <v>28</v>
      </c>
      <c r="F159" s="7">
        <v>45</v>
      </c>
    </row>
    <row r="160" spans="1:6" x14ac:dyDescent="0.25">
      <c r="A160" s="12" t="s">
        <v>202</v>
      </c>
      <c r="B160" s="4">
        <v>294</v>
      </c>
      <c r="C160" s="6">
        <v>29</v>
      </c>
      <c r="D160" s="6">
        <v>16</v>
      </c>
      <c r="E160" s="6">
        <v>35</v>
      </c>
      <c r="F160" s="6">
        <v>41</v>
      </c>
    </row>
    <row r="161" spans="1:6" x14ac:dyDescent="0.25">
      <c r="A161" s="11" t="s">
        <v>205</v>
      </c>
      <c r="B161" s="5">
        <v>25</v>
      </c>
      <c r="C161" s="5">
        <v>28</v>
      </c>
      <c r="D161" s="5">
        <v>25</v>
      </c>
      <c r="E161" s="5">
        <v>16</v>
      </c>
      <c r="F161" s="7">
        <v>40</v>
      </c>
    </row>
    <row r="162" spans="1:6" x14ac:dyDescent="0.25">
      <c r="A162" s="12" t="s">
        <v>147</v>
      </c>
      <c r="B162" s="4">
        <v>8</v>
      </c>
      <c r="C162" s="4">
        <v>8</v>
      </c>
      <c r="D162" s="4">
        <v>6</v>
      </c>
      <c r="E162" s="4">
        <v>6</v>
      </c>
      <c r="F162" s="6">
        <v>37</v>
      </c>
    </row>
    <row r="163" spans="1:6" x14ac:dyDescent="0.25">
      <c r="A163" s="11" t="s">
        <v>101</v>
      </c>
      <c r="B163" s="7">
        <v>940</v>
      </c>
      <c r="C163" s="7">
        <v>776</v>
      </c>
      <c r="D163" s="7">
        <v>470</v>
      </c>
      <c r="E163" s="7">
        <v>622</v>
      </c>
      <c r="F163" s="7">
        <v>35</v>
      </c>
    </row>
    <row r="164" spans="1:6" x14ac:dyDescent="0.25">
      <c r="A164" s="12" t="s">
        <v>221</v>
      </c>
      <c r="B164" s="6">
        <v>6</v>
      </c>
      <c r="C164" s="6">
        <v>8</v>
      </c>
      <c r="D164" s="6">
        <v>9</v>
      </c>
      <c r="E164" s="6">
        <v>13</v>
      </c>
      <c r="F164" s="6">
        <v>32</v>
      </c>
    </row>
    <row r="165" spans="1:6" x14ac:dyDescent="0.25">
      <c r="A165" s="11" t="s">
        <v>178</v>
      </c>
      <c r="B165" s="7">
        <v>13</v>
      </c>
      <c r="C165" s="7">
        <v>16</v>
      </c>
      <c r="D165" s="7">
        <v>20</v>
      </c>
      <c r="E165" s="7">
        <v>22</v>
      </c>
      <c r="F165" s="7">
        <v>28</v>
      </c>
    </row>
    <row r="166" spans="1:6" x14ac:dyDescent="0.25">
      <c r="A166" s="12" t="s">
        <v>218</v>
      </c>
      <c r="B166" s="6">
        <v>24</v>
      </c>
      <c r="C166" s="6">
        <v>33</v>
      </c>
      <c r="D166" s="6">
        <v>24</v>
      </c>
      <c r="E166" s="6">
        <v>67</v>
      </c>
      <c r="F166" s="6">
        <v>27</v>
      </c>
    </row>
    <row r="167" spans="1:6" x14ac:dyDescent="0.25">
      <c r="A167" s="11" t="s">
        <v>124</v>
      </c>
      <c r="B167" s="5">
        <v>190</v>
      </c>
      <c r="C167" s="7">
        <v>80</v>
      </c>
      <c r="D167" s="7">
        <v>108</v>
      </c>
      <c r="E167" s="7">
        <v>69</v>
      </c>
      <c r="F167" s="7">
        <v>23</v>
      </c>
    </row>
    <row r="168" spans="1:6" x14ac:dyDescent="0.25">
      <c r="A168" s="12" t="s">
        <v>210</v>
      </c>
      <c r="B168" s="4">
        <v>22</v>
      </c>
      <c r="C168" s="4">
        <v>130</v>
      </c>
      <c r="D168" s="6">
        <v>19</v>
      </c>
      <c r="E168" s="6">
        <v>15</v>
      </c>
      <c r="F168" s="6">
        <v>23</v>
      </c>
    </row>
    <row r="169" spans="1:6" x14ac:dyDescent="0.25">
      <c r="A169" s="11" t="s">
        <v>40</v>
      </c>
      <c r="B169" s="5">
        <v>24</v>
      </c>
      <c r="C169" s="5">
        <v>28</v>
      </c>
      <c r="D169" s="5">
        <v>14</v>
      </c>
      <c r="E169" s="5">
        <v>19</v>
      </c>
      <c r="F169" s="14">
        <v>22</v>
      </c>
    </row>
    <row r="170" spans="1:6" x14ac:dyDescent="0.25">
      <c r="A170" s="12" t="s">
        <v>157</v>
      </c>
      <c r="B170" s="4">
        <v>25</v>
      </c>
      <c r="C170" s="4">
        <v>16</v>
      </c>
      <c r="D170" s="4">
        <v>23</v>
      </c>
      <c r="E170" s="4">
        <v>62</v>
      </c>
      <c r="F170" s="6">
        <v>22</v>
      </c>
    </row>
    <row r="171" spans="1:6" x14ac:dyDescent="0.25">
      <c r="A171" s="11" t="s">
        <v>185</v>
      </c>
      <c r="B171" s="5">
        <v>21</v>
      </c>
      <c r="C171" s="5">
        <v>29</v>
      </c>
      <c r="D171" s="5">
        <v>35</v>
      </c>
      <c r="E171" s="5">
        <v>26</v>
      </c>
      <c r="F171" s="14">
        <v>20</v>
      </c>
    </row>
    <row r="172" spans="1:6" x14ac:dyDescent="0.25">
      <c r="A172" s="12" t="s">
        <v>154</v>
      </c>
      <c r="B172" s="4">
        <v>5</v>
      </c>
      <c r="C172" s="4">
        <v>8</v>
      </c>
      <c r="D172" s="4">
        <v>20</v>
      </c>
      <c r="E172" s="4">
        <v>2</v>
      </c>
      <c r="F172" s="6">
        <v>20</v>
      </c>
    </row>
    <row r="173" spans="1:6" x14ac:dyDescent="0.25">
      <c r="A173" s="11" t="s">
        <v>67</v>
      </c>
      <c r="B173" s="5">
        <v>5</v>
      </c>
      <c r="C173" s="5">
        <v>4</v>
      </c>
      <c r="D173" s="5">
        <v>5</v>
      </c>
      <c r="E173" s="5">
        <v>11</v>
      </c>
      <c r="F173" s="7">
        <v>20</v>
      </c>
    </row>
    <row r="174" spans="1:6" x14ac:dyDescent="0.25">
      <c r="A174" s="12" t="s">
        <v>236</v>
      </c>
      <c r="B174" s="4"/>
      <c r="C174" s="4"/>
      <c r="D174" s="4"/>
      <c r="E174" s="6">
        <v>5</v>
      </c>
      <c r="F174" s="6">
        <v>19</v>
      </c>
    </row>
    <row r="175" spans="1:6" x14ac:dyDescent="0.25">
      <c r="A175" s="11" t="s">
        <v>212</v>
      </c>
      <c r="B175" s="5">
        <v>8</v>
      </c>
      <c r="C175" s="5">
        <v>17</v>
      </c>
      <c r="D175" s="5">
        <v>9</v>
      </c>
      <c r="E175" s="5">
        <v>18</v>
      </c>
      <c r="F175" s="7">
        <v>18</v>
      </c>
    </row>
    <row r="176" spans="1:6" x14ac:dyDescent="0.25">
      <c r="A176" s="12" t="s">
        <v>162</v>
      </c>
      <c r="B176" s="4">
        <v>16</v>
      </c>
      <c r="C176" s="4">
        <v>18</v>
      </c>
      <c r="D176" s="4">
        <v>14</v>
      </c>
      <c r="E176" s="4">
        <v>11</v>
      </c>
      <c r="F176" s="13">
        <v>16</v>
      </c>
    </row>
    <row r="177" spans="1:6" x14ac:dyDescent="0.25">
      <c r="A177" s="11" t="s">
        <v>138</v>
      </c>
      <c r="B177" s="5">
        <v>5</v>
      </c>
      <c r="C177" s="5">
        <v>3</v>
      </c>
      <c r="D177" s="5">
        <v>19</v>
      </c>
      <c r="E177" s="7">
        <v>29</v>
      </c>
      <c r="F177" s="7">
        <v>16</v>
      </c>
    </row>
    <row r="178" spans="1:6" x14ac:dyDescent="0.25">
      <c r="A178" s="12" t="s">
        <v>211</v>
      </c>
      <c r="B178" s="6">
        <v>1</v>
      </c>
      <c r="C178" s="4"/>
      <c r="D178" s="4"/>
      <c r="E178" s="6">
        <v>7</v>
      </c>
      <c r="F178" s="6">
        <v>14</v>
      </c>
    </row>
    <row r="179" spans="1:6" x14ac:dyDescent="0.25">
      <c r="A179" s="11" t="s">
        <v>152</v>
      </c>
      <c r="B179" s="5">
        <v>2247</v>
      </c>
      <c r="C179" s="5">
        <v>3860</v>
      </c>
      <c r="D179" s="5">
        <v>3447</v>
      </c>
      <c r="E179" s="7">
        <v>3312</v>
      </c>
      <c r="F179" s="7">
        <v>12</v>
      </c>
    </row>
    <row r="180" spans="1:6" x14ac:dyDescent="0.25">
      <c r="A180" s="12" t="s">
        <v>209</v>
      </c>
      <c r="B180" s="4">
        <v>147</v>
      </c>
      <c r="C180" s="4">
        <v>106</v>
      </c>
      <c r="D180" s="4">
        <v>115</v>
      </c>
      <c r="E180" s="4">
        <v>134</v>
      </c>
      <c r="F180" s="6">
        <v>12</v>
      </c>
    </row>
    <row r="181" spans="1:6" x14ac:dyDescent="0.25">
      <c r="A181" s="11" t="s">
        <v>179</v>
      </c>
      <c r="B181" s="5">
        <v>61</v>
      </c>
      <c r="C181" s="5">
        <v>35</v>
      </c>
      <c r="D181" s="5">
        <v>7</v>
      </c>
      <c r="E181" s="5">
        <v>14</v>
      </c>
      <c r="F181" s="7">
        <v>11</v>
      </c>
    </row>
    <row r="182" spans="1:6" x14ac:dyDescent="0.25">
      <c r="A182" s="12" t="s">
        <v>38</v>
      </c>
      <c r="B182" s="4">
        <v>49</v>
      </c>
      <c r="C182" s="4">
        <v>11</v>
      </c>
      <c r="D182" s="4">
        <v>12</v>
      </c>
      <c r="E182" s="4">
        <v>14</v>
      </c>
      <c r="F182" s="13">
        <v>10</v>
      </c>
    </row>
    <row r="183" spans="1:6" x14ac:dyDescent="0.25">
      <c r="A183" s="11" t="s">
        <v>206</v>
      </c>
      <c r="B183" s="7">
        <v>15</v>
      </c>
      <c r="C183" s="7">
        <v>11</v>
      </c>
      <c r="D183" s="7">
        <v>4</v>
      </c>
      <c r="E183" s="7">
        <v>3</v>
      </c>
      <c r="F183" s="7">
        <v>8</v>
      </c>
    </row>
    <row r="184" spans="1:6" x14ac:dyDescent="0.25">
      <c r="A184" s="12" t="s">
        <v>200</v>
      </c>
      <c r="B184" s="6">
        <v>18</v>
      </c>
      <c r="C184" s="6">
        <v>22</v>
      </c>
      <c r="D184" s="6">
        <v>14</v>
      </c>
      <c r="E184" s="6">
        <v>24</v>
      </c>
      <c r="F184" s="6">
        <v>8</v>
      </c>
    </row>
    <row r="185" spans="1:6" x14ac:dyDescent="0.25">
      <c r="A185" s="11" t="s">
        <v>220</v>
      </c>
      <c r="B185" s="5">
        <v>5</v>
      </c>
      <c r="C185" s="5">
        <v>0</v>
      </c>
      <c r="D185" s="5">
        <v>0</v>
      </c>
      <c r="E185" s="5">
        <v>1</v>
      </c>
      <c r="F185" s="7">
        <v>8</v>
      </c>
    </row>
    <row r="186" spans="1:6" x14ac:dyDescent="0.25">
      <c r="A186" s="12" t="s">
        <v>191</v>
      </c>
      <c r="B186" s="6">
        <v>556</v>
      </c>
      <c r="C186" s="6">
        <v>1946</v>
      </c>
      <c r="D186" s="6">
        <v>1562</v>
      </c>
      <c r="E186" s="6">
        <v>1186</v>
      </c>
      <c r="F186" s="6">
        <v>8</v>
      </c>
    </row>
    <row r="187" spans="1:6" x14ac:dyDescent="0.25">
      <c r="A187" s="11" t="s">
        <v>140</v>
      </c>
      <c r="B187" s="5">
        <v>0</v>
      </c>
      <c r="C187" s="5">
        <v>5</v>
      </c>
      <c r="D187" s="5">
        <v>5</v>
      </c>
      <c r="E187" s="5">
        <v>11</v>
      </c>
      <c r="F187" s="7">
        <v>5</v>
      </c>
    </row>
    <row r="188" spans="1:6" x14ac:dyDescent="0.25">
      <c r="A188" s="12" t="s">
        <v>52</v>
      </c>
      <c r="B188" s="4">
        <v>0</v>
      </c>
      <c r="C188" s="4">
        <v>7</v>
      </c>
      <c r="D188" s="4">
        <v>3</v>
      </c>
      <c r="E188" s="4">
        <v>4</v>
      </c>
      <c r="F188" s="13">
        <v>5</v>
      </c>
    </row>
    <row r="189" spans="1:6" x14ac:dyDescent="0.25">
      <c r="A189" s="11" t="s">
        <v>133</v>
      </c>
      <c r="B189" s="5">
        <v>43</v>
      </c>
      <c r="C189" s="5">
        <v>28</v>
      </c>
      <c r="D189" s="5">
        <v>31</v>
      </c>
      <c r="E189" s="5">
        <v>28</v>
      </c>
      <c r="F189" s="7">
        <v>5</v>
      </c>
    </row>
    <row r="190" spans="1:6" x14ac:dyDescent="0.25">
      <c r="A190" s="12" t="s">
        <v>189</v>
      </c>
      <c r="B190" s="6">
        <v>5</v>
      </c>
      <c r="C190" s="6">
        <v>29</v>
      </c>
      <c r="D190" s="6">
        <v>6</v>
      </c>
      <c r="E190" s="6">
        <v>11</v>
      </c>
      <c r="F190" s="6">
        <v>4</v>
      </c>
    </row>
    <row r="191" spans="1:6" x14ac:dyDescent="0.25">
      <c r="A191" s="11" t="s">
        <v>169</v>
      </c>
      <c r="B191" s="7">
        <v>13</v>
      </c>
      <c r="C191" s="7">
        <v>4</v>
      </c>
      <c r="D191" s="7">
        <v>6</v>
      </c>
      <c r="E191" s="7">
        <v>6</v>
      </c>
      <c r="F191" s="7">
        <v>4</v>
      </c>
    </row>
    <row r="192" spans="1:6" x14ac:dyDescent="0.25">
      <c r="A192" s="12" t="s">
        <v>197</v>
      </c>
      <c r="B192" s="4">
        <v>0</v>
      </c>
      <c r="C192" s="4">
        <v>0</v>
      </c>
      <c r="D192" s="4">
        <v>0</v>
      </c>
      <c r="E192" s="4">
        <v>0</v>
      </c>
      <c r="F192" s="6">
        <v>4</v>
      </c>
    </row>
    <row r="193" spans="1:6" x14ac:dyDescent="0.25">
      <c r="A193" s="11" t="s">
        <v>223</v>
      </c>
      <c r="B193" s="7">
        <v>3</v>
      </c>
      <c r="C193" s="7">
        <v>3</v>
      </c>
      <c r="D193" s="7">
        <v>3</v>
      </c>
      <c r="E193" s="7">
        <v>2</v>
      </c>
      <c r="F193" s="7">
        <v>4</v>
      </c>
    </row>
    <row r="194" spans="1:6" x14ac:dyDescent="0.25">
      <c r="A194" s="12" t="s">
        <v>123</v>
      </c>
      <c r="B194" s="4"/>
      <c r="C194" s="4"/>
      <c r="D194" s="4"/>
      <c r="E194" s="6">
        <v>10</v>
      </c>
      <c r="F194" s="6">
        <v>3</v>
      </c>
    </row>
    <row r="195" spans="1:6" x14ac:dyDescent="0.25">
      <c r="A195" s="11" t="s">
        <v>224</v>
      </c>
      <c r="B195" s="7">
        <v>28</v>
      </c>
      <c r="C195" s="7">
        <v>2</v>
      </c>
      <c r="D195" s="7">
        <v>5</v>
      </c>
      <c r="E195" s="7">
        <v>1</v>
      </c>
      <c r="F195" s="7">
        <v>3</v>
      </c>
    </row>
    <row r="196" spans="1:6" x14ac:dyDescent="0.25">
      <c r="A196" s="12" t="s">
        <v>149</v>
      </c>
      <c r="B196" s="4">
        <v>25</v>
      </c>
      <c r="C196" s="4">
        <v>24</v>
      </c>
      <c r="D196" s="4">
        <v>39</v>
      </c>
      <c r="E196" s="4">
        <v>70</v>
      </c>
      <c r="F196" s="6">
        <v>3</v>
      </c>
    </row>
    <row r="197" spans="1:6" x14ac:dyDescent="0.25">
      <c r="A197" s="11" t="s">
        <v>95</v>
      </c>
      <c r="B197" s="7">
        <v>18</v>
      </c>
      <c r="C197" s="7">
        <v>15</v>
      </c>
      <c r="D197" s="7">
        <v>24</v>
      </c>
      <c r="E197" s="7">
        <v>5</v>
      </c>
      <c r="F197" s="7">
        <v>2</v>
      </c>
    </row>
    <row r="198" spans="1:6" x14ac:dyDescent="0.25">
      <c r="A198" s="12" t="s">
        <v>198</v>
      </c>
      <c r="B198" s="4">
        <v>4</v>
      </c>
      <c r="C198" s="4">
        <v>2</v>
      </c>
      <c r="D198" s="4">
        <v>1</v>
      </c>
      <c r="E198" s="4">
        <v>5</v>
      </c>
      <c r="F198" s="13">
        <v>2</v>
      </c>
    </row>
    <row r="199" spans="1:6" x14ac:dyDescent="0.25">
      <c r="A199" s="11" t="s">
        <v>204</v>
      </c>
      <c r="B199" s="5"/>
      <c r="C199" s="5">
        <v>0</v>
      </c>
      <c r="D199" s="5">
        <v>0</v>
      </c>
      <c r="E199" s="5">
        <v>0</v>
      </c>
      <c r="F199" s="7">
        <v>2</v>
      </c>
    </row>
    <row r="200" spans="1:6" x14ac:dyDescent="0.25">
      <c r="A200" s="12" t="s">
        <v>164</v>
      </c>
      <c r="B200" s="4">
        <v>12</v>
      </c>
      <c r="C200" s="4">
        <v>8</v>
      </c>
      <c r="D200" s="4">
        <v>37</v>
      </c>
      <c r="E200" s="4">
        <v>21</v>
      </c>
      <c r="F200" s="6">
        <v>2</v>
      </c>
    </row>
    <row r="201" spans="1:6" x14ac:dyDescent="0.25">
      <c r="A201" s="11" t="s">
        <v>216</v>
      </c>
      <c r="B201" s="5">
        <v>0</v>
      </c>
      <c r="C201" s="5">
        <v>0</v>
      </c>
      <c r="D201" s="5">
        <v>2</v>
      </c>
      <c r="E201" s="5">
        <v>0</v>
      </c>
      <c r="F201" s="14">
        <v>2</v>
      </c>
    </row>
    <row r="202" spans="1:6" x14ac:dyDescent="0.25">
      <c r="A202" s="12" t="s">
        <v>103</v>
      </c>
      <c r="B202" s="4">
        <v>0</v>
      </c>
      <c r="C202" s="4">
        <v>7</v>
      </c>
      <c r="D202" s="4">
        <v>5</v>
      </c>
      <c r="E202" s="4">
        <v>2</v>
      </c>
      <c r="F202" s="13">
        <v>2</v>
      </c>
    </row>
    <row r="203" spans="1:6" x14ac:dyDescent="0.25">
      <c r="A203" s="11" t="s">
        <v>160</v>
      </c>
      <c r="B203" s="5">
        <v>11</v>
      </c>
      <c r="C203" s="5">
        <v>31</v>
      </c>
      <c r="D203" s="5">
        <v>5</v>
      </c>
      <c r="E203" s="5">
        <v>6</v>
      </c>
      <c r="F203" s="14">
        <v>2</v>
      </c>
    </row>
    <row r="204" spans="1:6" x14ac:dyDescent="0.25">
      <c r="A204" s="12" t="s">
        <v>232</v>
      </c>
      <c r="B204" s="6">
        <v>1</v>
      </c>
      <c r="C204" s="6">
        <v>2</v>
      </c>
      <c r="D204" s="6">
        <v>1</v>
      </c>
      <c r="E204" s="6">
        <v>1</v>
      </c>
      <c r="F204" s="6">
        <v>2</v>
      </c>
    </row>
    <row r="205" spans="1:6" x14ac:dyDescent="0.25">
      <c r="A205" s="11" t="s">
        <v>203</v>
      </c>
      <c r="B205" s="5"/>
      <c r="C205" s="7">
        <v>1</v>
      </c>
      <c r="D205" s="7">
        <v>1</v>
      </c>
      <c r="E205" s="7">
        <v>1</v>
      </c>
      <c r="F205" s="7">
        <v>1</v>
      </c>
    </row>
    <row r="206" spans="1:6" x14ac:dyDescent="0.25">
      <c r="A206" s="12" t="s">
        <v>230</v>
      </c>
      <c r="B206" s="4"/>
      <c r="C206" s="6">
        <v>1</v>
      </c>
      <c r="D206" s="6">
        <v>1</v>
      </c>
      <c r="E206" s="6">
        <v>2</v>
      </c>
      <c r="F206" s="6">
        <v>1</v>
      </c>
    </row>
    <row r="207" spans="1:6" x14ac:dyDescent="0.25">
      <c r="A207" s="11" t="s">
        <v>69</v>
      </c>
      <c r="B207" s="5">
        <v>0</v>
      </c>
      <c r="C207" s="5">
        <v>0</v>
      </c>
      <c r="D207" s="5">
        <v>0</v>
      </c>
      <c r="E207" s="5">
        <v>55</v>
      </c>
      <c r="F207" s="7">
        <v>1</v>
      </c>
    </row>
    <row r="208" spans="1:6" x14ac:dyDescent="0.25">
      <c r="A208" s="12" t="s">
        <v>239</v>
      </c>
      <c r="B208" s="4"/>
      <c r="C208" s="6">
        <v>8</v>
      </c>
      <c r="D208" s="6">
        <v>3</v>
      </c>
      <c r="E208" s="6">
        <v>1</v>
      </c>
      <c r="F208" s="6">
        <v>1</v>
      </c>
    </row>
    <row r="209" spans="1:6" x14ac:dyDescent="0.25">
      <c r="A209" s="11" t="s">
        <v>139</v>
      </c>
      <c r="B209" s="7">
        <v>5</v>
      </c>
      <c r="C209" s="5"/>
      <c r="D209" s="5"/>
      <c r="E209" s="5"/>
      <c r="F209" s="7">
        <v>1</v>
      </c>
    </row>
    <row r="210" spans="1:6" x14ac:dyDescent="0.25">
      <c r="A210" s="12" t="s">
        <v>107</v>
      </c>
      <c r="B210" s="4">
        <v>1</v>
      </c>
      <c r="C210" s="4">
        <v>2</v>
      </c>
      <c r="D210" s="4">
        <v>2</v>
      </c>
      <c r="E210" s="4">
        <v>9</v>
      </c>
      <c r="F210" s="6">
        <v>1</v>
      </c>
    </row>
    <row r="211" spans="1:6" x14ac:dyDescent="0.25">
      <c r="A211" s="11" t="s">
        <v>233</v>
      </c>
      <c r="B211" s="7">
        <v>16</v>
      </c>
      <c r="C211" s="7">
        <v>9</v>
      </c>
      <c r="D211" s="7">
        <v>4</v>
      </c>
      <c r="E211" s="7">
        <v>8</v>
      </c>
      <c r="F211" s="7">
        <v>1</v>
      </c>
    </row>
    <row r="212" spans="1:6" x14ac:dyDescent="0.25">
      <c r="A212" s="12" t="s">
        <v>71</v>
      </c>
      <c r="B212" s="4">
        <v>16</v>
      </c>
      <c r="C212" s="4">
        <v>39</v>
      </c>
      <c r="D212" s="4">
        <v>40</v>
      </c>
      <c r="E212" s="4">
        <v>28</v>
      </c>
      <c r="F212" s="6">
        <v>1</v>
      </c>
    </row>
    <row r="213" spans="1:6" x14ac:dyDescent="0.25">
      <c r="A213" s="11" t="s">
        <v>170</v>
      </c>
      <c r="B213" s="5">
        <v>0</v>
      </c>
      <c r="C213" s="5">
        <v>0</v>
      </c>
      <c r="D213" s="5">
        <v>4</v>
      </c>
      <c r="E213" s="5">
        <v>24</v>
      </c>
      <c r="F213" s="14">
        <v>0</v>
      </c>
    </row>
    <row r="214" spans="1:6" x14ac:dyDescent="0.25">
      <c r="A214" s="12" t="s">
        <v>57</v>
      </c>
      <c r="B214" s="4">
        <v>676</v>
      </c>
      <c r="C214" s="4">
        <v>2</v>
      </c>
      <c r="D214" s="4">
        <v>2</v>
      </c>
      <c r="E214" s="4">
        <v>3</v>
      </c>
      <c r="F214" s="13">
        <v>0</v>
      </c>
    </row>
    <row r="215" spans="1:6" x14ac:dyDescent="0.25">
      <c r="A215" s="11" t="s">
        <v>17</v>
      </c>
      <c r="B215" s="5">
        <v>0</v>
      </c>
      <c r="C215" s="5">
        <v>0</v>
      </c>
      <c r="D215" s="5">
        <v>883</v>
      </c>
      <c r="E215" s="5">
        <v>644</v>
      </c>
      <c r="F215" s="14">
        <v>0</v>
      </c>
    </row>
    <row r="216" spans="1:6" x14ac:dyDescent="0.25">
      <c r="A216" s="12" t="s">
        <v>59</v>
      </c>
      <c r="B216" s="4">
        <v>4</v>
      </c>
      <c r="C216" s="4">
        <v>7</v>
      </c>
      <c r="D216" s="4"/>
      <c r="E216" s="6">
        <v>3</v>
      </c>
      <c r="F216" s="13"/>
    </row>
    <row r="217" spans="1:6" x14ac:dyDescent="0.25">
      <c r="A217" s="11" t="s">
        <v>186</v>
      </c>
      <c r="B217" s="5"/>
      <c r="C217" s="5"/>
      <c r="D217" s="7">
        <v>3</v>
      </c>
      <c r="E217" s="5"/>
      <c r="F217" s="14"/>
    </row>
    <row r="218" spans="1:6" x14ac:dyDescent="0.25">
      <c r="A218" s="12" t="s">
        <v>201</v>
      </c>
      <c r="B218" s="4">
        <v>185</v>
      </c>
      <c r="C218" s="4">
        <v>185</v>
      </c>
      <c r="D218" s="4">
        <v>149</v>
      </c>
      <c r="E218" s="4">
        <v>186</v>
      </c>
      <c r="F218" s="13"/>
    </row>
    <row r="219" spans="1:6" x14ac:dyDescent="0.25">
      <c r="A219" s="11" t="s">
        <v>235</v>
      </c>
      <c r="B219" s="5"/>
      <c r="C219" s="5"/>
      <c r="D219" s="5"/>
      <c r="E219" s="7">
        <v>1</v>
      </c>
      <c r="F219" s="14"/>
    </row>
    <row r="220" spans="1:6" x14ac:dyDescent="0.25">
      <c r="A220" s="12" t="s">
        <v>141</v>
      </c>
      <c r="B220" s="4">
        <v>11</v>
      </c>
      <c r="C220" s="4">
        <v>4</v>
      </c>
      <c r="D220" s="4">
        <v>6</v>
      </c>
      <c r="E220" s="6">
        <v>2</v>
      </c>
      <c r="F220" s="13"/>
    </row>
    <row r="221" spans="1:6" x14ac:dyDescent="0.25">
      <c r="A221" s="11" t="s">
        <v>75</v>
      </c>
      <c r="B221" s="5">
        <v>0</v>
      </c>
      <c r="C221" s="5">
        <v>0</v>
      </c>
      <c r="D221" s="5">
        <v>0</v>
      </c>
      <c r="E221" s="5">
        <v>2</v>
      </c>
      <c r="F221" s="14"/>
    </row>
    <row r="222" spans="1:6" x14ac:dyDescent="0.25">
      <c r="A222" s="12" t="s">
        <v>132</v>
      </c>
      <c r="B222" s="4">
        <v>301</v>
      </c>
      <c r="C222" s="4">
        <v>432</v>
      </c>
      <c r="D222" s="4">
        <v>0</v>
      </c>
      <c r="E222" s="4">
        <v>276</v>
      </c>
      <c r="F222" s="13"/>
    </row>
    <row r="223" spans="1:6" x14ac:dyDescent="0.25">
      <c r="A223" s="11" t="s">
        <v>48</v>
      </c>
      <c r="B223" s="5">
        <v>242</v>
      </c>
      <c r="C223" s="5">
        <v>238</v>
      </c>
      <c r="D223" s="5">
        <v>158</v>
      </c>
      <c r="E223" s="5">
        <v>0</v>
      </c>
      <c r="F223" s="14"/>
    </row>
    <row r="224" spans="1:6" x14ac:dyDescent="0.25">
      <c r="A224" s="12" t="s">
        <v>195</v>
      </c>
      <c r="B224" s="6">
        <v>1</v>
      </c>
      <c r="C224" s="4"/>
      <c r="D224" s="4"/>
      <c r="E224" s="4"/>
      <c r="F224" s="13"/>
    </row>
    <row r="225" spans="1:6" x14ac:dyDescent="0.25">
      <c r="A225" s="11" t="s">
        <v>213</v>
      </c>
      <c r="B225" s="5">
        <v>0</v>
      </c>
      <c r="C225" s="5">
        <v>2</v>
      </c>
      <c r="D225" s="5">
        <v>5</v>
      </c>
      <c r="E225" s="5">
        <v>4</v>
      </c>
      <c r="F225" s="14"/>
    </row>
    <row r="226" spans="1:6" x14ac:dyDescent="0.25">
      <c r="A226" s="12" t="s">
        <v>196</v>
      </c>
      <c r="B226" s="4"/>
      <c r="C226" s="4"/>
      <c r="D226" s="4"/>
      <c r="E226" s="6">
        <v>1</v>
      </c>
      <c r="F226" s="13"/>
    </row>
    <row r="227" spans="1:6" x14ac:dyDescent="0.25">
      <c r="A227" s="11" t="s">
        <v>226</v>
      </c>
      <c r="B227" s="5"/>
      <c r="C227" s="7">
        <v>2</v>
      </c>
      <c r="D227" s="5"/>
      <c r="E227" s="7">
        <v>1</v>
      </c>
      <c r="F227" s="14"/>
    </row>
    <row r="228" spans="1:6" x14ac:dyDescent="0.25">
      <c r="A228" s="12" t="s">
        <v>219</v>
      </c>
      <c r="B228" s="4"/>
      <c r="C228" s="6">
        <v>1</v>
      </c>
      <c r="D228" s="4"/>
      <c r="E228" s="4"/>
      <c r="F228" s="13"/>
    </row>
    <row r="229" spans="1:6" x14ac:dyDescent="0.25">
      <c r="A229" s="11" t="s">
        <v>134</v>
      </c>
      <c r="B229" s="7">
        <v>1</v>
      </c>
      <c r="C229" s="7">
        <v>1</v>
      </c>
      <c r="D229" s="7">
        <v>20</v>
      </c>
      <c r="E229" s="5"/>
      <c r="F229" s="14"/>
    </row>
    <row r="230" spans="1:6" x14ac:dyDescent="0.25">
      <c r="A230" s="12" t="s">
        <v>193</v>
      </c>
      <c r="B230" s="4"/>
      <c r="C230" s="4"/>
      <c r="D230" s="6">
        <v>298</v>
      </c>
      <c r="E230" s="4"/>
      <c r="F230" s="13"/>
    </row>
    <row r="231" spans="1:6" x14ac:dyDescent="0.25">
      <c r="A231" s="11" t="s">
        <v>167</v>
      </c>
      <c r="B231" s="7">
        <v>59</v>
      </c>
      <c r="C231" s="7">
        <v>161</v>
      </c>
      <c r="D231" s="7">
        <v>186</v>
      </c>
      <c r="E231" s="7">
        <v>285</v>
      </c>
      <c r="F231" s="14"/>
    </row>
    <row r="232" spans="1:6" x14ac:dyDescent="0.25">
      <c r="A232" s="12" t="s">
        <v>214</v>
      </c>
      <c r="B232" s="4"/>
      <c r="C232" s="4"/>
      <c r="D232" s="4"/>
      <c r="E232" s="6">
        <v>18</v>
      </c>
      <c r="F232" s="13"/>
    </row>
    <row r="233" spans="1:6" x14ac:dyDescent="0.25">
      <c r="A233" s="15" t="s">
        <v>158</v>
      </c>
      <c r="B233" s="7">
        <v>24</v>
      </c>
      <c r="C233" s="7">
        <v>35</v>
      </c>
      <c r="D233" s="16"/>
      <c r="E233" s="16"/>
      <c r="F233" s="17"/>
    </row>
  </sheetData>
  <mergeCells count="2">
    <mergeCell ref="A1:F1"/>
    <mergeCell ref="A2:F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9FEF9-C2C9-42F3-A117-8200C6B08DBA}">
  <dimension ref="A1:F236"/>
  <sheetViews>
    <sheetView workbookViewId="0">
      <selection activeCell="H30" sqref="H30"/>
    </sheetView>
  </sheetViews>
  <sheetFormatPr baseColWidth="10" defaultRowHeight="15" x14ac:dyDescent="0.25"/>
  <cols>
    <col min="1" max="1" width="45.7109375" bestFit="1" customWidth="1"/>
    <col min="2" max="6" width="17.5703125" bestFit="1" customWidth="1"/>
  </cols>
  <sheetData>
    <row r="1" spans="1:6" x14ac:dyDescent="0.25">
      <c r="A1" s="8" t="s">
        <v>267</v>
      </c>
      <c r="B1" s="9" t="s">
        <v>268</v>
      </c>
      <c r="C1" s="9" t="s">
        <v>269</v>
      </c>
      <c r="D1" s="9" t="s">
        <v>270</v>
      </c>
      <c r="E1" s="9" t="s">
        <v>271</v>
      </c>
      <c r="F1" s="10" t="s">
        <v>272</v>
      </c>
    </row>
    <row r="2" spans="1:6" x14ac:dyDescent="0.25">
      <c r="A2" s="11" t="s">
        <v>10</v>
      </c>
      <c r="B2" s="3">
        <v>17740704282</v>
      </c>
      <c r="C2" s="3">
        <v>22469120497</v>
      </c>
      <c r="D2" s="3">
        <v>25340140901</v>
      </c>
      <c r="E2" s="3">
        <v>23977310520</v>
      </c>
      <c r="F2" s="3">
        <v>23987203776</v>
      </c>
    </row>
    <row r="3" spans="1:6" x14ac:dyDescent="0.25">
      <c r="A3" s="12" t="s">
        <v>20</v>
      </c>
      <c r="B3" s="4">
        <v>2406931650</v>
      </c>
      <c r="C3" s="4">
        <v>2935314152</v>
      </c>
      <c r="D3" s="4">
        <v>3375948186</v>
      </c>
      <c r="E3" s="4">
        <v>3172533052</v>
      </c>
      <c r="F3" s="13">
        <v>3359310385</v>
      </c>
    </row>
    <row r="4" spans="1:6" x14ac:dyDescent="0.25">
      <c r="A4" s="11" t="s">
        <v>11</v>
      </c>
      <c r="B4" s="5">
        <v>2057021048</v>
      </c>
      <c r="C4" s="5">
        <v>2675680064</v>
      </c>
      <c r="D4" s="5">
        <v>2715998754</v>
      </c>
      <c r="E4" s="5">
        <v>2559319988</v>
      </c>
      <c r="F4" s="14">
        <v>2587295232</v>
      </c>
    </row>
    <row r="5" spans="1:6" x14ac:dyDescent="0.25">
      <c r="A5" s="12" t="s">
        <v>18</v>
      </c>
      <c r="B5" s="4">
        <v>1172923865</v>
      </c>
      <c r="C5" s="4">
        <v>1422827856</v>
      </c>
      <c r="D5" s="4">
        <v>1505324953</v>
      </c>
      <c r="E5" s="4">
        <v>1433191152</v>
      </c>
      <c r="F5" s="13">
        <v>1425209578</v>
      </c>
    </row>
    <row r="6" spans="1:6" x14ac:dyDescent="0.25">
      <c r="A6" s="11" t="s">
        <v>31</v>
      </c>
      <c r="B6" s="5">
        <v>630863707</v>
      </c>
      <c r="C6" s="5">
        <v>695578289</v>
      </c>
      <c r="D6" s="5">
        <v>816299884</v>
      </c>
      <c r="E6" s="5">
        <v>791855405</v>
      </c>
      <c r="F6" s="14">
        <v>815579239</v>
      </c>
    </row>
    <row r="7" spans="1:6" x14ac:dyDescent="0.25">
      <c r="A7" s="12" t="s">
        <v>60</v>
      </c>
      <c r="B7" s="4">
        <v>634678167</v>
      </c>
      <c r="C7" s="4">
        <v>773720906</v>
      </c>
      <c r="D7" s="4">
        <v>905098532</v>
      </c>
      <c r="E7" s="4">
        <v>786365263</v>
      </c>
      <c r="F7" s="13">
        <v>743267456</v>
      </c>
    </row>
    <row r="8" spans="1:6" x14ac:dyDescent="0.25">
      <c r="A8" s="11" t="s">
        <v>30</v>
      </c>
      <c r="B8" s="5">
        <v>571097349</v>
      </c>
      <c r="C8" s="5">
        <v>707758694</v>
      </c>
      <c r="D8" s="5">
        <v>815172598</v>
      </c>
      <c r="E8" s="5">
        <v>777352604</v>
      </c>
      <c r="F8" s="14">
        <v>740387893</v>
      </c>
    </row>
    <row r="9" spans="1:6" x14ac:dyDescent="0.25">
      <c r="A9" s="12" t="s">
        <v>15</v>
      </c>
      <c r="B9" s="4">
        <v>367980363</v>
      </c>
      <c r="C9" s="4">
        <v>570402004</v>
      </c>
      <c r="D9" s="4">
        <v>732565993</v>
      </c>
      <c r="E9" s="4">
        <v>673791035</v>
      </c>
      <c r="F9" s="13">
        <v>702773476</v>
      </c>
    </row>
    <row r="10" spans="1:6" x14ac:dyDescent="0.25">
      <c r="A10" s="11" t="s">
        <v>92</v>
      </c>
      <c r="B10" s="5">
        <v>573061310</v>
      </c>
      <c r="C10" s="5">
        <v>713969246</v>
      </c>
      <c r="D10" s="5">
        <v>669093235</v>
      </c>
      <c r="E10" s="5">
        <v>655539567</v>
      </c>
      <c r="F10" s="14">
        <v>698906913</v>
      </c>
    </row>
    <row r="11" spans="1:6" x14ac:dyDescent="0.25">
      <c r="A11" s="12" t="s">
        <v>12</v>
      </c>
      <c r="B11" s="4">
        <v>484088531</v>
      </c>
      <c r="C11" s="4">
        <v>623369107</v>
      </c>
      <c r="D11" s="4">
        <v>710771872</v>
      </c>
      <c r="E11" s="4">
        <v>664131324</v>
      </c>
      <c r="F11" s="13">
        <v>636885898</v>
      </c>
    </row>
    <row r="12" spans="1:6" x14ac:dyDescent="0.25">
      <c r="A12" s="11" t="s">
        <v>118</v>
      </c>
      <c r="B12" s="5">
        <v>467540264</v>
      </c>
      <c r="C12" s="5">
        <v>615034495</v>
      </c>
      <c r="D12" s="5">
        <v>731366344</v>
      </c>
      <c r="E12" s="5">
        <v>642571069</v>
      </c>
      <c r="F12" s="14">
        <v>632098015</v>
      </c>
    </row>
    <row r="13" spans="1:6" x14ac:dyDescent="0.25">
      <c r="A13" s="12" t="s">
        <v>24</v>
      </c>
      <c r="B13" s="4">
        <v>426475840</v>
      </c>
      <c r="C13" s="4">
        <v>568202425</v>
      </c>
      <c r="D13" s="4">
        <v>695235843</v>
      </c>
      <c r="E13" s="4">
        <v>639928812</v>
      </c>
      <c r="F13" s="13">
        <v>615599099</v>
      </c>
    </row>
    <row r="14" spans="1:6" x14ac:dyDescent="0.25">
      <c r="A14" s="11" t="s">
        <v>28</v>
      </c>
      <c r="B14" s="5">
        <v>382979896</v>
      </c>
      <c r="C14" s="5">
        <v>505715616</v>
      </c>
      <c r="D14" s="5">
        <v>604614616</v>
      </c>
      <c r="E14" s="5">
        <v>598475395</v>
      </c>
      <c r="F14" s="7">
        <v>571784647</v>
      </c>
    </row>
    <row r="15" spans="1:6" x14ac:dyDescent="0.25">
      <c r="A15" s="12" t="s">
        <v>77</v>
      </c>
      <c r="B15" s="4">
        <v>405666523</v>
      </c>
      <c r="C15" s="4">
        <v>491713789</v>
      </c>
      <c r="D15" s="4">
        <v>570189759</v>
      </c>
      <c r="E15" s="4">
        <v>559231481</v>
      </c>
      <c r="F15" s="13">
        <v>554263254</v>
      </c>
    </row>
    <row r="16" spans="1:6" x14ac:dyDescent="0.25">
      <c r="A16" s="11" t="s">
        <v>34</v>
      </c>
      <c r="B16" s="5">
        <v>395854450</v>
      </c>
      <c r="C16" s="5">
        <v>532547499</v>
      </c>
      <c r="D16" s="5">
        <v>624289390</v>
      </c>
      <c r="E16" s="5">
        <v>550854780</v>
      </c>
      <c r="F16" s="14">
        <v>519085769</v>
      </c>
    </row>
    <row r="17" spans="1:6" x14ac:dyDescent="0.25">
      <c r="A17" s="12" t="s">
        <v>49</v>
      </c>
      <c r="B17" s="4">
        <v>328822696</v>
      </c>
      <c r="C17" s="4">
        <v>406912769</v>
      </c>
      <c r="D17" s="4">
        <v>475516057</v>
      </c>
      <c r="E17" s="4">
        <v>422530066</v>
      </c>
      <c r="F17" s="13">
        <v>457612578</v>
      </c>
    </row>
    <row r="18" spans="1:6" x14ac:dyDescent="0.25">
      <c r="A18" s="11" t="s">
        <v>19</v>
      </c>
      <c r="B18" s="5">
        <v>329738801</v>
      </c>
      <c r="C18" s="5">
        <v>426059817</v>
      </c>
      <c r="D18" s="5">
        <v>499055069</v>
      </c>
      <c r="E18" s="5">
        <v>469043091</v>
      </c>
      <c r="F18" s="14">
        <v>451303134</v>
      </c>
    </row>
    <row r="19" spans="1:6" x14ac:dyDescent="0.25">
      <c r="A19" s="12" t="s">
        <v>27</v>
      </c>
      <c r="B19" s="4">
        <v>287160021</v>
      </c>
      <c r="C19" s="4">
        <v>382921158</v>
      </c>
      <c r="D19" s="4">
        <v>427241617</v>
      </c>
      <c r="E19" s="4">
        <v>351666960</v>
      </c>
      <c r="F19" s="13">
        <v>394062784</v>
      </c>
    </row>
    <row r="20" spans="1:6" x14ac:dyDescent="0.25">
      <c r="A20" s="11" t="s">
        <v>21</v>
      </c>
      <c r="B20" s="5">
        <v>261309452</v>
      </c>
      <c r="C20" s="5">
        <v>330752261</v>
      </c>
      <c r="D20" s="5">
        <v>358788815</v>
      </c>
      <c r="E20" s="5">
        <v>325443689</v>
      </c>
      <c r="F20" s="7">
        <v>381228376</v>
      </c>
    </row>
    <row r="21" spans="1:6" x14ac:dyDescent="0.25">
      <c r="A21" s="12" t="s">
        <v>32</v>
      </c>
      <c r="B21" s="4">
        <v>254660433</v>
      </c>
      <c r="C21" s="4">
        <v>335451322</v>
      </c>
      <c r="D21" s="4">
        <v>386969092</v>
      </c>
      <c r="E21" s="4">
        <v>371400902</v>
      </c>
      <c r="F21" s="13">
        <v>379496070</v>
      </c>
    </row>
    <row r="22" spans="1:6" x14ac:dyDescent="0.25">
      <c r="A22" s="11" t="s">
        <v>88</v>
      </c>
      <c r="B22" s="5">
        <v>291035118</v>
      </c>
      <c r="C22" s="5">
        <v>324497583</v>
      </c>
      <c r="D22" s="5">
        <v>356763182</v>
      </c>
      <c r="E22" s="5">
        <v>366266257</v>
      </c>
      <c r="F22" s="14">
        <v>369659595</v>
      </c>
    </row>
    <row r="23" spans="1:6" x14ac:dyDescent="0.25">
      <c r="A23" s="12" t="s">
        <v>37</v>
      </c>
      <c r="B23" s="4">
        <v>219514373</v>
      </c>
      <c r="C23" s="4">
        <v>271422758</v>
      </c>
      <c r="D23" s="4">
        <v>363710987</v>
      </c>
      <c r="E23" s="4">
        <v>361966913</v>
      </c>
      <c r="F23" s="13">
        <v>344017272</v>
      </c>
    </row>
    <row r="24" spans="1:6" x14ac:dyDescent="0.25">
      <c r="A24" s="11" t="s">
        <v>58</v>
      </c>
      <c r="B24" s="5">
        <v>246961071</v>
      </c>
      <c r="C24" s="5">
        <v>347528998</v>
      </c>
      <c r="D24" s="5">
        <v>420493198</v>
      </c>
      <c r="E24" s="5">
        <v>470536020</v>
      </c>
      <c r="F24" s="7">
        <v>313364827</v>
      </c>
    </row>
    <row r="25" spans="1:6" x14ac:dyDescent="0.25">
      <c r="A25" s="12" t="s">
        <v>14</v>
      </c>
      <c r="B25" s="4">
        <v>208615061</v>
      </c>
      <c r="C25" s="4">
        <v>269102030</v>
      </c>
      <c r="D25" s="4">
        <v>306260910</v>
      </c>
      <c r="E25" s="4">
        <v>292053342</v>
      </c>
      <c r="F25" s="13">
        <v>310155165</v>
      </c>
    </row>
    <row r="26" spans="1:6" x14ac:dyDescent="0.25">
      <c r="A26" s="11" t="s">
        <v>29</v>
      </c>
      <c r="B26" s="5">
        <v>189559672</v>
      </c>
      <c r="C26" s="5">
        <v>238321107</v>
      </c>
      <c r="D26" s="5">
        <v>295092902</v>
      </c>
      <c r="E26" s="5">
        <v>265972626</v>
      </c>
      <c r="F26" s="14">
        <v>300081375</v>
      </c>
    </row>
    <row r="27" spans="1:6" x14ac:dyDescent="0.25">
      <c r="A27" s="12" t="s">
        <v>53</v>
      </c>
      <c r="B27" s="4">
        <v>202277035</v>
      </c>
      <c r="C27" s="4">
        <v>248893435</v>
      </c>
      <c r="D27" s="4">
        <v>290113770</v>
      </c>
      <c r="E27" s="4">
        <v>276027533</v>
      </c>
      <c r="F27" s="13">
        <v>284464732</v>
      </c>
    </row>
    <row r="28" spans="1:6" x14ac:dyDescent="0.25">
      <c r="A28" s="11" t="s">
        <v>16</v>
      </c>
      <c r="B28" s="5">
        <v>158786825</v>
      </c>
      <c r="C28" s="5">
        <v>219408049</v>
      </c>
      <c r="D28" s="5">
        <v>272701734</v>
      </c>
      <c r="E28" s="5">
        <v>240792839</v>
      </c>
      <c r="F28" s="14">
        <v>262869606</v>
      </c>
    </row>
    <row r="29" spans="1:6" x14ac:dyDescent="0.25">
      <c r="A29" s="12" t="s">
        <v>22</v>
      </c>
      <c r="B29" s="4">
        <v>141622127</v>
      </c>
      <c r="C29" s="4">
        <v>195694490</v>
      </c>
      <c r="D29" s="4">
        <v>237447057</v>
      </c>
      <c r="E29" s="4">
        <v>221739634</v>
      </c>
      <c r="F29" s="13">
        <v>233658658</v>
      </c>
    </row>
    <row r="30" spans="1:6" x14ac:dyDescent="0.25">
      <c r="A30" s="11" t="s">
        <v>33</v>
      </c>
      <c r="B30" s="5">
        <v>131328602</v>
      </c>
      <c r="C30" s="5">
        <v>152849564</v>
      </c>
      <c r="D30" s="5">
        <v>189877037</v>
      </c>
      <c r="E30" s="5">
        <v>211114487</v>
      </c>
      <c r="F30" s="14">
        <v>232028140</v>
      </c>
    </row>
    <row r="31" spans="1:6" x14ac:dyDescent="0.25">
      <c r="A31" s="12" t="s">
        <v>47</v>
      </c>
      <c r="B31" s="4">
        <v>171440208</v>
      </c>
      <c r="C31" s="4">
        <v>212480637</v>
      </c>
      <c r="D31" s="4">
        <v>236320011</v>
      </c>
      <c r="E31" s="4">
        <v>228913299</v>
      </c>
      <c r="F31" s="13">
        <v>229396962</v>
      </c>
    </row>
    <row r="32" spans="1:6" x14ac:dyDescent="0.25">
      <c r="A32" s="11" t="s">
        <v>63</v>
      </c>
      <c r="B32" s="5">
        <v>172259029</v>
      </c>
      <c r="C32" s="5">
        <v>219819100</v>
      </c>
      <c r="D32" s="5">
        <v>233952070</v>
      </c>
      <c r="E32" s="5">
        <v>226369849</v>
      </c>
      <c r="F32" s="14">
        <v>211991694</v>
      </c>
    </row>
    <row r="33" spans="1:6" x14ac:dyDescent="0.25">
      <c r="A33" s="12" t="s">
        <v>90</v>
      </c>
      <c r="B33" s="4">
        <v>231667985</v>
      </c>
      <c r="C33" s="4">
        <v>293501672</v>
      </c>
      <c r="D33" s="6">
        <v>199386103</v>
      </c>
      <c r="E33" s="6">
        <v>218843240</v>
      </c>
      <c r="F33" s="6">
        <v>204294595</v>
      </c>
    </row>
    <row r="34" spans="1:6" x14ac:dyDescent="0.25">
      <c r="A34" s="11" t="s">
        <v>76</v>
      </c>
      <c r="B34" s="5">
        <v>149436257</v>
      </c>
      <c r="C34" s="5">
        <v>187319607</v>
      </c>
      <c r="D34" s="5">
        <v>202997376</v>
      </c>
      <c r="E34" s="5">
        <v>193241453</v>
      </c>
      <c r="F34" s="14">
        <v>188975538</v>
      </c>
    </row>
    <row r="35" spans="1:6" x14ac:dyDescent="0.25">
      <c r="A35" s="12" t="s">
        <v>36</v>
      </c>
      <c r="B35" s="4">
        <v>113422659</v>
      </c>
      <c r="C35" s="4">
        <v>139132012</v>
      </c>
      <c r="D35" s="4">
        <v>159334562</v>
      </c>
      <c r="E35" s="4">
        <v>148897654</v>
      </c>
      <c r="F35" s="13">
        <v>151630797</v>
      </c>
    </row>
    <row r="36" spans="1:6" x14ac:dyDescent="0.25">
      <c r="A36" s="11" t="s">
        <v>83</v>
      </c>
      <c r="B36" s="5">
        <v>99441600</v>
      </c>
      <c r="C36" s="5">
        <v>122740451</v>
      </c>
      <c r="D36" s="5">
        <v>148503449</v>
      </c>
      <c r="E36" s="5">
        <v>150611380</v>
      </c>
      <c r="F36" s="14">
        <v>144552207</v>
      </c>
    </row>
    <row r="37" spans="1:6" x14ac:dyDescent="0.25">
      <c r="A37" s="12" t="s">
        <v>96</v>
      </c>
      <c r="B37" s="4">
        <v>91852185</v>
      </c>
      <c r="C37" s="4">
        <v>116381979</v>
      </c>
      <c r="D37" s="4">
        <v>132869619</v>
      </c>
      <c r="E37" s="4">
        <v>131998810</v>
      </c>
      <c r="F37" s="13">
        <v>136432938</v>
      </c>
    </row>
    <row r="38" spans="1:6" x14ac:dyDescent="0.25">
      <c r="A38" s="11" t="s">
        <v>42</v>
      </c>
      <c r="B38" s="5">
        <v>90758564</v>
      </c>
      <c r="C38" s="5">
        <v>124386497</v>
      </c>
      <c r="D38" s="5">
        <v>145889817</v>
      </c>
      <c r="E38" s="5">
        <v>133758994</v>
      </c>
      <c r="F38" s="14">
        <v>134882435</v>
      </c>
    </row>
    <row r="39" spans="1:6" x14ac:dyDescent="0.25">
      <c r="A39" s="12" t="s">
        <v>43</v>
      </c>
      <c r="B39" s="4">
        <v>95778398</v>
      </c>
      <c r="C39" s="4">
        <v>120259539</v>
      </c>
      <c r="D39" s="4">
        <v>127078114</v>
      </c>
      <c r="E39" s="4">
        <v>126396956</v>
      </c>
      <c r="F39" s="13">
        <v>121792392</v>
      </c>
    </row>
    <row r="40" spans="1:6" x14ac:dyDescent="0.25">
      <c r="A40" s="11" t="s">
        <v>62</v>
      </c>
      <c r="B40" s="5">
        <v>77834420</v>
      </c>
      <c r="C40" s="5">
        <v>98337110</v>
      </c>
      <c r="D40" s="5">
        <v>115291040</v>
      </c>
      <c r="E40" s="5">
        <v>113486253</v>
      </c>
      <c r="F40" s="14">
        <v>115997232</v>
      </c>
    </row>
    <row r="41" spans="1:6" x14ac:dyDescent="0.25">
      <c r="A41" s="12" t="s">
        <v>93</v>
      </c>
      <c r="B41" s="4">
        <v>84112732</v>
      </c>
      <c r="C41" s="4">
        <v>104037546</v>
      </c>
      <c r="D41" s="4">
        <v>112651398</v>
      </c>
      <c r="E41" s="4">
        <v>113612391</v>
      </c>
      <c r="F41" s="13">
        <v>112964408</v>
      </c>
    </row>
    <row r="42" spans="1:6" x14ac:dyDescent="0.25">
      <c r="A42" s="11" t="s">
        <v>41</v>
      </c>
      <c r="B42" s="5">
        <v>68704670</v>
      </c>
      <c r="C42" s="5">
        <v>93614253</v>
      </c>
      <c r="D42" s="5">
        <v>111878211</v>
      </c>
      <c r="E42" s="5">
        <v>107264215</v>
      </c>
      <c r="F42" s="14">
        <v>101243957</v>
      </c>
    </row>
    <row r="43" spans="1:6" x14ac:dyDescent="0.25">
      <c r="A43" s="12" t="s">
        <v>122</v>
      </c>
      <c r="B43" s="4">
        <v>81320407</v>
      </c>
      <c r="C43" s="4">
        <v>98636184</v>
      </c>
      <c r="D43" s="4">
        <v>107268574</v>
      </c>
      <c r="E43" s="4">
        <v>96972068</v>
      </c>
      <c r="F43" s="13">
        <v>98730037</v>
      </c>
    </row>
    <row r="44" spans="1:6" x14ac:dyDescent="0.25">
      <c r="A44" s="11" t="s">
        <v>82</v>
      </c>
      <c r="B44" s="5">
        <v>69260696</v>
      </c>
      <c r="C44" s="5">
        <v>92158602</v>
      </c>
      <c r="D44" s="5">
        <v>107757786</v>
      </c>
      <c r="E44" s="5">
        <v>83163005</v>
      </c>
      <c r="F44" s="14">
        <v>91537567</v>
      </c>
    </row>
    <row r="45" spans="1:6" x14ac:dyDescent="0.25">
      <c r="A45" s="12" t="s">
        <v>55</v>
      </c>
      <c r="B45" s="4">
        <v>55533638</v>
      </c>
      <c r="C45" s="4">
        <v>77285028</v>
      </c>
      <c r="D45" s="4">
        <v>97970296</v>
      </c>
      <c r="E45" s="4">
        <v>88606156</v>
      </c>
      <c r="F45" s="13">
        <v>89273160</v>
      </c>
    </row>
    <row r="46" spans="1:6" x14ac:dyDescent="0.25">
      <c r="A46" s="11" t="s">
        <v>74</v>
      </c>
      <c r="B46" s="5">
        <v>42128767</v>
      </c>
      <c r="C46" s="5">
        <v>57733941</v>
      </c>
      <c r="D46" s="5">
        <v>69930680</v>
      </c>
      <c r="E46" s="5">
        <v>71694473</v>
      </c>
      <c r="F46" s="14">
        <v>84328690</v>
      </c>
    </row>
    <row r="47" spans="1:6" x14ac:dyDescent="0.25">
      <c r="A47" s="12" t="s">
        <v>113</v>
      </c>
      <c r="B47" s="4">
        <v>68266522</v>
      </c>
      <c r="C47" s="4">
        <v>86263574</v>
      </c>
      <c r="D47" s="4">
        <v>97374453</v>
      </c>
      <c r="E47" s="4">
        <v>83093615</v>
      </c>
      <c r="F47" s="13">
        <v>80413668</v>
      </c>
    </row>
    <row r="48" spans="1:6" x14ac:dyDescent="0.25">
      <c r="A48" s="11" t="s">
        <v>106</v>
      </c>
      <c r="B48" s="5">
        <v>61395860</v>
      </c>
      <c r="C48" s="5">
        <v>95168654</v>
      </c>
      <c r="D48" s="5">
        <v>109265861</v>
      </c>
      <c r="E48" s="5">
        <v>80492407</v>
      </c>
      <c r="F48" s="14">
        <v>79688269</v>
      </c>
    </row>
    <row r="49" spans="1:6" x14ac:dyDescent="0.25">
      <c r="A49" s="12" t="s">
        <v>70</v>
      </c>
      <c r="B49" s="4">
        <v>70436789</v>
      </c>
      <c r="C49" s="4">
        <v>89206205</v>
      </c>
      <c r="D49" s="4">
        <v>96188946</v>
      </c>
      <c r="E49" s="4">
        <v>83158878</v>
      </c>
      <c r="F49" s="6">
        <v>77643169</v>
      </c>
    </row>
    <row r="50" spans="1:6" x14ac:dyDescent="0.25">
      <c r="A50" s="11" t="s">
        <v>121</v>
      </c>
      <c r="B50" s="5">
        <v>54335684</v>
      </c>
      <c r="C50" s="5">
        <v>72842535</v>
      </c>
      <c r="D50" s="5">
        <v>55224068</v>
      </c>
      <c r="E50" s="5">
        <v>63561928</v>
      </c>
      <c r="F50" s="14">
        <v>70495616</v>
      </c>
    </row>
    <row r="51" spans="1:6" x14ac:dyDescent="0.25">
      <c r="A51" s="12" t="s">
        <v>97</v>
      </c>
      <c r="B51" s="4">
        <v>43488662</v>
      </c>
      <c r="C51" s="4">
        <v>61101362</v>
      </c>
      <c r="D51" s="4">
        <v>77413351</v>
      </c>
      <c r="E51" s="4">
        <v>62796636</v>
      </c>
      <c r="F51" s="13">
        <v>64104684</v>
      </c>
    </row>
    <row r="52" spans="1:6" x14ac:dyDescent="0.25">
      <c r="A52" s="11" t="s">
        <v>89</v>
      </c>
      <c r="B52" s="7">
        <v>50703718</v>
      </c>
      <c r="C52" s="7">
        <v>78305242</v>
      </c>
      <c r="D52" s="7">
        <v>88344267</v>
      </c>
      <c r="E52" s="7">
        <v>70599072</v>
      </c>
      <c r="F52" s="7">
        <v>63526663</v>
      </c>
    </row>
    <row r="53" spans="1:6" x14ac:dyDescent="0.25">
      <c r="A53" s="12" t="s">
        <v>73</v>
      </c>
      <c r="B53" s="4">
        <v>44518195</v>
      </c>
      <c r="C53" s="4">
        <v>58667257</v>
      </c>
      <c r="D53" s="4">
        <v>72832659</v>
      </c>
      <c r="E53" s="4">
        <v>70671817</v>
      </c>
      <c r="F53" s="6">
        <v>62338226</v>
      </c>
    </row>
    <row r="54" spans="1:6" x14ac:dyDescent="0.25">
      <c r="A54" s="11" t="s">
        <v>153</v>
      </c>
      <c r="B54" s="5">
        <v>42355637</v>
      </c>
      <c r="C54" s="5">
        <v>63183753</v>
      </c>
      <c r="D54" s="5">
        <v>76162545</v>
      </c>
      <c r="E54" s="5">
        <v>73713616</v>
      </c>
      <c r="F54" s="14">
        <v>60821974</v>
      </c>
    </row>
    <row r="55" spans="1:6" x14ac:dyDescent="0.25">
      <c r="A55" s="12" t="s">
        <v>102</v>
      </c>
      <c r="B55" s="4">
        <v>38081411</v>
      </c>
      <c r="C55" s="4">
        <v>41415435</v>
      </c>
      <c r="D55" s="4">
        <v>30952133</v>
      </c>
      <c r="E55" s="4">
        <v>61160501</v>
      </c>
      <c r="F55" s="13">
        <v>59787311</v>
      </c>
    </row>
    <row r="56" spans="1:6" x14ac:dyDescent="0.25">
      <c r="A56" s="11" t="s">
        <v>105</v>
      </c>
      <c r="B56" s="5">
        <v>45841651</v>
      </c>
      <c r="C56" s="5">
        <v>73106624</v>
      </c>
      <c r="D56" s="5">
        <v>71104684</v>
      </c>
      <c r="E56" s="5">
        <v>50362541</v>
      </c>
      <c r="F56" s="14">
        <v>56522668</v>
      </c>
    </row>
    <row r="57" spans="1:6" x14ac:dyDescent="0.25">
      <c r="A57" s="12" t="s">
        <v>127</v>
      </c>
      <c r="B57" s="4">
        <v>19955151</v>
      </c>
      <c r="C57" s="4">
        <v>23724275</v>
      </c>
      <c r="D57" s="4">
        <v>28264000</v>
      </c>
      <c r="E57" s="4">
        <v>36660334</v>
      </c>
      <c r="F57" s="13">
        <v>55524325</v>
      </c>
    </row>
    <row r="58" spans="1:6" x14ac:dyDescent="0.25">
      <c r="A58" s="11" t="s">
        <v>13</v>
      </c>
      <c r="B58" s="5">
        <v>36064092</v>
      </c>
      <c r="C58" s="5">
        <v>51177743</v>
      </c>
      <c r="D58" s="5">
        <v>60318941</v>
      </c>
      <c r="E58" s="5">
        <v>52273093</v>
      </c>
      <c r="F58" s="14">
        <v>55026567</v>
      </c>
    </row>
    <row r="59" spans="1:6" x14ac:dyDescent="0.25">
      <c r="A59" s="12" t="s">
        <v>85</v>
      </c>
      <c r="B59" s="4">
        <v>34978940</v>
      </c>
      <c r="C59" s="4">
        <v>46309122</v>
      </c>
      <c r="D59" s="4">
        <v>58148475</v>
      </c>
      <c r="E59" s="4">
        <v>53657409</v>
      </c>
      <c r="F59" s="13">
        <v>53813484</v>
      </c>
    </row>
    <row r="60" spans="1:6" x14ac:dyDescent="0.25">
      <c r="A60" s="11" t="s">
        <v>129</v>
      </c>
      <c r="B60" s="7">
        <v>52438672</v>
      </c>
      <c r="C60" s="7">
        <v>61032085</v>
      </c>
      <c r="D60" s="7">
        <v>76263662</v>
      </c>
      <c r="E60" s="7">
        <v>85112409</v>
      </c>
      <c r="F60" s="7">
        <v>50646896</v>
      </c>
    </row>
    <row r="61" spans="1:6" x14ac:dyDescent="0.25">
      <c r="A61" s="12" t="s">
        <v>161</v>
      </c>
      <c r="B61" s="6">
        <v>19663868</v>
      </c>
      <c r="C61" s="6">
        <v>23839731</v>
      </c>
      <c r="D61" s="6">
        <v>51612558</v>
      </c>
      <c r="E61" s="6">
        <v>50655550</v>
      </c>
      <c r="F61" s="6">
        <v>50326161</v>
      </c>
    </row>
    <row r="62" spans="1:6" x14ac:dyDescent="0.25">
      <c r="A62" s="11" t="s">
        <v>23</v>
      </c>
      <c r="B62" s="5">
        <v>53010001</v>
      </c>
      <c r="C62" s="5">
        <v>52441679</v>
      </c>
      <c r="D62" s="5">
        <v>60487524</v>
      </c>
      <c r="E62" s="5">
        <v>60575070</v>
      </c>
      <c r="F62" s="7">
        <v>47195990</v>
      </c>
    </row>
    <row r="63" spans="1:6" x14ac:dyDescent="0.25">
      <c r="A63" s="12" t="s">
        <v>64</v>
      </c>
      <c r="B63" s="4">
        <v>37055600</v>
      </c>
      <c r="C63" s="4">
        <v>49589283</v>
      </c>
      <c r="D63" s="4">
        <v>54676139</v>
      </c>
      <c r="E63" s="4">
        <v>49958477</v>
      </c>
      <c r="F63" s="13">
        <v>46889500</v>
      </c>
    </row>
    <row r="64" spans="1:6" x14ac:dyDescent="0.25">
      <c r="A64" s="11" t="s">
        <v>51</v>
      </c>
      <c r="B64" s="5">
        <v>26794587</v>
      </c>
      <c r="C64" s="5">
        <v>34594841</v>
      </c>
      <c r="D64" s="5">
        <v>44790266</v>
      </c>
      <c r="E64" s="5">
        <v>43463068</v>
      </c>
      <c r="F64" s="14">
        <v>45864363</v>
      </c>
    </row>
    <row r="65" spans="1:6" x14ac:dyDescent="0.25">
      <c r="A65" s="12" t="s">
        <v>45</v>
      </c>
      <c r="B65" s="4">
        <v>33313761</v>
      </c>
      <c r="C65" s="4">
        <v>44476453</v>
      </c>
      <c r="D65" s="4">
        <v>55110148</v>
      </c>
      <c r="E65" s="4">
        <v>48418283</v>
      </c>
      <c r="F65" s="13">
        <v>44757934</v>
      </c>
    </row>
    <row r="66" spans="1:6" x14ac:dyDescent="0.25">
      <c r="A66" s="11" t="s">
        <v>114</v>
      </c>
      <c r="B66" s="7">
        <v>34900772</v>
      </c>
      <c r="C66" s="7">
        <v>37496398</v>
      </c>
      <c r="D66" s="7">
        <v>36055268</v>
      </c>
      <c r="E66" s="7">
        <v>41626798</v>
      </c>
      <c r="F66" s="7">
        <v>42622122</v>
      </c>
    </row>
    <row r="67" spans="1:6" x14ac:dyDescent="0.25">
      <c r="A67" s="12" t="s">
        <v>110</v>
      </c>
      <c r="B67" s="4">
        <v>26154982</v>
      </c>
      <c r="C67" s="4">
        <v>33793017</v>
      </c>
      <c r="D67" s="4">
        <v>39756632</v>
      </c>
      <c r="E67" s="4">
        <v>39644484</v>
      </c>
      <c r="F67" s="13">
        <v>42112733</v>
      </c>
    </row>
    <row r="68" spans="1:6" x14ac:dyDescent="0.25">
      <c r="A68" s="11" t="s">
        <v>56</v>
      </c>
      <c r="B68" s="5">
        <v>18537603</v>
      </c>
      <c r="C68" s="5">
        <v>26942694</v>
      </c>
      <c r="D68" s="5">
        <v>29990014</v>
      </c>
      <c r="E68" s="5">
        <v>31356398</v>
      </c>
      <c r="F68" s="14">
        <v>32702358</v>
      </c>
    </row>
    <row r="69" spans="1:6" x14ac:dyDescent="0.25">
      <c r="A69" s="12" t="s">
        <v>80</v>
      </c>
      <c r="B69" s="4">
        <v>18206520</v>
      </c>
      <c r="C69" s="4">
        <v>26605961</v>
      </c>
      <c r="D69" s="4">
        <v>32123685</v>
      </c>
      <c r="E69" s="4">
        <v>30318004</v>
      </c>
      <c r="F69" s="13">
        <v>32488859</v>
      </c>
    </row>
    <row r="70" spans="1:6" x14ac:dyDescent="0.25">
      <c r="A70" s="11" t="s">
        <v>125</v>
      </c>
      <c r="B70" s="5">
        <v>25834886</v>
      </c>
      <c r="C70" s="5">
        <v>27985403</v>
      </c>
      <c r="D70" s="5">
        <v>33479012</v>
      </c>
      <c r="E70" s="5">
        <v>31431141</v>
      </c>
      <c r="F70" s="7">
        <v>31124259</v>
      </c>
    </row>
    <row r="71" spans="1:6" x14ac:dyDescent="0.25">
      <c r="A71" s="12" t="s">
        <v>72</v>
      </c>
      <c r="B71" s="4">
        <v>17803362</v>
      </c>
      <c r="C71" s="4">
        <v>25719892</v>
      </c>
      <c r="D71" s="4">
        <v>33048924</v>
      </c>
      <c r="E71" s="4">
        <v>30895681</v>
      </c>
      <c r="F71" s="13">
        <v>29489612</v>
      </c>
    </row>
    <row r="72" spans="1:6" x14ac:dyDescent="0.25">
      <c r="A72" s="11" t="s">
        <v>147</v>
      </c>
      <c r="B72" s="5">
        <v>1186080</v>
      </c>
      <c r="C72" s="5">
        <v>1701154</v>
      </c>
      <c r="D72" s="5">
        <v>1920653</v>
      </c>
      <c r="E72" s="5">
        <v>2166707</v>
      </c>
      <c r="F72" s="7">
        <v>29130140</v>
      </c>
    </row>
    <row r="73" spans="1:6" x14ac:dyDescent="0.25">
      <c r="A73" s="12" t="s">
        <v>116</v>
      </c>
      <c r="B73" s="4">
        <v>19296193</v>
      </c>
      <c r="C73" s="4">
        <v>28702890</v>
      </c>
      <c r="D73" s="4">
        <v>29941602</v>
      </c>
      <c r="E73" s="4">
        <v>24407102</v>
      </c>
      <c r="F73" s="13">
        <v>28710505</v>
      </c>
    </row>
    <row r="74" spans="1:6" x14ac:dyDescent="0.25">
      <c r="A74" s="11" t="s">
        <v>131</v>
      </c>
      <c r="B74" s="5">
        <v>3684109</v>
      </c>
      <c r="C74" s="5">
        <v>5570126</v>
      </c>
      <c r="D74" s="5">
        <v>9802959</v>
      </c>
      <c r="E74" s="5">
        <v>12350402</v>
      </c>
      <c r="F74" s="7">
        <v>28576029</v>
      </c>
    </row>
    <row r="75" spans="1:6" x14ac:dyDescent="0.25">
      <c r="A75" s="12" t="s">
        <v>146</v>
      </c>
      <c r="B75" s="4">
        <v>28507456</v>
      </c>
      <c r="C75" s="4">
        <v>30994759</v>
      </c>
      <c r="D75" s="4">
        <v>38573002</v>
      </c>
      <c r="E75" s="4">
        <v>38775377</v>
      </c>
      <c r="F75" s="6">
        <v>28248929</v>
      </c>
    </row>
    <row r="76" spans="1:6" x14ac:dyDescent="0.25">
      <c r="A76" s="11" t="s">
        <v>91</v>
      </c>
      <c r="B76" s="5">
        <v>14739520</v>
      </c>
      <c r="C76" s="5">
        <v>20595840</v>
      </c>
      <c r="D76" s="5">
        <v>29249346</v>
      </c>
      <c r="E76" s="5">
        <v>34284541</v>
      </c>
      <c r="F76" s="14">
        <v>26686634</v>
      </c>
    </row>
    <row r="77" spans="1:6" x14ac:dyDescent="0.25">
      <c r="A77" s="12" t="s">
        <v>78</v>
      </c>
      <c r="B77" s="4">
        <v>21118675</v>
      </c>
      <c r="C77" s="4">
        <v>26211169</v>
      </c>
      <c r="D77" s="4">
        <v>27042857</v>
      </c>
      <c r="E77" s="4">
        <v>26308584</v>
      </c>
      <c r="F77" s="13">
        <v>25101182</v>
      </c>
    </row>
    <row r="78" spans="1:6" x14ac:dyDescent="0.25">
      <c r="A78" s="11" t="s">
        <v>130</v>
      </c>
      <c r="B78" s="5">
        <v>27735027</v>
      </c>
      <c r="C78" s="5">
        <v>31888107</v>
      </c>
      <c r="D78" s="5">
        <v>35033785</v>
      </c>
      <c r="E78" s="5">
        <v>37493120</v>
      </c>
      <c r="F78" s="7">
        <v>24490601</v>
      </c>
    </row>
    <row r="79" spans="1:6" x14ac:dyDescent="0.25">
      <c r="A79" s="12" t="s">
        <v>25</v>
      </c>
      <c r="B79" s="4">
        <v>14456986</v>
      </c>
      <c r="C79" s="4">
        <v>18430776</v>
      </c>
      <c r="D79" s="4">
        <v>21143801</v>
      </c>
      <c r="E79" s="4">
        <v>22515896</v>
      </c>
      <c r="F79" s="13">
        <v>23683764</v>
      </c>
    </row>
    <row r="80" spans="1:6" x14ac:dyDescent="0.25">
      <c r="A80" s="11" t="s">
        <v>66</v>
      </c>
      <c r="B80" s="5">
        <v>17315082</v>
      </c>
      <c r="C80" s="5">
        <v>23085528</v>
      </c>
      <c r="D80" s="5">
        <v>27901013</v>
      </c>
      <c r="E80" s="5">
        <v>25307970</v>
      </c>
      <c r="F80" s="14">
        <v>23466752</v>
      </c>
    </row>
    <row r="81" spans="1:6" x14ac:dyDescent="0.25">
      <c r="A81" s="12" t="s">
        <v>81</v>
      </c>
      <c r="B81" s="4">
        <v>38911684</v>
      </c>
      <c r="C81" s="4">
        <v>48986643</v>
      </c>
      <c r="D81" s="4">
        <v>58922123</v>
      </c>
      <c r="E81" s="4">
        <v>65555454</v>
      </c>
      <c r="F81" s="6">
        <v>23150950</v>
      </c>
    </row>
    <row r="82" spans="1:6" x14ac:dyDescent="0.25">
      <c r="A82" s="11" t="s">
        <v>79</v>
      </c>
      <c r="B82" s="5">
        <v>17764140</v>
      </c>
      <c r="C82" s="5">
        <v>24203349</v>
      </c>
      <c r="D82" s="5">
        <v>27535703</v>
      </c>
      <c r="E82" s="5">
        <v>23437466</v>
      </c>
      <c r="F82" s="14">
        <v>22671636</v>
      </c>
    </row>
    <row r="83" spans="1:6" x14ac:dyDescent="0.25">
      <c r="A83" s="12" t="s">
        <v>108</v>
      </c>
      <c r="B83" s="4">
        <v>17006883</v>
      </c>
      <c r="C83" s="4">
        <v>21542435</v>
      </c>
      <c r="D83" s="4">
        <v>27364057</v>
      </c>
      <c r="E83" s="4">
        <v>25707802</v>
      </c>
      <c r="F83" s="6">
        <v>21752039</v>
      </c>
    </row>
    <row r="84" spans="1:6" x14ac:dyDescent="0.25">
      <c r="A84" s="11" t="s">
        <v>137</v>
      </c>
      <c r="B84" s="5">
        <v>15459448</v>
      </c>
      <c r="C84" s="5">
        <v>18675855</v>
      </c>
      <c r="D84" s="5">
        <v>15534503</v>
      </c>
      <c r="E84" s="5">
        <v>15354370</v>
      </c>
      <c r="F84" s="7">
        <v>21297031</v>
      </c>
    </row>
    <row r="85" spans="1:6" x14ac:dyDescent="0.25">
      <c r="A85" s="12" t="s">
        <v>155</v>
      </c>
      <c r="B85" s="4">
        <v>10732039</v>
      </c>
      <c r="C85" s="4">
        <v>11705787</v>
      </c>
      <c r="D85" s="4">
        <v>14539859</v>
      </c>
      <c r="E85" s="4">
        <v>17285345</v>
      </c>
      <c r="F85" s="13">
        <v>21058044</v>
      </c>
    </row>
    <row r="86" spans="1:6" x14ac:dyDescent="0.25">
      <c r="A86" s="11" t="s">
        <v>68</v>
      </c>
      <c r="B86" s="5">
        <v>15415397</v>
      </c>
      <c r="C86" s="5">
        <v>19288258</v>
      </c>
      <c r="D86" s="5">
        <v>21127751</v>
      </c>
      <c r="E86" s="5">
        <v>18705398</v>
      </c>
      <c r="F86" s="14">
        <v>20203122</v>
      </c>
    </row>
    <row r="87" spans="1:6" x14ac:dyDescent="0.25">
      <c r="A87" s="12" t="s">
        <v>143</v>
      </c>
      <c r="B87" s="4">
        <v>18412051</v>
      </c>
      <c r="C87" s="4">
        <v>21811968</v>
      </c>
      <c r="D87" s="4">
        <v>26672667</v>
      </c>
      <c r="E87" s="4">
        <v>25930494</v>
      </c>
      <c r="F87" s="6">
        <v>20040234</v>
      </c>
    </row>
    <row r="88" spans="1:6" x14ac:dyDescent="0.25">
      <c r="A88" s="11" t="s">
        <v>86</v>
      </c>
      <c r="B88" s="5"/>
      <c r="C88" s="5">
        <v>17848192</v>
      </c>
      <c r="D88" s="5">
        <v>17962660</v>
      </c>
      <c r="E88" s="5">
        <v>16394368</v>
      </c>
      <c r="F88" s="7">
        <v>19984601</v>
      </c>
    </row>
    <row r="89" spans="1:6" x14ac:dyDescent="0.25">
      <c r="A89" s="12" t="s">
        <v>39</v>
      </c>
      <c r="B89" s="4">
        <v>8477673</v>
      </c>
      <c r="C89" s="4">
        <v>10873264</v>
      </c>
      <c r="D89" s="4">
        <v>15654447</v>
      </c>
      <c r="E89" s="4">
        <v>15117482</v>
      </c>
      <c r="F89" s="6">
        <v>19382446</v>
      </c>
    </row>
    <row r="90" spans="1:6" x14ac:dyDescent="0.25">
      <c r="A90" s="11" t="s">
        <v>57</v>
      </c>
      <c r="B90" s="5">
        <v>15607090</v>
      </c>
      <c r="C90" s="5">
        <v>21501894</v>
      </c>
      <c r="D90" s="5">
        <v>17300557</v>
      </c>
      <c r="E90" s="5">
        <v>16298240</v>
      </c>
      <c r="F90" s="14">
        <v>18604913</v>
      </c>
    </row>
    <row r="91" spans="1:6" x14ac:dyDescent="0.25">
      <c r="A91" s="12" t="s">
        <v>148</v>
      </c>
      <c r="B91" s="6">
        <v>12487628</v>
      </c>
      <c r="C91" s="6">
        <v>18010707</v>
      </c>
      <c r="D91" s="6">
        <v>19948111</v>
      </c>
      <c r="E91" s="6">
        <v>23270982</v>
      </c>
      <c r="F91" s="6">
        <v>18339326</v>
      </c>
    </row>
    <row r="92" spans="1:6" x14ac:dyDescent="0.25">
      <c r="A92" s="11" t="s">
        <v>178</v>
      </c>
      <c r="B92" s="7">
        <v>14956197</v>
      </c>
      <c r="C92" s="7">
        <v>14244579</v>
      </c>
      <c r="D92" s="7">
        <v>16626738</v>
      </c>
      <c r="E92" s="7">
        <v>18202725</v>
      </c>
      <c r="F92" s="7">
        <v>17389904</v>
      </c>
    </row>
    <row r="93" spans="1:6" x14ac:dyDescent="0.25">
      <c r="A93" s="12" t="s">
        <v>38</v>
      </c>
      <c r="B93" s="4">
        <v>10532202</v>
      </c>
      <c r="C93" s="4">
        <v>13998346</v>
      </c>
      <c r="D93" s="4">
        <v>17972135</v>
      </c>
      <c r="E93" s="4">
        <v>18834793</v>
      </c>
      <c r="F93" s="13">
        <v>17219303</v>
      </c>
    </row>
    <row r="94" spans="1:6" x14ac:dyDescent="0.25">
      <c r="A94" s="11" t="s">
        <v>87</v>
      </c>
      <c r="B94" s="5">
        <v>4547329</v>
      </c>
      <c r="C94" s="5">
        <v>5324762</v>
      </c>
      <c r="D94" s="5">
        <v>8635543</v>
      </c>
      <c r="E94" s="5">
        <v>12021705</v>
      </c>
      <c r="F94" s="14">
        <v>16807771</v>
      </c>
    </row>
    <row r="95" spans="1:6" x14ac:dyDescent="0.25">
      <c r="A95" s="12" t="s">
        <v>135</v>
      </c>
      <c r="B95" s="4">
        <v>32767433</v>
      </c>
      <c r="C95" s="4">
        <v>41810690</v>
      </c>
      <c r="D95" s="6">
        <v>12670093</v>
      </c>
      <c r="E95" s="6">
        <v>18041351</v>
      </c>
      <c r="F95" s="6">
        <v>16777544</v>
      </c>
    </row>
    <row r="96" spans="1:6" x14ac:dyDescent="0.25">
      <c r="A96" s="11" t="s">
        <v>160</v>
      </c>
      <c r="B96" s="5">
        <v>10217078</v>
      </c>
      <c r="C96" s="5">
        <v>13559729</v>
      </c>
      <c r="D96" s="5">
        <v>15879593</v>
      </c>
      <c r="E96" s="5">
        <v>16134396</v>
      </c>
      <c r="F96" s="14">
        <v>16563002</v>
      </c>
    </row>
    <row r="97" spans="1:6" x14ac:dyDescent="0.25">
      <c r="A97" s="12" t="s">
        <v>166</v>
      </c>
      <c r="B97" s="4">
        <v>9887885</v>
      </c>
      <c r="C97" s="4">
        <v>14617423</v>
      </c>
      <c r="D97" s="4">
        <v>17108010</v>
      </c>
      <c r="E97" s="4">
        <v>15648327</v>
      </c>
      <c r="F97" s="13">
        <v>15972638</v>
      </c>
    </row>
    <row r="98" spans="1:6" x14ac:dyDescent="0.25">
      <c r="A98" s="11" t="s">
        <v>115</v>
      </c>
      <c r="B98" s="5">
        <v>9867992</v>
      </c>
      <c r="C98" s="5">
        <v>13030086</v>
      </c>
      <c r="D98" s="5">
        <v>15382424</v>
      </c>
      <c r="E98" s="5">
        <v>15348896</v>
      </c>
      <c r="F98" s="14">
        <v>15853280</v>
      </c>
    </row>
    <row r="99" spans="1:6" x14ac:dyDescent="0.25">
      <c r="A99" s="12" t="s">
        <v>142</v>
      </c>
      <c r="B99" s="6">
        <v>6990079</v>
      </c>
      <c r="C99" s="6">
        <v>8405066</v>
      </c>
      <c r="D99" s="6">
        <v>11203420</v>
      </c>
      <c r="E99" s="6">
        <v>11598278</v>
      </c>
      <c r="F99" s="6">
        <v>15068273</v>
      </c>
    </row>
    <row r="100" spans="1:6" x14ac:dyDescent="0.25">
      <c r="A100" s="11" t="s">
        <v>176</v>
      </c>
      <c r="B100" s="5">
        <v>11950497</v>
      </c>
      <c r="C100" s="5">
        <v>19346655</v>
      </c>
      <c r="D100" s="5">
        <v>17430546</v>
      </c>
      <c r="E100" s="5">
        <v>17560701</v>
      </c>
      <c r="F100" s="7">
        <v>14614151</v>
      </c>
    </row>
    <row r="101" spans="1:6" x14ac:dyDescent="0.25">
      <c r="A101" s="12" t="s">
        <v>40</v>
      </c>
      <c r="B101" s="4">
        <v>7971839</v>
      </c>
      <c r="C101" s="4">
        <v>11631003</v>
      </c>
      <c r="D101" s="4">
        <v>13826669</v>
      </c>
      <c r="E101" s="4">
        <v>14380540</v>
      </c>
      <c r="F101" s="13">
        <v>14508560</v>
      </c>
    </row>
    <row r="102" spans="1:6" x14ac:dyDescent="0.25">
      <c r="A102" s="11" t="s">
        <v>168</v>
      </c>
      <c r="B102" s="5">
        <v>8739614</v>
      </c>
      <c r="C102" s="5">
        <v>10412605</v>
      </c>
      <c r="D102" s="5">
        <v>12244599</v>
      </c>
      <c r="E102" s="5">
        <v>14136161</v>
      </c>
      <c r="F102" s="14">
        <v>13324465</v>
      </c>
    </row>
    <row r="103" spans="1:6" x14ac:dyDescent="0.25">
      <c r="A103" s="12" t="s">
        <v>145</v>
      </c>
      <c r="B103" s="4">
        <v>7820339</v>
      </c>
      <c r="C103" s="4">
        <v>8285456</v>
      </c>
      <c r="D103" s="4">
        <v>12129313</v>
      </c>
      <c r="E103" s="4">
        <v>11877493</v>
      </c>
      <c r="F103" s="6">
        <v>13278219</v>
      </c>
    </row>
    <row r="104" spans="1:6" x14ac:dyDescent="0.25">
      <c r="A104" s="11" t="s">
        <v>100</v>
      </c>
      <c r="B104" s="5">
        <v>6143458</v>
      </c>
      <c r="C104" s="5">
        <v>7697303</v>
      </c>
      <c r="D104" s="5">
        <v>10038186</v>
      </c>
      <c r="E104" s="5">
        <v>10982642</v>
      </c>
      <c r="F104" s="14">
        <v>13072085</v>
      </c>
    </row>
    <row r="105" spans="1:6" x14ac:dyDescent="0.25">
      <c r="A105" s="12" t="s">
        <v>111</v>
      </c>
      <c r="B105" s="4">
        <v>11354653</v>
      </c>
      <c r="C105" s="4">
        <v>13856704</v>
      </c>
      <c r="D105" s="4">
        <v>19053292</v>
      </c>
      <c r="E105" s="4">
        <v>18122412</v>
      </c>
      <c r="F105" s="6">
        <v>12852475</v>
      </c>
    </row>
    <row r="106" spans="1:6" x14ac:dyDescent="0.25">
      <c r="A106" s="11" t="s">
        <v>104</v>
      </c>
      <c r="B106" s="5">
        <v>7667928</v>
      </c>
      <c r="C106" s="5">
        <v>10320440</v>
      </c>
      <c r="D106" s="5">
        <v>12973465</v>
      </c>
      <c r="E106" s="5">
        <v>12486206</v>
      </c>
      <c r="F106" s="14">
        <v>12522742</v>
      </c>
    </row>
    <row r="107" spans="1:6" x14ac:dyDescent="0.25">
      <c r="A107" s="12" t="s">
        <v>17</v>
      </c>
      <c r="B107" s="4">
        <v>17968641</v>
      </c>
      <c r="C107" s="4">
        <v>14326568</v>
      </c>
      <c r="D107" s="4">
        <v>17403359</v>
      </c>
      <c r="E107" s="4">
        <v>16440463</v>
      </c>
      <c r="F107" s="13">
        <v>12452129</v>
      </c>
    </row>
    <row r="108" spans="1:6" x14ac:dyDescent="0.25">
      <c r="A108" s="11" t="s">
        <v>163</v>
      </c>
      <c r="B108" s="5">
        <v>8709069</v>
      </c>
      <c r="C108" s="5">
        <v>11389534</v>
      </c>
      <c r="D108" s="5">
        <v>12755184</v>
      </c>
      <c r="E108" s="5">
        <v>12052389</v>
      </c>
      <c r="F108" s="14">
        <v>11966612</v>
      </c>
    </row>
    <row r="109" spans="1:6" x14ac:dyDescent="0.25">
      <c r="A109" s="12" t="s">
        <v>136</v>
      </c>
      <c r="B109" s="4">
        <v>9340310</v>
      </c>
      <c r="C109" s="4">
        <v>11359681</v>
      </c>
      <c r="D109" s="4">
        <v>17710712</v>
      </c>
      <c r="E109" s="4">
        <v>15749426</v>
      </c>
      <c r="F109" s="6">
        <v>11908935</v>
      </c>
    </row>
    <row r="110" spans="1:6" x14ac:dyDescent="0.25">
      <c r="A110" s="11" t="s">
        <v>156</v>
      </c>
      <c r="B110" s="5">
        <v>5298771</v>
      </c>
      <c r="C110" s="5">
        <v>6848642</v>
      </c>
      <c r="D110" s="5">
        <v>8746855</v>
      </c>
      <c r="E110" s="5">
        <v>9252491</v>
      </c>
      <c r="F110" s="14">
        <v>11608376</v>
      </c>
    </row>
    <row r="111" spans="1:6" x14ac:dyDescent="0.25">
      <c r="A111" s="12" t="s">
        <v>120</v>
      </c>
      <c r="B111" s="4">
        <v>5378310</v>
      </c>
      <c r="C111" s="4">
        <v>7111525</v>
      </c>
      <c r="D111" s="4">
        <v>9048377</v>
      </c>
      <c r="E111" s="4">
        <v>10226926</v>
      </c>
      <c r="F111" s="13">
        <v>11268015</v>
      </c>
    </row>
    <row r="112" spans="1:6" x14ac:dyDescent="0.25">
      <c r="A112" s="11" t="s">
        <v>154</v>
      </c>
      <c r="B112" s="5">
        <v>6938042</v>
      </c>
      <c r="C112" s="5">
        <v>11971835</v>
      </c>
      <c r="D112" s="5">
        <v>26858595</v>
      </c>
      <c r="E112" s="5">
        <v>25675561</v>
      </c>
      <c r="F112" s="7">
        <v>10747193</v>
      </c>
    </row>
    <row r="113" spans="1:6" x14ac:dyDescent="0.25">
      <c r="A113" s="12" t="s">
        <v>26</v>
      </c>
      <c r="B113" s="4">
        <v>9745446</v>
      </c>
      <c r="C113" s="4">
        <v>15792669</v>
      </c>
      <c r="D113" s="4">
        <v>13716419</v>
      </c>
      <c r="E113" s="6">
        <v>10354328</v>
      </c>
      <c r="F113" s="6">
        <v>10356044</v>
      </c>
    </row>
    <row r="114" spans="1:6" x14ac:dyDescent="0.25">
      <c r="A114" s="11" t="s">
        <v>174</v>
      </c>
      <c r="B114" s="5">
        <v>2205287</v>
      </c>
      <c r="C114" s="5">
        <v>3482606</v>
      </c>
      <c r="D114" s="5">
        <v>3757894</v>
      </c>
      <c r="E114" s="5">
        <v>4187519</v>
      </c>
      <c r="F114" s="7">
        <v>9931781</v>
      </c>
    </row>
    <row r="115" spans="1:6" x14ac:dyDescent="0.25">
      <c r="A115" s="12" t="s">
        <v>162</v>
      </c>
      <c r="B115" s="4">
        <v>7079997</v>
      </c>
      <c r="C115" s="4">
        <v>9559086</v>
      </c>
      <c r="D115" s="4">
        <v>13049406</v>
      </c>
      <c r="E115" s="4">
        <v>11495579</v>
      </c>
      <c r="F115" s="13">
        <v>9904187</v>
      </c>
    </row>
    <row r="116" spans="1:6" x14ac:dyDescent="0.25">
      <c r="A116" s="11" t="s">
        <v>128</v>
      </c>
      <c r="B116" s="5">
        <v>5710976</v>
      </c>
      <c r="C116" s="5">
        <v>7841938</v>
      </c>
      <c r="D116" s="5">
        <v>9764239</v>
      </c>
      <c r="E116" s="5">
        <v>9481315</v>
      </c>
      <c r="F116" s="14">
        <v>9835158</v>
      </c>
    </row>
    <row r="117" spans="1:6" x14ac:dyDescent="0.25">
      <c r="A117" s="12" t="s">
        <v>35</v>
      </c>
      <c r="B117" s="4">
        <v>5023261</v>
      </c>
      <c r="C117" s="4">
        <v>5871286</v>
      </c>
      <c r="D117" s="6">
        <v>8284932</v>
      </c>
      <c r="E117" s="6">
        <v>9155771</v>
      </c>
      <c r="F117" s="6">
        <v>9241694</v>
      </c>
    </row>
    <row r="118" spans="1:6" x14ac:dyDescent="0.25">
      <c r="A118" s="11" t="s">
        <v>54</v>
      </c>
      <c r="B118" s="5">
        <v>6437597</v>
      </c>
      <c r="C118" s="5">
        <v>8622697</v>
      </c>
      <c r="D118" s="5">
        <v>14512194</v>
      </c>
      <c r="E118" s="5">
        <v>10069934</v>
      </c>
      <c r="F118" s="14">
        <v>9212662</v>
      </c>
    </row>
    <row r="119" spans="1:6" x14ac:dyDescent="0.25">
      <c r="A119" s="12" t="s">
        <v>173</v>
      </c>
      <c r="B119" s="4">
        <v>5415991</v>
      </c>
      <c r="C119" s="4">
        <v>7176764</v>
      </c>
      <c r="D119" s="4">
        <v>9218982</v>
      </c>
      <c r="E119" s="4">
        <v>8673672</v>
      </c>
      <c r="F119" s="13">
        <v>9065188</v>
      </c>
    </row>
    <row r="120" spans="1:6" x14ac:dyDescent="0.25">
      <c r="A120" s="11" t="s">
        <v>44</v>
      </c>
      <c r="B120" s="5">
        <v>6545027</v>
      </c>
      <c r="C120" s="5">
        <v>10163198</v>
      </c>
      <c r="D120" s="5">
        <v>11246827</v>
      </c>
      <c r="E120" s="5">
        <v>10916351</v>
      </c>
      <c r="F120" s="7">
        <v>8949467</v>
      </c>
    </row>
    <row r="121" spans="1:6" x14ac:dyDescent="0.25">
      <c r="A121" s="12" t="s">
        <v>165</v>
      </c>
      <c r="B121" s="4">
        <v>6612697</v>
      </c>
      <c r="C121" s="4">
        <v>6445781</v>
      </c>
      <c r="D121" s="4">
        <v>7957768</v>
      </c>
      <c r="E121" s="4">
        <v>7441108</v>
      </c>
      <c r="F121" s="13">
        <v>8824992</v>
      </c>
    </row>
    <row r="122" spans="1:6" x14ac:dyDescent="0.25">
      <c r="A122" s="11" t="s">
        <v>172</v>
      </c>
      <c r="B122" s="5">
        <v>5410943</v>
      </c>
      <c r="C122" s="5">
        <v>7734905</v>
      </c>
      <c r="D122" s="5">
        <v>8407345</v>
      </c>
      <c r="E122" s="5">
        <v>8668928</v>
      </c>
      <c r="F122" s="7">
        <v>8791972</v>
      </c>
    </row>
    <row r="123" spans="1:6" x14ac:dyDescent="0.25">
      <c r="A123" s="12" t="s">
        <v>171</v>
      </c>
      <c r="B123" s="4">
        <v>5731510</v>
      </c>
      <c r="C123" s="4">
        <v>7145956</v>
      </c>
      <c r="D123" s="4">
        <v>8570977</v>
      </c>
      <c r="E123" s="4">
        <v>8394209</v>
      </c>
      <c r="F123" s="13">
        <v>8718694</v>
      </c>
    </row>
    <row r="124" spans="1:6" x14ac:dyDescent="0.25">
      <c r="A124" s="11" t="s">
        <v>109</v>
      </c>
      <c r="B124" s="7">
        <v>11257790</v>
      </c>
      <c r="C124" s="7">
        <v>12862943</v>
      </c>
      <c r="D124" s="7">
        <v>13089406</v>
      </c>
      <c r="E124" s="7">
        <v>12218107</v>
      </c>
      <c r="F124" s="7">
        <v>8587654</v>
      </c>
    </row>
    <row r="125" spans="1:6" x14ac:dyDescent="0.25">
      <c r="A125" s="12" t="s">
        <v>59</v>
      </c>
      <c r="B125" s="4">
        <v>5605920</v>
      </c>
      <c r="C125" s="4">
        <v>6984923</v>
      </c>
      <c r="D125" s="6">
        <v>8635104</v>
      </c>
      <c r="E125" s="6">
        <v>9019715</v>
      </c>
      <c r="F125" s="6">
        <v>8122516</v>
      </c>
    </row>
    <row r="126" spans="1:6" x14ac:dyDescent="0.25">
      <c r="A126" s="11" t="s">
        <v>208</v>
      </c>
      <c r="B126" s="7">
        <v>5823207</v>
      </c>
      <c r="C126" s="7">
        <v>6875818</v>
      </c>
      <c r="D126" s="7">
        <v>10326257</v>
      </c>
      <c r="E126" s="7">
        <v>9331838</v>
      </c>
      <c r="F126" s="7">
        <v>8076312</v>
      </c>
    </row>
    <row r="127" spans="1:6" x14ac:dyDescent="0.25">
      <c r="A127" s="12" t="s">
        <v>48</v>
      </c>
      <c r="B127" s="4">
        <v>14134431</v>
      </c>
      <c r="C127" s="4">
        <v>15289980</v>
      </c>
      <c r="D127" s="4">
        <v>16544493</v>
      </c>
      <c r="E127" s="4">
        <v>17036379</v>
      </c>
      <c r="F127" s="6">
        <v>7849656</v>
      </c>
    </row>
    <row r="128" spans="1:6" x14ac:dyDescent="0.25">
      <c r="A128" s="11" t="s">
        <v>94</v>
      </c>
      <c r="B128" s="5">
        <v>4864446</v>
      </c>
      <c r="C128" s="5">
        <v>5734482</v>
      </c>
      <c r="D128" s="5">
        <v>6202467</v>
      </c>
      <c r="E128" s="5">
        <v>9112531</v>
      </c>
      <c r="F128" s="14">
        <v>7669566</v>
      </c>
    </row>
    <row r="129" spans="1:6" x14ac:dyDescent="0.25">
      <c r="A129" s="12" t="s">
        <v>204</v>
      </c>
      <c r="B129" s="4"/>
      <c r="C129" s="4">
        <v>3971928</v>
      </c>
      <c r="D129" s="4">
        <v>5091386</v>
      </c>
      <c r="E129" s="4">
        <v>5294944</v>
      </c>
      <c r="F129" s="6">
        <v>7535658</v>
      </c>
    </row>
    <row r="130" spans="1:6" x14ac:dyDescent="0.25">
      <c r="A130" s="11" t="s">
        <v>95</v>
      </c>
      <c r="B130" s="7">
        <v>4948620</v>
      </c>
      <c r="C130" s="7">
        <v>5489697</v>
      </c>
      <c r="D130" s="7">
        <v>6432321</v>
      </c>
      <c r="E130" s="7">
        <v>6989461</v>
      </c>
      <c r="F130" s="7">
        <v>7449895</v>
      </c>
    </row>
    <row r="131" spans="1:6" x14ac:dyDescent="0.25">
      <c r="A131" s="12" t="s">
        <v>159</v>
      </c>
      <c r="B131" s="4">
        <v>5321313</v>
      </c>
      <c r="C131" s="4">
        <v>7237001</v>
      </c>
      <c r="D131" s="4">
        <v>9188938</v>
      </c>
      <c r="E131" s="4">
        <v>7488773</v>
      </c>
      <c r="F131" s="13">
        <v>7294537</v>
      </c>
    </row>
    <row r="132" spans="1:6" x14ac:dyDescent="0.25">
      <c r="A132" s="11" t="s">
        <v>61</v>
      </c>
      <c r="B132" s="5">
        <v>2486490</v>
      </c>
      <c r="C132" s="5">
        <v>4146385</v>
      </c>
      <c r="D132" s="5">
        <v>8557370</v>
      </c>
      <c r="E132" s="5">
        <v>5230066</v>
      </c>
      <c r="F132" s="14">
        <v>7210548</v>
      </c>
    </row>
    <row r="133" spans="1:6" x14ac:dyDescent="0.25">
      <c r="A133" s="12" t="s">
        <v>117</v>
      </c>
      <c r="B133" s="4">
        <v>6519859</v>
      </c>
      <c r="C133" s="4">
        <v>8405634</v>
      </c>
      <c r="D133" s="4">
        <v>8096330</v>
      </c>
      <c r="E133" s="4">
        <v>6417468</v>
      </c>
      <c r="F133" s="13">
        <v>7099523</v>
      </c>
    </row>
    <row r="134" spans="1:6" x14ac:dyDescent="0.25">
      <c r="A134" s="11" t="s">
        <v>175</v>
      </c>
      <c r="B134" s="5">
        <v>1334620</v>
      </c>
      <c r="C134" s="5">
        <v>1537820</v>
      </c>
      <c r="D134" s="5">
        <v>1795761</v>
      </c>
      <c r="E134" s="5">
        <v>1831973</v>
      </c>
      <c r="F134" s="7">
        <v>7067650</v>
      </c>
    </row>
    <row r="135" spans="1:6" x14ac:dyDescent="0.25">
      <c r="A135" s="12" t="s">
        <v>126</v>
      </c>
      <c r="B135" s="4">
        <v>4241133</v>
      </c>
      <c r="C135" s="4">
        <v>5179825</v>
      </c>
      <c r="D135" s="4">
        <v>6610753</v>
      </c>
      <c r="E135" s="4">
        <v>6304368</v>
      </c>
      <c r="F135" s="13">
        <v>6801692</v>
      </c>
    </row>
    <row r="136" spans="1:6" x14ac:dyDescent="0.25">
      <c r="A136" s="11" t="s">
        <v>99</v>
      </c>
      <c r="B136" s="5">
        <v>4765479</v>
      </c>
      <c r="C136" s="5">
        <v>5970850</v>
      </c>
      <c r="D136" s="5">
        <v>7731214</v>
      </c>
      <c r="E136" s="5">
        <v>7592061</v>
      </c>
      <c r="F136" s="7">
        <v>6596382</v>
      </c>
    </row>
    <row r="137" spans="1:6" x14ac:dyDescent="0.25">
      <c r="A137" s="12" t="s">
        <v>119</v>
      </c>
      <c r="B137" s="4">
        <v>5643095</v>
      </c>
      <c r="C137" s="4">
        <v>7577619</v>
      </c>
      <c r="D137" s="4">
        <v>8603710</v>
      </c>
      <c r="E137" s="4">
        <v>9201594</v>
      </c>
      <c r="F137" s="6">
        <v>6530844</v>
      </c>
    </row>
    <row r="138" spans="1:6" x14ac:dyDescent="0.25">
      <c r="A138" s="11" t="s">
        <v>179</v>
      </c>
      <c r="B138" s="5">
        <v>3139016</v>
      </c>
      <c r="C138" s="5">
        <v>4217793</v>
      </c>
      <c r="D138" s="5">
        <v>5182866</v>
      </c>
      <c r="E138" s="5">
        <v>5704363</v>
      </c>
      <c r="F138" s="7">
        <v>6465425</v>
      </c>
    </row>
    <row r="139" spans="1:6" x14ac:dyDescent="0.25">
      <c r="A139" s="12" t="s">
        <v>65</v>
      </c>
      <c r="B139" s="4">
        <v>4185567</v>
      </c>
      <c r="C139" s="4">
        <v>4713617</v>
      </c>
      <c r="D139" s="4">
        <v>5631816</v>
      </c>
      <c r="E139" s="4">
        <v>5892915</v>
      </c>
      <c r="F139" s="13">
        <v>6430178</v>
      </c>
    </row>
    <row r="140" spans="1:6" x14ac:dyDescent="0.25">
      <c r="A140" s="11" t="s">
        <v>101</v>
      </c>
      <c r="B140" s="7">
        <v>8795009</v>
      </c>
      <c r="C140" s="7">
        <v>7325522</v>
      </c>
      <c r="D140" s="7">
        <v>7501550</v>
      </c>
      <c r="E140" s="7">
        <v>8711906</v>
      </c>
      <c r="F140" s="7">
        <v>6159337</v>
      </c>
    </row>
    <row r="141" spans="1:6" x14ac:dyDescent="0.25">
      <c r="A141" s="12" t="s">
        <v>157</v>
      </c>
      <c r="B141" s="4">
        <v>4087226</v>
      </c>
      <c r="C141" s="4">
        <v>4502304</v>
      </c>
      <c r="D141" s="4">
        <v>5820621</v>
      </c>
      <c r="E141" s="4">
        <v>6175200</v>
      </c>
      <c r="F141" s="6">
        <v>5634228</v>
      </c>
    </row>
    <row r="142" spans="1:6" x14ac:dyDescent="0.25">
      <c r="A142" s="11" t="s">
        <v>170</v>
      </c>
      <c r="B142" s="5">
        <v>2859115</v>
      </c>
      <c r="C142" s="5">
        <v>3860465</v>
      </c>
      <c r="D142" s="5">
        <v>5119811</v>
      </c>
      <c r="E142" s="5">
        <v>4816929</v>
      </c>
      <c r="F142" s="14">
        <v>4817890</v>
      </c>
    </row>
    <row r="143" spans="1:6" x14ac:dyDescent="0.25">
      <c r="A143" s="12" t="s">
        <v>52</v>
      </c>
      <c r="B143" s="4">
        <v>3227340</v>
      </c>
      <c r="C143" s="4">
        <v>4380344</v>
      </c>
      <c r="D143" s="4">
        <v>5478191</v>
      </c>
      <c r="E143" s="4">
        <v>4809848</v>
      </c>
      <c r="F143" s="13">
        <v>4803725</v>
      </c>
    </row>
    <row r="144" spans="1:6" x14ac:dyDescent="0.25">
      <c r="A144" s="11" t="s">
        <v>150</v>
      </c>
      <c r="B144" s="5">
        <v>5339900</v>
      </c>
      <c r="C144" s="5">
        <v>5765412</v>
      </c>
      <c r="D144" s="5">
        <v>6453532</v>
      </c>
      <c r="E144" s="5">
        <v>6416647</v>
      </c>
      <c r="F144" s="7">
        <v>4699356</v>
      </c>
    </row>
    <row r="145" spans="1:6" x14ac:dyDescent="0.25">
      <c r="A145" s="12" t="s">
        <v>50</v>
      </c>
      <c r="B145" s="4">
        <v>8250511</v>
      </c>
      <c r="C145" s="4">
        <v>9086037</v>
      </c>
      <c r="D145" s="4">
        <v>9747769</v>
      </c>
      <c r="E145" s="4">
        <v>11780107</v>
      </c>
      <c r="F145" s="6">
        <v>4539022</v>
      </c>
    </row>
    <row r="146" spans="1:6" x14ac:dyDescent="0.25">
      <c r="A146" s="11" t="s">
        <v>187</v>
      </c>
      <c r="B146" s="5">
        <v>2102881</v>
      </c>
      <c r="C146" s="5">
        <v>2504294</v>
      </c>
      <c r="D146" s="5">
        <v>3722463</v>
      </c>
      <c r="E146" s="5">
        <v>4116053</v>
      </c>
      <c r="F146" s="14">
        <v>4398798</v>
      </c>
    </row>
    <row r="147" spans="1:6" x14ac:dyDescent="0.25">
      <c r="A147" s="12" t="s">
        <v>141</v>
      </c>
      <c r="B147" s="4">
        <v>1912607</v>
      </c>
      <c r="C147" s="4">
        <v>2351503</v>
      </c>
      <c r="D147" s="4">
        <v>3631494</v>
      </c>
      <c r="E147" s="6">
        <v>6336973</v>
      </c>
      <c r="F147" s="6">
        <v>4378398</v>
      </c>
    </row>
    <row r="148" spans="1:6" x14ac:dyDescent="0.25">
      <c r="A148" s="11" t="s">
        <v>138</v>
      </c>
      <c r="B148" s="5">
        <v>7230346</v>
      </c>
      <c r="C148" s="5">
        <v>8431207</v>
      </c>
      <c r="D148" s="5">
        <v>9833120</v>
      </c>
      <c r="E148" s="7">
        <v>4671629</v>
      </c>
      <c r="F148" s="7">
        <v>4251894</v>
      </c>
    </row>
    <row r="149" spans="1:6" x14ac:dyDescent="0.25">
      <c r="A149" s="12" t="s">
        <v>158</v>
      </c>
      <c r="B149" s="6">
        <v>3376044</v>
      </c>
      <c r="C149" s="6">
        <v>4541758</v>
      </c>
      <c r="D149" s="6">
        <v>4939758</v>
      </c>
      <c r="E149" s="6">
        <v>5265519</v>
      </c>
      <c r="F149" s="6">
        <v>3947850</v>
      </c>
    </row>
    <row r="150" spans="1:6" x14ac:dyDescent="0.25">
      <c r="A150" s="11" t="s">
        <v>134</v>
      </c>
      <c r="B150" s="7">
        <v>4238119</v>
      </c>
      <c r="C150" s="7">
        <v>4598229</v>
      </c>
      <c r="D150" s="7">
        <v>4326183</v>
      </c>
      <c r="E150" s="7">
        <v>3962129</v>
      </c>
      <c r="F150" s="7">
        <v>3520958</v>
      </c>
    </row>
    <row r="151" spans="1:6" x14ac:dyDescent="0.25">
      <c r="A151" s="12" t="s">
        <v>84</v>
      </c>
      <c r="B151" s="6">
        <v>4996010</v>
      </c>
      <c r="C151" s="6">
        <v>5385161</v>
      </c>
      <c r="D151" s="6">
        <v>5183675</v>
      </c>
      <c r="E151" s="6">
        <v>4416027</v>
      </c>
      <c r="F151" s="6">
        <v>3461997</v>
      </c>
    </row>
    <row r="152" spans="1:6" x14ac:dyDescent="0.25">
      <c r="A152" s="11" t="s">
        <v>185</v>
      </c>
      <c r="B152" s="5">
        <v>2652177</v>
      </c>
      <c r="C152" s="5">
        <v>3460378</v>
      </c>
      <c r="D152" s="5">
        <v>3925598</v>
      </c>
      <c r="E152" s="5">
        <v>4211327</v>
      </c>
      <c r="F152" s="14">
        <v>3366575</v>
      </c>
    </row>
    <row r="153" spans="1:6" x14ac:dyDescent="0.25">
      <c r="A153" s="12" t="s">
        <v>103</v>
      </c>
      <c r="B153" s="4">
        <v>2160154</v>
      </c>
      <c r="C153" s="4">
        <v>2493138</v>
      </c>
      <c r="D153" s="4">
        <v>2797558</v>
      </c>
      <c r="E153" s="4">
        <v>3049774</v>
      </c>
      <c r="F153" s="13">
        <v>3221584</v>
      </c>
    </row>
    <row r="154" spans="1:6" x14ac:dyDescent="0.25">
      <c r="A154" s="11" t="s">
        <v>201</v>
      </c>
      <c r="B154" s="5">
        <v>903957</v>
      </c>
      <c r="C154" s="5">
        <v>1055227</v>
      </c>
      <c r="D154" s="5">
        <v>1192258</v>
      </c>
      <c r="E154" s="5">
        <v>1180035</v>
      </c>
      <c r="F154" s="7">
        <v>3161567</v>
      </c>
    </row>
    <row r="155" spans="1:6" x14ac:dyDescent="0.25">
      <c r="A155" s="12" t="s">
        <v>192</v>
      </c>
      <c r="B155" s="6">
        <v>4420043</v>
      </c>
      <c r="C155" s="6">
        <v>5159980</v>
      </c>
      <c r="D155" s="6">
        <v>5824416</v>
      </c>
      <c r="E155" s="6">
        <v>5298254</v>
      </c>
      <c r="F155" s="6">
        <v>3100163</v>
      </c>
    </row>
    <row r="156" spans="1:6" x14ac:dyDescent="0.25">
      <c r="A156" s="11" t="s">
        <v>144</v>
      </c>
      <c r="B156" s="7">
        <v>8983163</v>
      </c>
      <c r="C156" s="7">
        <v>9009117</v>
      </c>
      <c r="D156" s="7">
        <v>10500347</v>
      </c>
      <c r="E156" s="7">
        <v>6730166</v>
      </c>
      <c r="F156" s="7">
        <v>3007222</v>
      </c>
    </row>
    <row r="157" spans="1:6" x14ac:dyDescent="0.25">
      <c r="A157" s="12" t="s">
        <v>167</v>
      </c>
      <c r="B157" s="6">
        <v>2242357</v>
      </c>
      <c r="C157" s="6">
        <v>2938864</v>
      </c>
      <c r="D157" s="6">
        <v>3985448</v>
      </c>
      <c r="E157" s="6">
        <v>5065977</v>
      </c>
      <c r="F157" s="6">
        <v>2956110</v>
      </c>
    </row>
    <row r="158" spans="1:6" x14ac:dyDescent="0.25">
      <c r="A158" s="11" t="s">
        <v>199</v>
      </c>
      <c r="B158" s="5">
        <v>1837143</v>
      </c>
      <c r="C158" s="5">
        <v>2580550</v>
      </c>
      <c r="D158" s="5">
        <v>3522703</v>
      </c>
      <c r="E158" s="5">
        <v>3394094</v>
      </c>
      <c r="F158" s="7">
        <v>2930447</v>
      </c>
    </row>
    <row r="159" spans="1:6" x14ac:dyDescent="0.25">
      <c r="A159" s="12" t="s">
        <v>164</v>
      </c>
      <c r="B159" s="4">
        <v>3477811</v>
      </c>
      <c r="C159" s="4">
        <v>3650384</v>
      </c>
      <c r="D159" s="4">
        <v>4096472</v>
      </c>
      <c r="E159" s="4">
        <v>4226842</v>
      </c>
      <c r="F159" s="6">
        <v>2715565</v>
      </c>
    </row>
    <row r="160" spans="1:6" x14ac:dyDescent="0.25">
      <c r="A160" s="11" t="s">
        <v>46</v>
      </c>
      <c r="B160" s="5">
        <v>1733489</v>
      </c>
      <c r="C160" s="5">
        <v>2117133</v>
      </c>
      <c r="D160" s="5">
        <v>3015746</v>
      </c>
      <c r="E160" s="5">
        <v>3132125</v>
      </c>
      <c r="F160" s="7">
        <v>2710891</v>
      </c>
    </row>
    <row r="161" spans="1:6" x14ac:dyDescent="0.25">
      <c r="A161" s="12" t="s">
        <v>202</v>
      </c>
      <c r="B161" s="4">
        <v>1003430</v>
      </c>
      <c r="C161" s="6">
        <v>1715157</v>
      </c>
      <c r="D161" s="6">
        <v>2343768</v>
      </c>
      <c r="E161" s="6">
        <v>2293825</v>
      </c>
      <c r="F161" s="6">
        <v>2707963</v>
      </c>
    </row>
    <row r="162" spans="1:6" x14ac:dyDescent="0.25">
      <c r="A162" s="11" t="s">
        <v>190</v>
      </c>
      <c r="B162" s="5">
        <v>1501237</v>
      </c>
      <c r="C162" s="5">
        <v>1673621</v>
      </c>
      <c r="D162" s="5">
        <v>2147541</v>
      </c>
      <c r="E162" s="5">
        <v>2118006</v>
      </c>
      <c r="F162" s="14">
        <v>2153549</v>
      </c>
    </row>
    <row r="163" spans="1:6" x14ac:dyDescent="0.25">
      <c r="A163" s="12" t="s">
        <v>177</v>
      </c>
      <c r="B163" s="4">
        <v>1605274</v>
      </c>
      <c r="C163" s="4">
        <v>2051495</v>
      </c>
      <c r="D163" s="4">
        <v>2123792</v>
      </c>
      <c r="E163" s="4">
        <v>2038539</v>
      </c>
      <c r="F163" s="6">
        <v>2123695</v>
      </c>
    </row>
    <row r="164" spans="1:6" x14ac:dyDescent="0.25">
      <c r="A164" s="11" t="s">
        <v>182</v>
      </c>
      <c r="B164" s="7">
        <v>1211402</v>
      </c>
      <c r="C164" s="7">
        <v>1689962</v>
      </c>
      <c r="D164" s="7">
        <v>1849948</v>
      </c>
      <c r="E164" s="7">
        <v>2034786</v>
      </c>
      <c r="F164" s="7">
        <v>2033045</v>
      </c>
    </row>
    <row r="165" spans="1:6" x14ac:dyDescent="0.25">
      <c r="A165" s="12" t="s">
        <v>193</v>
      </c>
      <c r="B165" s="6">
        <v>569503</v>
      </c>
      <c r="C165" s="6">
        <v>295048</v>
      </c>
      <c r="D165" s="6">
        <v>1300849</v>
      </c>
      <c r="E165" s="6">
        <v>2083553</v>
      </c>
      <c r="F165" s="6">
        <v>1966746</v>
      </c>
    </row>
    <row r="166" spans="1:6" x14ac:dyDescent="0.25">
      <c r="A166" s="11" t="s">
        <v>107</v>
      </c>
      <c r="B166" s="5">
        <v>1494812</v>
      </c>
      <c r="C166" s="5">
        <v>1563492</v>
      </c>
      <c r="D166" s="5">
        <v>1864441</v>
      </c>
      <c r="E166" s="5">
        <v>1994798</v>
      </c>
      <c r="F166" s="7">
        <v>1877488</v>
      </c>
    </row>
    <row r="167" spans="1:6" x14ac:dyDescent="0.25">
      <c r="A167" s="12" t="s">
        <v>205</v>
      </c>
      <c r="B167" s="4">
        <v>1714131</v>
      </c>
      <c r="C167" s="4">
        <v>2003096</v>
      </c>
      <c r="D167" s="4">
        <v>2220195</v>
      </c>
      <c r="E167" s="4">
        <v>2302657</v>
      </c>
      <c r="F167" s="6">
        <v>1827168</v>
      </c>
    </row>
    <row r="168" spans="1:6" x14ac:dyDescent="0.25">
      <c r="A168" s="11" t="s">
        <v>183</v>
      </c>
      <c r="B168" s="5">
        <v>1533107</v>
      </c>
      <c r="C168" s="5">
        <v>1381166</v>
      </c>
      <c r="D168" s="5">
        <v>1803200</v>
      </c>
      <c r="E168" s="5">
        <v>1697155</v>
      </c>
      <c r="F168" s="14">
        <v>1750570</v>
      </c>
    </row>
    <row r="169" spans="1:6" x14ac:dyDescent="0.25">
      <c r="A169" s="12" t="s">
        <v>184</v>
      </c>
      <c r="B169" s="6">
        <v>2160324</v>
      </c>
      <c r="C169" s="6">
        <v>2265708</v>
      </c>
      <c r="D169" s="6">
        <v>2836706</v>
      </c>
      <c r="E169" s="6">
        <v>2720816</v>
      </c>
      <c r="F169" s="6">
        <v>1748506</v>
      </c>
    </row>
    <row r="170" spans="1:6" x14ac:dyDescent="0.25">
      <c r="A170" s="11" t="s">
        <v>112</v>
      </c>
      <c r="B170" s="5">
        <v>1480789</v>
      </c>
      <c r="C170" s="5">
        <v>1832506</v>
      </c>
      <c r="D170" s="5">
        <v>1881396</v>
      </c>
      <c r="E170" s="5">
        <v>1734885</v>
      </c>
      <c r="F170" s="7">
        <v>1673439</v>
      </c>
    </row>
    <row r="171" spans="1:6" x14ac:dyDescent="0.25">
      <c r="A171" s="12" t="s">
        <v>180</v>
      </c>
      <c r="B171" s="6">
        <v>1166841</v>
      </c>
      <c r="C171" s="6">
        <v>1328900</v>
      </c>
      <c r="D171" s="6">
        <v>1440679</v>
      </c>
      <c r="E171" s="6">
        <v>1464480</v>
      </c>
      <c r="F171" s="6">
        <v>1635279</v>
      </c>
    </row>
    <row r="172" spans="1:6" x14ac:dyDescent="0.25">
      <c r="A172" s="11" t="s">
        <v>124</v>
      </c>
      <c r="B172" s="5">
        <v>532953</v>
      </c>
      <c r="C172" s="7">
        <v>1513366</v>
      </c>
      <c r="D172" s="7">
        <v>1346174</v>
      </c>
      <c r="E172" s="7">
        <v>1132883</v>
      </c>
      <c r="F172" s="7">
        <v>1632543</v>
      </c>
    </row>
    <row r="173" spans="1:6" x14ac:dyDescent="0.25">
      <c r="A173" s="12" t="s">
        <v>152</v>
      </c>
      <c r="B173" s="4">
        <v>3706645</v>
      </c>
      <c r="C173" s="4">
        <v>3736702</v>
      </c>
      <c r="D173" s="4">
        <v>3367604</v>
      </c>
      <c r="E173" s="6">
        <v>2289622</v>
      </c>
      <c r="F173" s="6">
        <v>1616708</v>
      </c>
    </row>
    <row r="174" spans="1:6" x14ac:dyDescent="0.25">
      <c r="A174" s="11" t="s">
        <v>211</v>
      </c>
      <c r="B174" s="7">
        <v>1582024</v>
      </c>
      <c r="C174" s="7">
        <v>1094076</v>
      </c>
      <c r="D174" s="7">
        <v>2151796</v>
      </c>
      <c r="E174" s="7">
        <v>2476840</v>
      </c>
      <c r="F174" s="7">
        <v>1521030</v>
      </c>
    </row>
    <row r="175" spans="1:6" x14ac:dyDescent="0.25">
      <c r="A175" s="12" t="s">
        <v>188</v>
      </c>
      <c r="B175" s="4">
        <v>1065045</v>
      </c>
      <c r="C175" s="4">
        <v>1200014</v>
      </c>
      <c r="D175" s="4">
        <v>1407302</v>
      </c>
      <c r="E175" s="4">
        <v>1468137</v>
      </c>
      <c r="F175" s="13">
        <v>1507925</v>
      </c>
    </row>
    <row r="176" spans="1:6" x14ac:dyDescent="0.25">
      <c r="A176" s="11" t="s">
        <v>132</v>
      </c>
      <c r="B176" s="5">
        <v>6063062</v>
      </c>
      <c r="C176" s="5">
        <v>7829705</v>
      </c>
      <c r="D176" s="5">
        <v>9088634</v>
      </c>
      <c r="E176" s="5">
        <v>8270534</v>
      </c>
      <c r="F176" s="7">
        <v>1496150</v>
      </c>
    </row>
    <row r="177" spans="1:6" x14ac:dyDescent="0.25">
      <c r="A177" s="12" t="s">
        <v>67</v>
      </c>
      <c r="B177" s="4">
        <v>891869</v>
      </c>
      <c r="C177" s="4">
        <v>1221291</v>
      </c>
      <c r="D177" s="4">
        <v>1568916</v>
      </c>
      <c r="E177" s="4">
        <v>1289872</v>
      </c>
      <c r="F177" s="6">
        <v>1461529</v>
      </c>
    </row>
    <row r="178" spans="1:6" x14ac:dyDescent="0.25">
      <c r="A178" s="11" t="s">
        <v>198</v>
      </c>
      <c r="B178" s="5">
        <v>787099</v>
      </c>
      <c r="C178" s="5">
        <v>1057442</v>
      </c>
      <c r="D178" s="5">
        <v>1378182</v>
      </c>
      <c r="E178" s="5">
        <v>1337483</v>
      </c>
      <c r="F178" s="14">
        <v>1440307</v>
      </c>
    </row>
    <row r="179" spans="1:6" x14ac:dyDescent="0.25">
      <c r="A179" s="12" t="s">
        <v>149</v>
      </c>
      <c r="B179" s="4">
        <v>2730273</v>
      </c>
      <c r="C179" s="4">
        <v>3308449</v>
      </c>
      <c r="D179" s="4">
        <v>3095448</v>
      </c>
      <c r="E179" s="4">
        <v>3329919</v>
      </c>
      <c r="F179" s="6">
        <v>1423048</v>
      </c>
    </row>
    <row r="180" spans="1:6" x14ac:dyDescent="0.25">
      <c r="A180" s="11" t="s">
        <v>209</v>
      </c>
      <c r="B180" s="5">
        <v>939715</v>
      </c>
      <c r="C180" s="5">
        <v>1169779</v>
      </c>
      <c r="D180" s="5">
        <v>1474134</v>
      </c>
      <c r="E180" s="5">
        <v>1536520</v>
      </c>
      <c r="F180" s="7">
        <v>1410705</v>
      </c>
    </row>
    <row r="181" spans="1:6" x14ac:dyDescent="0.25">
      <c r="A181" s="12" t="s">
        <v>207</v>
      </c>
      <c r="B181" s="4">
        <v>909131</v>
      </c>
      <c r="C181" s="4">
        <v>981086</v>
      </c>
      <c r="D181" s="4">
        <v>1203662</v>
      </c>
      <c r="E181" s="4">
        <v>1182293</v>
      </c>
      <c r="F181" s="13">
        <v>1267502</v>
      </c>
    </row>
    <row r="182" spans="1:6" x14ac:dyDescent="0.25">
      <c r="A182" s="11" t="s">
        <v>197</v>
      </c>
      <c r="B182" s="5">
        <v>422167</v>
      </c>
      <c r="C182" s="5">
        <v>479796</v>
      </c>
      <c r="D182" s="5">
        <v>622972</v>
      </c>
      <c r="E182" s="5">
        <v>672522</v>
      </c>
      <c r="F182" s="7">
        <v>1227389</v>
      </c>
    </row>
    <row r="183" spans="1:6" x14ac:dyDescent="0.25">
      <c r="A183" s="12" t="s">
        <v>200</v>
      </c>
      <c r="B183" s="6">
        <v>1123416</v>
      </c>
      <c r="C183" s="6">
        <v>2175265</v>
      </c>
      <c r="D183" s="6">
        <v>1242294</v>
      </c>
      <c r="E183" s="6">
        <v>1057030</v>
      </c>
      <c r="F183" s="6">
        <v>1110249</v>
      </c>
    </row>
    <row r="184" spans="1:6" x14ac:dyDescent="0.25">
      <c r="A184" s="11" t="s">
        <v>139</v>
      </c>
      <c r="B184" s="7">
        <v>1154594</v>
      </c>
      <c r="C184" s="7">
        <v>1294307</v>
      </c>
      <c r="D184" s="7">
        <v>1139354</v>
      </c>
      <c r="E184" s="7">
        <v>1416151</v>
      </c>
      <c r="F184" s="7">
        <v>1087189</v>
      </c>
    </row>
    <row r="185" spans="1:6" x14ac:dyDescent="0.25">
      <c r="A185" s="12" t="s">
        <v>212</v>
      </c>
      <c r="B185" s="4">
        <v>496896</v>
      </c>
      <c r="C185" s="4">
        <v>542320</v>
      </c>
      <c r="D185" s="4">
        <v>933462</v>
      </c>
      <c r="E185" s="4">
        <v>909825</v>
      </c>
      <c r="F185" s="6">
        <v>1056247</v>
      </c>
    </row>
    <row r="186" spans="1:6" x14ac:dyDescent="0.25">
      <c r="A186" s="11" t="s">
        <v>181</v>
      </c>
      <c r="B186" s="7">
        <v>797694</v>
      </c>
      <c r="C186" s="7">
        <v>952785</v>
      </c>
      <c r="D186" s="7">
        <v>1062776</v>
      </c>
      <c r="E186" s="7">
        <v>1131380</v>
      </c>
      <c r="F186" s="7">
        <v>1039263</v>
      </c>
    </row>
    <row r="187" spans="1:6" x14ac:dyDescent="0.25">
      <c r="A187" s="12" t="s">
        <v>216</v>
      </c>
      <c r="B187" s="4">
        <v>674761</v>
      </c>
      <c r="C187" s="4">
        <v>708977</v>
      </c>
      <c r="D187" s="4">
        <v>920565</v>
      </c>
      <c r="E187" s="4">
        <v>2383632</v>
      </c>
      <c r="F187" s="13">
        <v>988450</v>
      </c>
    </row>
    <row r="188" spans="1:6" x14ac:dyDescent="0.25">
      <c r="A188" s="11" t="s">
        <v>215</v>
      </c>
      <c r="B188" s="5">
        <v>735266</v>
      </c>
      <c r="C188" s="5">
        <v>767192</v>
      </c>
      <c r="D188" s="5">
        <v>846564</v>
      </c>
      <c r="E188" s="5">
        <v>925276</v>
      </c>
      <c r="F188" s="14">
        <v>915655</v>
      </c>
    </row>
    <row r="189" spans="1:6" x14ac:dyDescent="0.25">
      <c r="A189" s="12" t="s">
        <v>224</v>
      </c>
      <c r="B189" s="6">
        <v>319053</v>
      </c>
      <c r="C189" s="6">
        <v>464154</v>
      </c>
      <c r="D189" s="6">
        <v>684058</v>
      </c>
      <c r="E189" s="6">
        <v>732046</v>
      </c>
      <c r="F189" s="6">
        <v>892018</v>
      </c>
    </row>
    <row r="190" spans="1:6" x14ac:dyDescent="0.25">
      <c r="A190" s="11" t="s">
        <v>71</v>
      </c>
      <c r="B190" s="5">
        <v>3026110</v>
      </c>
      <c r="C190" s="5">
        <v>2784744</v>
      </c>
      <c r="D190" s="5">
        <v>3787226</v>
      </c>
      <c r="E190" s="5">
        <v>3136148</v>
      </c>
      <c r="F190" s="7">
        <v>875787</v>
      </c>
    </row>
    <row r="191" spans="1:6" x14ac:dyDescent="0.25">
      <c r="A191" s="12" t="s">
        <v>169</v>
      </c>
      <c r="B191" s="6">
        <v>1280190</v>
      </c>
      <c r="C191" s="6">
        <v>1015295</v>
      </c>
      <c r="D191" s="6">
        <v>1734017</v>
      </c>
      <c r="E191" s="6">
        <v>1037187</v>
      </c>
      <c r="F191" s="6">
        <v>860779</v>
      </c>
    </row>
    <row r="192" spans="1:6" x14ac:dyDescent="0.25">
      <c r="A192" s="11" t="s">
        <v>219</v>
      </c>
      <c r="B192" s="7">
        <v>312123</v>
      </c>
      <c r="C192" s="7">
        <v>572318</v>
      </c>
      <c r="D192" s="7">
        <v>839897</v>
      </c>
      <c r="E192" s="7">
        <v>697784</v>
      </c>
      <c r="F192" s="7">
        <v>662898</v>
      </c>
    </row>
    <row r="193" spans="1:6" x14ac:dyDescent="0.25">
      <c r="A193" s="12" t="s">
        <v>186</v>
      </c>
      <c r="B193" s="6">
        <v>369488</v>
      </c>
      <c r="C193" s="6">
        <v>490173</v>
      </c>
      <c r="D193" s="6">
        <v>552231</v>
      </c>
      <c r="E193" s="6">
        <v>595939</v>
      </c>
      <c r="F193" s="6">
        <v>557376</v>
      </c>
    </row>
    <row r="194" spans="1:6" x14ac:dyDescent="0.25">
      <c r="A194" s="11" t="s">
        <v>220</v>
      </c>
      <c r="B194" s="5">
        <v>311893</v>
      </c>
      <c r="C194" s="5">
        <v>370236</v>
      </c>
      <c r="D194" s="5">
        <v>447050</v>
      </c>
      <c r="E194" s="5">
        <v>473580</v>
      </c>
      <c r="F194" s="7">
        <v>530853</v>
      </c>
    </row>
    <row r="195" spans="1:6" x14ac:dyDescent="0.25">
      <c r="A195" s="12" t="s">
        <v>196</v>
      </c>
      <c r="B195" s="6">
        <v>253761</v>
      </c>
      <c r="C195" s="6">
        <v>341944</v>
      </c>
      <c r="D195" s="6">
        <v>427909</v>
      </c>
      <c r="E195" s="6">
        <v>492381</v>
      </c>
      <c r="F195" s="6">
        <v>525871</v>
      </c>
    </row>
    <row r="196" spans="1:6" x14ac:dyDescent="0.25">
      <c r="A196" s="11" t="s">
        <v>133</v>
      </c>
      <c r="B196" s="5">
        <v>394552</v>
      </c>
      <c r="C196" s="5">
        <v>446676</v>
      </c>
      <c r="D196" s="5">
        <v>589270</v>
      </c>
      <c r="E196" s="5">
        <v>608759</v>
      </c>
      <c r="F196" s="7">
        <v>512167</v>
      </c>
    </row>
    <row r="197" spans="1:6" x14ac:dyDescent="0.25">
      <c r="A197" s="12" t="s">
        <v>69</v>
      </c>
      <c r="B197" s="4">
        <v>321194</v>
      </c>
      <c r="C197" s="4">
        <v>372388</v>
      </c>
      <c r="D197" s="4">
        <v>437951</v>
      </c>
      <c r="E197" s="4">
        <v>456433</v>
      </c>
      <c r="F197" s="6">
        <v>490724</v>
      </c>
    </row>
    <row r="198" spans="1:6" x14ac:dyDescent="0.25">
      <c r="A198" s="11" t="s">
        <v>191</v>
      </c>
      <c r="B198" s="7">
        <v>1035422</v>
      </c>
      <c r="C198" s="7">
        <v>1260753</v>
      </c>
      <c r="D198" s="7">
        <v>1492691</v>
      </c>
      <c r="E198" s="7">
        <v>1467602</v>
      </c>
      <c r="F198" s="7">
        <v>471273</v>
      </c>
    </row>
    <row r="199" spans="1:6" x14ac:dyDescent="0.25">
      <c r="A199" s="12" t="s">
        <v>203</v>
      </c>
      <c r="B199" s="6">
        <v>331753</v>
      </c>
      <c r="C199" s="6">
        <v>411016</v>
      </c>
      <c r="D199" s="6">
        <v>423353</v>
      </c>
      <c r="E199" s="6">
        <v>577313</v>
      </c>
      <c r="F199" s="6">
        <v>425102</v>
      </c>
    </row>
    <row r="200" spans="1:6" x14ac:dyDescent="0.25">
      <c r="A200" s="11" t="s">
        <v>218</v>
      </c>
      <c r="B200" s="7">
        <v>302375</v>
      </c>
      <c r="C200" s="7">
        <v>294142</v>
      </c>
      <c r="D200" s="7">
        <v>391380</v>
      </c>
      <c r="E200" s="7">
        <v>381256</v>
      </c>
      <c r="F200" s="7">
        <v>370784</v>
      </c>
    </row>
    <row r="201" spans="1:6" x14ac:dyDescent="0.25">
      <c r="A201" s="12" t="s">
        <v>140</v>
      </c>
      <c r="B201" s="4">
        <v>210872</v>
      </c>
      <c r="C201" s="4">
        <v>327702</v>
      </c>
      <c r="D201" s="4">
        <v>228797</v>
      </c>
      <c r="E201" s="4">
        <v>273142</v>
      </c>
      <c r="F201" s="6">
        <v>347297</v>
      </c>
    </row>
    <row r="202" spans="1:6" x14ac:dyDescent="0.25">
      <c r="A202" s="11" t="s">
        <v>189</v>
      </c>
      <c r="B202" s="7">
        <v>309997</v>
      </c>
      <c r="C202" s="7">
        <v>343768</v>
      </c>
      <c r="D202" s="7">
        <v>451845</v>
      </c>
      <c r="E202" s="7">
        <v>444145</v>
      </c>
      <c r="F202" s="7">
        <v>345988</v>
      </c>
    </row>
    <row r="203" spans="1:6" x14ac:dyDescent="0.25">
      <c r="A203" s="12" t="s">
        <v>221</v>
      </c>
      <c r="B203" s="6">
        <v>89130</v>
      </c>
      <c r="C203" s="6">
        <v>158318</v>
      </c>
      <c r="D203" s="6">
        <v>161064</v>
      </c>
      <c r="E203" s="6">
        <v>251496</v>
      </c>
      <c r="F203" s="6">
        <v>290919</v>
      </c>
    </row>
    <row r="204" spans="1:6" x14ac:dyDescent="0.25">
      <c r="A204" s="11" t="s">
        <v>75</v>
      </c>
      <c r="B204" s="5">
        <v>179967</v>
      </c>
      <c r="C204" s="5">
        <v>190371</v>
      </c>
      <c r="D204" s="5">
        <v>216719</v>
      </c>
      <c r="E204" s="5">
        <v>301309</v>
      </c>
      <c r="F204" s="7">
        <v>287257</v>
      </c>
    </row>
    <row r="205" spans="1:6" x14ac:dyDescent="0.25">
      <c r="A205" s="12" t="s">
        <v>195</v>
      </c>
      <c r="B205" s="6">
        <v>115168</v>
      </c>
      <c r="C205" s="6">
        <v>140831</v>
      </c>
      <c r="D205" s="6">
        <v>113047</v>
      </c>
      <c r="E205" s="6">
        <v>177832</v>
      </c>
      <c r="F205" s="6">
        <v>243045</v>
      </c>
    </row>
    <row r="206" spans="1:6" x14ac:dyDescent="0.25">
      <c r="A206" s="11" t="s">
        <v>98</v>
      </c>
      <c r="B206" s="5">
        <v>544916</v>
      </c>
      <c r="C206" s="5">
        <v>486656</v>
      </c>
      <c r="D206" s="5">
        <v>629525</v>
      </c>
      <c r="E206" s="5">
        <v>742649</v>
      </c>
      <c r="F206" s="7">
        <v>239373</v>
      </c>
    </row>
    <row r="207" spans="1:6" x14ac:dyDescent="0.25">
      <c r="A207" s="12" t="s">
        <v>225</v>
      </c>
      <c r="B207" s="4">
        <v>217833</v>
      </c>
      <c r="C207" s="4">
        <v>270970</v>
      </c>
      <c r="D207" s="4">
        <v>273574</v>
      </c>
      <c r="E207" s="4">
        <v>326484</v>
      </c>
      <c r="F207" s="6">
        <v>236221</v>
      </c>
    </row>
    <row r="208" spans="1:6" x14ac:dyDescent="0.25">
      <c r="A208" s="11" t="s">
        <v>233</v>
      </c>
      <c r="B208" s="7">
        <v>129000</v>
      </c>
      <c r="C208" s="7">
        <v>147927</v>
      </c>
      <c r="D208" s="7">
        <v>165778</v>
      </c>
      <c r="E208" s="7">
        <v>197383</v>
      </c>
      <c r="F208" s="7">
        <v>231466</v>
      </c>
    </row>
    <row r="209" spans="1:6" x14ac:dyDescent="0.25">
      <c r="A209" s="12" t="s">
        <v>226</v>
      </c>
      <c r="B209" s="6">
        <v>96711</v>
      </c>
      <c r="C209" s="6">
        <v>128443</v>
      </c>
      <c r="D209" s="6">
        <v>183235</v>
      </c>
      <c r="E209" s="6">
        <v>211712</v>
      </c>
      <c r="F209" s="6">
        <v>203205</v>
      </c>
    </row>
    <row r="210" spans="1:6" x14ac:dyDescent="0.25">
      <c r="A210" s="11" t="s">
        <v>194</v>
      </c>
      <c r="B210" s="7">
        <v>142319</v>
      </c>
      <c r="C210" s="7">
        <v>133483</v>
      </c>
      <c r="D210" s="7">
        <v>161577</v>
      </c>
      <c r="E210" s="7">
        <v>180574</v>
      </c>
      <c r="F210" s="7">
        <v>169111</v>
      </c>
    </row>
    <row r="211" spans="1:6" x14ac:dyDescent="0.25">
      <c r="A211" s="12" t="s">
        <v>210</v>
      </c>
      <c r="B211" s="4">
        <v>108947</v>
      </c>
      <c r="C211" s="4">
        <v>173779</v>
      </c>
      <c r="D211" s="6">
        <v>206722</v>
      </c>
      <c r="E211" s="6">
        <v>175870</v>
      </c>
      <c r="F211" s="6">
        <v>164703</v>
      </c>
    </row>
    <row r="212" spans="1:6" x14ac:dyDescent="0.25">
      <c r="A212" s="11" t="s">
        <v>238</v>
      </c>
      <c r="B212" s="7">
        <v>112785</v>
      </c>
      <c r="C212" s="7">
        <v>65149</v>
      </c>
      <c r="D212" s="7">
        <v>154893</v>
      </c>
      <c r="E212" s="7">
        <v>163367</v>
      </c>
      <c r="F212" s="7">
        <v>151632</v>
      </c>
    </row>
    <row r="213" spans="1:6" x14ac:dyDescent="0.25">
      <c r="A213" s="12" t="s">
        <v>123</v>
      </c>
      <c r="B213" s="6">
        <v>67951</v>
      </c>
      <c r="C213" s="6">
        <v>127531</v>
      </c>
      <c r="D213" s="6">
        <v>166727</v>
      </c>
      <c r="E213" s="6">
        <v>133241</v>
      </c>
      <c r="F213" s="6">
        <v>142575</v>
      </c>
    </row>
    <row r="214" spans="1:6" x14ac:dyDescent="0.25">
      <c r="A214" s="11" t="s">
        <v>217</v>
      </c>
      <c r="B214" s="5">
        <v>138291</v>
      </c>
      <c r="C214" s="5">
        <v>166275</v>
      </c>
      <c r="D214" s="5">
        <v>196299</v>
      </c>
      <c r="E214" s="5">
        <v>183563</v>
      </c>
      <c r="F214" s="7">
        <v>137407</v>
      </c>
    </row>
    <row r="215" spans="1:6" x14ac:dyDescent="0.25">
      <c r="A215" s="12" t="s">
        <v>228</v>
      </c>
      <c r="B215" s="6">
        <v>44257</v>
      </c>
      <c r="C215" s="6">
        <v>64406</v>
      </c>
      <c r="D215" s="6">
        <v>56686</v>
      </c>
      <c r="E215" s="6">
        <v>114300</v>
      </c>
      <c r="F215" s="6">
        <v>135512</v>
      </c>
    </row>
    <row r="216" spans="1:6" x14ac:dyDescent="0.25">
      <c r="A216" s="11" t="s">
        <v>236</v>
      </c>
      <c r="B216" s="7">
        <v>14400</v>
      </c>
      <c r="C216" s="7">
        <v>41081</v>
      </c>
      <c r="D216" s="7">
        <v>55449</v>
      </c>
      <c r="E216" s="7">
        <v>122129</v>
      </c>
      <c r="F216" s="7">
        <v>119629</v>
      </c>
    </row>
    <row r="217" spans="1:6" x14ac:dyDescent="0.25">
      <c r="A217" s="12" t="s">
        <v>231</v>
      </c>
      <c r="B217" s="6">
        <v>63859</v>
      </c>
      <c r="C217" s="6">
        <v>61033</v>
      </c>
      <c r="D217" s="6">
        <v>103674</v>
      </c>
      <c r="E217" s="6">
        <v>123897</v>
      </c>
      <c r="F217" s="6">
        <v>95733</v>
      </c>
    </row>
    <row r="218" spans="1:6" x14ac:dyDescent="0.25">
      <c r="A218" s="11" t="s">
        <v>214</v>
      </c>
      <c r="B218" s="7">
        <v>109465</v>
      </c>
      <c r="C218" s="7">
        <v>168645</v>
      </c>
      <c r="D218" s="7">
        <v>153908</v>
      </c>
      <c r="E218" s="7">
        <v>144059</v>
      </c>
      <c r="F218" s="7">
        <v>86300</v>
      </c>
    </row>
    <row r="219" spans="1:6" x14ac:dyDescent="0.25">
      <c r="A219" s="12" t="s">
        <v>230</v>
      </c>
      <c r="B219" s="6">
        <v>74541</v>
      </c>
      <c r="C219" s="6">
        <v>76445</v>
      </c>
      <c r="D219" s="6">
        <v>70634</v>
      </c>
      <c r="E219" s="6">
        <v>63729</v>
      </c>
      <c r="F219" s="6">
        <v>72469</v>
      </c>
    </row>
    <row r="220" spans="1:6" x14ac:dyDescent="0.25">
      <c r="A220" s="11" t="s">
        <v>227</v>
      </c>
      <c r="B220" s="7">
        <v>55233</v>
      </c>
      <c r="C220" s="7">
        <v>80139</v>
      </c>
      <c r="D220" s="7">
        <v>56692</v>
      </c>
      <c r="E220" s="7">
        <v>70718</v>
      </c>
      <c r="F220" s="7">
        <v>69674</v>
      </c>
    </row>
    <row r="221" spans="1:6" x14ac:dyDescent="0.25">
      <c r="A221" s="12" t="s">
        <v>206</v>
      </c>
      <c r="B221" s="6">
        <v>117912</v>
      </c>
      <c r="C221" s="6">
        <v>112147</v>
      </c>
      <c r="D221" s="6">
        <v>82595</v>
      </c>
      <c r="E221" s="6">
        <v>72184</v>
      </c>
      <c r="F221" s="6">
        <v>61313</v>
      </c>
    </row>
    <row r="222" spans="1:6" x14ac:dyDescent="0.25">
      <c r="A222" s="11" t="s">
        <v>232</v>
      </c>
      <c r="B222" s="7">
        <v>10859</v>
      </c>
      <c r="C222" s="7">
        <v>29360</v>
      </c>
      <c r="D222" s="7">
        <v>31710</v>
      </c>
      <c r="E222" s="7">
        <v>15756</v>
      </c>
      <c r="F222" s="7">
        <v>55821</v>
      </c>
    </row>
    <row r="223" spans="1:6" x14ac:dyDescent="0.25">
      <c r="A223" s="12" t="s">
        <v>223</v>
      </c>
      <c r="B223" s="6">
        <v>53168</v>
      </c>
      <c r="C223" s="6">
        <v>51727</v>
      </c>
      <c r="D223" s="6">
        <v>45403</v>
      </c>
      <c r="E223" s="6">
        <v>67402</v>
      </c>
      <c r="F223" s="6">
        <v>54404</v>
      </c>
    </row>
    <row r="224" spans="1:6" x14ac:dyDescent="0.25">
      <c r="A224" s="11" t="s">
        <v>229</v>
      </c>
      <c r="B224" s="7">
        <v>24588</v>
      </c>
      <c r="C224" s="7">
        <v>40938</v>
      </c>
      <c r="D224" s="7">
        <v>53839</v>
      </c>
      <c r="E224" s="7">
        <v>95385</v>
      </c>
      <c r="F224" s="7">
        <v>50453</v>
      </c>
    </row>
    <row r="225" spans="1:6" x14ac:dyDescent="0.25">
      <c r="A225" s="12" t="s">
        <v>237</v>
      </c>
      <c r="B225" s="6">
        <v>49119</v>
      </c>
      <c r="C225" s="6">
        <v>36614</v>
      </c>
      <c r="D225" s="6">
        <v>33390</v>
      </c>
      <c r="E225" s="6">
        <v>37502</v>
      </c>
      <c r="F225" s="6">
        <v>39812</v>
      </c>
    </row>
    <row r="226" spans="1:6" x14ac:dyDescent="0.25">
      <c r="A226" s="11" t="s">
        <v>239</v>
      </c>
      <c r="B226" s="7">
        <v>40428</v>
      </c>
      <c r="C226" s="7">
        <v>50854</v>
      </c>
      <c r="D226" s="7">
        <v>60046</v>
      </c>
      <c r="E226" s="7">
        <v>54458</v>
      </c>
      <c r="F226" s="7">
        <v>38451</v>
      </c>
    </row>
    <row r="227" spans="1:6" x14ac:dyDescent="0.25">
      <c r="A227" s="12" t="s">
        <v>222</v>
      </c>
      <c r="B227" s="6">
        <v>15039</v>
      </c>
      <c r="C227" s="6">
        <v>9402</v>
      </c>
      <c r="D227" s="6">
        <v>9394</v>
      </c>
      <c r="E227" s="6">
        <v>14204</v>
      </c>
      <c r="F227" s="6">
        <v>37495</v>
      </c>
    </row>
    <row r="228" spans="1:6" x14ac:dyDescent="0.25">
      <c r="A228" s="11" t="s">
        <v>213</v>
      </c>
      <c r="B228" s="5">
        <v>30657</v>
      </c>
      <c r="C228" s="5">
        <v>36493</v>
      </c>
      <c r="D228" s="5">
        <v>39237</v>
      </c>
      <c r="E228" s="5">
        <v>47525</v>
      </c>
      <c r="F228" s="7">
        <v>24948</v>
      </c>
    </row>
    <row r="229" spans="1:6" x14ac:dyDescent="0.25">
      <c r="A229" s="12" t="s">
        <v>235</v>
      </c>
      <c r="B229" s="6">
        <v>6966</v>
      </c>
      <c r="C229" s="6">
        <v>14582</v>
      </c>
      <c r="D229" s="6">
        <v>13127</v>
      </c>
      <c r="E229" s="6">
        <v>16666</v>
      </c>
      <c r="F229" s="6">
        <v>16172</v>
      </c>
    </row>
    <row r="230" spans="1:6" x14ac:dyDescent="0.25">
      <c r="A230" s="11" t="s">
        <v>241</v>
      </c>
      <c r="B230" s="7">
        <v>41</v>
      </c>
      <c r="C230" s="7">
        <v>44</v>
      </c>
      <c r="D230" s="5"/>
      <c r="E230" s="7">
        <v>310</v>
      </c>
      <c r="F230" s="7">
        <v>14856</v>
      </c>
    </row>
    <row r="231" spans="1:6" x14ac:dyDescent="0.25">
      <c r="A231" s="12" t="s">
        <v>151</v>
      </c>
      <c r="B231" s="6">
        <v>2739</v>
      </c>
      <c r="C231" s="6">
        <v>4066</v>
      </c>
      <c r="D231" s="6">
        <v>1498268</v>
      </c>
      <c r="E231" s="6">
        <v>7240</v>
      </c>
      <c r="F231" s="6">
        <v>4360</v>
      </c>
    </row>
    <row r="232" spans="1:6" x14ac:dyDescent="0.25">
      <c r="A232" s="11" t="s">
        <v>234</v>
      </c>
      <c r="B232" s="7">
        <v>9130</v>
      </c>
      <c r="C232" s="7">
        <v>37200</v>
      </c>
      <c r="D232" s="7">
        <v>155638</v>
      </c>
      <c r="E232" s="7">
        <v>2020</v>
      </c>
      <c r="F232" s="7">
        <v>1509</v>
      </c>
    </row>
    <row r="233" spans="1:6" x14ac:dyDescent="0.25">
      <c r="A233" s="12" t="s">
        <v>240</v>
      </c>
      <c r="B233" s="6">
        <v>1281</v>
      </c>
      <c r="C233" s="6">
        <v>3332</v>
      </c>
      <c r="D233" s="6">
        <v>1133</v>
      </c>
      <c r="E233" s="6">
        <v>1268</v>
      </c>
      <c r="F233" s="6">
        <v>329</v>
      </c>
    </row>
    <row r="234" spans="1:6" x14ac:dyDescent="0.25">
      <c r="A234" s="11" t="s">
        <v>242</v>
      </c>
      <c r="B234" s="7">
        <v>85330</v>
      </c>
      <c r="C234" s="7">
        <v>1742310</v>
      </c>
      <c r="D234" s="7">
        <v>2040765</v>
      </c>
      <c r="E234" s="7">
        <v>2488257</v>
      </c>
      <c r="F234" s="7">
        <v>180</v>
      </c>
    </row>
    <row r="235" spans="1:6" x14ac:dyDescent="0.25">
      <c r="A235" s="12" t="s">
        <v>273</v>
      </c>
      <c r="B235" s="4"/>
      <c r="C235" s="6">
        <v>71532</v>
      </c>
      <c r="D235" s="6">
        <v>36472</v>
      </c>
      <c r="E235" s="6">
        <v>142392</v>
      </c>
      <c r="F235" s="13"/>
    </row>
    <row r="236" spans="1:6" x14ac:dyDescent="0.25">
      <c r="A236" s="15" t="s">
        <v>243</v>
      </c>
      <c r="B236" s="7">
        <v>3</v>
      </c>
      <c r="C236" s="7">
        <v>2</v>
      </c>
      <c r="D236" s="7">
        <v>493</v>
      </c>
      <c r="E236" s="16"/>
      <c r="F236" s="1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56C4F-85BE-4CDB-8F49-1063D3DAD034}">
  <dimension ref="A1:Z220"/>
  <sheetViews>
    <sheetView topLeftCell="D1" workbookViewId="0">
      <selection activeCell="P1" sqref="P1"/>
    </sheetView>
  </sheetViews>
  <sheetFormatPr baseColWidth="10" defaultRowHeight="15" x14ac:dyDescent="0.25"/>
  <cols>
    <col min="7" max="12" width="12" bestFit="1" customWidth="1"/>
  </cols>
  <sheetData>
    <row r="1" spans="1:26" ht="33.75" x14ac:dyDescent="0.25">
      <c r="A1" s="8" t="s">
        <v>267</v>
      </c>
      <c r="B1" s="9" t="s">
        <v>268</v>
      </c>
      <c r="C1" s="9" t="s">
        <v>269</v>
      </c>
      <c r="D1" s="9" t="s">
        <v>270</v>
      </c>
      <c r="E1" s="9" t="s">
        <v>271</v>
      </c>
      <c r="F1" s="10" t="s">
        <v>272</v>
      </c>
      <c r="G1" s="19" t="s">
        <v>274</v>
      </c>
      <c r="H1" s="19" t="s">
        <v>275</v>
      </c>
      <c r="I1" s="19" t="s">
        <v>276</v>
      </c>
      <c r="J1" s="19" t="s">
        <v>277</v>
      </c>
      <c r="K1" s="19" t="s">
        <v>278</v>
      </c>
      <c r="L1" s="20" t="s">
        <v>249</v>
      </c>
      <c r="M1" s="20" t="s">
        <v>250</v>
      </c>
      <c r="N1" s="20" t="s">
        <v>251</v>
      </c>
      <c r="O1" s="20" t="s">
        <v>252</v>
      </c>
      <c r="P1" s="20" t="s">
        <v>253</v>
      </c>
      <c r="Q1" s="21" t="s">
        <v>279</v>
      </c>
      <c r="R1" s="21" t="s">
        <v>280</v>
      </c>
      <c r="S1" s="21" t="s">
        <v>281</v>
      </c>
      <c r="T1" s="21" t="s">
        <v>282</v>
      </c>
      <c r="U1" s="21" t="s">
        <v>283</v>
      </c>
      <c r="V1" s="22" t="s">
        <v>284</v>
      </c>
      <c r="W1" s="22" t="s">
        <v>285</v>
      </c>
      <c r="X1" s="22" t="s">
        <v>286</v>
      </c>
      <c r="Y1" s="22" t="s">
        <v>287</v>
      </c>
      <c r="Z1" s="22" t="s">
        <v>288</v>
      </c>
    </row>
    <row r="2" spans="1:26" x14ac:dyDescent="0.25">
      <c r="A2" s="11" t="s">
        <v>10</v>
      </c>
      <c r="B2" s="3">
        <v>1439234</v>
      </c>
      <c r="C2" s="3">
        <v>1449680</v>
      </c>
      <c r="D2" s="3">
        <v>1129569</v>
      </c>
      <c r="E2" s="3">
        <v>1326834</v>
      </c>
      <c r="F2" s="3">
        <v>1522960</v>
      </c>
      <c r="G2">
        <f t="shared" ref="G2:G33" si="0">VLOOKUP(A2,IMPOTOTAL,2,FALSE)</f>
        <v>17740704282</v>
      </c>
      <c r="H2">
        <f t="shared" ref="H2:H33" si="1">VLOOKUP(A2,IMPOTOTAL,3,FALSE)</f>
        <v>22469120497</v>
      </c>
      <c r="I2">
        <f t="shared" ref="I2:I33" si="2">VLOOKUP(A2,IMPOTOTAL,4,FALSE)</f>
        <v>25340140901</v>
      </c>
      <c r="J2">
        <f t="shared" ref="J2:J33" si="3">VLOOKUP(A2,IMPOTOTAL,5,FALSE)</f>
        <v>23977310520</v>
      </c>
      <c r="K2">
        <f t="shared" ref="K2:K33" si="4">VLOOKUP(A2,IMPOTOTAL,6,FALSE)</f>
        <v>23987203776</v>
      </c>
      <c r="L2">
        <f>B2/G2</f>
        <v>8.1126091564485956E-5</v>
      </c>
      <c r="M2">
        <f t="shared" ref="M2:P17" si="5">C2/H2</f>
        <v>6.4518769223457427E-5</v>
      </c>
      <c r="N2">
        <f t="shared" si="5"/>
        <v>4.4576271474300432E-5</v>
      </c>
      <c r="O2">
        <f t="shared" si="5"/>
        <v>5.5337065384929583E-5</v>
      </c>
      <c r="P2">
        <f t="shared" si="5"/>
        <v>6.349051828724498E-5</v>
      </c>
    </row>
    <row r="3" spans="1:26" ht="23.25" x14ac:dyDescent="0.25">
      <c r="A3" s="12" t="s">
        <v>20</v>
      </c>
      <c r="B3" s="4">
        <v>173426</v>
      </c>
      <c r="C3" s="4">
        <v>181138</v>
      </c>
      <c r="D3" s="4">
        <v>157974</v>
      </c>
      <c r="E3" s="4">
        <v>159987</v>
      </c>
      <c r="F3" s="13">
        <v>187444</v>
      </c>
      <c r="G3">
        <f t="shared" ref="G3:G66" si="6">VLOOKUP(A3,IMPOTOTAL,2,FALSE)</f>
        <v>2406931650</v>
      </c>
      <c r="H3">
        <f t="shared" ref="H3:H66" si="7">VLOOKUP(A3,IMPOTOTAL,3,FALSE)</f>
        <v>2935314152</v>
      </c>
      <c r="I3">
        <f t="shared" ref="I3:I66" si="8">VLOOKUP(A3,IMPOTOTAL,4,FALSE)</f>
        <v>3375948186</v>
      </c>
      <c r="J3">
        <f t="shared" ref="J3:J66" si="9">VLOOKUP(A3,IMPOTOTAL,5,FALSE)</f>
        <v>3172533052</v>
      </c>
      <c r="K3">
        <f t="shared" ref="K3:K66" si="10">VLOOKUP(A3,IMPOTOTAL,6,FALSE)</f>
        <v>3359310385</v>
      </c>
      <c r="L3">
        <f t="shared" ref="L3:L66" si="11">B3/G3</f>
        <v>7.205273153477375E-5</v>
      </c>
      <c r="M3">
        <f t="shared" ref="M3:M66" si="12">C3/H3</f>
        <v>6.1709919490757122E-5</v>
      </c>
      <c r="N3">
        <f t="shared" ref="N3:N66" si="13">D3/I3</f>
        <v>4.67939646275128E-5</v>
      </c>
      <c r="O3">
        <f t="shared" ref="O3:O66" si="14">E3/J3</f>
        <v>5.042878903945301E-5</v>
      </c>
      <c r="P3">
        <f t="shared" ref="P3:P66" si="15">F3/K3</f>
        <v>5.5798356959504351E-5</v>
      </c>
      <c r="Q3">
        <f>L3/$L$2</f>
        <v>0.88815731345198701</v>
      </c>
      <c r="R3">
        <f>M3/$M$2</f>
        <v>0.95646461074029487</v>
      </c>
      <c r="S3">
        <f>N3/$N$2</f>
        <v>1.0497505304922359</v>
      </c>
      <c r="T3">
        <f>O3/$O$2</f>
        <v>0.91130219299967996</v>
      </c>
      <c r="U3">
        <f>P3/$P$2</f>
        <v>0.87884551055419624</v>
      </c>
      <c r="V3">
        <f>(Q3-1)/(Q3+1)</f>
        <v>-5.9233775571135419E-2</v>
      </c>
      <c r="W3">
        <f t="shared" ref="W3:Z18" si="16">(R3-1)/(R3+1)</f>
        <v>-2.2252070914399028E-2</v>
      </c>
      <c r="X3">
        <f t="shared" si="16"/>
        <v>2.4271505118375832E-2</v>
      </c>
      <c r="Y3">
        <f t="shared" si="16"/>
        <v>-4.6407003207124396E-2</v>
      </c>
      <c r="Z3">
        <f t="shared" si="16"/>
        <v>-6.4483476031016118E-2</v>
      </c>
    </row>
    <row r="4" spans="1:26" x14ac:dyDescent="0.25">
      <c r="A4" s="11" t="s">
        <v>12</v>
      </c>
      <c r="B4" s="5">
        <v>150183</v>
      </c>
      <c r="C4" s="5">
        <v>148505</v>
      </c>
      <c r="D4" s="5">
        <v>102595</v>
      </c>
      <c r="E4" s="5">
        <v>142882</v>
      </c>
      <c r="F4" s="14">
        <v>171890</v>
      </c>
      <c r="G4">
        <f t="shared" si="6"/>
        <v>484088531</v>
      </c>
      <c r="H4">
        <f t="shared" si="7"/>
        <v>623369107</v>
      </c>
      <c r="I4">
        <f t="shared" si="8"/>
        <v>710771872</v>
      </c>
      <c r="J4">
        <f t="shared" si="9"/>
        <v>664131324</v>
      </c>
      <c r="K4">
        <f t="shared" si="10"/>
        <v>636885898</v>
      </c>
      <c r="L4">
        <f t="shared" si="11"/>
        <v>3.102387071425991E-4</v>
      </c>
      <c r="M4">
        <f t="shared" si="12"/>
        <v>2.3822964329222045E-4</v>
      </c>
      <c r="N4">
        <f t="shared" si="13"/>
        <v>1.4434307833723618E-4</v>
      </c>
      <c r="O4">
        <f t="shared" si="14"/>
        <v>2.1514118493829693E-4</v>
      </c>
      <c r="P4">
        <f t="shared" si="15"/>
        <v>2.698913581534506E-4</v>
      </c>
      <c r="Q4">
        <f t="shared" ref="Q4:Q67" si="17">L4/$L$2</f>
        <v>3.8241544879059637</v>
      </c>
      <c r="R4">
        <f t="shared" ref="R4:R67" si="18">M4/$M$2</f>
        <v>3.6924083667362653</v>
      </c>
      <c r="S4">
        <f t="shared" ref="S4:S67" si="19">N4/$N$2</f>
        <v>3.2381146642211727</v>
      </c>
      <c r="T4">
        <f t="shared" ref="T4:T67" si="20">O4/$O$2</f>
        <v>3.8878314822398981</v>
      </c>
      <c r="U4">
        <f t="shared" ref="U4:U67" si="21">P4/$P$2</f>
        <v>4.2508923447813594</v>
      </c>
      <c r="V4">
        <f t="shared" ref="V4:V67" si="22">(Q4-1)/(Q4+1)</f>
        <v>0.58541957870255801</v>
      </c>
      <c r="W4">
        <f t="shared" ref="W4:W67" si="23">(R4-1)/(R4+1)</f>
        <v>0.57377963644901819</v>
      </c>
      <c r="X4">
        <f t="shared" ref="X4:X67" si="24">(S4-1)/(S4+1)</f>
        <v>0.5280920507214415</v>
      </c>
      <c r="Y4">
        <f t="shared" ref="Y4:Y67" si="25">(T4-1)/(T4+1)</f>
        <v>0.59082059042602675</v>
      </c>
      <c r="Z4">
        <f t="shared" ref="Z4:Z67" si="26">(U4-1)/(U4+1)</f>
        <v>0.61911235868552594</v>
      </c>
    </row>
    <row r="5" spans="1:26" x14ac:dyDescent="0.25">
      <c r="A5" s="12" t="s">
        <v>89</v>
      </c>
      <c r="B5" s="6">
        <v>85006</v>
      </c>
      <c r="C5" s="6">
        <v>65125</v>
      </c>
      <c r="D5" s="6">
        <v>37267</v>
      </c>
      <c r="E5" s="6">
        <v>51526</v>
      </c>
      <c r="F5" s="6">
        <v>107017</v>
      </c>
      <c r="G5">
        <f t="shared" si="6"/>
        <v>50703718</v>
      </c>
      <c r="H5">
        <f t="shared" si="7"/>
        <v>78305242</v>
      </c>
      <c r="I5">
        <f t="shared" si="8"/>
        <v>88344267</v>
      </c>
      <c r="J5">
        <f t="shared" si="9"/>
        <v>70599072</v>
      </c>
      <c r="K5">
        <f t="shared" si="10"/>
        <v>63526663</v>
      </c>
      <c r="L5">
        <f t="shared" si="11"/>
        <v>1.6765239977076236E-3</v>
      </c>
      <c r="M5">
        <f t="shared" si="12"/>
        <v>8.3168123022977179E-4</v>
      </c>
      <c r="N5">
        <f t="shared" si="13"/>
        <v>4.2183835200081517E-4</v>
      </c>
      <c r="O5">
        <f t="shared" si="14"/>
        <v>7.2983962168794519E-4</v>
      </c>
      <c r="P5">
        <f t="shared" si="15"/>
        <v>1.6845997404271022E-3</v>
      </c>
      <c r="Q5">
        <f t="shared" si="17"/>
        <v>20.665657193345485</v>
      </c>
      <c r="R5">
        <f t="shared" si="18"/>
        <v>12.890531549808193</v>
      </c>
      <c r="S5">
        <f t="shared" si="19"/>
        <v>9.4632937670441493</v>
      </c>
      <c r="T5">
        <f t="shared" si="20"/>
        <v>13.188983127513456</v>
      </c>
      <c r="U5">
        <f t="shared" si="21"/>
        <v>26.533091646938601</v>
      </c>
      <c r="V5">
        <f t="shared" si="22"/>
        <v>0.90768800677718231</v>
      </c>
      <c r="W5">
        <f t="shared" si="23"/>
        <v>0.8560170290943534</v>
      </c>
      <c r="X5">
        <f t="shared" si="24"/>
        <v>0.80885560087213393</v>
      </c>
      <c r="Y5">
        <f t="shared" si="25"/>
        <v>0.85904557204512733</v>
      </c>
      <c r="Z5">
        <f t="shared" si="26"/>
        <v>0.92736013718886601</v>
      </c>
    </row>
    <row r="6" spans="1:26" x14ac:dyDescent="0.25">
      <c r="A6" s="11" t="s">
        <v>60</v>
      </c>
      <c r="B6" s="5">
        <v>106776</v>
      </c>
      <c r="C6" s="5">
        <v>121212</v>
      </c>
      <c r="D6" s="5">
        <v>112529</v>
      </c>
      <c r="E6" s="5">
        <v>106327</v>
      </c>
      <c r="F6" s="14">
        <v>101426</v>
      </c>
      <c r="G6">
        <f t="shared" si="6"/>
        <v>634678167</v>
      </c>
      <c r="H6">
        <f t="shared" si="7"/>
        <v>773720906</v>
      </c>
      <c r="I6">
        <f t="shared" si="8"/>
        <v>905098532</v>
      </c>
      <c r="J6">
        <f t="shared" si="9"/>
        <v>786365263</v>
      </c>
      <c r="K6">
        <f t="shared" si="10"/>
        <v>743267456</v>
      </c>
      <c r="L6">
        <f t="shared" si="11"/>
        <v>1.6823644730794719E-4</v>
      </c>
      <c r="M6">
        <f t="shared" si="12"/>
        <v>1.5666114106525125E-4</v>
      </c>
      <c r="N6">
        <f t="shared" si="13"/>
        <v>1.2432790024677668E-4</v>
      </c>
      <c r="O6">
        <f t="shared" si="14"/>
        <v>1.352132463155357E-4</v>
      </c>
      <c r="P6">
        <f t="shared" si="15"/>
        <v>1.3645962725966572E-4</v>
      </c>
      <c r="Q6">
        <f t="shared" si="17"/>
        <v>2.0737649757750067</v>
      </c>
      <c r="R6">
        <f t="shared" si="18"/>
        <v>2.4281483194861244</v>
      </c>
      <c r="S6">
        <f t="shared" si="19"/>
        <v>2.7891049685134717</v>
      </c>
      <c r="T6">
        <f t="shared" si="20"/>
        <v>2.4434480826726217</v>
      </c>
      <c r="U6">
        <f t="shared" si="21"/>
        <v>2.1492914365936113</v>
      </c>
      <c r="V6">
        <f t="shared" si="22"/>
        <v>0.34933216567876074</v>
      </c>
      <c r="W6">
        <f t="shared" si="23"/>
        <v>0.41659467047219306</v>
      </c>
      <c r="X6">
        <f t="shared" si="24"/>
        <v>0.47217086446020706</v>
      </c>
      <c r="Y6">
        <f t="shared" si="25"/>
        <v>0.41918682902060594</v>
      </c>
      <c r="Z6">
        <f t="shared" si="26"/>
        <v>0.36493651341354644</v>
      </c>
    </row>
    <row r="7" spans="1:26" x14ac:dyDescent="0.25">
      <c r="A7" s="12" t="s">
        <v>18</v>
      </c>
      <c r="B7" s="4">
        <v>84669</v>
      </c>
      <c r="C7" s="4">
        <v>103603</v>
      </c>
      <c r="D7" s="4">
        <v>93486</v>
      </c>
      <c r="E7" s="4">
        <v>109552</v>
      </c>
      <c r="F7" s="13">
        <v>101361</v>
      </c>
      <c r="G7">
        <f t="shared" si="6"/>
        <v>1172923865</v>
      </c>
      <c r="H7">
        <f t="shared" si="7"/>
        <v>1422827856</v>
      </c>
      <c r="I7">
        <f t="shared" si="8"/>
        <v>1505324953</v>
      </c>
      <c r="J7">
        <f t="shared" si="9"/>
        <v>1433191152</v>
      </c>
      <c r="K7">
        <f t="shared" si="10"/>
        <v>1425209578</v>
      </c>
      <c r="L7">
        <f t="shared" si="11"/>
        <v>7.2186271015979369E-5</v>
      </c>
      <c r="M7">
        <f t="shared" si="12"/>
        <v>7.2814852171407019E-5</v>
      </c>
      <c r="N7">
        <f t="shared" si="13"/>
        <v>6.2103534398795016E-5</v>
      </c>
      <c r="O7">
        <f t="shared" si="14"/>
        <v>7.6439210392222678E-5</v>
      </c>
      <c r="P7">
        <f t="shared" si="15"/>
        <v>7.1120066525401924E-5</v>
      </c>
      <c r="Q7">
        <f t="shared" si="17"/>
        <v>0.88980338660342762</v>
      </c>
      <c r="R7">
        <f t="shared" si="18"/>
        <v>1.1285840236539004</v>
      </c>
      <c r="S7">
        <f t="shared" si="19"/>
        <v>1.3931971505198586</v>
      </c>
      <c r="T7">
        <f t="shared" si="20"/>
        <v>1.3813383463778697</v>
      </c>
      <c r="U7">
        <f t="shared" si="21"/>
        <v>1.1201683092842178</v>
      </c>
      <c r="V7">
        <f t="shared" si="22"/>
        <v>-5.8311152460484496E-2</v>
      </c>
      <c r="W7">
        <f t="shared" si="23"/>
        <v>6.0408244271783422E-2</v>
      </c>
      <c r="X7">
        <f t="shared" si="24"/>
        <v>0.1642978516978624</v>
      </c>
      <c r="Y7">
        <f t="shared" si="25"/>
        <v>0.16013614653201366</v>
      </c>
      <c r="Z7">
        <f t="shared" si="26"/>
        <v>5.6678664971078367E-2</v>
      </c>
    </row>
    <row r="8" spans="1:26" ht="23.25" x14ac:dyDescent="0.25">
      <c r="A8" s="11" t="s">
        <v>58</v>
      </c>
      <c r="B8" s="5">
        <v>41141</v>
      </c>
      <c r="C8" s="5">
        <v>44173</v>
      </c>
      <c r="D8" s="5">
        <v>38431</v>
      </c>
      <c r="E8" s="5">
        <v>43357</v>
      </c>
      <c r="F8" s="7">
        <v>86348</v>
      </c>
      <c r="G8">
        <f t="shared" si="6"/>
        <v>246961071</v>
      </c>
      <c r="H8">
        <f t="shared" si="7"/>
        <v>347528998</v>
      </c>
      <c r="I8">
        <f t="shared" si="8"/>
        <v>420493198</v>
      </c>
      <c r="J8">
        <f t="shared" si="9"/>
        <v>470536020</v>
      </c>
      <c r="K8">
        <f t="shared" si="10"/>
        <v>313364827</v>
      </c>
      <c r="L8">
        <f t="shared" si="11"/>
        <v>1.6658900867821391E-4</v>
      </c>
      <c r="M8">
        <f t="shared" si="12"/>
        <v>1.2710594009194019E-4</v>
      </c>
      <c r="N8">
        <f t="shared" si="13"/>
        <v>9.1395057477243669E-5</v>
      </c>
      <c r="O8">
        <f t="shared" si="14"/>
        <v>9.2143849051131094E-5</v>
      </c>
      <c r="P8">
        <f t="shared" si="15"/>
        <v>2.7555102730147821E-4</v>
      </c>
      <c r="Q8">
        <f t="shared" si="17"/>
        <v>2.0534578390947718</v>
      </c>
      <c r="R8">
        <f t="shared" si="18"/>
        <v>1.9700614506720568</v>
      </c>
      <c r="S8">
        <f t="shared" si="19"/>
        <v>2.0503073598233912</v>
      </c>
      <c r="T8">
        <f t="shared" si="20"/>
        <v>1.6651379759690947</v>
      </c>
      <c r="U8">
        <f t="shared" si="21"/>
        <v>4.3400343033084896</v>
      </c>
      <c r="V8">
        <f t="shared" si="22"/>
        <v>0.34500487467253843</v>
      </c>
      <c r="W8">
        <f t="shared" si="23"/>
        <v>0.32661325928207785</v>
      </c>
      <c r="X8">
        <f t="shared" si="24"/>
        <v>0.34432836954640617</v>
      </c>
      <c r="Y8">
        <f t="shared" si="25"/>
        <v>0.24956980913051527</v>
      </c>
      <c r="Z8">
        <f t="shared" si="26"/>
        <v>0.62547057071133916</v>
      </c>
    </row>
    <row r="9" spans="1:26" x14ac:dyDescent="0.25">
      <c r="A9" s="12" t="s">
        <v>31</v>
      </c>
      <c r="B9" s="4">
        <v>63378</v>
      </c>
      <c r="C9" s="4">
        <v>65236</v>
      </c>
      <c r="D9" s="4">
        <v>49535</v>
      </c>
      <c r="E9" s="4">
        <v>65646</v>
      </c>
      <c r="F9" s="13">
        <v>66608</v>
      </c>
      <c r="G9">
        <f t="shared" si="6"/>
        <v>630863707</v>
      </c>
      <c r="H9">
        <f t="shared" si="7"/>
        <v>695578289</v>
      </c>
      <c r="I9">
        <f t="shared" si="8"/>
        <v>816299884</v>
      </c>
      <c r="J9">
        <f t="shared" si="9"/>
        <v>791855405</v>
      </c>
      <c r="K9">
        <f t="shared" si="10"/>
        <v>815579239</v>
      </c>
      <c r="L9">
        <f t="shared" si="11"/>
        <v>1.0046226989564324E-4</v>
      </c>
      <c r="M9">
        <f t="shared" si="12"/>
        <v>9.3786711045548463E-5</v>
      </c>
      <c r="N9">
        <f t="shared" si="13"/>
        <v>6.0682355799526241E-5</v>
      </c>
      <c r="O9">
        <f t="shared" si="14"/>
        <v>8.2901498916964516E-5</v>
      </c>
      <c r="P9">
        <f t="shared" si="15"/>
        <v>8.166956294972585E-5</v>
      </c>
      <c r="Q9">
        <f t="shared" si="17"/>
        <v>1.2383472192270872</v>
      </c>
      <c r="R9">
        <f t="shared" si="18"/>
        <v>1.4536345341728858</v>
      </c>
      <c r="S9">
        <f t="shared" si="19"/>
        <v>1.3613151973581159</v>
      </c>
      <c r="T9">
        <f t="shared" si="20"/>
        <v>1.498118816751381</v>
      </c>
      <c r="U9">
        <f t="shared" si="21"/>
        <v>1.2863269217654658</v>
      </c>
      <c r="V9">
        <f t="shared" si="22"/>
        <v>0.10648357733765262</v>
      </c>
      <c r="W9">
        <f t="shared" si="23"/>
        <v>0.18488268234527638</v>
      </c>
      <c r="X9">
        <f t="shared" si="24"/>
        <v>0.1530143869663661</v>
      </c>
      <c r="Y9">
        <f t="shared" si="25"/>
        <v>0.19939756804648218</v>
      </c>
      <c r="Z9">
        <f t="shared" si="26"/>
        <v>0.12523446189592549</v>
      </c>
    </row>
    <row r="10" spans="1:26" x14ac:dyDescent="0.25">
      <c r="A10" s="11" t="s">
        <v>29</v>
      </c>
      <c r="B10" s="5">
        <v>60942</v>
      </c>
      <c r="C10" s="5">
        <v>46519</v>
      </c>
      <c r="D10" s="5">
        <v>32943</v>
      </c>
      <c r="E10" s="5">
        <v>57369</v>
      </c>
      <c r="F10" s="14">
        <v>60581</v>
      </c>
      <c r="G10">
        <f t="shared" si="6"/>
        <v>189559672</v>
      </c>
      <c r="H10">
        <f t="shared" si="7"/>
        <v>238321107</v>
      </c>
      <c r="I10">
        <f t="shared" si="8"/>
        <v>295092902</v>
      </c>
      <c r="J10">
        <f t="shared" si="9"/>
        <v>265972626</v>
      </c>
      <c r="K10">
        <f t="shared" si="10"/>
        <v>300081375</v>
      </c>
      <c r="L10">
        <f t="shared" si="11"/>
        <v>3.2149243220889302E-4</v>
      </c>
      <c r="M10">
        <f t="shared" si="12"/>
        <v>1.9519462873256963E-4</v>
      </c>
      <c r="N10">
        <f t="shared" si="13"/>
        <v>1.1163602979511856E-4</v>
      </c>
      <c r="O10">
        <f t="shared" si="14"/>
        <v>2.1569512946794758E-4</v>
      </c>
      <c r="P10">
        <f t="shared" si="15"/>
        <v>2.0188190619961003E-4</v>
      </c>
      <c r="Q10">
        <f t="shared" si="17"/>
        <v>3.9628734234453207</v>
      </c>
      <c r="R10">
        <f t="shared" si="18"/>
        <v>3.0253929373098098</v>
      </c>
      <c r="S10">
        <f t="shared" si="19"/>
        <v>2.5043824012845066</v>
      </c>
      <c r="T10">
        <f t="shared" si="20"/>
        <v>3.8978418527898606</v>
      </c>
      <c r="U10">
        <f t="shared" si="21"/>
        <v>3.1797174073497425</v>
      </c>
      <c r="V10">
        <f t="shared" si="22"/>
        <v>0.59700765476876461</v>
      </c>
      <c r="W10">
        <f t="shared" si="23"/>
        <v>0.50315409423443513</v>
      </c>
      <c r="X10">
        <f t="shared" si="24"/>
        <v>0.42928602789840681</v>
      </c>
      <c r="Y10">
        <f t="shared" si="25"/>
        <v>0.59165688478471812</v>
      </c>
      <c r="Z10">
        <f t="shared" si="26"/>
        <v>0.52149875097222143</v>
      </c>
    </row>
    <row r="11" spans="1:26" x14ac:dyDescent="0.25">
      <c r="A11" s="12" t="s">
        <v>105</v>
      </c>
      <c r="B11" s="4">
        <v>93917</v>
      </c>
      <c r="C11" s="4">
        <v>112447</v>
      </c>
      <c r="D11" s="4">
        <v>61681</v>
      </c>
      <c r="E11" s="4">
        <v>43224</v>
      </c>
      <c r="F11" s="13">
        <v>56197</v>
      </c>
      <c r="G11">
        <f t="shared" si="6"/>
        <v>45841651</v>
      </c>
      <c r="H11">
        <f t="shared" si="7"/>
        <v>73106624</v>
      </c>
      <c r="I11">
        <f t="shared" si="8"/>
        <v>71104684</v>
      </c>
      <c r="J11">
        <f t="shared" si="9"/>
        <v>50362541</v>
      </c>
      <c r="K11">
        <f t="shared" si="10"/>
        <v>56522668</v>
      </c>
      <c r="L11">
        <f t="shared" si="11"/>
        <v>2.0487263864034915E-3</v>
      </c>
      <c r="M11">
        <f t="shared" si="12"/>
        <v>1.5381232759428202E-3</v>
      </c>
      <c r="N11">
        <f t="shared" si="13"/>
        <v>8.6746746529384763E-4</v>
      </c>
      <c r="O11">
        <f t="shared" si="14"/>
        <v>8.5825693346171716E-4</v>
      </c>
      <c r="P11">
        <f t="shared" si="15"/>
        <v>9.942382762257436E-4</v>
      </c>
      <c r="Q11">
        <f t="shared" si="17"/>
        <v>25.253606415575788</v>
      </c>
      <c r="R11">
        <f t="shared" si="18"/>
        <v>23.839935176314501</v>
      </c>
      <c r="S11">
        <f t="shared" si="19"/>
        <v>19.460296624269457</v>
      </c>
      <c r="T11">
        <f t="shared" si="20"/>
        <v>15.509621399176213</v>
      </c>
      <c r="U11">
        <f t="shared" si="21"/>
        <v>15.659633958689586</v>
      </c>
      <c r="V11">
        <f t="shared" si="22"/>
        <v>0.92381998997237058</v>
      </c>
      <c r="W11">
        <f t="shared" si="23"/>
        <v>0.91948449197616866</v>
      </c>
      <c r="X11">
        <f t="shared" si="24"/>
        <v>0.90224970650583558</v>
      </c>
      <c r="Y11">
        <f t="shared" si="25"/>
        <v>0.87885851821533634</v>
      </c>
      <c r="Z11">
        <f t="shared" si="26"/>
        <v>0.87994934312726547</v>
      </c>
    </row>
    <row r="12" spans="1:26" x14ac:dyDescent="0.25">
      <c r="A12" s="11" t="s">
        <v>77</v>
      </c>
      <c r="B12" s="5">
        <v>41399</v>
      </c>
      <c r="C12" s="5">
        <v>45150</v>
      </c>
      <c r="D12" s="5">
        <v>36193</v>
      </c>
      <c r="E12" s="5">
        <v>53679</v>
      </c>
      <c r="F12" s="14">
        <v>53191</v>
      </c>
      <c r="G12">
        <f t="shared" si="6"/>
        <v>405666523</v>
      </c>
      <c r="H12">
        <f t="shared" si="7"/>
        <v>491713789</v>
      </c>
      <c r="I12">
        <f t="shared" si="8"/>
        <v>570189759</v>
      </c>
      <c r="J12">
        <f t="shared" si="9"/>
        <v>559231481</v>
      </c>
      <c r="K12">
        <f t="shared" si="10"/>
        <v>554263254</v>
      </c>
      <c r="L12">
        <f t="shared" si="11"/>
        <v>1.0205180278087674E-4</v>
      </c>
      <c r="M12">
        <f t="shared" si="12"/>
        <v>9.1821708095316405E-5</v>
      </c>
      <c r="N12">
        <f t="shared" si="13"/>
        <v>6.3475359612693435E-5</v>
      </c>
      <c r="O12">
        <f t="shared" si="14"/>
        <v>9.5987085533906131E-5</v>
      </c>
      <c r="P12">
        <f t="shared" si="15"/>
        <v>9.5967033022903583E-5</v>
      </c>
      <c r="Q12">
        <f t="shared" si="17"/>
        <v>1.2579405812956888</v>
      </c>
      <c r="R12">
        <f t="shared" si="18"/>
        <v>1.4231782348063191</v>
      </c>
      <c r="S12">
        <f t="shared" si="19"/>
        <v>1.4239719364884276</v>
      </c>
      <c r="T12">
        <f t="shared" si="20"/>
        <v>1.7345893727144974</v>
      </c>
      <c r="U12">
        <f t="shared" si="21"/>
        <v>1.5115175558770484</v>
      </c>
      <c r="V12">
        <f t="shared" si="22"/>
        <v>0.11423709881137485</v>
      </c>
      <c r="W12">
        <f t="shared" si="23"/>
        <v>0.17463768398371365</v>
      </c>
      <c r="X12">
        <f t="shared" si="24"/>
        <v>0.17490793936444227</v>
      </c>
      <c r="Y12">
        <f t="shared" si="25"/>
        <v>0.26862876746474934</v>
      </c>
      <c r="Z12">
        <f t="shared" si="26"/>
        <v>0.20366871602393441</v>
      </c>
    </row>
    <row r="13" spans="1:26" x14ac:dyDescent="0.25">
      <c r="A13" s="12" t="s">
        <v>33</v>
      </c>
      <c r="B13" s="4">
        <v>45497</v>
      </c>
      <c r="C13" s="4">
        <v>38482</v>
      </c>
      <c r="D13" s="4">
        <v>32149</v>
      </c>
      <c r="E13" s="4">
        <v>39359</v>
      </c>
      <c r="F13" s="13">
        <v>39190</v>
      </c>
      <c r="G13">
        <f t="shared" si="6"/>
        <v>131328602</v>
      </c>
      <c r="H13">
        <f t="shared" si="7"/>
        <v>152849564</v>
      </c>
      <c r="I13">
        <f t="shared" si="8"/>
        <v>189877037</v>
      </c>
      <c r="J13">
        <f t="shared" si="9"/>
        <v>211114487</v>
      </c>
      <c r="K13">
        <f t="shared" si="10"/>
        <v>232028140</v>
      </c>
      <c r="L13">
        <f t="shared" si="11"/>
        <v>3.4643633836900208E-4</v>
      </c>
      <c r="M13">
        <f t="shared" si="12"/>
        <v>2.5176388465197061E-4</v>
      </c>
      <c r="N13">
        <f t="shared" si="13"/>
        <v>1.6931483926621417E-4</v>
      </c>
      <c r="O13">
        <f t="shared" si="14"/>
        <v>1.8643438713895555E-4</v>
      </c>
      <c r="P13">
        <f t="shared" si="15"/>
        <v>1.6890192715418053E-4</v>
      </c>
      <c r="Q13">
        <f t="shared" si="17"/>
        <v>4.2703442466918897</v>
      </c>
      <c r="R13">
        <f t="shared" si="18"/>
        <v>3.9021805233140667</v>
      </c>
      <c r="S13">
        <f t="shared" si="19"/>
        <v>3.7983176624323391</v>
      </c>
      <c r="T13">
        <f t="shared" si="20"/>
        <v>3.3690689204803554</v>
      </c>
      <c r="U13">
        <f t="shared" si="21"/>
        <v>2.6602700956075251</v>
      </c>
      <c r="V13">
        <f t="shared" si="22"/>
        <v>0.62051814712950337</v>
      </c>
      <c r="W13">
        <f t="shared" si="23"/>
        <v>0.59201828849666238</v>
      </c>
      <c r="X13">
        <f t="shared" si="24"/>
        <v>0.58318724588438986</v>
      </c>
      <c r="Y13">
        <f t="shared" si="25"/>
        <v>0.5422365642654795</v>
      </c>
      <c r="Z13">
        <f t="shared" si="26"/>
        <v>0.4535922356112238</v>
      </c>
    </row>
    <row r="14" spans="1:26" x14ac:dyDescent="0.25">
      <c r="A14" s="11" t="s">
        <v>21</v>
      </c>
      <c r="B14" s="5">
        <v>6883</v>
      </c>
      <c r="C14" s="5">
        <v>8542</v>
      </c>
      <c r="D14" s="5">
        <v>8446</v>
      </c>
      <c r="E14" s="5">
        <v>6113</v>
      </c>
      <c r="F14" s="7">
        <v>37437</v>
      </c>
      <c r="G14">
        <f t="shared" si="6"/>
        <v>261309452</v>
      </c>
      <c r="H14">
        <f t="shared" si="7"/>
        <v>330752261</v>
      </c>
      <c r="I14">
        <f t="shared" si="8"/>
        <v>358788815</v>
      </c>
      <c r="J14">
        <f t="shared" si="9"/>
        <v>325443689</v>
      </c>
      <c r="K14">
        <f t="shared" si="10"/>
        <v>381228376</v>
      </c>
      <c r="L14">
        <f t="shared" si="11"/>
        <v>2.6340417261293709E-5</v>
      </c>
      <c r="M14">
        <f t="shared" si="12"/>
        <v>2.5825976137469247E-5</v>
      </c>
      <c r="N14">
        <f t="shared" si="13"/>
        <v>2.3540310196124705E-5</v>
      </c>
      <c r="O14">
        <f t="shared" si="14"/>
        <v>1.8783587473407726E-5</v>
      </c>
      <c r="P14">
        <f t="shared" si="15"/>
        <v>9.8200979666844109E-5</v>
      </c>
      <c r="Q14">
        <f t="shared" si="17"/>
        <v>0.3246849041205947</v>
      </c>
      <c r="R14">
        <f t="shared" si="18"/>
        <v>0.4002862492311704</v>
      </c>
      <c r="S14">
        <f t="shared" si="19"/>
        <v>0.52809060555224785</v>
      </c>
      <c r="T14">
        <f t="shared" si="20"/>
        <v>0.33943953013676115</v>
      </c>
      <c r="U14">
        <f t="shared" si="21"/>
        <v>1.5467030718281651</v>
      </c>
      <c r="V14">
        <f t="shared" si="22"/>
        <v>-0.50979300343708522</v>
      </c>
      <c r="W14">
        <f t="shared" si="23"/>
        <v>-0.42827939722903335</v>
      </c>
      <c r="X14">
        <f t="shared" si="24"/>
        <v>-0.30882291451376692</v>
      </c>
      <c r="Y14">
        <f t="shared" si="25"/>
        <v>-0.49316184493658582</v>
      </c>
      <c r="Z14">
        <f t="shared" si="26"/>
        <v>0.21467091231633503</v>
      </c>
    </row>
    <row r="15" spans="1:26" x14ac:dyDescent="0.25">
      <c r="A15" s="12" t="s">
        <v>70</v>
      </c>
      <c r="B15" s="4">
        <v>6905</v>
      </c>
      <c r="C15" s="4">
        <v>9454</v>
      </c>
      <c r="D15" s="4">
        <v>5253</v>
      </c>
      <c r="E15" s="4">
        <v>4128</v>
      </c>
      <c r="F15" s="6">
        <v>32923</v>
      </c>
      <c r="G15">
        <f t="shared" si="6"/>
        <v>70436789</v>
      </c>
      <c r="H15">
        <f t="shared" si="7"/>
        <v>89206205</v>
      </c>
      <c r="I15">
        <f t="shared" si="8"/>
        <v>96188946</v>
      </c>
      <c r="J15">
        <f t="shared" si="9"/>
        <v>83158878</v>
      </c>
      <c r="K15">
        <f t="shared" si="10"/>
        <v>77643169</v>
      </c>
      <c r="L15">
        <f t="shared" si="11"/>
        <v>9.8031158121077887E-5</v>
      </c>
      <c r="M15">
        <f t="shared" si="12"/>
        <v>1.0597917487914657E-4</v>
      </c>
      <c r="N15">
        <f t="shared" si="13"/>
        <v>5.4611264791278614E-5</v>
      </c>
      <c r="O15">
        <f t="shared" si="14"/>
        <v>4.9639919384193712E-5</v>
      </c>
      <c r="P15">
        <f t="shared" si="15"/>
        <v>4.2402957560889868E-4</v>
      </c>
      <c r="Q15">
        <f t="shared" si="17"/>
        <v>1.2083801429427219</v>
      </c>
      <c r="R15">
        <f t="shared" si="18"/>
        <v>1.6426099901579518</v>
      </c>
      <c r="S15">
        <f t="shared" si="19"/>
        <v>1.2251196204860619</v>
      </c>
      <c r="T15">
        <f t="shared" si="20"/>
        <v>0.89704647398437176</v>
      </c>
      <c r="U15">
        <f t="shared" si="21"/>
        <v>6.6786283534573814</v>
      </c>
      <c r="V15">
        <f t="shared" si="22"/>
        <v>9.4358819340337907E-2</v>
      </c>
      <c r="W15">
        <f t="shared" si="23"/>
        <v>0.24317246682305257</v>
      </c>
      <c r="X15">
        <f t="shared" si="24"/>
        <v>0.10117191831551335</v>
      </c>
      <c r="Y15">
        <f t="shared" si="25"/>
        <v>-5.4270429020852967E-2</v>
      </c>
      <c r="Z15">
        <f t="shared" si="26"/>
        <v>0.73953681465785759</v>
      </c>
    </row>
    <row r="16" spans="1:26" x14ac:dyDescent="0.25">
      <c r="A16" s="11" t="s">
        <v>30</v>
      </c>
      <c r="B16" s="5">
        <v>25387</v>
      </c>
      <c r="C16" s="5">
        <v>23693</v>
      </c>
      <c r="D16" s="5">
        <v>19161</v>
      </c>
      <c r="E16" s="5">
        <v>22658</v>
      </c>
      <c r="F16" s="14">
        <v>29921</v>
      </c>
      <c r="G16">
        <f t="shared" si="6"/>
        <v>571097349</v>
      </c>
      <c r="H16">
        <f t="shared" si="7"/>
        <v>707758694</v>
      </c>
      <c r="I16">
        <f t="shared" si="8"/>
        <v>815172598</v>
      </c>
      <c r="J16">
        <f t="shared" si="9"/>
        <v>777352604</v>
      </c>
      <c r="K16">
        <f t="shared" si="10"/>
        <v>740387893</v>
      </c>
      <c r="L16">
        <f t="shared" si="11"/>
        <v>4.4453016713267918E-5</v>
      </c>
      <c r="M16">
        <f t="shared" si="12"/>
        <v>3.3476098846763161E-5</v>
      </c>
      <c r="N16">
        <f t="shared" si="13"/>
        <v>2.3505451541196187E-5</v>
      </c>
      <c r="O16">
        <f t="shared" si="14"/>
        <v>2.9147647905737254E-5</v>
      </c>
      <c r="P16">
        <f t="shared" si="15"/>
        <v>4.0412600317871489E-5</v>
      </c>
      <c r="Q16">
        <f t="shared" si="17"/>
        <v>0.54794968987175796</v>
      </c>
      <c r="R16">
        <f t="shared" si="18"/>
        <v>0.51885829890555446</v>
      </c>
      <c r="S16">
        <f t="shared" si="19"/>
        <v>0.5273086053136542</v>
      </c>
      <c r="T16">
        <f t="shared" si="20"/>
        <v>0.52672919503380966</v>
      </c>
      <c r="U16">
        <f t="shared" si="21"/>
        <v>0.63651394583103027</v>
      </c>
      <c r="V16">
        <f t="shared" si="22"/>
        <v>-0.29203165521851859</v>
      </c>
      <c r="W16">
        <f t="shared" si="23"/>
        <v>-0.31677853124359423</v>
      </c>
      <c r="X16">
        <f t="shared" si="24"/>
        <v>-0.30949304747043704</v>
      </c>
      <c r="Y16">
        <f t="shared" si="25"/>
        <v>-0.30999001427735828</v>
      </c>
      <c r="Z16">
        <f t="shared" si="26"/>
        <v>-0.22210996435132097</v>
      </c>
    </row>
    <row r="17" spans="1:26" x14ac:dyDescent="0.25">
      <c r="A17" s="12" t="s">
        <v>73</v>
      </c>
      <c r="B17" s="4">
        <v>15654</v>
      </c>
      <c r="C17" s="4">
        <v>29819</v>
      </c>
      <c r="D17" s="4">
        <v>21479</v>
      </c>
      <c r="E17" s="4">
        <v>19700</v>
      </c>
      <c r="F17" s="6">
        <v>27978</v>
      </c>
      <c r="G17">
        <f t="shared" si="6"/>
        <v>44518195</v>
      </c>
      <c r="H17">
        <f t="shared" si="7"/>
        <v>58667257</v>
      </c>
      <c r="I17">
        <f t="shared" si="8"/>
        <v>72832659</v>
      </c>
      <c r="J17">
        <f t="shared" si="9"/>
        <v>70671817</v>
      </c>
      <c r="K17">
        <f t="shared" si="10"/>
        <v>62338226</v>
      </c>
      <c r="L17">
        <f t="shared" si="11"/>
        <v>3.5163150707255764E-4</v>
      </c>
      <c r="M17">
        <f t="shared" si="12"/>
        <v>5.0827329459088224E-4</v>
      </c>
      <c r="N17">
        <f t="shared" si="13"/>
        <v>2.9490890892779298E-4</v>
      </c>
      <c r="O17">
        <f t="shared" si="14"/>
        <v>2.7875326878888651E-4</v>
      </c>
      <c r="P17">
        <f t="shared" si="15"/>
        <v>4.488096918253657E-4</v>
      </c>
      <c r="Q17">
        <f t="shared" si="17"/>
        <v>4.3343824445560877</v>
      </c>
      <c r="R17">
        <f t="shared" si="18"/>
        <v>7.87791367858404</v>
      </c>
      <c r="S17">
        <f t="shared" si="19"/>
        <v>6.6158271917788563</v>
      </c>
      <c r="T17">
        <f t="shared" si="20"/>
        <v>5.0373699228510551</v>
      </c>
      <c r="U17">
        <f t="shared" si="21"/>
        <v>7.0689246824990875</v>
      </c>
      <c r="V17">
        <f t="shared" si="22"/>
        <v>0.62507375112538743</v>
      </c>
      <c r="W17">
        <f t="shared" si="23"/>
        <v>0.77472184654998977</v>
      </c>
      <c r="X17">
        <f t="shared" si="24"/>
        <v>0.73738899929885982</v>
      </c>
      <c r="Y17">
        <f t="shared" si="25"/>
        <v>0.66872992287086319</v>
      </c>
      <c r="Z17">
        <f t="shared" si="26"/>
        <v>0.75213549776491839</v>
      </c>
    </row>
    <row r="18" spans="1:26" x14ac:dyDescent="0.25">
      <c r="A18" s="11" t="s">
        <v>19</v>
      </c>
      <c r="B18" s="5">
        <v>24344</v>
      </c>
      <c r="C18" s="5">
        <v>24329</v>
      </c>
      <c r="D18" s="5">
        <v>17145</v>
      </c>
      <c r="E18" s="5">
        <v>26778</v>
      </c>
      <c r="F18" s="14">
        <v>26396</v>
      </c>
      <c r="G18">
        <f t="shared" si="6"/>
        <v>329738801</v>
      </c>
      <c r="H18">
        <f t="shared" si="7"/>
        <v>426059817</v>
      </c>
      <c r="I18">
        <f t="shared" si="8"/>
        <v>499055069</v>
      </c>
      <c r="J18">
        <f t="shared" si="9"/>
        <v>469043091</v>
      </c>
      <c r="K18">
        <f t="shared" si="10"/>
        <v>451303134</v>
      </c>
      <c r="L18">
        <f t="shared" si="11"/>
        <v>7.382813283171973E-5</v>
      </c>
      <c r="M18">
        <f t="shared" si="12"/>
        <v>5.7102310589407217E-5</v>
      </c>
      <c r="N18">
        <f t="shared" si="13"/>
        <v>3.4354926069291161E-5</v>
      </c>
      <c r="O18">
        <f t="shared" si="14"/>
        <v>5.7090703421106353E-5</v>
      </c>
      <c r="P18">
        <f t="shared" si="15"/>
        <v>5.8488403938271788E-5</v>
      </c>
      <c r="Q18">
        <f t="shared" si="17"/>
        <v>0.91004178073875053</v>
      </c>
      <c r="R18">
        <f t="shared" si="18"/>
        <v>0.88504959528344862</v>
      </c>
      <c r="S18">
        <f t="shared" si="19"/>
        <v>0.77069985741400138</v>
      </c>
      <c r="T18">
        <f t="shared" si="20"/>
        <v>1.0316901162715859</v>
      </c>
      <c r="U18">
        <f t="shared" si="21"/>
        <v>0.9212147816097116</v>
      </c>
      <c r="V18">
        <f t="shared" si="22"/>
        <v>-4.7097513870328088E-2</v>
      </c>
      <c r="W18">
        <f t="shared" si="23"/>
        <v>-6.0980042649364172E-2</v>
      </c>
      <c r="X18">
        <f t="shared" si="24"/>
        <v>-0.12949690012449508</v>
      </c>
      <c r="Y18">
        <f t="shared" si="25"/>
        <v>1.5597908370859909E-2</v>
      </c>
      <c r="Z18">
        <f t="shared" si="26"/>
        <v>-4.1008022187023416E-2</v>
      </c>
    </row>
    <row r="19" spans="1:26" x14ac:dyDescent="0.25">
      <c r="A19" s="12" t="s">
        <v>32</v>
      </c>
      <c r="B19" s="4">
        <v>22551</v>
      </c>
      <c r="C19" s="4">
        <v>21078</v>
      </c>
      <c r="D19" s="4">
        <v>14277</v>
      </c>
      <c r="E19" s="4">
        <v>21904</v>
      </c>
      <c r="F19" s="13">
        <v>24643</v>
      </c>
      <c r="G19">
        <f t="shared" si="6"/>
        <v>254660433</v>
      </c>
      <c r="H19">
        <f t="shared" si="7"/>
        <v>335451322</v>
      </c>
      <c r="I19">
        <f t="shared" si="8"/>
        <v>386969092</v>
      </c>
      <c r="J19">
        <f t="shared" si="9"/>
        <v>371400902</v>
      </c>
      <c r="K19">
        <f t="shared" si="10"/>
        <v>379496070</v>
      </c>
      <c r="L19">
        <f t="shared" si="11"/>
        <v>8.8553214703754156E-5</v>
      </c>
      <c r="M19">
        <f t="shared" si="12"/>
        <v>6.2834750134029872E-5</v>
      </c>
      <c r="N19">
        <f t="shared" si="13"/>
        <v>3.6894419464384508E-5</v>
      </c>
      <c r="O19">
        <f t="shared" si="14"/>
        <v>5.8976701138975694E-5</v>
      </c>
      <c r="P19">
        <f t="shared" si="15"/>
        <v>6.4936113831165634E-5</v>
      </c>
      <c r="Q19">
        <f t="shared" si="17"/>
        <v>1.0915503630957555</v>
      </c>
      <c r="R19">
        <f t="shared" si="18"/>
        <v>0.97389877225346566</v>
      </c>
      <c r="S19">
        <f t="shared" si="19"/>
        <v>0.82766948073831736</v>
      </c>
      <c r="T19">
        <f t="shared" si="20"/>
        <v>1.0657721136588736</v>
      </c>
      <c r="U19">
        <f t="shared" si="21"/>
        <v>1.0227686839376624</v>
      </c>
      <c r="V19">
        <f t="shared" si="22"/>
        <v>4.3771531736032175E-2</v>
      </c>
      <c r="W19">
        <f t="shared" si="23"/>
        <v>-1.3223184548991003E-2</v>
      </c>
      <c r="X19">
        <f t="shared" si="24"/>
        <v>-9.4289761402628916E-2</v>
      </c>
      <c r="Y19">
        <f t="shared" si="25"/>
        <v>3.1838997740355167E-2</v>
      </c>
      <c r="Z19">
        <f t="shared" si="26"/>
        <v>1.125619756646583E-2</v>
      </c>
    </row>
    <row r="20" spans="1:26" x14ac:dyDescent="0.25">
      <c r="A20" s="11" t="s">
        <v>49</v>
      </c>
      <c r="B20" s="5">
        <v>18412</v>
      </c>
      <c r="C20" s="5">
        <v>15703</v>
      </c>
      <c r="D20" s="5">
        <v>12041</v>
      </c>
      <c r="E20" s="5">
        <v>21303</v>
      </c>
      <c r="F20" s="14">
        <v>18347</v>
      </c>
      <c r="G20">
        <f t="shared" si="6"/>
        <v>328822696</v>
      </c>
      <c r="H20">
        <f t="shared" si="7"/>
        <v>406912769</v>
      </c>
      <c r="I20">
        <f t="shared" si="8"/>
        <v>475516057</v>
      </c>
      <c r="J20">
        <f t="shared" si="9"/>
        <v>422530066</v>
      </c>
      <c r="K20">
        <f t="shared" si="10"/>
        <v>457612578</v>
      </c>
      <c r="L20">
        <f t="shared" si="11"/>
        <v>5.5993701845933405E-5</v>
      </c>
      <c r="M20">
        <f t="shared" si="12"/>
        <v>3.8590580577234232E-5</v>
      </c>
      <c r="N20">
        <f t="shared" si="13"/>
        <v>2.5321962997350475E-5</v>
      </c>
      <c r="O20">
        <f t="shared" si="14"/>
        <v>5.041771394322505E-5</v>
      </c>
      <c r="P20">
        <f t="shared" si="15"/>
        <v>4.0092866503332867E-5</v>
      </c>
      <c r="Q20">
        <f t="shared" si="17"/>
        <v>0.69020583595383522</v>
      </c>
      <c r="R20">
        <f t="shared" si="18"/>
        <v>0.5981295217144913</v>
      </c>
      <c r="S20">
        <f t="shared" si="19"/>
        <v>0.56805924227981586</v>
      </c>
      <c r="T20">
        <f t="shared" si="20"/>
        <v>0.91110205415691847</v>
      </c>
      <c r="U20">
        <f t="shared" si="21"/>
        <v>0.63147801569273665</v>
      </c>
      <c r="V20">
        <f t="shared" si="22"/>
        <v>-0.18328783243807603</v>
      </c>
      <c r="W20">
        <f t="shared" si="23"/>
        <v>-0.25146302150427552</v>
      </c>
      <c r="X20">
        <f t="shared" si="24"/>
        <v>-0.27546201449135393</v>
      </c>
      <c r="Y20">
        <f t="shared" si="25"/>
        <v>-4.6516587457857556E-2</v>
      </c>
      <c r="Z20">
        <f t="shared" si="26"/>
        <v>-0.22588228634560326</v>
      </c>
    </row>
    <row r="21" spans="1:26" x14ac:dyDescent="0.25">
      <c r="A21" s="12" t="s">
        <v>24</v>
      </c>
      <c r="B21" s="4">
        <v>16871</v>
      </c>
      <c r="C21" s="4">
        <v>15075</v>
      </c>
      <c r="D21" s="4">
        <v>10705</v>
      </c>
      <c r="E21" s="4">
        <v>16601</v>
      </c>
      <c r="F21" s="13">
        <v>16730</v>
      </c>
      <c r="G21">
        <f t="shared" si="6"/>
        <v>426475840</v>
      </c>
      <c r="H21">
        <f t="shared" si="7"/>
        <v>568202425</v>
      </c>
      <c r="I21">
        <f t="shared" si="8"/>
        <v>695235843</v>
      </c>
      <c r="J21">
        <f t="shared" si="9"/>
        <v>639928812</v>
      </c>
      <c r="K21">
        <f t="shared" si="10"/>
        <v>615599099</v>
      </c>
      <c r="L21">
        <f t="shared" si="11"/>
        <v>3.9559099057053269E-5</v>
      </c>
      <c r="M21">
        <f t="shared" si="12"/>
        <v>2.6531037772322075E-5</v>
      </c>
      <c r="N21">
        <f t="shared" si="13"/>
        <v>1.5397652620738082E-5</v>
      </c>
      <c r="O21">
        <f t="shared" si="14"/>
        <v>2.5941948055309626E-5</v>
      </c>
      <c r="P21">
        <f t="shared" si="15"/>
        <v>2.7176777917928694E-5</v>
      </c>
      <c r="Q21">
        <f t="shared" si="17"/>
        <v>0.4876248601919681</v>
      </c>
      <c r="R21">
        <f t="shared" si="18"/>
        <v>0.4112142573649103</v>
      </c>
      <c r="S21">
        <f t="shared" si="19"/>
        <v>0.34542262310151478</v>
      </c>
      <c r="T21">
        <f t="shared" si="20"/>
        <v>0.46879876760459038</v>
      </c>
      <c r="U21">
        <f t="shared" si="21"/>
        <v>0.42804466952017955</v>
      </c>
      <c r="V21">
        <f t="shared" si="22"/>
        <v>-0.34442496459887961</v>
      </c>
      <c r="W21">
        <f t="shared" si="23"/>
        <v>-0.41721924191334342</v>
      </c>
      <c r="X21">
        <f t="shared" si="24"/>
        <v>-0.48652175581047602</v>
      </c>
      <c r="Y21">
        <f t="shared" si="25"/>
        <v>-0.36165691591757398</v>
      </c>
      <c r="Z21">
        <f t="shared" si="26"/>
        <v>-0.40051641428835438</v>
      </c>
    </row>
    <row r="22" spans="1:26" x14ac:dyDescent="0.25">
      <c r="A22" s="11" t="s">
        <v>63</v>
      </c>
      <c r="B22" s="5">
        <v>8951</v>
      </c>
      <c r="C22" s="5">
        <v>8504</v>
      </c>
      <c r="D22" s="5">
        <v>6666</v>
      </c>
      <c r="E22" s="5">
        <v>7647</v>
      </c>
      <c r="F22" s="14">
        <v>15920</v>
      </c>
      <c r="G22">
        <f t="shared" si="6"/>
        <v>172259029</v>
      </c>
      <c r="H22">
        <f t="shared" si="7"/>
        <v>219819100</v>
      </c>
      <c r="I22">
        <f t="shared" si="8"/>
        <v>233952070</v>
      </c>
      <c r="J22">
        <f t="shared" si="9"/>
        <v>226369849</v>
      </c>
      <c r="K22">
        <f t="shared" si="10"/>
        <v>211991694</v>
      </c>
      <c r="L22">
        <f t="shared" si="11"/>
        <v>5.1962443141369386E-5</v>
      </c>
      <c r="M22">
        <f t="shared" si="12"/>
        <v>3.8686356190158181E-5</v>
      </c>
      <c r="N22">
        <f t="shared" si="13"/>
        <v>2.8493015684793897E-5</v>
      </c>
      <c r="O22">
        <f t="shared" si="14"/>
        <v>3.3781000578394165E-5</v>
      </c>
      <c r="P22">
        <f t="shared" si="15"/>
        <v>7.5097281877468269E-5</v>
      </c>
      <c r="Q22">
        <f t="shared" si="17"/>
        <v>0.64051456367850768</v>
      </c>
      <c r="R22">
        <f t="shared" si="18"/>
        <v>0.59961398296625879</v>
      </c>
      <c r="S22">
        <f t="shared" si="19"/>
        <v>0.63919692568322994</v>
      </c>
      <c r="T22">
        <f t="shared" si="20"/>
        <v>0.61045883700934445</v>
      </c>
      <c r="U22">
        <f t="shared" si="21"/>
        <v>1.1828109756123231</v>
      </c>
      <c r="V22">
        <f t="shared" si="22"/>
        <v>-0.21912968301568875</v>
      </c>
      <c r="W22">
        <f t="shared" si="23"/>
        <v>-0.25030164858354248</v>
      </c>
      <c r="X22">
        <f t="shared" si="24"/>
        <v>-0.22010965776206817</v>
      </c>
      <c r="Y22">
        <f t="shared" si="25"/>
        <v>-0.24188209846706893</v>
      </c>
      <c r="Z22">
        <f t="shared" si="26"/>
        <v>8.3750254902873952E-2</v>
      </c>
    </row>
    <row r="23" spans="1:26" x14ac:dyDescent="0.25">
      <c r="A23" s="12" t="s">
        <v>15</v>
      </c>
      <c r="B23" s="4">
        <v>18419</v>
      </c>
      <c r="C23" s="4">
        <v>15228</v>
      </c>
      <c r="D23" s="4">
        <v>21361</v>
      </c>
      <c r="E23" s="4">
        <v>33989</v>
      </c>
      <c r="F23" s="13">
        <v>14918</v>
      </c>
      <c r="G23">
        <f t="shared" si="6"/>
        <v>367980363</v>
      </c>
      <c r="H23">
        <f t="shared" si="7"/>
        <v>570402004</v>
      </c>
      <c r="I23">
        <f t="shared" si="8"/>
        <v>732565993</v>
      </c>
      <c r="J23">
        <f t="shared" si="9"/>
        <v>673791035</v>
      </c>
      <c r="K23">
        <f t="shared" si="10"/>
        <v>702773476</v>
      </c>
      <c r="L23">
        <f t="shared" si="11"/>
        <v>5.0054301403034379E-5</v>
      </c>
      <c r="M23">
        <f t="shared" si="12"/>
        <v>2.6696960903384202E-5</v>
      </c>
      <c r="N23">
        <f t="shared" si="13"/>
        <v>2.9159147713808768E-5</v>
      </c>
      <c r="O23">
        <f t="shared" si="14"/>
        <v>5.044442302501101E-5</v>
      </c>
      <c r="P23">
        <f t="shared" si="15"/>
        <v>2.1227323610602516E-5</v>
      </c>
      <c r="Q23">
        <f t="shared" si="17"/>
        <v>0.61699387259704164</v>
      </c>
      <c r="R23">
        <f t="shared" si="18"/>
        <v>0.41378596065465317</v>
      </c>
      <c r="S23">
        <f t="shared" si="19"/>
        <v>0.65414057186500896</v>
      </c>
      <c r="T23">
        <f t="shared" si="20"/>
        <v>0.9115847158521162</v>
      </c>
      <c r="U23">
        <f t="shared" si="21"/>
        <v>0.33433848365460594</v>
      </c>
      <c r="V23">
        <f t="shared" si="22"/>
        <v>-0.23686306664094844</v>
      </c>
      <c r="W23">
        <f t="shared" si="23"/>
        <v>-0.41464129342032829</v>
      </c>
      <c r="X23">
        <f t="shared" si="24"/>
        <v>-0.20908708366003123</v>
      </c>
      <c r="Y23">
        <f t="shared" si="25"/>
        <v>-4.62523493804309E-2</v>
      </c>
      <c r="Z23">
        <f t="shared" si="26"/>
        <v>-0.49887005770996018</v>
      </c>
    </row>
    <row r="24" spans="1:26" ht="23.25" x14ac:dyDescent="0.25">
      <c r="A24" s="11" t="s">
        <v>90</v>
      </c>
      <c r="B24" s="5">
        <v>37786</v>
      </c>
      <c r="C24" s="5">
        <v>28421</v>
      </c>
      <c r="D24" s="7">
        <v>12333</v>
      </c>
      <c r="E24" s="7">
        <v>14842</v>
      </c>
      <c r="F24" s="7">
        <v>11628</v>
      </c>
      <c r="G24">
        <f t="shared" si="6"/>
        <v>231667985</v>
      </c>
      <c r="H24">
        <f t="shared" si="7"/>
        <v>293501672</v>
      </c>
      <c r="I24">
        <f t="shared" si="8"/>
        <v>199386103</v>
      </c>
      <c r="J24">
        <f t="shared" si="9"/>
        <v>218843240</v>
      </c>
      <c r="K24">
        <f t="shared" si="10"/>
        <v>204294595</v>
      </c>
      <c r="L24">
        <f t="shared" si="11"/>
        <v>1.6310410780324264E-4</v>
      </c>
      <c r="M24">
        <f t="shared" si="12"/>
        <v>9.6834201339745686E-5</v>
      </c>
      <c r="N24">
        <f t="shared" si="13"/>
        <v>6.1854862572844404E-5</v>
      </c>
      <c r="O24">
        <f t="shared" si="14"/>
        <v>6.7820235160108208E-5</v>
      </c>
      <c r="P24">
        <f t="shared" si="15"/>
        <v>5.6917805387851792E-5</v>
      </c>
      <c r="Q24">
        <f t="shared" si="17"/>
        <v>2.010501241435914</v>
      </c>
      <c r="R24">
        <f t="shared" si="18"/>
        <v>1.500868700770863</v>
      </c>
      <c r="S24">
        <f t="shared" si="19"/>
        <v>1.3876185810763828</v>
      </c>
      <c r="T24">
        <f t="shared" si="20"/>
        <v>1.225584238852288</v>
      </c>
      <c r="U24">
        <f t="shared" si="21"/>
        <v>0.89647725240394482</v>
      </c>
      <c r="V24">
        <f t="shared" si="22"/>
        <v>0.33565880243714391</v>
      </c>
      <c r="W24">
        <f t="shared" si="23"/>
        <v>0.20027788768617727</v>
      </c>
      <c r="X24">
        <f t="shared" si="24"/>
        <v>0.16234526910979105</v>
      </c>
      <c r="Y24">
        <f t="shared" si="25"/>
        <v>0.10135955984690993</v>
      </c>
      <c r="Z24">
        <f t="shared" si="26"/>
        <v>-5.4586864917483914E-2</v>
      </c>
    </row>
    <row r="25" spans="1:26" x14ac:dyDescent="0.25">
      <c r="A25" s="12" t="s">
        <v>88</v>
      </c>
      <c r="B25" s="4">
        <v>10874</v>
      </c>
      <c r="C25" s="4">
        <v>9427</v>
      </c>
      <c r="D25" s="4">
        <v>7280</v>
      </c>
      <c r="E25" s="4">
        <v>10192</v>
      </c>
      <c r="F25" s="13">
        <v>10842</v>
      </c>
      <c r="G25">
        <f t="shared" si="6"/>
        <v>291035118</v>
      </c>
      <c r="H25">
        <f t="shared" si="7"/>
        <v>324497583</v>
      </c>
      <c r="I25">
        <f t="shared" si="8"/>
        <v>356763182</v>
      </c>
      <c r="J25">
        <f t="shared" si="9"/>
        <v>366266257</v>
      </c>
      <c r="K25">
        <f t="shared" si="10"/>
        <v>369659595</v>
      </c>
      <c r="L25">
        <f t="shared" si="11"/>
        <v>3.7363188589495238E-5</v>
      </c>
      <c r="M25">
        <f t="shared" si="12"/>
        <v>2.9051063841051783E-5</v>
      </c>
      <c r="N25">
        <f t="shared" si="13"/>
        <v>2.0405693096436169E-5</v>
      </c>
      <c r="O25">
        <f t="shared" si="14"/>
        <v>2.7826751182269024E-5</v>
      </c>
      <c r="P25">
        <f t="shared" si="15"/>
        <v>2.9329686410547521E-5</v>
      </c>
      <c r="Q25">
        <f t="shared" si="17"/>
        <v>0.46055699059279565</v>
      </c>
      <c r="R25">
        <f t="shared" si="18"/>
        <v>0.45027306302813874</v>
      </c>
      <c r="S25">
        <f t="shared" si="19"/>
        <v>0.45777029844680184</v>
      </c>
      <c r="T25">
        <f t="shared" si="20"/>
        <v>0.50285917745553821</v>
      </c>
      <c r="U25">
        <f t="shared" si="21"/>
        <v>0.46195380352470283</v>
      </c>
      <c r="V25">
        <f t="shared" si="22"/>
        <v>-0.36934060970004384</v>
      </c>
      <c r="W25">
        <f t="shared" si="23"/>
        <v>-0.37905064293481622</v>
      </c>
      <c r="X25">
        <f t="shared" si="24"/>
        <v>-0.37195825853423065</v>
      </c>
      <c r="Y25">
        <f t="shared" si="25"/>
        <v>-0.33079667742799512</v>
      </c>
      <c r="Z25">
        <f t="shared" si="26"/>
        <v>-0.36803228335812849</v>
      </c>
    </row>
    <row r="26" spans="1:26" x14ac:dyDescent="0.25">
      <c r="A26" s="11" t="s">
        <v>34</v>
      </c>
      <c r="B26" s="5">
        <v>7621</v>
      </c>
      <c r="C26" s="5">
        <v>8269</v>
      </c>
      <c r="D26" s="5">
        <v>5655</v>
      </c>
      <c r="E26" s="5">
        <v>9625</v>
      </c>
      <c r="F26" s="14">
        <v>9813</v>
      </c>
      <c r="G26">
        <f t="shared" si="6"/>
        <v>395854450</v>
      </c>
      <c r="H26">
        <f t="shared" si="7"/>
        <v>532547499</v>
      </c>
      <c r="I26">
        <f t="shared" si="8"/>
        <v>624289390</v>
      </c>
      <c r="J26">
        <f t="shared" si="9"/>
        <v>550854780</v>
      </c>
      <c r="K26">
        <f t="shared" si="10"/>
        <v>519085769</v>
      </c>
      <c r="L26">
        <f t="shared" si="11"/>
        <v>1.9252025586677123E-5</v>
      </c>
      <c r="M26">
        <f t="shared" si="12"/>
        <v>1.5527253466643357E-5</v>
      </c>
      <c r="N26">
        <f t="shared" si="13"/>
        <v>9.0582990686418678E-6</v>
      </c>
      <c r="O26">
        <f t="shared" si="14"/>
        <v>1.7472844657896951E-5</v>
      </c>
      <c r="P26">
        <f t="shared" si="15"/>
        <v>1.890439034555771E-5</v>
      </c>
      <c r="Q26">
        <f t="shared" si="17"/>
        <v>0.23730991121856237</v>
      </c>
      <c r="R26">
        <f t="shared" si="18"/>
        <v>0.24066258010696881</v>
      </c>
      <c r="S26">
        <f t="shared" si="19"/>
        <v>0.20320898920099792</v>
      </c>
      <c r="T26">
        <f t="shared" si="20"/>
        <v>0.31575300454323479</v>
      </c>
      <c r="U26">
        <f t="shared" si="21"/>
        <v>0.29775139431103897</v>
      </c>
      <c r="V26">
        <f t="shared" si="22"/>
        <v>-0.6164099081937392</v>
      </c>
      <c r="W26">
        <f t="shared" si="23"/>
        <v>-0.6120418493056845</v>
      </c>
      <c r="X26">
        <f t="shared" si="24"/>
        <v>-0.66222162396585693</v>
      </c>
      <c r="Y26">
        <f t="shared" si="25"/>
        <v>-0.52004213031936208</v>
      </c>
      <c r="Z26">
        <f t="shared" si="26"/>
        <v>-0.54112722110522293</v>
      </c>
    </row>
    <row r="27" spans="1:26" ht="23.25" x14ac:dyDescent="0.25">
      <c r="A27" s="12" t="s">
        <v>118</v>
      </c>
      <c r="B27" s="4">
        <v>10883</v>
      </c>
      <c r="C27" s="4">
        <v>9323</v>
      </c>
      <c r="D27" s="4">
        <v>6615</v>
      </c>
      <c r="E27" s="4">
        <v>8927</v>
      </c>
      <c r="F27" s="13">
        <v>9280</v>
      </c>
      <c r="G27">
        <f t="shared" si="6"/>
        <v>467540264</v>
      </c>
      <c r="H27">
        <f t="shared" si="7"/>
        <v>615034495</v>
      </c>
      <c r="I27">
        <f t="shared" si="8"/>
        <v>731366344</v>
      </c>
      <c r="J27">
        <f t="shared" si="9"/>
        <v>642571069</v>
      </c>
      <c r="K27">
        <f t="shared" si="10"/>
        <v>632098015</v>
      </c>
      <c r="L27">
        <f t="shared" si="11"/>
        <v>2.3277139613370284E-5</v>
      </c>
      <c r="M27">
        <f t="shared" si="12"/>
        <v>1.5158499361893515E-5</v>
      </c>
      <c r="N27">
        <f t="shared" si="13"/>
        <v>9.0447148057444651E-6</v>
      </c>
      <c r="O27">
        <f t="shared" si="14"/>
        <v>1.3892626715816238E-5</v>
      </c>
      <c r="P27">
        <f t="shared" si="15"/>
        <v>1.468126742970392E-5</v>
      </c>
      <c r="Q27">
        <f t="shared" si="17"/>
        <v>0.28692544118025975</v>
      </c>
      <c r="R27">
        <f t="shared" si="18"/>
        <v>0.2349471253766921</v>
      </c>
      <c r="S27">
        <f t="shared" si="19"/>
        <v>0.20290424718359445</v>
      </c>
      <c r="T27">
        <f t="shared" si="20"/>
        <v>0.25105463434278424</v>
      </c>
      <c r="U27">
        <f t="shared" si="21"/>
        <v>0.23123558959280593</v>
      </c>
      <c r="V27">
        <f t="shared" si="22"/>
        <v>-0.55409158604073305</v>
      </c>
      <c r="W27">
        <f t="shared" si="23"/>
        <v>-0.61950253488783669</v>
      </c>
      <c r="X27">
        <f t="shared" si="24"/>
        <v>-0.66264272878134411</v>
      </c>
      <c r="Y27">
        <f t="shared" si="25"/>
        <v>-0.59865120602879096</v>
      </c>
      <c r="Z27">
        <f t="shared" si="26"/>
        <v>-0.62438449384121497</v>
      </c>
    </row>
    <row r="28" spans="1:26" x14ac:dyDescent="0.25">
      <c r="A28" s="11" t="s">
        <v>76</v>
      </c>
      <c r="B28" s="5">
        <v>9860</v>
      </c>
      <c r="C28" s="5">
        <v>9379</v>
      </c>
      <c r="D28" s="5">
        <v>7045</v>
      </c>
      <c r="E28" s="5">
        <v>8682</v>
      </c>
      <c r="F28" s="14">
        <v>8577</v>
      </c>
      <c r="G28">
        <f t="shared" si="6"/>
        <v>149436257</v>
      </c>
      <c r="H28">
        <f t="shared" si="7"/>
        <v>187319607</v>
      </c>
      <c r="I28">
        <f t="shared" si="8"/>
        <v>202997376</v>
      </c>
      <c r="J28">
        <f t="shared" si="9"/>
        <v>193241453</v>
      </c>
      <c r="K28">
        <f t="shared" si="10"/>
        <v>188975538</v>
      </c>
      <c r="L28">
        <f t="shared" si="11"/>
        <v>6.5981310010996858E-5</v>
      </c>
      <c r="M28">
        <f t="shared" si="12"/>
        <v>5.0069505003819488E-5</v>
      </c>
      <c r="N28">
        <f t="shared" si="13"/>
        <v>3.4704882096604044E-5</v>
      </c>
      <c r="O28">
        <f t="shared" si="14"/>
        <v>4.4928248391922408E-5</v>
      </c>
      <c r="P28">
        <f t="shared" si="15"/>
        <v>4.538682673309812E-5</v>
      </c>
      <c r="Q28">
        <f t="shared" si="17"/>
        <v>0.81331799349102463</v>
      </c>
      <c r="R28">
        <f t="shared" si="18"/>
        <v>0.77604556947461822</v>
      </c>
      <c r="S28">
        <f t="shared" si="19"/>
        <v>0.77855058193039894</v>
      </c>
      <c r="T28">
        <f t="shared" si="20"/>
        <v>0.811901536147562</v>
      </c>
      <c r="U28">
        <f t="shared" si="21"/>
        <v>0.71485991857489961</v>
      </c>
      <c r="V28">
        <f t="shared" si="22"/>
        <v>-0.10295050684936546</v>
      </c>
      <c r="W28">
        <f t="shared" si="23"/>
        <v>-0.1260972321738518</v>
      </c>
      <c r="X28">
        <f t="shared" si="24"/>
        <v>-0.12451117236668344</v>
      </c>
      <c r="Y28">
        <f t="shared" si="25"/>
        <v>-0.10381274042758976</v>
      </c>
      <c r="Z28">
        <f t="shared" si="26"/>
        <v>-0.16627601959585153</v>
      </c>
    </row>
    <row r="29" spans="1:26" ht="23.25" x14ac:dyDescent="0.25">
      <c r="A29" s="12" t="s">
        <v>81</v>
      </c>
      <c r="B29" s="4">
        <v>9680</v>
      </c>
      <c r="C29" s="4">
        <v>7673</v>
      </c>
      <c r="D29" s="4">
        <v>6364</v>
      </c>
      <c r="E29" s="4">
        <v>5157</v>
      </c>
      <c r="F29" s="6">
        <v>8064</v>
      </c>
      <c r="G29">
        <f t="shared" si="6"/>
        <v>38911684</v>
      </c>
      <c r="H29">
        <f t="shared" si="7"/>
        <v>48986643</v>
      </c>
      <c r="I29">
        <f t="shared" si="8"/>
        <v>58922123</v>
      </c>
      <c r="J29">
        <f t="shared" si="9"/>
        <v>65555454</v>
      </c>
      <c r="K29">
        <f t="shared" si="10"/>
        <v>23150950</v>
      </c>
      <c r="L29">
        <f t="shared" si="11"/>
        <v>2.4876846758932356E-4</v>
      </c>
      <c r="M29">
        <f t="shared" si="12"/>
        <v>1.5663453403002119E-4</v>
      </c>
      <c r="N29">
        <f t="shared" si="13"/>
        <v>1.0800697048882641E-4</v>
      </c>
      <c r="O29">
        <f t="shared" si="14"/>
        <v>7.8666223560895486E-5</v>
      </c>
      <c r="P29">
        <f t="shared" si="15"/>
        <v>3.4832263902777208E-4</v>
      </c>
      <c r="Q29">
        <f t="shared" si="17"/>
        <v>3.0664421617252584</v>
      </c>
      <c r="R29">
        <f t="shared" si="18"/>
        <v>2.4277359273163683</v>
      </c>
      <c r="S29">
        <f t="shared" si="19"/>
        <v>2.4229700447489355</v>
      </c>
      <c r="T29">
        <f t="shared" si="20"/>
        <v>1.4215828579576129</v>
      </c>
      <c r="U29">
        <f t="shared" si="21"/>
        <v>5.4862150825716105</v>
      </c>
      <c r="V29">
        <f t="shared" si="22"/>
        <v>0.50816956925523682</v>
      </c>
      <c r="W29">
        <f t="shared" si="23"/>
        <v>0.41652448076248588</v>
      </c>
      <c r="X29">
        <f t="shared" si="24"/>
        <v>0.41571209392611147</v>
      </c>
      <c r="Y29">
        <f t="shared" si="25"/>
        <v>0.17409392231706664</v>
      </c>
      <c r="Z29">
        <f t="shared" si="26"/>
        <v>0.69165376501713949</v>
      </c>
    </row>
    <row r="30" spans="1:26" ht="23.25" x14ac:dyDescent="0.25">
      <c r="A30" s="11" t="s">
        <v>47</v>
      </c>
      <c r="B30" s="5">
        <v>6438</v>
      </c>
      <c r="C30" s="5">
        <v>6415</v>
      </c>
      <c r="D30" s="5">
        <v>5308</v>
      </c>
      <c r="E30" s="5">
        <v>8004</v>
      </c>
      <c r="F30" s="14">
        <v>7684</v>
      </c>
      <c r="G30">
        <f t="shared" si="6"/>
        <v>171440208</v>
      </c>
      <c r="H30">
        <f t="shared" si="7"/>
        <v>212480637</v>
      </c>
      <c r="I30">
        <f t="shared" si="8"/>
        <v>236320011</v>
      </c>
      <c r="J30">
        <f t="shared" si="9"/>
        <v>228913299</v>
      </c>
      <c r="K30">
        <f t="shared" si="10"/>
        <v>229396962</v>
      </c>
      <c r="L30">
        <f t="shared" si="11"/>
        <v>3.7552450939630216E-5</v>
      </c>
      <c r="M30">
        <f t="shared" si="12"/>
        <v>3.0190986296789009E-5</v>
      </c>
      <c r="N30">
        <f t="shared" si="13"/>
        <v>2.2461068690454655E-5</v>
      </c>
      <c r="O30">
        <f t="shared" si="14"/>
        <v>3.4965203135707726E-5</v>
      </c>
      <c r="P30">
        <f t="shared" si="15"/>
        <v>3.3496520324449629E-5</v>
      </c>
      <c r="Q30">
        <f t="shared" si="17"/>
        <v>0.46288993116080684</v>
      </c>
      <c r="R30">
        <f t="shared" si="18"/>
        <v>0.46794113806207444</v>
      </c>
      <c r="S30">
        <f t="shared" si="19"/>
        <v>0.50387948447873532</v>
      </c>
      <c r="T30">
        <f t="shared" si="20"/>
        <v>0.63185864469838871</v>
      </c>
      <c r="U30">
        <f t="shared" si="21"/>
        <v>0.52758303488568248</v>
      </c>
      <c r="V30">
        <f t="shared" si="22"/>
        <v>-0.36715685671101383</v>
      </c>
      <c r="W30">
        <f t="shared" si="23"/>
        <v>-0.36245244999423581</v>
      </c>
      <c r="X30">
        <f t="shared" si="24"/>
        <v>-0.32989379843373995</v>
      </c>
      <c r="Y30">
        <f t="shared" si="25"/>
        <v>-0.22559635082219617</v>
      </c>
      <c r="Z30">
        <f t="shared" si="26"/>
        <v>-0.30925779766182798</v>
      </c>
    </row>
    <row r="31" spans="1:26" x14ac:dyDescent="0.25">
      <c r="A31" s="12" t="s">
        <v>22</v>
      </c>
      <c r="B31" s="4">
        <v>16932</v>
      </c>
      <c r="C31" s="4">
        <v>8796</v>
      </c>
      <c r="D31" s="4">
        <v>941</v>
      </c>
      <c r="E31" s="4">
        <v>2173</v>
      </c>
      <c r="F31" s="13">
        <v>7653</v>
      </c>
      <c r="G31">
        <f t="shared" si="6"/>
        <v>141622127</v>
      </c>
      <c r="H31">
        <f t="shared" si="7"/>
        <v>195694490</v>
      </c>
      <c r="I31">
        <f t="shared" si="8"/>
        <v>237447057</v>
      </c>
      <c r="J31">
        <f t="shared" si="9"/>
        <v>221739634</v>
      </c>
      <c r="K31">
        <f t="shared" si="10"/>
        <v>233658658</v>
      </c>
      <c r="L31">
        <f t="shared" si="11"/>
        <v>1.1955758862455159E-4</v>
      </c>
      <c r="M31">
        <f t="shared" si="12"/>
        <v>4.4947611963934194E-5</v>
      </c>
      <c r="N31">
        <f t="shared" si="13"/>
        <v>3.9629886842522541E-6</v>
      </c>
      <c r="O31">
        <f t="shared" si="14"/>
        <v>9.7997816664566159E-6</v>
      </c>
      <c r="P31">
        <f t="shared" si="15"/>
        <v>3.2752905736538126E-5</v>
      </c>
      <c r="Q31">
        <f t="shared" si="17"/>
        <v>1.4737254848462285</v>
      </c>
      <c r="R31">
        <f t="shared" si="18"/>
        <v>0.69665947607060608</v>
      </c>
      <c r="S31">
        <f t="shared" si="19"/>
        <v>8.8903547855881948E-2</v>
      </c>
      <c r="T31">
        <f t="shared" si="20"/>
        <v>0.17709254363758645</v>
      </c>
      <c r="U31">
        <f t="shared" si="21"/>
        <v>0.51587082008618712</v>
      </c>
      <c r="V31">
        <f t="shared" si="22"/>
        <v>0.19150285177082862</v>
      </c>
      <c r="W31">
        <f t="shared" si="23"/>
        <v>-0.17878692112804992</v>
      </c>
      <c r="X31">
        <f t="shared" si="24"/>
        <v>-0.8367099675064178</v>
      </c>
      <c r="Y31">
        <f t="shared" si="25"/>
        <v>-0.69910174931477387</v>
      </c>
      <c r="Z31">
        <f t="shared" si="26"/>
        <v>-0.31937363890036952</v>
      </c>
    </row>
    <row r="32" spans="1:26" x14ac:dyDescent="0.25">
      <c r="A32" s="11" t="s">
        <v>42</v>
      </c>
      <c r="B32" s="5">
        <v>14536</v>
      </c>
      <c r="C32" s="5">
        <v>12564</v>
      </c>
      <c r="D32" s="5">
        <v>7218</v>
      </c>
      <c r="E32" s="5">
        <v>972</v>
      </c>
      <c r="F32" s="14">
        <v>7545</v>
      </c>
      <c r="G32">
        <f t="shared" si="6"/>
        <v>90758564</v>
      </c>
      <c r="H32">
        <f t="shared" si="7"/>
        <v>124386497</v>
      </c>
      <c r="I32">
        <f t="shared" si="8"/>
        <v>145889817</v>
      </c>
      <c r="J32">
        <f t="shared" si="9"/>
        <v>133758994</v>
      </c>
      <c r="K32">
        <f t="shared" si="10"/>
        <v>134882435</v>
      </c>
      <c r="L32">
        <f t="shared" si="11"/>
        <v>1.6016119426481891E-4</v>
      </c>
      <c r="M32">
        <f t="shared" si="12"/>
        <v>1.0100774845359621E-4</v>
      </c>
      <c r="N32">
        <f t="shared" si="13"/>
        <v>4.9475694386538303E-5</v>
      </c>
      <c r="O32">
        <f t="shared" si="14"/>
        <v>7.2668010646072888E-6</v>
      </c>
      <c r="P32">
        <f t="shared" si="15"/>
        <v>5.5937602253399417E-5</v>
      </c>
      <c r="Q32">
        <f t="shared" si="17"/>
        <v>1.9742254455523609</v>
      </c>
      <c r="R32">
        <f t="shared" si="18"/>
        <v>1.5655560338381702</v>
      </c>
      <c r="S32">
        <f t="shared" si="19"/>
        <v>1.1099110075875802</v>
      </c>
      <c r="T32">
        <f t="shared" si="20"/>
        <v>0.13131887305658096</v>
      </c>
      <c r="U32">
        <f t="shared" si="21"/>
        <v>0.88103867730809005</v>
      </c>
      <c r="V32">
        <f t="shared" si="22"/>
        <v>0.32755601866335043</v>
      </c>
      <c r="W32">
        <f t="shared" si="23"/>
        <v>0.22044189500397568</v>
      </c>
      <c r="X32">
        <f t="shared" si="24"/>
        <v>5.2092722011650022E-2</v>
      </c>
      <c r="Y32">
        <f t="shared" si="25"/>
        <v>-0.76784817051308341</v>
      </c>
      <c r="Z32">
        <f t="shared" si="26"/>
        <v>-6.3242358664391041E-2</v>
      </c>
    </row>
    <row r="33" spans="1:26" x14ac:dyDescent="0.25">
      <c r="A33" s="12" t="s">
        <v>125</v>
      </c>
      <c r="B33" s="4">
        <v>6916</v>
      </c>
      <c r="C33" s="4">
        <v>4783</v>
      </c>
      <c r="D33" s="4">
        <v>5272</v>
      </c>
      <c r="E33" s="4">
        <v>8118</v>
      </c>
      <c r="F33" s="6">
        <v>7456</v>
      </c>
      <c r="G33">
        <f t="shared" si="6"/>
        <v>25834886</v>
      </c>
      <c r="H33">
        <f t="shared" si="7"/>
        <v>27985403</v>
      </c>
      <c r="I33">
        <f t="shared" si="8"/>
        <v>33479012</v>
      </c>
      <c r="J33">
        <f t="shared" si="9"/>
        <v>31431141</v>
      </c>
      <c r="K33">
        <f t="shared" si="10"/>
        <v>31124259</v>
      </c>
      <c r="L33">
        <f t="shared" si="11"/>
        <v>2.6770003939634182E-4</v>
      </c>
      <c r="M33">
        <f t="shared" si="12"/>
        <v>1.7091052789198712E-4</v>
      </c>
      <c r="N33">
        <f t="shared" si="13"/>
        <v>1.5747179158094628E-4</v>
      </c>
      <c r="O33">
        <f t="shared" si="14"/>
        <v>2.5827888335329602E-4</v>
      </c>
      <c r="P33">
        <f t="shared" si="15"/>
        <v>2.3955590396545665E-4</v>
      </c>
      <c r="Q33">
        <f t="shared" si="17"/>
        <v>3.2998020024612051</v>
      </c>
      <c r="R33">
        <f t="shared" si="18"/>
        <v>2.6490047771997531</v>
      </c>
      <c r="S33">
        <f t="shared" si="19"/>
        <v>3.5326371267218599</v>
      </c>
      <c r="T33">
        <f t="shared" si="20"/>
        <v>4.6673758638389113</v>
      </c>
      <c r="U33">
        <f t="shared" si="21"/>
        <v>3.7730973132342909</v>
      </c>
      <c r="V33">
        <f t="shared" si="22"/>
        <v>0.53486230322810202</v>
      </c>
      <c r="W33">
        <f t="shared" si="23"/>
        <v>0.45190534896071022</v>
      </c>
      <c r="X33">
        <f t="shared" si="24"/>
        <v>0.558755765333798</v>
      </c>
      <c r="Y33">
        <f t="shared" si="25"/>
        <v>0.64710298945211309</v>
      </c>
      <c r="Z33">
        <f t="shared" si="26"/>
        <v>0.58098486815790829</v>
      </c>
    </row>
    <row r="34" spans="1:26" x14ac:dyDescent="0.25">
      <c r="A34" s="11" t="s">
        <v>43</v>
      </c>
      <c r="B34" s="5">
        <v>5468</v>
      </c>
      <c r="C34" s="5">
        <v>5849</v>
      </c>
      <c r="D34" s="5">
        <v>5177</v>
      </c>
      <c r="E34" s="5">
        <v>7648</v>
      </c>
      <c r="F34" s="14">
        <v>7354</v>
      </c>
      <c r="G34">
        <f t="shared" si="6"/>
        <v>95778398</v>
      </c>
      <c r="H34">
        <f t="shared" si="7"/>
        <v>120259539</v>
      </c>
      <c r="I34">
        <f t="shared" si="8"/>
        <v>127078114</v>
      </c>
      <c r="J34">
        <f t="shared" si="9"/>
        <v>126396956</v>
      </c>
      <c r="K34">
        <f t="shared" si="10"/>
        <v>121792392</v>
      </c>
      <c r="L34">
        <f t="shared" si="11"/>
        <v>5.7090117544041609E-5</v>
      </c>
      <c r="M34">
        <f t="shared" si="12"/>
        <v>4.8636474483741366E-5</v>
      </c>
      <c r="N34">
        <f t="shared" si="13"/>
        <v>4.0738722326332288E-5</v>
      </c>
      <c r="O34">
        <f t="shared" si="14"/>
        <v>6.0507786279283499E-5</v>
      </c>
      <c r="P34">
        <f t="shared" si="15"/>
        <v>6.0381439917856283E-5</v>
      </c>
      <c r="Q34">
        <f t="shared" si="17"/>
        <v>0.70372079368154328</v>
      </c>
      <c r="R34">
        <f t="shared" si="18"/>
        <v>0.75383450535597551</v>
      </c>
      <c r="S34">
        <f t="shared" si="19"/>
        <v>0.9139104949551331</v>
      </c>
      <c r="T34">
        <f t="shared" si="20"/>
        <v>1.0934404608987831</v>
      </c>
      <c r="U34">
        <f t="shared" si="21"/>
        <v>0.95103082392047034</v>
      </c>
      <c r="V34">
        <f t="shared" si="22"/>
        <v>-0.17390126798783248</v>
      </c>
      <c r="W34">
        <f t="shared" si="23"/>
        <v>-0.1403584510923169</v>
      </c>
      <c r="X34">
        <f t="shared" si="24"/>
        <v>-4.4980946220729644E-2</v>
      </c>
      <c r="Y34">
        <f t="shared" si="25"/>
        <v>4.4634878633551402E-2</v>
      </c>
      <c r="Z34">
        <f t="shared" si="26"/>
        <v>-2.5099129895410504E-2</v>
      </c>
    </row>
    <row r="35" spans="1:26" x14ac:dyDescent="0.25">
      <c r="A35" s="12" t="s">
        <v>41</v>
      </c>
      <c r="B35" s="4">
        <v>8267</v>
      </c>
      <c r="C35" s="4">
        <v>7635</v>
      </c>
      <c r="D35" s="4">
        <v>3805</v>
      </c>
      <c r="E35" s="4">
        <v>3797</v>
      </c>
      <c r="F35" s="13">
        <v>6916</v>
      </c>
      <c r="G35">
        <f t="shared" si="6"/>
        <v>68704670</v>
      </c>
      <c r="H35">
        <f t="shared" si="7"/>
        <v>93614253</v>
      </c>
      <c r="I35">
        <f t="shared" si="8"/>
        <v>111878211</v>
      </c>
      <c r="J35">
        <f t="shared" si="9"/>
        <v>107264215</v>
      </c>
      <c r="K35">
        <f t="shared" si="10"/>
        <v>101243957</v>
      </c>
      <c r="L35">
        <f t="shared" si="11"/>
        <v>1.2032660953032742E-4</v>
      </c>
      <c r="M35">
        <f t="shared" si="12"/>
        <v>8.1558093509542822E-5</v>
      </c>
      <c r="N35">
        <f t="shared" si="13"/>
        <v>3.4010197034702317E-5</v>
      </c>
      <c r="O35">
        <f t="shared" si="14"/>
        <v>3.5398571648522296E-5</v>
      </c>
      <c r="P35">
        <f t="shared" si="15"/>
        <v>6.8310249865085777E-5</v>
      </c>
      <c r="Q35">
        <f t="shared" si="17"/>
        <v>1.4832048137642813</v>
      </c>
      <c r="R35">
        <f t="shared" si="18"/>
        <v>1.2640987187320727</v>
      </c>
      <c r="S35">
        <f t="shared" si="19"/>
        <v>0.76296639242943909</v>
      </c>
      <c r="T35">
        <f t="shared" si="20"/>
        <v>0.63969007756892526</v>
      </c>
      <c r="U35">
        <f t="shared" si="21"/>
        <v>1.0759126198345914</v>
      </c>
      <c r="V35">
        <f t="shared" si="22"/>
        <v>0.19458919018113241</v>
      </c>
      <c r="W35">
        <f t="shared" si="23"/>
        <v>0.11664629132424566</v>
      </c>
      <c r="X35">
        <f t="shared" si="24"/>
        <v>-0.13445157468028587</v>
      </c>
      <c r="Y35">
        <f t="shared" si="25"/>
        <v>-0.2197426985502563</v>
      </c>
      <c r="Z35">
        <f t="shared" si="26"/>
        <v>3.656831174360322E-2</v>
      </c>
    </row>
    <row r="36" spans="1:26" x14ac:dyDescent="0.25">
      <c r="A36" s="11" t="s">
        <v>37</v>
      </c>
      <c r="B36" s="5">
        <v>6736</v>
      </c>
      <c r="C36" s="5">
        <v>5493</v>
      </c>
      <c r="D36" s="5">
        <v>4718</v>
      </c>
      <c r="E36" s="5">
        <v>3963</v>
      </c>
      <c r="F36" s="14">
        <v>6623</v>
      </c>
      <c r="G36">
        <f t="shared" si="6"/>
        <v>219514373</v>
      </c>
      <c r="H36">
        <f t="shared" si="7"/>
        <v>271422758</v>
      </c>
      <c r="I36">
        <f t="shared" si="8"/>
        <v>363710987</v>
      </c>
      <c r="J36">
        <f t="shared" si="9"/>
        <v>361966913</v>
      </c>
      <c r="K36">
        <f t="shared" si="10"/>
        <v>344017272</v>
      </c>
      <c r="L36">
        <f t="shared" si="11"/>
        <v>3.0685917773593805E-5</v>
      </c>
      <c r="M36">
        <f t="shared" si="12"/>
        <v>2.0237801872162833E-5</v>
      </c>
      <c r="N36">
        <f t="shared" si="13"/>
        <v>1.297183799399494E-5</v>
      </c>
      <c r="O36">
        <f t="shared" si="14"/>
        <v>1.0948514512430036E-5</v>
      </c>
      <c r="P36">
        <f t="shared" si="15"/>
        <v>1.9251940350250787E-5</v>
      </c>
      <c r="Q36">
        <f t="shared" si="17"/>
        <v>0.37824967506541363</v>
      </c>
      <c r="R36">
        <f t="shared" si="18"/>
        <v>0.31367309258597681</v>
      </c>
      <c r="S36">
        <f t="shared" si="19"/>
        <v>0.29100320787200867</v>
      </c>
      <c r="T36">
        <f t="shared" si="20"/>
        <v>0.19785137567869182</v>
      </c>
      <c r="U36">
        <f t="shared" si="21"/>
        <v>0.30322544010667546</v>
      </c>
      <c r="V36">
        <f t="shared" si="22"/>
        <v>-0.45111588718863821</v>
      </c>
      <c r="W36">
        <f t="shared" si="23"/>
        <v>-0.52244878218749446</v>
      </c>
      <c r="X36">
        <f t="shared" si="24"/>
        <v>-0.54918282759083747</v>
      </c>
      <c r="Y36">
        <f t="shared" si="25"/>
        <v>-0.66965621996870694</v>
      </c>
      <c r="Z36">
        <f t="shared" si="26"/>
        <v>-0.53465389674735797</v>
      </c>
    </row>
    <row r="37" spans="1:26" x14ac:dyDescent="0.25">
      <c r="A37" s="12" t="s">
        <v>82</v>
      </c>
      <c r="B37" s="4">
        <v>4907</v>
      </c>
      <c r="C37" s="4">
        <v>5667</v>
      </c>
      <c r="D37" s="4">
        <v>4249</v>
      </c>
      <c r="E37" s="4">
        <v>5012</v>
      </c>
      <c r="F37" s="13">
        <v>5887</v>
      </c>
      <c r="G37">
        <f t="shared" si="6"/>
        <v>69260696</v>
      </c>
      <c r="H37">
        <f t="shared" si="7"/>
        <v>92158602</v>
      </c>
      <c r="I37">
        <f t="shared" si="8"/>
        <v>107757786</v>
      </c>
      <c r="J37">
        <f t="shared" si="9"/>
        <v>83163005</v>
      </c>
      <c r="K37">
        <f t="shared" si="10"/>
        <v>91537567</v>
      </c>
      <c r="L37">
        <f t="shared" si="11"/>
        <v>7.0848262916676437E-5</v>
      </c>
      <c r="M37">
        <f t="shared" si="12"/>
        <v>6.1491818202711012E-5</v>
      </c>
      <c r="N37">
        <f t="shared" si="13"/>
        <v>3.9431025429568494E-5</v>
      </c>
      <c r="O37">
        <f t="shared" si="14"/>
        <v>6.0267182505009292E-5</v>
      </c>
      <c r="P37">
        <f t="shared" si="15"/>
        <v>6.4312393183882632E-5</v>
      </c>
      <c r="Q37">
        <f t="shared" si="17"/>
        <v>0.87331044242850253</v>
      </c>
      <c r="R37">
        <f t="shared" si="18"/>
        <v>0.95308417911286059</v>
      </c>
      <c r="S37">
        <f t="shared" si="19"/>
        <v>0.88457432901945765</v>
      </c>
      <c r="T37">
        <f t="shared" si="20"/>
        <v>1.0890924931740664</v>
      </c>
      <c r="U37">
        <f t="shared" si="21"/>
        <v>1.0129448446604155</v>
      </c>
      <c r="V37">
        <f t="shared" si="22"/>
        <v>-6.7628704085619135E-2</v>
      </c>
      <c r="W37">
        <f t="shared" si="23"/>
        <v>-2.402140234859193E-2</v>
      </c>
      <c r="X37">
        <f t="shared" si="24"/>
        <v>-6.1247608652611876E-2</v>
      </c>
      <c r="Y37">
        <f t="shared" si="25"/>
        <v>4.2646504865231499E-2</v>
      </c>
      <c r="Z37">
        <f t="shared" si="26"/>
        <v>6.4307994800519514E-3</v>
      </c>
    </row>
    <row r="38" spans="1:26" x14ac:dyDescent="0.25">
      <c r="A38" s="11" t="s">
        <v>64</v>
      </c>
      <c r="B38" s="5">
        <v>5593</v>
      </c>
      <c r="C38" s="5">
        <v>6415</v>
      </c>
      <c r="D38" s="5">
        <v>4037</v>
      </c>
      <c r="E38" s="5">
        <v>5580</v>
      </c>
      <c r="F38" s="14">
        <v>5691</v>
      </c>
      <c r="G38">
        <f t="shared" si="6"/>
        <v>37055600</v>
      </c>
      <c r="H38">
        <f t="shared" si="7"/>
        <v>49589283</v>
      </c>
      <c r="I38">
        <f t="shared" si="8"/>
        <v>54676139</v>
      </c>
      <c r="J38">
        <f t="shared" si="9"/>
        <v>49958477</v>
      </c>
      <c r="K38">
        <f t="shared" si="10"/>
        <v>46889500</v>
      </c>
      <c r="L38">
        <f t="shared" si="11"/>
        <v>1.5093535120197757E-4</v>
      </c>
      <c r="M38">
        <f t="shared" si="12"/>
        <v>1.2936262861473516E-4</v>
      </c>
      <c r="N38">
        <f t="shared" si="13"/>
        <v>7.3834767301326817E-5</v>
      </c>
      <c r="O38">
        <f t="shared" si="14"/>
        <v>1.1169275636645208E-4</v>
      </c>
      <c r="P38">
        <f t="shared" si="15"/>
        <v>1.2137045607225498E-4</v>
      </c>
      <c r="Q38">
        <f t="shared" si="17"/>
        <v>1.8605031783393786</v>
      </c>
      <c r="R38">
        <f t="shared" si="18"/>
        <v>2.0050386914030298</v>
      </c>
      <c r="S38">
        <f t="shared" si="19"/>
        <v>1.6563692937821144</v>
      </c>
      <c r="T38">
        <f t="shared" si="20"/>
        <v>2.0184076547881111</v>
      </c>
      <c r="U38">
        <f t="shared" si="21"/>
        <v>1.9116312064606011</v>
      </c>
      <c r="V38">
        <f t="shared" si="22"/>
        <v>0.30082231156230727</v>
      </c>
      <c r="W38">
        <f t="shared" si="23"/>
        <v>0.33445116506429567</v>
      </c>
      <c r="X38">
        <f t="shared" si="24"/>
        <v>0.24709263705107123</v>
      </c>
      <c r="Y38">
        <f t="shared" si="25"/>
        <v>0.33739897696476068</v>
      </c>
      <c r="Z38">
        <f t="shared" si="26"/>
        <v>0.31309981993522668</v>
      </c>
    </row>
    <row r="39" spans="1:26" x14ac:dyDescent="0.25">
      <c r="A39" s="12" t="s">
        <v>146</v>
      </c>
      <c r="B39" s="4">
        <v>8426</v>
      </c>
      <c r="C39" s="4">
        <v>7886</v>
      </c>
      <c r="D39" s="4">
        <v>7807</v>
      </c>
      <c r="E39" s="4">
        <v>9021</v>
      </c>
      <c r="F39" s="6">
        <v>5540</v>
      </c>
      <c r="G39">
        <f t="shared" si="6"/>
        <v>28507456</v>
      </c>
      <c r="H39">
        <f t="shared" si="7"/>
        <v>30994759</v>
      </c>
      <c r="I39">
        <f t="shared" si="8"/>
        <v>38573002</v>
      </c>
      <c r="J39">
        <f t="shared" si="9"/>
        <v>38775377</v>
      </c>
      <c r="K39">
        <f t="shared" si="10"/>
        <v>28248929</v>
      </c>
      <c r="L39">
        <f t="shared" si="11"/>
        <v>2.9557179707652621E-4</v>
      </c>
      <c r="M39">
        <f t="shared" si="12"/>
        <v>2.5443011187794684E-4</v>
      </c>
      <c r="N39">
        <f t="shared" si="13"/>
        <v>2.0239544746867251E-4</v>
      </c>
      <c r="O39">
        <f t="shared" si="14"/>
        <v>2.3264764131113413E-4</v>
      </c>
      <c r="P39">
        <f t="shared" si="15"/>
        <v>1.9611362965300385E-4</v>
      </c>
      <c r="Q39">
        <f t="shared" si="17"/>
        <v>3.6433629597646826</v>
      </c>
      <c r="R39">
        <f t="shared" si="18"/>
        <v>3.9435053541821494</v>
      </c>
      <c r="S39">
        <f t="shared" si="19"/>
        <v>4.5404301610411633</v>
      </c>
      <c r="T39">
        <f t="shared" si="20"/>
        <v>4.2041918864474708</v>
      </c>
      <c r="U39">
        <f t="shared" si="21"/>
        <v>3.08886484066397</v>
      </c>
      <c r="V39">
        <f t="shared" si="22"/>
        <v>0.56927769434992515</v>
      </c>
      <c r="W39">
        <f t="shared" si="23"/>
        <v>0.59542877842581421</v>
      </c>
      <c r="X39">
        <f t="shared" si="24"/>
        <v>0.63901719868910722</v>
      </c>
      <c r="Y39">
        <f t="shared" si="25"/>
        <v>0.61569441641682876</v>
      </c>
      <c r="Z39">
        <f t="shared" si="26"/>
        <v>0.5108666884486136</v>
      </c>
    </row>
    <row r="40" spans="1:26" x14ac:dyDescent="0.25">
      <c r="A40" s="11" t="s">
        <v>144</v>
      </c>
      <c r="B40" s="7">
        <v>3653</v>
      </c>
      <c r="C40" s="7">
        <v>6027</v>
      </c>
      <c r="D40" s="7">
        <v>10715</v>
      </c>
      <c r="E40" s="7">
        <v>7219</v>
      </c>
      <c r="F40" s="7">
        <v>5498</v>
      </c>
      <c r="G40">
        <f t="shared" si="6"/>
        <v>8983163</v>
      </c>
      <c r="H40">
        <f t="shared" si="7"/>
        <v>9009117</v>
      </c>
      <c r="I40">
        <f t="shared" si="8"/>
        <v>10500347</v>
      </c>
      <c r="J40">
        <f t="shared" si="9"/>
        <v>6730166</v>
      </c>
      <c r="K40">
        <f t="shared" si="10"/>
        <v>3007222</v>
      </c>
      <c r="L40">
        <f t="shared" si="11"/>
        <v>4.0664963999873985E-4</v>
      </c>
      <c r="M40">
        <f t="shared" si="12"/>
        <v>6.6898898082908681E-4</v>
      </c>
      <c r="N40">
        <f t="shared" si="13"/>
        <v>1.0204424672822718E-3</v>
      </c>
      <c r="O40">
        <f t="shared" si="14"/>
        <v>1.0726332753159431E-3</v>
      </c>
      <c r="P40">
        <f t="shared" si="15"/>
        <v>1.8282654223732069E-3</v>
      </c>
      <c r="Q40">
        <f t="shared" si="17"/>
        <v>5.0125629394520992</v>
      </c>
      <c r="R40">
        <f t="shared" si="18"/>
        <v>10.368904876534113</v>
      </c>
      <c r="S40">
        <f t="shared" si="19"/>
        <v>22.892055201848539</v>
      </c>
      <c r="T40">
        <f t="shared" si="20"/>
        <v>19.383631348258351</v>
      </c>
      <c r="U40">
        <f t="shared" si="21"/>
        <v>28.795881207044719</v>
      </c>
      <c r="V40">
        <f t="shared" si="22"/>
        <v>0.66736314943552977</v>
      </c>
      <c r="W40">
        <f t="shared" si="23"/>
        <v>0.8240815609137444</v>
      </c>
      <c r="X40">
        <f t="shared" si="24"/>
        <v>0.91629016494800086</v>
      </c>
      <c r="Y40">
        <f t="shared" si="25"/>
        <v>0.90188205595805737</v>
      </c>
      <c r="Z40">
        <f t="shared" si="26"/>
        <v>0.93287662861512766</v>
      </c>
    </row>
    <row r="41" spans="1:26" x14ac:dyDescent="0.25">
      <c r="A41" s="12" t="s">
        <v>122</v>
      </c>
      <c r="B41" s="4">
        <v>5064</v>
      </c>
      <c r="C41" s="4">
        <v>4420</v>
      </c>
      <c r="D41" s="4">
        <v>3317</v>
      </c>
      <c r="E41" s="4">
        <v>5591</v>
      </c>
      <c r="F41" s="13">
        <v>4783</v>
      </c>
      <c r="G41">
        <f t="shared" si="6"/>
        <v>81320407</v>
      </c>
      <c r="H41">
        <f t="shared" si="7"/>
        <v>98636184</v>
      </c>
      <c r="I41">
        <f t="shared" si="8"/>
        <v>107268574</v>
      </c>
      <c r="J41">
        <f t="shared" si="9"/>
        <v>96972068</v>
      </c>
      <c r="K41">
        <f t="shared" si="10"/>
        <v>98730037</v>
      </c>
      <c r="L41">
        <f t="shared" si="11"/>
        <v>6.2272192021862362E-5</v>
      </c>
      <c r="M41">
        <f t="shared" si="12"/>
        <v>4.4811141517802429E-5</v>
      </c>
      <c r="N41">
        <f t="shared" si="13"/>
        <v>3.0922383661033844E-5</v>
      </c>
      <c r="O41">
        <f t="shared" si="14"/>
        <v>5.7655777744164436E-5</v>
      </c>
      <c r="P41">
        <f t="shared" si="15"/>
        <v>4.844523657982626E-5</v>
      </c>
      <c r="Q41">
        <f t="shared" si="17"/>
        <v>0.76759758569612713</v>
      </c>
      <c r="R41">
        <f t="shared" si="18"/>
        <v>0.69454427071603542</v>
      </c>
      <c r="S41">
        <f t="shared" si="19"/>
        <v>0.69369605483629404</v>
      </c>
      <c r="T41">
        <f t="shared" si="20"/>
        <v>1.0419016141008868</v>
      </c>
      <c r="U41">
        <f t="shared" si="21"/>
        <v>0.76303104600043459</v>
      </c>
      <c r="V41">
        <f t="shared" si="22"/>
        <v>-0.13147925533760368</v>
      </c>
      <c r="W41">
        <f t="shared" si="23"/>
        <v>-0.18025833527199217</v>
      </c>
      <c r="X41">
        <f t="shared" si="24"/>
        <v>-0.18084941763255868</v>
      </c>
      <c r="Y41">
        <f t="shared" si="25"/>
        <v>2.0520878093011043E-2</v>
      </c>
      <c r="Z41">
        <f t="shared" si="26"/>
        <v>-0.13440997226744639</v>
      </c>
    </row>
    <row r="42" spans="1:26" x14ac:dyDescent="0.25">
      <c r="A42" s="11" t="s">
        <v>96</v>
      </c>
      <c r="B42" s="5">
        <v>2982</v>
      </c>
      <c r="C42" s="5">
        <v>2377</v>
      </c>
      <c r="D42" s="5">
        <v>1771</v>
      </c>
      <c r="E42" s="5">
        <v>3304</v>
      </c>
      <c r="F42" s="14">
        <v>4725</v>
      </c>
      <c r="G42">
        <f t="shared" si="6"/>
        <v>91852185</v>
      </c>
      <c r="H42">
        <f t="shared" si="7"/>
        <v>116381979</v>
      </c>
      <c r="I42">
        <f t="shared" si="8"/>
        <v>132869619</v>
      </c>
      <c r="J42">
        <f t="shared" si="9"/>
        <v>131998810</v>
      </c>
      <c r="K42">
        <f t="shared" si="10"/>
        <v>136432938</v>
      </c>
      <c r="L42">
        <f t="shared" si="11"/>
        <v>3.2465204828823616E-5</v>
      </c>
      <c r="M42">
        <f t="shared" si="12"/>
        <v>2.042412425380737E-5</v>
      </c>
      <c r="N42">
        <f t="shared" si="13"/>
        <v>1.3328855861323724E-5</v>
      </c>
      <c r="O42">
        <f t="shared" si="14"/>
        <v>2.5030528684311623E-5</v>
      </c>
      <c r="P42">
        <f t="shared" si="15"/>
        <v>3.463239939903662E-5</v>
      </c>
      <c r="Q42">
        <f t="shared" si="17"/>
        <v>0.40018204011489317</v>
      </c>
      <c r="R42">
        <f t="shared" si="18"/>
        <v>0.31656097132091082</v>
      </c>
      <c r="S42">
        <f t="shared" si="19"/>
        <v>0.29901235389344333</v>
      </c>
      <c r="T42">
        <f t="shared" si="20"/>
        <v>0.45232844405819178</v>
      </c>
      <c r="U42">
        <f t="shared" si="21"/>
        <v>0.54547356571184502</v>
      </c>
      <c r="V42">
        <f t="shared" si="22"/>
        <v>-0.4283856975025106</v>
      </c>
      <c r="W42">
        <f t="shared" si="23"/>
        <v>-0.5191092881884477</v>
      </c>
      <c r="X42">
        <f t="shared" si="24"/>
        <v>-0.53963123907600508</v>
      </c>
      <c r="Y42">
        <f t="shared" si="25"/>
        <v>-0.37709896696057832</v>
      </c>
      <c r="Z42">
        <f t="shared" si="26"/>
        <v>-0.29410172025737635</v>
      </c>
    </row>
    <row r="43" spans="1:26" x14ac:dyDescent="0.25">
      <c r="A43" s="12" t="s">
        <v>131</v>
      </c>
      <c r="B43" s="4">
        <v>49</v>
      </c>
      <c r="C43" s="4">
        <v>186</v>
      </c>
      <c r="D43" s="4">
        <v>412</v>
      </c>
      <c r="E43" s="4">
        <v>553</v>
      </c>
      <c r="F43" s="6">
        <v>4682</v>
      </c>
      <c r="G43">
        <f t="shared" si="6"/>
        <v>3684109</v>
      </c>
      <c r="H43">
        <f t="shared" si="7"/>
        <v>5570126</v>
      </c>
      <c r="I43">
        <f t="shared" si="8"/>
        <v>9802959</v>
      </c>
      <c r="J43">
        <f t="shared" si="9"/>
        <v>12350402</v>
      </c>
      <c r="K43">
        <f t="shared" si="10"/>
        <v>28576029</v>
      </c>
      <c r="L43">
        <f t="shared" si="11"/>
        <v>1.3300366520100247E-5</v>
      </c>
      <c r="M43">
        <f t="shared" si="12"/>
        <v>3.3392422361720361E-5</v>
      </c>
      <c r="N43">
        <f t="shared" si="13"/>
        <v>4.2028126405506747E-5</v>
      </c>
      <c r="O43">
        <f t="shared" si="14"/>
        <v>4.4775870453447586E-5</v>
      </c>
      <c r="P43">
        <f t="shared" si="15"/>
        <v>1.6384361871973183E-4</v>
      </c>
      <c r="Q43">
        <f t="shared" si="17"/>
        <v>0.16394684205300311</v>
      </c>
      <c r="R43">
        <f t="shared" si="18"/>
        <v>0.51756136646171025</v>
      </c>
      <c r="S43">
        <f t="shared" si="19"/>
        <v>0.94283628970038991</v>
      </c>
      <c r="T43">
        <f t="shared" si="20"/>
        <v>0.80914790370581857</v>
      </c>
      <c r="U43">
        <f t="shared" si="21"/>
        <v>2.5805997988308662</v>
      </c>
      <c r="V43">
        <f t="shared" si="22"/>
        <v>-0.71829152993992595</v>
      </c>
      <c r="W43">
        <f t="shared" si="23"/>
        <v>-0.31790387143494947</v>
      </c>
      <c r="X43">
        <f t="shared" si="24"/>
        <v>-2.9422813750522164E-2</v>
      </c>
      <c r="Y43">
        <f t="shared" si="25"/>
        <v>-0.10549281012527734</v>
      </c>
      <c r="Z43">
        <f t="shared" si="26"/>
        <v>0.44143436508792799</v>
      </c>
    </row>
    <row r="44" spans="1:26" x14ac:dyDescent="0.25">
      <c r="A44" s="11" t="s">
        <v>36</v>
      </c>
      <c r="B44" s="5">
        <v>3941</v>
      </c>
      <c r="C44" s="5">
        <v>3851</v>
      </c>
      <c r="D44" s="5">
        <v>2980</v>
      </c>
      <c r="E44" s="5">
        <v>4110</v>
      </c>
      <c r="F44" s="14">
        <v>4610</v>
      </c>
      <c r="G44">
        <f t="shared" si="6"/>
        <v>113422659</v>
      </c>
      <c r="H44">
        <f t="shared" si="7"/>
        <v>139132012</v>
      </c>
      <c r="I44">
        <f t="shared" si="8"/>
        <v>159334562</v>
      </c>
      <c r="J44">
        <f t="shared" si="9"/>
        <v>148897654</v>
      </c>
      <c r="K44">
        <f t="shared" si="10"/>
        <v>151630797</v>
      </c>
      <c r="L44">
        <f t="shared" si="11"/>
        <v>3.4746143625499029E-5</v>
      </c>
      <c r="M44">
        <f t="shared" si="12"/>
        <v>2.7678748726784746E-5</v>
      </c>
      <c r="N44">
        <f t="shared" si="13"/>
        <v>1.8702784647564413E-5</v>
      </c>
      <c r="O44">
        <f t="shared" si="14"/>
        <v>2.7602852627886267E-5</v>
      </c>
      <c r="P44">
        <f t="shared" si="15"/>
        <v>3.0402794756793371E-5</v>
      </c>
      <c r="Q44">
        <f t="shared" si="17"/>
        <v>0.42829801060833583</v>
      </c>
      <c r="R44">
        <f t="shared" si="18"/>
        <v>0.42900304918900156</v>
      </c>
      <c r="S44">
        <f t="shared" si="19"/>
        <v>0.41956816999257401</v>
      </c>
      <c r="T44">
        <f t="shared" si="20"/>
        <v>0.49881309093422921</v>
      </c>
      <c r="U44">
        <f t="shared" si="21"/>
        <v>0.47885567131842399</v>
      </c>
      <c r="V44">
        <f t="shared" si="22"/>
        <v>-0.40026800089721248</v>
      </c>
      <c r="W44">
        <f t="shared" si="23"/>
        <v>-0.3995771395554788</v>
      </c>
      <c r="X44">
        <f t="shared" si="24"/>
        <v>-0.40887915232028793</v>
      </c>
      <c r="Y44">
        <f t="shared" si="25"/>
        <v>-0.33438919909177911</v>
      </c>
      <c r="Z44">
        <f t="shared" si="26"/>
        <v>-0.35239701803825613</v>
      </c>
    </row>
    <row r="45" spans="1:26" x14ac:dyDescent="0.25">
      <c r="A45" s="12" t="s">
        <v>62</v>
      </c>
      <c r="B45" s="4">
        <v>4725</v>
      </c>
      <c r="C45" s="4">
        <v>4014</v>
      </c>
      <c r="D45" s="4">
        <v>3476</v>
      </c>
      <c r="E45" s="4">
        <v>5335</v>
      </c>
      <c r="F45" s="13">
        <v>4191</v>
      </c>
      <c r="G45">
        <f t="shared" si="6"/>
        <v>77834420</v>
      </c>
      <c r="H45">
        <f t="shared" si="7"/>
        <v>98337110</v>
      </c>
      <c r="I45">
        <f t="shared" si="8"/>
        <v>115291040</v>
      </c>
      <c r="J45">
        <f t="shared" si="9"/>
        <v>113486253</v>
      </c>
      <c r="K45">
        <f t="shared" si="10"/>
        <v>115997232</v>
      </c>
      <c r="L45">
        <f t="shared" si="11"/>
        <v>6.0705790574401404E-5</v>
      </c>
      <c r="M45">
        <f t="shared" si="12"/>
        <v>4.0818771265496823E-5</v>
      </c>
      <c r="N45">
        <f t="shared" si="13"/>
        <v>3.0149784406489871E-5</v>
      </c>
      <c r="O45">
        <f t="shared" si="14"/>
        <v>4.7010099099844276E-5</v>
      </c>
      <c r="P45">
        <f t="shared" si="15"/>
        <v>3.6130172485495174E-5</v>
      </c>
      <c r="Q45">
        <f t="shared" si="17"/>
        <v>0.74828935307634348</v>
      </c>
      <c r="R45">
        <f t="shared" si="18"/>
        <v>0.63266506408581846</v>
      </c>
      <c r="S45">
        <f t="shared" si="19"/>
        <v>0.67636398041662438</v>
      </c>
      <c r="T45">
        <f t="shared" si="20"/>
        <v>0.84952280669091895</v>
      </c>
      <c r="U45">
        <f t="shared" si="21"/>
        <v>0.5690640659450027</v>
      </c>
      <c r="V45">
        <f t="shared" si="22"/>
        <v>-0.14397539313543192</v>
      </c>
      <c r="W45">
        <f t="shared" si="23"/>
        <v>-0.22499099416931798</v>
      </c>
      <c r="X45">
        <f t="shared" si="24"/>
        <v>-0.19305832346919241</v>
      </c>
      <c r="Y45">
        <f t="shared" si="25"/>
        <v>-8.1360009600696906E-2</v>
      </c>
      <c r="Z45">
        <f t="shared" si="26"/>
        <v>-0.27464521265131187</v>
      </c>
    </row>
    <row r="46" spans="1:26" x14ac:dyDescent="0.25">
      <c r="A46" s="11" t="s">
        <v>130</v>
      </c>
      <c r="B46" s="5">
        <v>11395</v>
      </c>
      <c r="C46" s="5">
        <v>6904</v>
      </c>
      <c r="D46" s="5">
        <v>8210</v>
      </c>
      <c r="E46" s="5">
        <v>7381</v>
      </c>
      <c r="F46" s="7">
        <v>3637</v>
      </c>
      <c r="G46">
        <f t="shared" si="6"/>
        <v>27735027</v>
      </c>
      <c r="H46">
        <f t="shared" si="7"/>
        <v>31888107</v>
      </c>
      <c r="I46">
        <f t="shared" si="8"/>
        <v>35033785</v>
      </c>
      <c r="J46">
        <f t="shared" si="9"/>
        <v>37493120</v>
      </c>
      <c r="K46">
        <f t="shared" si="10"/>
        <v>24490601</v>
      </c>
      <c r="L46">
        <f t="shared" si="11"/>
        <v>4.1085231321390096E-4</v>
      </c>
      <c r="M46">
        <f t="shared" si="12"/>
        <v>2.165070507321115E-4</v>
      </c>
      <c r="N46">
        <f t="shared" si="13"/>
        <v>2.3434521847981882E-4</v>
      </c>
      <c r="O46">
        <f t="shared" si="14"/>
        <v>1.9686278442551593E-4</v>
      </c>
      <c r="P46">
        <f t="shared" si="15"/>
        <v>1.4850595132393852E-4</v>
      </c>
      <c r="Q46">
        <f t="shared" si="17"/>
        <v>5.0643671510702619</v>
      </c>
      <c r="R46">
        <f t="shared" si="18"/>
        <v>3.35572196026013</v>
      </c>
      <c r="S46">
        <f t="shared" si="19"/>
        <v>5.2571740688300039</v>
      </c>
      <c r="T46">
        <f t="shared" si="20"/>
        <v>3.5575212211945244</v>
      </c>
      <c r="U46">
        <f t="shared" si="21"/>
        <v>2.3390256581630839</v>
      </c>
      <c r="V46">
        <f t="shared" si="22"/>
        <v>0.670204664365179</v>
      </c>
      <c r="W46">
        <f t="shared" si="23"/>
        <v>0.5408338690469221</v>
      </c>
      <c r="X46">
        <f t="shared" si="24"/>
        <v>0.68036689118767479</v>
      </c>
      <c r="Y46">
        <f t="shared" si="25"/>
        <v>0.56116496162451202</v>
      </c>
      <c r="Z46">
        <f t="shared" si="26"/>
        <v>0.40102287171393863</v>
      </c>
    </row>
    <row r="47" spans="1:26" x14ac:dyDescent="0.25">
      <c r="A47" s="12" t="s">
        <v>53</v>
      </c>
      <c r="B47" s="4">
        <v>3814</v>
      </c>
      <c r="C47" s="4">
        <v>6344</v>
      </c>
      <c r="D47" s="4">
        <v>5175</v>
      </c>
      <c r="E47" s="4">
        <v>2729</v>
      </c>
      <c r="F47" s="13">
        <v>3550</v>
      </c>
      <c r="G47">
        <f t="shared" si="6"/>
        <v>202277035</v>
      </c>
      <c r="H47">
        <f t="shared" si="7"/>
        <v>248893435</v>
      </c>
      <c r="I47">
        <f t="shared" si="8"/>
        <v>290113770</v>
      </c>
      <c r="J47">
        <f t="shared" si="9"/>
        <v>276027533</v>
      </c>
      <c r="K47">
        <f t="shared" si="10"/>
        <v>284464732</v>
      </c>
      <c r="L47">
        <f t="shared" si="11"/>
        <v>1.8855328782132882E-5</v>
      </c>
      <c r="M47">
        <f t="shared" si="12"/>
        <v>2.5488820145055253E-5</v>
      </c>
      <c r="N47">
        <f t="shared" si="13"/>
        <v>1.7837829621117259E-5</v>
      </c>
      <c r="O47">
        <f t="shared" si="14"/>
        <v>9.8866948899622999E-6</v>
      </c>
      <c r="P47">
        <f t="shared" si="15"/>
        <v>1.2479578663551164E-5</v>
      </c>
      <c r="Q47">
        <f t="shared" si="17"/>
        <v>0.23242003181115972</v>
      </c>
      <c r="R47">
        <f t="shared" si="18"/>
        <v>0.3950605452000493</v>
      </c>
      <c r="S47">
        <f t="shared" si="19"/>
        <v>0.40016423606450141</v>
      </c>
      <c r="T47">
        <f t="shared" si="20"/>
        <v>0.1786631586114942</v>
      </c>
      <c r="U47">
        <f t="shared" si="21"/>
        <v>0.19655814758182982</v>
      </c>
      <c r="V47">
        <f t="shared" si="22"/>
        <v>-0.62282334624243951</v>
      </c>
      <c r="W47">
        <f t="shared" si="23"/>
        <v>-0.43362953448963282</v>
      </c>
      <c r="X47">
        <f t="shared" si="24"/>
        <v>-0.42840386040817702</v>
      </c>
      <c r="Y47">
        <f t="shared" si="25"/>
        <v>-0.69683762946834527</v>
      </c>
      <c r="Z47">
        <f t="shared" si="26"/>
        <v>-0.6714607677377622</v>
      </c>
    </row>
    <row r="48" spans="1:26" x14ac:dyDescent="0.25">
      <c r="A48" s="11" t="s">
        <v>114</v>
      </c>
      <c r="B48" s="7">
        <v>3288</v>
      </c>
      <c r="C48" s="7">
        <v>3632</v>
      </c>
      <c r="D48" s="7">
        <v>2607</v>
      </c>
      <c r="E48" s="7">
        <v>3478</v>
      </c>
      <c r="F48" s="7">
        <v>3530</v>
      </c>
      <c r="G48">
        <f t="shared" si="6"/>
        <v>34900772</v>
      </c>
      <c r="H48">
        <f t="shared" si="7"/>
        <v>37496398</v>
      </c>
      <c r="I48">
        <f t="shared" si="8"/>
        <v>36055268</v>
      </c>
      <c r="J48">
        <f t="shared" si="9"/>
        <v>41626798</v>
      </c>
      <c r="K48">
        <f t="shared" si="10"/>
        <v>42622122</v>
      </c>
      <c r="L48">
        <f t="shared" si="11"/>
        <v>9.4209950427457593E-5</v>
      </c>
      <c r="M48">
        <f t="shared" si="12"/>
        <v>9.6862637312522656E-5</v>
      </c>
      <c r="N48">
        <f t="shared" si="13"/>
        <v>7.2305661408479899E-5</v>
      </c>
      <c r="O48">
        <f t="shared" si="14"/>
        <v>8.3551946512916994E-5</v>
      </c>
      <c r="P48">
        <f t="shared" si="15"/>
        <v>8.2820841252343092E-5</v>
      </c>
      <c r="Q48">
        <f t="shared" si="17"/>
        <v>1.1612780624661483</v>
      </c>
      <c r="R48">
        <f t="shared" si="18"/>
        <v>1.5013094403125378</v>
      </c>
      <c r="S48">
        <f t="shared" si="19"/>
        <v>1.622066158004406</v>
      </c>
      <c r="T48">
        <f t="shared" si="20"/>
        <v>1.5098731009988002</v>
      </c>
      <c r="U48">
        <f t="shared" si="21"/>
        <v>1.3044599963358861</v>
      </c>
      <c r="V48">
        <f t="shared" si="22"/>
        <v>7.4621616379208666E-2</v>
      </c>
      <c r="W48">
        <f t="shared" si="23"/>
        <v>0.20041880154176342</v>
      </c>
      <c r="X48">
        <f t="shared" si="24"/>
        <v>0.23724273932044726</v>
      </c>
      <c r="Y48">
        <f t="shared" si="25"/>
        <v>0.20314696420145584</v>
      </c>
      <c r="Z48">
        <f t="shared" si="26"/>
        <v>0.13211771817257856</v>
      </c>
    </row>
    <row r="49" spans="1:26" x14ac:dyDescent="0.25">
      <c r="A49" s="12" t="s">
        <v>14</v>
      </c>
      <c r="B49" s="4">
        <v>8408</v>
      </c>
      <c r="C49" s="4">
        <v>9558</v>
      </c>
      <c r="D49" s="4">
        <v>17560</v>
      </c>
      <c r="E49" s="4">
        <v>10071</v>
      </c>
      <c r="F49" s="13">
        <v>3529</v>
      </c>
      <c r="G49">
        <f t="shared" si="6"/>
        <v>208615061</v>
      </c>
      <c r="H49">
        <f t="shared" si="7"/>
        <v>269102030</v>
      </c>
      <c r="I49">
        <f t="shared" si="8"/>
        <v>306260910</v>
      </c>
      <c r="J49">
        <f t="shared" si="9"/>
        <v>292053342</v>
      </c>
      <c r="K49">
        <f t="shared" si="10"/>
        <v>310155165</v>
      </c>
      <c r="L49">
        <f t="shared" si="11"/>
        <v>4.0303897329828935E-5</v>
      </c>
      <c r="M49">
        <f t="shared" si="12"/>
        <v>3.5518126712013286E-5</v>
      </c>
      <c r="N49">
        <f t="shared" si="13"/>
        <v>5.7336732918347298E-5</v>
      </c>
      <c r="O49">
        <f t="shared" si="14"/>
        <v>3.44834266611474E-5</v>
      </c>
      <c r="P49">
        <f t="shared" si="15"/>
        <v>1.1378175823704242E-5</v>
      </c>
      <c r="Q49">
        <f t="shared" si="17"/>
        <v>0.49680560905355525</v>
      </c>
      <c r="R49">
        <f t="shared" si="18"/>
        <v>0.55050843559953988</v>
      </c>
      <c r="S49">
        <f t="shared" si="19"/>
        <v>1.2862613005083581</v>
      </c>
      <c r="T49">
        <f t="shared" si="20"/>
        <v>0.62315242814698601</v>
      </c>
      <c r="U49">
        <f t="shared" si="21"/>
        <v>0.17921063066813991</v>
      </c>
      <c r="V49">
        <f t="shared" si="22"/>
        <v>-0.33617885175124335</v>
      </c>
      <c r="W49">
        <f t="shared" si="23"/>
        <v>-0.28989946399527577</v>
      </c>
      <c r="X49">
        <f t="shared" si="24"/>
        <v>0.12520935399847202</v>
      </c>
      <c r="Y49">
        <f t="shared" si="25"/>
        <v>-0.23217016795103376</v>
      </c>
      <c r="Z49">
        <f t="shared" si="26"/>
        <v>-0.69604983875255733</v>
      </c>
    </row>
    <row r="50" spans="1:26" x14ac:dyDescent="0.25">
      <c r="A50" s="11" t="s">
        <v>121</v>
      </c>
      <c r="B50" s="5">
        <v>5495</v>
      </c>
      <c r="C50" s="5">
        <v>4948</v>
      </c>
      <c r="D50" s="5">
        <v>2386</v>
      </c>
      <c r="E50" s="5">
        <v>3458</v>
      </c>
      <c r="F50" s="14">
        <v>3423</v>
      </c>
      <c r="G50">
        <f t="shared" si="6"/>
        <v>54335684</v>
      </c>
      <c r="H50">
        <f t="shared" si="7"/>
        <v>72842535</v>
      </c>
      <c r="I50">
        <f t="shared" si="8"/>
        <v>55224068</v>
      </c>
      <c r="J50">
        <f t="shared" si="9"/>
        <v>63561928</v>
      </c>
      <c r="K50">
        <f t="shared" si="10"/>
        <v>70495616</v>
      </c>
      <c r="L50">
        <f t="shared" si="11"/>
        <v>1.0113059403098708E-4</v>
      </c>
      <c r="M50">
        <f t="shared" si="12"/>
        <v>6.7927344922853112E-5</v>
      </c>
      <c r="N50">
        <f t="shared" si="13"/>
        <v>4.3205799326482069E-5</v>
      </c>
      <c r="O50">
        <f t="shared" si="14"/>
        <v>5.4403636088571762E-5</v>
      </c>
      <c r="P50">
        <f t="shared" si="15"/>
        <v>4.8556210928066789E-5</v>
      </c>
      <c r="Q50">
        <f t="shared" si="17"/>
        <v>1.2465853103572706</v>
      </c>
      <c r="R50">
        <f t="shared" si="18"/>
        <v>1.05283076134931</v>
      </c>
      <c r="S50">
        <f t="shared" si="19"/>
        <v>0.96925556798512225</v>
      </c>
      <c r="T50">
        <f t="shared" si="20"/>
        <v>0.98313193354463591</v>
      </c>
      <c r="U50">
        <f t="shared" si="21"/>
        <v>0.76477893452354384</v>
      </c>
      <c r="V50">
        <f t="shared" si="22"/>
        <v>0.10976004749094374</v>
      </c>
      <c r="W50">
        <f t="shared" si="23"/>
        <v>2.5735565904412266E-2</v>
      </c>
      <c r="X50">
        <f t="shared" si="24"/>
        <v>-1.5612210276157527E-2</v>
      </c>
      <c r="Y50">
        <f t="shared" si="25"/>
        <v>-8.5057711844790038E-3</v>
      </c>
      <c r="Z50">
        <f t="shared" si="26"/>
        <v>-0.13328641954804457</v>
      </c>
    </row>
    <row r="51" spans="1:26" x14ac:dyDescent="0.25">
      <c r="A51" s="12" t="s">
        <v>129</v>
      </c>
      <c r="B51" s="6">
        <v>4097</v>
      </c>
      <c r="C51" s="6">
        <v>3018</v>
      </c>
      <c r="D51" s="6">
        <v>2393</v>
      </c>
      <c r="E51" s="6">
        <v>4002</v>
      </c>
      <c r="F51" s="6">
        <v>3181</v>
      </c>
      <c r="G51">
        <f t="shared" si="6"/>
        <v>52438672</v>
      </c>
      <c r="H51">
        <f t="shared" si="7"/>
        <v>61032085</v>
      </c>
      <c r="I51">
        <f t="shared" si="8"/>
        <v>76263662</v>
      </c>
      <c r="J51">
        <f t="shared" si="9"/>
        <v>85112409</v>
      </c>
      <c r="K51">
        <f t="shared" si="10"/>
        <v>50646896</v>
      </c>
      <c r="L51">
        <f t="shared" si="11"/>
        <v>7.8129362238616568E-5</v>
      </c>
      <c r="M51">
        <f t="shared" si="12"/>
        <v>4.9449400262173578E-5</v>
      </c>
      <c r="N51">
        <f t="shared" si="13"/>
        <v>3.1377984445593499E-5</v>
      </c>
      <c r="O51">
        <f t="shared" si="14"/>
        <v>4.7020170701548349E-5</v>
      </c>
      <c r="P51">
        <f t="shared" si="15"/>
        <v>6.2807402846563396E-5</v>
      </c>
      <c r="Q51">
        <f t="shared" si="17"/>
        <v>0.96306084432173922</v>
      </c>
      <c r="R51">
        <f t="shared" si="18"/>
        <v>0.76643433929912907</v>
      </c>
      <c r="S51">
        <f t="shared" si="19"/>
        <v>0.70391675678132604</v>
      </c>
      <c r="T51">
        <f t="shared" si="20"/>
        <v>0.84970481131357134</v>
      </c>
      <c r="U51">
        <f t="shared" si="21"/>
        <v>0.98924066995970927</v>
      </c>
      <c r="V51">
        <f t="shared" si="22"/>
        <v>-1.8817122141226193E-2</v>
      </c>
      <c r="W51">
        <f t="shared" si="23"/>
        <v>-0.13222436606024265</v>
      </c>
      <c r="X51">
        <f t="shared" si="24"/>
        <v>-0.17376626061121137</v>
      </c>
      <c r="Y51">
        <f t="shared" si="25"/>
        <v>-8.1253607476803963E-2</v>
      </c>
      <c r="Z51">
        <f t="shared" si="26"/>
        <v>-5.4087623497606502E-3</v>
      </c>
    </row>
    <row r="52" spans="1:26" x14ac:dyDescent="0.25">
      <c r="A52" s="11" t="s">
        <v>55</v>
      </c>
      <c r="B52" s="5">
        <v>2994</v>
      </c>
      <c r="C52" s="5">
        <v>2657</v>
      </c>
      <c r="D52" s="5">
        <v>2349</v>
      </c>
      <c r="E52" s="5">
        <v>3172</v>
      </c>
      <c r="F52" s="14">
        <v>3001</v>
      </c>
      <c r="G52">
        <f t="shared" si="6"/>
        <v>55533638</v>
      </c>
      <c r="H52">
        <f t="shared" si="7"/>
        <v>77285028</v>
      </c>
      <c r="I52">
        <f t="shared" si="8"/>
        <v>97970296</v>
      </c>
      <c r="J52">
        <f t="shared" si="9"/>
        <v>88606156</v>
      </c>
      <c r="K52">
        <f t="shared" si="10"/>
        <v>89273160</v>
      </c>
      <c r="L52">
        <f t="shared" si="11"/>
        <v>5.3913269647488247E-5</v>
      </c>
      <c r="M52">
        <f t="shared" si="12"/>
        <v>3.4379233193782369E-5</v>
      </c>
      <c r="N52">
        <f t="shared" si="13"/>
        <v>2.397665512820335E-5</v>
      </c>
      <c r="O52">
        <f t="shared" si="14"/>
        <v>3.5798867067430392E-5</v>
      </c>
      <c r="P52">
        <f t="shared" si="15"/>
        <v>3.3615926668216962E-5</v>
      </c>
      <c r="Q52">
        <f t="shared" si="17"/>
        <v>0.6645614081461495</v>
      </c>
      <c r="R52">
        <f t="shared" si="18"/>
        <v>0.53285630844431753</v>
      </c>
      <c r="S52">
        <f t="shared" si="19"/>
        <v>0.5378793321022064</v>
      </c>
      <c r="T52">
        <f t="shared" si="20"/>
        <v>0.64692384423370242</v>
      </c>
      <c r="U52">
        <f t="shared" si="21"/>
        <v>0.52946373057046348</v>
      </c>
      <c r="V52">
        <f t="shared" si="22"/>
        <v>-0.20151770322936549</v>
      </c>
      <c r="W52">
        <f t="shared" si="23"/>
        <v>-0.30475373913539394</v>
      </c>
      <c r="X52">
        <f t="shared" si="24"/>
        <v>-0.30049215062022916</v>
      </c>
      <c r="Y52">
        <f t="shared" si="25"/>
        <v>-0.21438523523871894</v>
      </c>
      <c r="Z52">
        <f t="shared" si="26"/>
        <v>-0.30764787685029615</v>
      </c>
    </row>
    <row r="53" spans="1:26" x14ac:dyDescent="0.25">
      <c r="A53" s="12" t="s">
        <v>83</v>
      </c>
      <c r="B53" s="4">
        <v>2370</v>
      </c>
      <c r="C53" s="4">
        <v>3109</v>
      </c>
      <c r="D53" s="4">
        <v>2248</v>
      </c>
      <c r="E53" s="4">
        <v>3572</v>
      </c>
      <c r="F53" s="13">
        <v>2813</v>
      </c>
      <c r="G53">
        <f t="shared" si="6"/>
        <v>99441600</v>
      </c>
      <c r="H53">
        <f t="shared" si="7"/>
        <v>122740451</v>
      </c>
      <c r="I53">
        <f t="shared" si="8"/>
        <v>148503449</v>
      </c>
      <c r="J53">
        <f t="shared" si="9"/>
        <v>150611380</v>
      </c>
      <c r="K53">
        <f t="shared" si="10"/>
        <v>144552207</v>
      </c>
      <c r="L53">
        <f t="shared" si="11"/>
        <v>2.3833083940725007E-5</v>
      </c>
      <c r="M53">
        <f t="shared" si="12"/>
        <v>2.5329872708386904E-5</v>
      </c>
      <c r="N53">
        <f t="shared" si="13"/>
        <v>1.5137695556148328E-5</v>
      </c>
      <c r="O53">
        <f t="shared" si="14"/>
        <v>2.3716667359398738E-5</v>
      </c>
      <c r="P53">
        <f t="shared" si="15"/>
        <v>1.9460097209031199E-5</v>
      </c>
      <c r="Q53">
        <f t="shared" si="17"/>
        <v>0.29377828367067865</v>
      </c>
      <c r="R53">
        <f t="shared" si="18"/>
        <v>0.39259696074886669</v>
      </c>
      <c r="S53">
        <f t="shared" si="19"/>
        <v>0.33959088670921406</v>
      </c>
      <c r="T53">
        <f t="shared" si="20"/>
        <v>0.42858556366195921</v>
      </c>
      <c r="U53">
        <f t="shared" si="21"/>
        <v>0.30650399042246695</v>
      </c>
      <c r="V53">
        <f t="shared" si="22"/>
        <v>-0.54585992456578036</v>
      </c>
      <c r="W53">
        <f t="shared" si="23"/>
        <v>-0.43616570793354553</v>
      </c>
      <c r="X53">
        <f t="shared" si="24"/>
        <v>-0.49299313681740603</v>
      </c>
      <c r="Y53">
        <f t="shared" si="25"/>
        <v>-0.3999861477483419</v>
      </c>
      <c r="Z53">
        <f t="shared" si="26"/>
        <v>-0.5308028254496846</v>
      </c>
    </row>
    <row r="54" spans="1:26" x14ac:dyDescent="0.25">
      <c r="A54" s="11" t="s">
        <v>153</v>
      </c>
      <c r="B54" s="5">
        <v>2684</v>
      </c>
      <c r="C54" s="5">
        <v>3592</v>
      </c>
      <c r="D54" s="5">
        <v>2444</v>
      </c>
      <c r="E54" s="5">
        <v>2084</v>
      </c>
      <c r="F54" s="14">
        <v>2753</v>
      </c>
      <c r="G54">
        <f t="shared" si="6"/>
        <v>42355637</v>
      </c>
      <c r="H54">
        <f t="shared" si="7"/>
        <v>63183753</v>
      </c>
      <c r="I54">
        <f t="shared" si="8"/>
        <v>76162545</v>
      </c>
      <c r="J54">
        <f t="shared" si="9"/>
        <v>73713616</v>
      </c>
      <c r="K54">
        <f t="shared" si="10"/>
        <v>60821974</v>
      </c>
      <c r="L54">
        <f t="shared" si="11"/>
        <v>6.3368188748996976E-5</v>
      </c>
      <c r="M54">
        <f t="shared" si="12"/>
        <v>5.6850057640608974E-5</v>
      </c>
      <c r="N54">
        <f t="shared" si="13"/>
        <v>3.2089263823838871E-5</v>
      </c>
      <c r="O54">
        <f t="shared" si="14"/>
        <v>2.8271574684383954E-5</v>
      </c>
      <c r="P54">
        <f t="shared" si="15"/>
        <v>4.5263246470757429E-5</v>
      </c>
      <c r="Q54">
        <f t="shared" si="17"/>
        <v>0.78110737898209381</v>
      </c>
      <c r="R54">
        <f t="shared" si="18"/>
        <v>0.88113983457607092</v>
      </c>
      <c r="S54">
        <f t="shared" si="19"/>
        <v>0.71987321421306627</v>
      </c>
      <c r="T54">
        <f t="shared" si="20"/>
        <v>0.51089761424326263</v>
      </c>
      <c r="U54">
        <f t="shared" si="21"/>
        <v>0.71291348207265548</v>
      </c>
      <c r="V54">
        <f t="shared" si="22"/>
        <v>-0.12289692558738584</v>
      </c>
      <c r="W54">
        <f t="shared" si="23"/>
        <v>-6.3185183386813504E-2</v>
      </c>
      <c r="X54">
        <f t="shared" si="24"/>
        <v>-0.16287641639625552</v>
      </c>
      <c r="Y54">
        <f t="shared" si="25"/>
        <v>-0.32371643263313093</v>
      </c>
      <c r="Z54">
        <f t="shared" si="26"/>
        <v>-0.16760129506363905</v>
      </c>
    </row>
    <row r="55" spans="1:26" x14ac:dyDescent="0.25">
      <c r="A55" s="12" t="s">
        <v>113</v>
      </c>
      <c r="B55" s="4">
        <v>2636</v>
      </c>
      <c r="C55" s="4">
        <v>2755</v>
      </c>
      <c r="D55" s="4">
        <v>1841</v>
      </c>
      <c r="E55" s="4">
        <v>2367</v>
      </c>
      <c r="F55" s="13">
        <v>2672</v>
      </c>
      <c r="G55">
        <f t="shared" si="6"/>
        <v>68266522</v>
      </c>
      <c r="H55">
        <f t="shared" si="7"/>
        <v>86263574</v>
      </c>
      <c r="I55">
        <f t="shared" si="8"/>
        <v>97374453</v>
      </c>
      <c r="J55">
        <f t="shared" si="9"/>
        <v>83093615</v>
      </c>
      <c r="K55">
        <f t="shared" si="10"/>
        <v>80413668</v>
      </c>
      <c r="L55">
        <f t="shared" si="11"/>
        <v>3.8613363077146362E-5</v>
      </c>
      <c r="M55">
        <f t="shared" si="12"/>
        <v>3.1937002749271665E-5</v>
      </c>
      <c r="N55">
        <f t="shared" si="13"/>
        <v>1.8906396321425291E-5</v>
      </c>
      <c r="O55">
        <f t="shared" si="14"/>
        <v>2.8485943234025864E-5</v>
      </c>
      <c r="P55">
        <f t="shared" si="15"/>
        <v>3.3228182054821828E-5</v>
      </c>
      <c r="Q55">
        <f t="shared" si="17"/>
        <v>0.47596725458483552</v>
      </c>
      <c r="R55">
        <f t="shared" si="18"/>
        <v>0.49500328561227669</v>
      </c>
      <c r="S55">
        <f t="shared" si="19"/>
        <v>0.42413588431965199</v>
      </c>
      <c r="T55">
        <f t="shared" si="20"/>
        <v>0.51477148337872802</v>
      </c>
      <c r="U55">
        <f t="shared" si="21"/>
        <v>0.5233566042805049</v>
      </c>
      <c r="V55">
        <f t="shared" si="22"/>
        <v>-0.35504361210409513</v>
      </c>
      <c r="W55">
        <f t="shared" si="23"/>
        <v>-0.33778970203460296</v>
      </c>
      <c r="X55">
        <f t="shared" si="24"/>
        <v>-0.40436037180219908</v>
      </c>
      <c r="Y55">
        <f t="shared" si="25"/>
        <v>-0.32033116674401613</v>
      </c>
      <c r="Z55">
        <f t="shared" si="26"/>
        <v>-0.3128902283156596</v>
      </c>
    </row>
    <row r="56" spans="1:26" x14ac:dyDescent="0.25">
      <c r="A56" s="11" t="s">
        <v>11</v>
      </c>
      <c r="B56" s="5">
        <v>3471</v>
      </c>
      <c r="C56" s="5">
        <v>12054</v>
      </c>
      <c r="D56" s="5">
        <v>1536</v>
      </c>
      <c r="E56" s="5">
        <v>10623</v>
      </c>
      <c r="F56" s="14">
        <v>2642</v>
      </c>
      <c r="G56">
        <f t="shared" si="6"/>
        <v>2057021048</v>
      </c>
      <c r="H56">
        <f t="shared" si="7"/>
        <v>2675680064</v>
      </c>
      <c r="I56">
        <f t="shared" si="8"/>
        <v>2715998754</v>
      </c>
      <c r="J56">
        <f t="shared" si="9"/>
        <v>2559319988</v>
      </c>
      <c r="K56">
        <f t="shared" si="10"/>
        <v>2587295232</v>
      </c>
      <c r="L56">
        <f t="shared" si="11"/>
        <v>1.6873915818094245E-6</v>
      </c>
      <c r="M56">
        <f t="shared" si="12"/>
        <v>4.5050229144286808E-6</v>
      </c>
      <c r="N56">
        <f t="shared" si="13"/>
        <v>5.655378146760372E-7</v>
      </c>
      <c r="O56">
        <f t="shared" si="14"/>
        <v>4.1507119273121542E-6</v>
      </c>
      <c r="P56">
        <f t="shared" si="15"/>
        <v>1.0211436125740133E-6</v>
      </c>
      <c r="Q56">
        <f t="shared" si="17"/>
        <v>2.0799616365939945E-2</v>
      </c>
      <c r="R56">
        <f t="shared" si="18"/>
        <v>6.9824997727804858E-2</v>
      </c>
      <c r="S56">
        <f t="shared" si="19"/>
        <v>1.2686969905100449E-2</v>
      </c>
      <c r="T56">
        <f t="shared" si="20"/>
        <v>7.5007807126009129E-2</v>
      </c>
      <c r="U56">
        <f t="shared" si="21"/>
        <v>1.6083403319439551E-2</v>
      </c>
      <c r="V56">
        <f t="shared" si="22"/>
        <v>-0.95924838522179934</v>
      </c>
      <c r="W56">
        <f t="shared" si="23"/>
        <v>-0.86946463603653723</v>
      </c>
      <c r="X56">
        <f t="shared" si="24"/>
        <v>-0.97494394559793862</v>
      </c>
      <c r="Y56">
        <f t="shared" si="25"/>
        <v>-0.86045160485570871</v>
      </c>
      <c r="Z56">
        <f t="shared" si="26"/>
        <v>-0.96834235601743579</v>
      </c>
    </row>
    <row r="57" spans="1:26" x14ac:dyDescent="0.25">
      <c r="A57" s="12" t="s">
        <v>135</v>
      </c>
      <c r="B57" s="4">
        <v>4943</v>
      </c>
      <c r="C57" s="4">
        <v>2899</v>
      </c>
      <c r="D57" s="6">
        <v>1871</v>
      </c>
      <c r="E57" s="6">
        <v>3129</v>
      </c>
      <c r="F57" s="6">
        <v>2510</v>
      </c>
      <c r="G57">
        <f t="shared" si="6"/>
        <v>32767433</v>
      </c>
      <c r="H57">
        <f t="shared" si="7"/>
        <v>41810690</v>
      </c>
      <c r="I57">
        <f t="shared" si="8"/>
        <v>12670093</v>
      </c>
      <c r="J57">
        <f t="shared" si="9"/>
        <v>18041351</v>
      </c>
      <c r="K57">
        <f t="shared" si="10"/>
        <v>16777544</v>
      </c>
      <c r="L57">
        <f t="shared" si="11"/>
        <v>1.5085099891712603E-4</v>
      </c>
      <c r="M57">
        <f t="shared" si="12"/>
        <v>6.9336334798588594E-5</v>
      </c>
      <c r="N57">
        <f t="shared" si="13"/>
        <v>1.4767058142351442E-4</v>
      </c>
      <c r="O57">
        <f t="shared" si="14"/>
        <v>1.7343490517977283E-4</v>
      </c>
      <c r="P57">
        <f t="shared" si="15"/>
        <v>1.4960473356529419E-4</v>
      </c>
      <c r="Q57">
        <f t="shared" si="17"/>
        <v>1.8594634106983541</v>
      </c>
      <c r="R57">
        <f t="shared" si="18"/>
        <v>1.0746692107291411</v>
      </c>
      <c r="S57">
        <f t="shared" si="19"/>
        <v>3.3127620713780646</v>
      </c>
      <c r="T57">
        <f t="shared" si="20"/>
        <v>3.1341543678426764</v>
      </c>
      <c r="U57">
        <f t="shared" si="21"/>
        <v>2.3563318996460176</v>
      </c>
      <c r="V57">
        <f t="shared" si="22"/>
        <v>0.3005680742347569</v>
      </c>
      <c r="W57">
        <f t="shared" si="23"/>
        <v>3.5990899340959843E-2</v>
      </c>
      <c r="X57">
        <f t="shared" si="24"/>
        <v>0.53626006561476358</v>
      </c>
      <c r="Y57">
        <f t="shared" si="25"/>
        <v>0.51622512803176757</v>
      </c>
      <c r="Z57">
        <f t="shared" si="26"/>
        <v>0.40411137521562335</v>
      </c>
    </row>
    <row r="58" spans="1:26" x14ac:dyDescent="0.25">
      <c r="A58" s="11" t="s">
        <v>93</v>
      </c>
      <c r="B58" s="5">
        <v>1977</v>
      </c>
      <c r="C58" s="5">
        <v>1947</v>
      </c>
      <c r="D58" s="5">
        <v>1642</v>
      </c>
      <c r="E58" s="5">
        <v>2130</v>
      </c>
      <c r="F58" s="14">
        <v>2385</v>
      </c>
      <c r="G58">
        <f t="shared" si="6"/>
        <v>84112732</v>
      </c>
      <c r="H58">
        <f t="shared" si="7"/>
        <v>104037546</v>
      </c>
      <c r="I58">
        <f t="shared" si="8"/>
        <v>112651398</v>
      </c>
      <c r="J58">
        <f t="shared" si="9"/>
        <v>113612391</v>
      </c>
      <c r="K58">
        <f t="shared" si="10"/>
        <v>112964408</v>
      </c>
      <c r="L58">
        <f t="shared" si="11"/>
        <v>2.3504170569563713E-5</v>
      </c>
      <c r="M58">
        <f t="shared" si="12"/>
        <v>1.8714397588732053E-5</v>
      </c>
      <c r="N58">
        <f t="shared" si="13"/>
        <v>1.4575939838758149E-5</v>
      </c>
      <c r="O58">
        <f t="shared" si="14"/>
        <v>1.8747955053599744E-5</v>
      </c>
      <c r="P58">
        <f t="shared" si="15"/>
        <v>2.1112844675820371E-5</v>
      </c>
      <c r="Q58">
        <f t="shared" si="17"/>
        <v>0.28972393611345848</v>
      </c>
      <c r="R58">
        <f t="shared" si="18"/>
        <v>0.29006129245763668</v>
      </c>
      <c r="S58">
        <f t="shared" si="19"/>
        <v>0.32698876233203172</v>
      </c>
      <c r="T58">
        <f t="shared" si="20"/>
        <v>0.33879561417265786</v>
      </c>
      <c r="U58">
        <f t="shared" si="21"/>
        <v>0.33253539655009978</v>
      </c>
      <c r="V58">
        <f t="shared" si="22"/>
        <v>-0.55071945553475232</v>
      </c>
      <c r="W58">
        <f t="shared" si="23"/>
        <v>-0.55031393600678591</v>
      </c>
      <c r="X58">
        <f t="shared" si="24"/>
        <v>-0.507171768723367</v>
      </c>
      <c r="Y58">
        <f t="shared" si="25"/>
        <v>-0.49388000590063924</v>
      </c>
      <c r="Z58">
        <f t="shared" si="26"/>
        <v>-0.50089821642107901</v>
      </c>
    </row>
    <row r="59" spans="1:26" x14ac:dyDescent="0.25">
      <c r="A59" s="12" t="s">
        <v>110</v>
      </c>
      <c r="B59" s="4">
        <v>2355</v>
      </c>
      <c r="C59" s="4">
        <v>2140</v>
      </c>
      <c r="D59" s="4">
        <v>1541</v>
      </c>
      <c r="E59" s="4">
        <v>2279</v>
      </c>
      <c r="F59" s="13">
        <v>2344</v>
      </c>
      <c r="G59">
        <f t="shared" si="6"/>
        <v>26154982</v>
      </c>
      <c r="H59">
        <f t="shared" si="7"/>
        <v>33793017</v>
      </c>
      <c r="I59">
        <f t="shared" si="8"/>
        <v>39756632</v>
      </c>
      <c r="J59">
        <f t="shared" si="9"/>
        <v>39644484</v>
      </c>
      <c r="K59">
        <f t="shared" si="10"/>
        <v>42112733</v>
      </c>
      <c r="L59">
        <f t="shared" si="11"/>
        <v>9.0040207253822623E-5</v>
      </c>
      <c r="M59">
        <f t="shared" si="12"/>
        <v>6.3326692612263654E-5</v>
      </c>
      <c r="N59">
        <f t="shared" si="13"/>
        <v>3.8760828633572384E-5</v>
      </c>
      <c r="O59">
        <f t="shared" si="14"/>
        <v>5.7485929190048231E-5</v>
      </c>
      <c r="P59">
        <f t="shared" si="15"/>
        <v>5.566012540672675E-5</v>
      </c>
      <c r="Q59">
        <f t="shared" si="17"/>
        <v>1.1098797626932511</v>
      </c>
      <c r="R59">
        <f t="shared" si="18"/>
        <v>0.98152356863682444</v>
      </c>
      <c r="S59">
        <f t="shared" si="19"/>
        <v>0.86953949605047554</v>
      </c>
      <c r="T59">
        <f t="shared" si="20"/>
        <v>1.0388322689353142</v>
      </c>
      <c r="U59">
        <f t="shared" si="21"/>
        <v>0.87666831061148653</v>
      </c>
      <c r="V59">
        <f t="shared" si="22"/>
        <v>5.2078684594324978E-2</v>
      </c>
      <c r="W59">
        <f t="shared" si="23"/>
        <v>-9.3243560942786533E-3</v>
      </c>
      <c r="X59">
        <f t="shared" si="24"/>
        <v>-6.9782159844780395E-2</v>
      </c>
      <c r="Y59">
        <f t="shared" si="25"/>
        <v>1.9046328394435593E-2</v>
      </c>
      <c r="Z59">
        <f t="shared" si="26"/>
        <v>-6.5718427007662075E-2</v>
      </c>
    </row>
    <row r="60" spans="1:26" x14ac:dyDescent="0.25">
      <c r="A60" s="11" t="s">
        <v>51</v>
      </c>
      <c r="B60" s="5">
        <v>1936</v>
      </c>
      <c r="C60" s="5">
        <v>1923</v>
      </c>
      <c r="D60" s="5">
        <v>1567</v>
      </c>
      <c r="E60" s="5">
        <v>2450</v>
      </c>
      <c r="F60" s="14">
        <v>2305</v>
      </c>
      <c r="G60">
        <f t="shared" si="6"/>
        <v>26794587</v>
      </c>
      <c r="H60">
        <f t="shared" si="7"/>
        <v>34594841</v>
      </c>
      <c r="I60">
        <f t="shared" si="8"/>
        <v>44790266</v>
      </c>
      <c r="J60">
        <f t="shared" si="9"/>
        <v>43463068</v>
      </c>
      <c r="K60">
        <f t="shared" si="10"/>
        <v>45864363</v>
      </c>
      <c r="L60">
        <f t="shared" si="11"/>
        <v>7.2253399539242756E-5</v>
      </c>
      <c r="M60">
        <f t="shared" si="12"/>
        <v>5.55863228277303E-5</v>
      </c>
      <c r="N60">
        <f t="shared" si="13"/>
        <v>3.4985280060627458E-5</v>
      </c>
      <c r="O60">
        <f t="shared" si="14"/>
        <v>5.636969760165113E-5</v>
      </c>
      <c r="P60">
        <f t="shared" si="15"/>
        <v>5.0256884631756467E-5</v>
      </c>
      <c r="Q60">
        <f t="shared" si="17"/>
        <v>0.89063084571021855</v>
      </c>
      <c r="R60">
        <f t="shared" si="18"/>
        <v>0.86155274653814207</v>
      </c>
      <c r="S60">
        <f t="shared" si="19"/>
        <v>0.78484087842110195</v>
      </c>
      <c r="T60">
        <f t="shared" si="20"/>
        <v>1.018660769405433</v>
      </c>
      <c r="U60">
        <f t="shared" si="21"/>
        <v>0.79156519725328656</v>
      </c>
      <c r="V60">
        <f t="shared" si="22"/>
        <v>-5.7847968860730584E-2</v>
      </c>
      <c r="W60">
        <f t="shared" si="23"/>
        <v>-7.4371920816814333E-2</v>
      </c>
      <c r="X60">
        <f t="shared" si="24"/>
        <v>-0.1205480691193218</v>
      </c>
      <c r="Y60">
        <f t="shared" si="25"/>
        <v>9.2441333820190586E-3</v>
      </c>
      <c r="Z60">
        <f t="shared" si="26"/>
        <v>-0.11634229279865026</v>
      </c>
    </row>
    <row r="61" spans="1:26" x14ac:dyDescent="0.25">
      <c r="A61" s="12" t="s">
        <v>102</v>
      </c>
      <c r="B61" s="4">
        <v>4808</v>
      </c>
      <c r="C61" s="4">
        <v>1549</v>
      </c>
      <c r="D61" s="4">
        <v>1757</v>
      </c>
      <c r="E61" s="4">
        <v>1398</v>
      </c>
      <c r="F61" s="13">
        <v>2069</v>
      </c>
      <c r="G61">
        <f t="shared" si="6"/>
        <v>38081411</v>
      </c>
      <c r="H61">
        <f t="shared" si="7"/>
        <v>41415435</v>
      </c>
      <c r="I61">
        <f t="shared" si="8"/>
        <v>30952133</v>
      </c>
      <c r="J61">
        <f t="shared" si="9"/>
        <v>61160501</v>
      </c>
      <c r="K61">
        <f t="shared" si="10"/>
        <v>59787311</v>
      </c>
      <c r="L61">
        <f t="shared" si="11"/>
        <v>1.2625582597241474E-4</v>
      </c>
      <c r="M61">
        <f t="shared" si="12"/>
        <v>3.7401514676834859E-5</v>
      </c>
      <c r="N61">
        <f t="shared" si="13"/>
        <v>5.6765070116492456E-5</v>
      </c>
      <c r="O61">
        <f t="shared" si="14"/>
        <v>2.2857889931280975E-5</v>
      </c>
      <c r="P61">
        <f t="shared" si="15"/>
        <v>3.4606005277608151E-5</v>
      </c>
      <c r="Q61">
        <f t="shared" si="17"/>
        <v>1.5562912441314372</v>
      </c>
      <c r="R61">
        <f t="shared" si="18"/>
        <v>0.57969975445899535</v>
      </c>
      <c r="S61">
        <f t="shared" si="19"/>
        <v>1.273436925948803</v>
      </c>
      <c r="T61">
        <f t="shared" si="20"/>
        <v>0.41306653636725127</v>
      </c>
      <c r="U61">
        <f t="shared" si="21"/>
        <v>0.54505784818203906</v>
      </c>
      <c r="V61">
        <f t="shared" si="22"/>
        <v>0.21761653544310863</v>
      </c>
      <c r="W61">
        <f t="shared" si="23"/>
        <v>-0.26606337334333902</v>
      </c>
      <c r="X61">
        <f t="shared" si="24"/>
        <v>0.12027469195552279</v>
      </c>
      <c r="Y61">
        <f t="shared" si="25"/>
        <v>-0.4153615194523344</v>
      </c>
      <c r="Z61">
        <f t="shared" si="26"/>
        <v>-0.2944499148386317</v>
      </c>
    </row>
    <row r="62" spans="1:26" x14ac:dyDescent="0.25">
      <c r="A62" s="11" t="s">
        <v>148</v>
      </c>
      <c r="B62" s="7">
        <v>1070</v>
      </c>
      <c r="C62" s="7">
        <v>801</v>
      </c>
      <c r="D62" s="7">
        <v>1116</v>
      </c>
      <c r="E62" s="7">
        <v>1519</v>
      </c>
      <c r="F62" s="7">
        <v>1931</v>
      </c>
      <c r="G62">
        <f t="shared" si="6"/>
        <v>12487628</v>
      </c>
      <c r="H62">
        <f t="shared" si="7"/>
        <v>18010707</v>
      </c>
      <c r="I62">
        <f t="shared" si="8"/>
        <v>19948111</v>
      </c>
      <c r="J62">
        <f t="shared" si="9"/>
        <v>23270982</v>
      </c>
      <c r="K62">
        <f t="shared" si="10"/>
        <v>18339326</v>
      </c>
      <c r="L62">
        <f t="shared" si="11"/>
        <v>8.5684807394967237E-5</v>
      </c>
      <c r="M62">
        <f t="shared" si="12"/>
        <v>4.4473545652594315E-5</v>
      </c>
      <c r="N62">
        <f t="shared" si="13"/>
        <v>5.594514688633926E-5</v>
      </c>
      <c r="O62">
        <f t="shared" si="14"/>
        <v>6.5274426322017699E-5</v>
      </c>
      <c r="P62">
        <f t="shared" si="15"/>
        <v>1.052928553644774E-4</v>
      </c>
      <c r="Q62">
        <f t="shared" si="17"/>
        <v>1.0561929675467925</v>
      </c>
      <c r="R62">
        <f t="shared" si="18"/>
        <v>0.68931174893560798</v>
      </c>
      <c r="S62">
        <f t="shared" si="19"/>
        <v>1.2550432110185197</v>
      </c>
      <c r="T62">
        <f t="shared" si="20"/>
        <v>1.179578748312057</v>
      </c>
      <c r="U62">
        <f t="shared" si="21"/>
        <v>1.6584028325002722</v>
      </c>
      <c r="V62">
        <f t="shared" si="22"/>
        <v>2.7328644944173371E-2</v>
      </c>
      <c r="W62">
        <f t="shared" si="23"/>
        <v>-0.18391410067451949</v>
      </c>
      <c r="X62">
        <f t="shared" si="24"/>
        <v>0.11309903498626356</v>
      </c>
      <c r="Y62">
        <f t="shared" si="25"/>
        <v>8.2391493517327205E-2</v>
      </c>
      <c r="Z62">
        <f t="shared" si="26"/>
        <v>0.24766857168935283</v>
      </c>
    </row>
    <row r="63" spans="1:26" x14ac:dyDescent="0.25">
      <c r="A63" s="12" t="s">
        <v>109</v>
      </c>
      <c r="B63" s="6">
        <v>13464</v>
      </c>
      <c r="C63" s="6">
        <v>15080</v>
      </c>
      <c r="D63" s="6">
        <v>16984</v>
      </c>
      <c r="E63" s="6">
        <v>15424</v>
      </c>
      <c r="F63" s="6">
        <v>1779</v>
      </c>
      <c r="G63">
        <f t="shared" si="6"/>
        <v>11257790</v>
      </c>
      <c r="H63">
        <f t="shared" si="7"/>
        <v>12862943</v>
      </c>
      <c r="I63">
        <f t="shared" si="8"/>
        <v>13089406</v>
      </c>
      <c r="J63">
        <f t="shared" si="9"/>
        <v>12218107</v>
      </c>
      <c r="K63">
        <f t="shared" si="10"/>
        <v>8587654</v>
      </c>
      <c r="L63">
        <f t="shared" si="11"/>
        <v>1.1959718559326476E-3</v>
      </c>
      <c r="M63">
        <f t="shared" si="12"/>
        <v>1.172360011235376E-3</v>
      </c>
      <c r="N63">
        <f t="shared" si="13"/>
        <v>1.2975378714664362E-3</v>
      </c>
      <c r="O63">
        <f t="shared" si="14"/>
        <v>1.2623886826330789E-3</v>
      </c>
      <c r="P63">
        <f t="shared" si="15"/>
        <v>2.0715785708180605E-4</v>
      </c>
      <c r="Q63">
        <f t="shared" si="17"/>
        <v>14.742135765063782</v>
      </c>
      <c r="R63">
        <f t="shared" si="18"/>
        <v>18.170836569664985</v>
      </c>
      <c r="S63">
        <f t="shared" si="19"/>
        <v>29.108263848727365</v>
      </c>
      <c r="T63">
        <f t="shared" si="20"/>
        <v>22.812714657920331</v>
      </c>
      <c r="U63">
        <f t="shared" si="21"/>
        <v>3.2628156561044066</v>
      </c>
      <c r="V63">
        <f t="shared" si="22"/>
        <v>0.87295243607042439</v>
      </c>
      <c r="W63">
        <f t="shared" si="23"/>
        <v>0.89567487090444953</v>
      </c>
      <c r="X63">
        <f t="shared" si="24"/>
        <v>0.9335730545590879</v>
      </c>
      <c r="Y63">
        <f t="shared" si="25"/>
        <v>0.91601125580468912</v>
      </c>
      <c r="Z63">
        <f t="shared" si="26"/>
        <v>0.53082653313052042</v>
      </c>
    </row>
    <row r="64" spans="1:26" x14ac:dyDescent="0.25">
      <c r="A64" s="11" t="s">
        <v>27</v>
      </c>
      <c r="B64" s="5">
        <v>1082</v>
      </c>
      <c r="C64" s="5">
        <v>1479</v>
      </c>
      <c r="D64" s="5">
        <v>1444</v>
      </c>
      <c r="E64" s="5">
        <v>2504</v>
      </c>
      <c r="F64" s="14">
        <v>1758</v>
      </c>
      <c r="G64">
        <f t="shared" si="6"/>
        <v>287160021</v>
      </c>
      <c r="H64">
        <f t="shared" si="7"/>
        <v>382921158</v>
      </c>
      <c r="I64">
        <f t="shared" si="8"/>
        <v>427241617</v>
      </c>
      <c r="J64">
        <f t="shared" si="9"/>
        <v>351666960</v>
      </c>
      <c r="K64">
        <f t="shared" si="10"/>
        <v>394062784</v>
      </c>
      <c r="L64">
        <f t="shared" si="11"/>
        <v>3.7679339771325618E-6</v>
      </c>
      <c r="M64">
        <f t="shared" si="12"/>
        <v>3.8624138914778902E-6</v>
      </c>
      <c r="N64">
        <f t="shared" si="13"/>
        <v>3.3798205571345361E-6</v>
      </c>
      <c r="O64">
        <f t="shared" si="14"/>
        <v>7.1203732076507843E-6</v>
      </c>
      <c r="P64">
        <f t="shared" si="15"/>
        <v>4.4612180377835426E-6</v>
      </c>
      <c r="Q64">
        <f t="shared" si="17"/>
        <v>4.6445402514399277E-2</v>
      </c>
      <c r="R64">
        <f t="shared" si="18"/>
        <v>5.9864965466105202E-2</v>
      </c>
      <c r="S64">
        <f t="shared" si="19"/>
        <v>7.5821069043046918E-2</v>
      </c>
      <c r="T64">
        <f t="shared" si="20"/>
        <v>0.12867276495637833</v>
      </c>
      <c r="U64">
        <f t="shared" si="21"/>
        <v>7.0265894154462827E-2</v>
      </c>
      <c r="V64">
        <f t="shared" si="22"/>
        <v>-0.91123205777807381</v>
      </c>
      <c r="W64">
        <f t="shared" si="23"/>
        <v>-0.88703284396276294</v>
      </c>
      <c r="X64">
        <f t="shared" si="24"/>
        <v>-0.85904520514644589</v>
      </c>
      <c r="Y64">
        <f t="shared" si="25"/>
        <v>-0.77199278842995489</v>
      </c>
      <c r="Z64">
        <f t="shared" si="26"/>
        <v>-0.86869450939577086</v>
      </c>
    </row>
    <row r="65" spans="1:26" x14ac:dyDescent="0.25">
      <c r="A65" s="12" t="s">
        <v>16</v>
      </c>
      <c r="B65" s="4">
        <v>1664</v>
      </c>
      <c r="C65" s="4">
        <v>1042</v>
      </c>
      <c r="D65" s="4">
        <v>956</v>
      </c>
      <c r="E65" s="4">
        <v>824</v>
      </c>
      <c r="F65" s="13">
        <v>1709</v>
      </c>
      <c r="G65">
        <f t="shared" si="6"/>
        <v>158786825</v>
      </c>
      <c r="H65">
        <f t="shared" si="7"/>
        <v>219408049</v>
      </c>
      <c r="I65">
        <f t="shared" si="8"/>
        <v>272701734</v>
      </c>
      <c r="J65">
        <f t="shared" si="9"/>
        <v>240792839</v>
      </c>
      <c r="K65">
        <f t="shared" si="10"/>
        <v>262869606</v>
      </c>
      <c r="L65">
        <f t="shared" si="11"/>
        <v>1.0479458859385846E-5</v>
      </c>
      <c r="M65">
        <f t="shared" si="12"/>
        <v>4.74914208821938E-6</v>
      </c>
      <c r="N65">
        <f t="shared" si="13"/>
        <v>3.5056616104978635E-6</v>
      </c>
      <c r="O65">
        <f t="shared" si="14"/>
        <v>3.4220286758610793E-6</v>
      </c>
      <c r="P65">
        <f t="shared" si="15"/>
        <v>6.5013221802447564E-6</v>
      </c>
      <c r="Q65">
        <f t="shared" si="17"/>
        <v>0.12917495046653241</v>
      </c>
      <c r="R65">
        <f t="shared" si="18"/>
        <v>7.3608690081656269E-2</v>
      </c>
      <c r="S65">
        <f t="shared" si="19"/>
        <v>7.8644119271370272E-2</v>
      </c>
      <c r="T65">
        <f t="shared" si="20"/>
        <v>6.183972084636475E-2</v>
      </c>
      <c r="U65">
        <f t="shared" si="21"/>
        <v>0.10239831640421258</v>
      </c>
      <c r="V65">
        <f t="shared" si="22"/>
        <v>-0.77120471825351378</v>
      </c>
      <c r="W65">
        <f t="shared" si="23"/>
        <v>-0.86287612840380823</v>
      </c>
      <c r="X65">
        <f t="shared" si="24"/>
        <v>-0.85417967267184514</v>
      </c>
      <c r="Y65">
        <f t="shared" si="25"/>
        <v>-0.8835234364804625</v>
      </c>
      <c r="Z65">
        <f t="shared" si="26"/>
        <v>-0.81422628304039146</v>
      </c>
    </row>
    <row r="66" spans="1:26" x14ac:dyDescent="0.25">
      <c r="A66" s="11" t="s">
        <v>26</v>
      </c>
      <c r="B66" s="5">
        <v>1380</v>
      </c>
      <c r="C66" s="5">
        <v>1471</v>
      </c>
      <c r="D66" s="5">
        <v>629</v>
      </c>
      <c r="E66" s="7">
        <v>884</v>
      </c>
      <c r="F66" s="7">
        <v>1612</v>
      </c>
      <c r="G66">
        <f t="shared" si="6"/>
        <v>9745446</v>
      </c>
      <c r="H66">
        <f t="shared" si="7"/>
        <v>15792669</v>
      </c>
      <c r="I66">
        <f t="shared" si="8"/>
        <v>13716419</v>
      </c>
      <c r="J66">
        <f t="shared" si="9"/>
        <v>10354328</v>
      </c>
      <c r="K66">
        <f t="shared" si="10"/>
        <v>10356044</v>
      </c>
      <c r="L66">
        <f t="shared" si="11"/>
        <v>1.4160460178015455E-4</v>
      </c>
      <c r="M66">
        <f t="shared" si="12"/>
        <v>9.3144483684170164E-5</v>
      </c>
      <c r="N66">
        <f t="shared" si="13"/>
        <v>4.5857450111432147E-5</v>
      </c>
      <c r="O66">
        <f t="shared" si="14"/>
        <v>8.5374927276787066E-5</v>
      </c>
      <c r="P66">
        <f t="shared" si="15"/>
        <v>1.5565789407615495E-4</v>
      </c>
      <c r="Q66">
        <f t="shared" si="17"/>
        <v>1.7454877838851031</v>
      </c>
      <c r="R66">
        <f t="shared" si="18"/>
        <v>1.4436804174234796</v>
      </c>
      <c r="S66">
        <f t="shared" si="19"/>
        <v>1.0287412696207747</v>
      </c>
      <c r="T66">
        <f t="shared" si="20"/>
        <v>1.5428163145788709</v>
      </c>
      <c r="U66">
        <f t="shared" si="21"/>
        <v>2.4516714979695808</v>
      </c>
      <c r="V66">
        <f t="shared" si="22"/>
        <v>0.27153199816106016</v>
      </c>
      <c r="W66">
        <f t="shared" si="23"/>
        <v>0.18156237381125262</v>
      </c>
      <c r="X66">
        <f t="shared" si="24"/>
        <v>1.4167045374961601E-2</v>
      </c>
      <c r="Y66">
        <f t="shared" si="25"/>
        <v>0.21347051749932225</v>
      </c>
      <c r="Z66">
        <f t="shared" si="26"/>
        <v>0.42057058408470083</v>
      </c>
    </row>
    <row r="67" spans="1:26" x14ac:dyDescent="0.25">
      <c r="A67" s="12" t="s">
        <v>137</v>
      </c>
      <c r="B67" s="4">
        <v>4296</v>
      </c>
      <c r="C67" s="4">
        <v>3392</v>
      </c>
      <c r="D67" s="4">
        <v>3111</v>
      </c>
      <c r="E67" s="4">
        <v>3919</v>
      </c>
      <c r="F67" s="6">
        <v>1607</v>
      </c>
      <c r="G67">
        <f t="shared" ref="G67:G130" si="27">VLOOKUP(A67,IMPOTOTAL,2,FALSE)</f>
        <v>15459448</v>
      </c>
      <c r="H67">
        <f t="shared" ref="H67:H130" si="28">VLOOKUP(A67,IMPOTOTAL,3,FALSE)</f>
        <v>18675855</v>
      </c>
      <c r="I67">
        <f t="shared" ref="I67:I130" si="29">VLOOKUP(A67,IMPOTOTAL,4,FALSE)</f>
        <v>15534503</v>
      </c>
      <c r="J67">
        <f t="shared" ref="J67:J130" si="30">VLOOKUP(A67,IMPOTOTAL,5,FALSE)</f>
        <v>15354370</v>
      </c>
      <c r="K67">
        <f t="shared" ref="K67:K130" si="31">VLOOKUP(A67,IMPOTOTAL,6,FALSE)</f>
        <v>21297031</v>
      </c>
      <c r="L67">
        <f t="shared" ref="L67:L130" si="32">B67/G67</f>
        <v>2.7788831787525661E-4</v>
      </c>
      <c r="M67">
        <f t="shared" ref="M67:M130" si="33">C67/H67</f>
        <v>1.8162488410838486E-4</v>
      </c>
      <c r="N67">
        <f t="shared" ref="N67:N130" si="34">D67/I67</f>
        <v>2.0026389000021437E-4</v>
      </c>
      <c r="O67">
        <f t="shared" ref="O67:O130" si="35">E67/J67</f>
        <v>2.5523678275305334E-4</v>
      </c>
      <c r="P67">
        <f t="shared" ref="P67:P130" si="36">F67/K67</f>
        <v>7.545652725020685E-5</v>
      </c>
      <c r="Q67">
        <f t="shared" si="17"/>
        <v>3.4253877207232053</v>
      </c>
      <c r="R67">
        <f t="shared" si="18"/>
        <v>2.8150705026522815</v>
      </c>
      <c r="S67">
        <f t="shared" si="19"/>
        <v>4.4926119519815053</v>
      </c>
      <c r="T67">
        <f t="shared" si="20"/>
        <v>4.6124018499644572</v>
      </c>
      <c r="U67">
        <f t="shared" si="21"/>
        <v>1.188469227937706</v>
      </c>
      <c r="V67">
        <f t="shared" si="22"/>
        <v>0.5480621978873399</v>
      </c>
      <c r="W67">
        <f t="shared" si="23"/>
        <v>0.47576329228789438</v>
      </c>
      <c r="X67">
        <f t="shared" si="24"/>
        <v>0.63587451334906642</v>
      </c>
      <c r="Y67">
        <f t="shared" si="25"/>
        <v>0.6436463294208582</v>
      </c>
      <c r="Z67">
        <f t="shared" si="26"/>
        <v>8.6119204022488891E-2</v>
      </c>
    </row>
    <row r="68" spans="1:26" x14ac:dyDescent="0.25">
      <c r="A68" s="11" t="s">
        <v>45</v>
      </c>
      <c r="B68" s="5">
        <v>3416</v>
      </c>
      <c r="C68" s="5">
        <v>1724</v>
      </c>
      <c r="D68" s="5">
        <v>1200</v>
      </c>
      <c r="E68" s="5">
        <v>1594</v>
      </c>
      <c r="F68" s="14">
        <v>1562</v>
      </c>
      <c r="G68">
        <f t="shared" si="27"/>
        <v>33313761</v>
      </c>
      <c r="H68">
        <f t="shared" si="28"/>
        <v>44476453</v>
      </c>
      <c r="I68">
        <f t="shared" si="29"/>
        <v>55110148</v>
      </c>
      <c r="J68">
        <f t="shared" si="30"/>
        <v>48418283</v>
      </c>
      <c r="K68">
        <f t="shared" si="31"/>
        <v>44757934</v>
      </c>
      <c r="L68">
        <f t="shared" si="32"/>
        <v>1.0254020853424505E-4</v>
      </c>
      <c r="M68">
        <f t="shared" si="33"/>
        <v>3.8762083837935549E-5</v>
      </c>
      <c r="N68">
        <f t="shared" si="34"/>
        <v>2.1774574076629226E-5</v>
      </c>
      <c r="O68">
        <f t="shared" si="35"/>
        <v>3.2921448288449221E-5</v>
      </c>
      <c r="P68">
        <f t="shared" si="36"/>
        <v>3.4898840505015268E-5</v>
      </c>
      <c r="Q68">
        <f t="shared" ref="Q68:Q131" si="37">L68/$L$2</f>
        <v>1.2639609101929596</v>
      </c>
      <c r="R68">
        <f t="shared" ref="R68:R131" si="38">M68/$M$2</f>
        <v>0.60078771347427706</v>
      </c>
      <c r="S68">
        <f t="shared" ref="S68:S131" si="39">N68/$N$2</f>
        <v>0.48847903506651352</v>
      </c>
      <c r="T68">
        <f t="shared" ref="T68:T131" si="40">O68/$O$2</f>
        <v>0.59492580713206744</v>
      </c>
      <c r="U68">
        <f t="shared" ref="U68:U131" si="41">P68/$P$2</f>
        <v>0.54967011526233389</v>
      </c>
      <c r="V68">
        <f t="shared" ref="V68:V131" si="42">(Q68-1)/(Q68+1)</f>
        <v>0.1165925211007561</v>
      </c>
      <c r="W68">
        <f t="shared" ref="W68:W131" si="43">(R68-1)/(R68+1)</f>
        <v>-0.24938490167399568</v>
      </c>
      <c r="X68">
        <f t="shared" ref="X68:X131" si="44">(S68-1)/(S68+1)</f>
        <v>-0.34365345623469179</v>
      </c>
      <c r="Y68">
        <f t="shared" ref="Y68:Y131" si="45">(T68-1)/(T68+1)</f>
        <v>-0.25397682516425074</v>
      </c>
      <c r="Z68">
        <f t="shared" ref="Z68:Z131" si="46">(U68-1)/(U68+1)</f>
        <v>-0.29059725699197125</v>
      </c>
    </row>
    <row r="69" spans="1:26" ht="23.25" x14ac:dyDescent="0.25">
      <c r="A69" s="12" t="s">
        <v>92</v>
      </c>
      <c r="B69" s="4">
        <v>1481</v>
      </c>
      <c r="C69" s="4">
        <v>2197</v>
      </c>
      <c r="D69" s="4">
        <v>2735</v>
      </c>
      <c r="E69" s="4">
        <v>2249</v>
      </c>
      <c r="F69" s="13">
        <v>1477</v>
      </c>
      <c r="G69">
        <f t="shared" si="27"/>
        <v>573061310</v>
      </c>
      <c r="H69">
        <f t="shared" si="28"/>
        <v>713969246</v>
      </c>
      <c r="I69">
        <f t="shared" si="29"/>
        <v>669093235</v>
      </c>
      <c r="J69">
        <f t="shared" si="30"/>
        <v>655539567</v>
      </c>
      <c r="K69">
        <f t="shared" si="31"/>
        <v>698906913</v>
      </c>
      <c r="L69">
        <f t="shared" si="32"/>
        <v>2.5843657112360283E-6</v>
      </c>
      <c r="M69">
        <f t="shared" si="33"/>
        <v>3.0771633544563066E-6</v>
      </c>
      <c r="N69">
        <f t="shared" si="34"/>
        <v>4.087621660081498E-6</v>
      </c>
      <c r="O69">
        <f t="shared" si="35"/>
        <v>3.4307616400521556E-6</v>
      </c>
      <c r="P69">
        <f t="shared" si="36"/>
        <v>2.1133000296993771E-6</v>
      </c>
      <c r="Q69">
        <f t="shared" si="37"/>
        <v>3.1856159484544545E-2</v>
      </c>
      <c r="R69">
        <f t="shared" si="38"/>
        <v>4.7694080210964815E-2</v>
      </c>
      <c r="S69">
        <f t="shared" si="39"/>
        <v>9.1699496725250684E-2</v>
      </c>
      <c r="T69">
        <f t="shared" si="40"/>
        <v>6.19975348563837E-2</v>
      </c>
      <c r="U69">
        <f t="shared" si="41"/>
        <v>3.32852855309567E-2</v>
      </c>
      <c r="V69">
        <f t="shared" si="42"/>
        <v>-0.93825465072484904</v>
      </c>
      <c r="W69">
        <f t="shared" si="43"/>
        <v>-0.90895418593686983</v>
      </c>
      <c r="X69">
        <f t="shared" si="44"/>
        <v>-0.83200597417087785</v>
      </c>
      <c r="Y69">
        <f t="shared" si="45"/>
        <v>-0.88324354281148543</v>
      </c>
      <c r="Z69">
        <f t="shared" si="46"/>
        <v>-0.93557387103629774</v>
      </c>
    </row>
    <row r="70" spans="1:26" x14ac:dyDescent="0.25">
      <c r="A70" s="11" t="s">
        <v>108</v>
      </c>
      <c r="B70" s="5">
        <v>1576</v>
      </c>
      <c r="C70" s="5">
        <v>2597</v>
      </c>
      <c r="D70" s="5">
        <v>2254</v>
      </c>
      <c r="E70" s="5">
        <v>2352</v>
      </c>
      <c r="F70" s="7">
        <v>1388</v>
      </c>
      <c r="G70">
        <f t="shared" si="27"/>
        <v>17006883</v>
      </c>
      <c r="H70">
        <f t="shared" si="28"/>
        <v>21542435</v>
      </c>
      <c r="I70">
        <f t="shared" si="29"/>
        <v>27364057</v>
      </c>
      <c r="J70">
        <f t="shared" si="30"/>
        <v>25707802</v>
      </c>
      <c r="K70">
        <f t="shared" si="31"/>
        <v>21752039</v>
      </c>
      <c r="L70">
        <f t="shared" si="32"/>
        <v>9.2668362568261331E-5</v>
      </c>
      <c r="M70">
        <f t="shared" si="33"/>
        <v>1.2055276016847677E-4</v>
      </c>
      <c r="N70">
        <f t="shared" si="34"/>
        <v>8.2370826811243669E-5</v>
      </c>
      <c r="O70">
        <f t="shared" si="35"/>
        <v>9.1489735295145034E-5</v>
      </c>
      <c r="P70">
        <f t="shared" si="36"/>
        <v>6.3810109939578533E-5</v>
      </c>
      <c r="Q70">
        <f t="shared" si="37"/>
        <v>1.1422756943073067</v>
      </c>
      <c r="R70">
        <f t="shared" si="38"/>
        <v>1.8684913184091982</v>
      </c>
      <c r="S70">
        <f t="shared" si="39"/>
        <v>1.847862642767979</v>
      </c>
      <c r="T70">
        <f t="shared" si="40"/>
        <v>1.6533174402858959</v>
      </c>
      <c r="U70">
        <f t="shared" si="41"/>
        <v>1.0050336910290707</v>
      </c>
      <c r="V70">
        <f t="shared" si="42"/>
        <v>6.6413344783483055E-2</v>
      </c>
      <c r="W70">
        <f t="shared" si="43"/>
        <v>0.30276937316681313</v>
      </c>
      <c r="X70">
        <f t="shared" si="44"/>
        <v>0.29771893841898894</v>
      </c>
      <c r="Y70">
        <f t="shared" si="45"/>
        <v>0.24622664079556975</v>
      </c>
      <c r="Z70">
        <f t="shared" si="46"/>
        <v>2.5105269061524785E-3</v>
      </c>
    </row>
    <row r="71" spans="1:26" x14ac:dyDescent="0.25">
      <c r="A71" s="12" t="s">
        <v>111</v>
      </c>
      <c r="B71" s="4">
        <v>1609</v>
      </c>
      <c r="C71" s="4">
        <v>1211</v>
      </c>
      <c r="D71" s="4">
        <v>1353</v>
      </c>
      <c r="E71" s="4">
        <v>1091</v>
      </c>
      <c r="F71" s="6">
        <v>1315</v>
      </c>
      <c r="G71">
        <f t="shared" si="27"/>
        <v>11354653</v>
      </c>
      <c r="H71">
        <f t="shared" si="28"/>
        <v>13856704</v>
      </c>
      <c r="I71">
        <f t="shared" si="29"/>
        <v>19053292</v>
      </c>
      <c r="J71">
        <f t="shared" si="30"/>
        <v>18122412</v>
      </c>
      <c r="K71">
        <f t="shared" si="31"/>
        <v>12852475</v>
      </c>
      <c r="L71">
        <f t="shared" si="32"/>
        <v>1.4170402213083922E-4</v>
      </c>
      <c r="M71">
        <f t="shared" si="33"/>
        <v>8.7394520370789479E-5</v>
      </c>
      <c r="N71">
        <f t="shared" si="34"/>
        <v>7.1011350689424171E-5</v>
      </c>
      <c r="O71">
        <f t="shared" si="35"/>
        <v>6.0201699420584852E-5</v>
      </c>
      <c r="P71">
        <f t="shared" si="36"/>
        <v>1.0231492377927208E-4</v>
      </c>
      <c r="Q71">
        <f t="shared" si="37"/>
        <v>1.7467132878970355</v>
      </c>
      <c r="R71">
        <f t="shared" si="38"/>
        <v>1.3545596331526888</v>
      </c>
      <c r="S71">
        <f t="shared" si="39"/>
        <v>1.593030290349976</v>
      </c>
      <c r="T71">
        <f t="shared" si="40"/>
        <v>1.0879091437505122</v>
      </c>
      <c r="U71">
        <f t="shared" si="41"/>
        <v>1.611499268542383</v>
      </c>
      <c r="V71">
        <f t="shared" si="42"/>
        <v>0.27185701951030394</v>
      </c>
      <c r="W71">
        <f t="shared" si="43"/>
        <v>0.15058426559277394</v>
      </c>
      <c r="X71">
        <f t="shared" si="44"/>
        <v>0.22870164400198192</v>
      </c>
      <c r="Y71">
        <f t="shared" si="45"/>
        <v>4.2103912430117019E-2</v>
      </c>
      <c r="Z71">
        <f t="shared" si="46"/>
        <v>0.23415640046634717</v>
      </c>
    </row>
    <row r="72" spans="1:26" ht="23.25" x14ac:dyDescent="0.25">
      <c r="A72" s="11" t="s">
        <v>159</v>
      </c>
      <c r="B72" s="5">
        <v>1626</v>
      </c>
      <c r="C72" s="5">
        <v>1932</v>
      </c>
      <c r="D72" s="5">
        <v>1865</v>
      </c>
      <c r="E72" s="5">
        <v>2379</v>
      </c>
      <c r="F72" s="14">
        <v>1315</v>
      </c>
      <c r="G72">
        <f t="shared" si="27"/>
        <v>5321313</v>
      </c>
      <c r="H72">
        <f t="shared" si="28"/>
        <v>7237001</v>
      </c>
      <c r="I72">
        <f t="shared" si="29"/>
        <v>9188938</v>
      </c>
      <c r="J72">
        <f t="shared" si="30"/>
        <v>7488773</v>
      </c>
      <c r="K72">
        <f t="shared" si="31"/>
        <v>7294537</v>
      </c>
      <c r="L72">
        <f t="shared" si="32"/>
        <v>3.0556368324885231E-4</v>
      </c>
      <c r="M72">
        <f t="shared" si="33"/>
        <v>2.6696141122545101E-4</v>
      </c>
      <c r="N72">
        <f t="shared" si="34"/>
        <v>2.0296143036333469E-4</v>
      </c>
      <c r="O72">
        <f t="shared" si="35"/>
        <v>3.1767553910366894E-4</v>
      </c>
      <c r="P72">
        <f t="shared" si="36"/>
        <v>1.8027189388442337E-4</v>
      </c>
      <c r="Q72">
        <f t="shared" si="37"/>
        <v>3.7665278501179138</v>
      </c>
      <c r="R72">
        <f t="shared" si="38"/>
        <v>4.1377325457161769</v>
      </c>
      <c r="S72">
        <f t="shared" si="39"/>
        <v>4.553127115630299</v>
      </c>
      <c r="T72">
        <f t="shared" si="40"/>
        <v>5.7407370068125125</v>
      </c>
      <c r="U72">
        <f t="shared" si="41"/>
        <v>2.8393514299069653</v>
      </c>
      <c r="V72">
        <f t="shared" si="42"/>
        <v>0.58040736089467637</v>
      </c>
      <c r="W72">
        <f t="shared" si="43"/>
        <v>0.61072321647657724</v>
      </c>
      <c r="X72">
        <f t="shared" si="44"/>
        <v>0.63984256827641639</v>
      </c>
      <c r="Y72">
        <f t="shared" si="45"/>
        <v>0.70329653894244737</v>
      </c>
      <c r="Z72">
        <f t="shared" si="46"/>
        <v>0.47907868385768904</v>
      </c>
    </row>
    <row r="73" spans="1:26" x14ac:dyDescent="0.25">
      <c r="A73" s="12" t="s">
        <v>74</v>
      </c>
      <c r="B73" s="4">
        <v>1542</v>
      </c>
      <c r="C73" s="4">
        <v>1230</v>
      </c>
      <c r="D73" s="4">
        <v>812</v>
      </c>
      <c r="E73" s="4">
        <v>1096</v>
      </c>
      <c r="F73" s="13">
        <v>1138</v>
      </c>
      <c r="G73">
        <f t="shared" si="27"/>
        <v>42128767</v>
      </c>
      <c r="H73">
        <f t="shared" si="28"/>
        <v>57733941</v>
      </c>
      <c r="I73">
        <f t="shared" si="29"/>
        <v>69930680</v>
      </c>
      <c r="J73">
        <f t="shared" si="30"/>
        <v>71694473</v>
      </c>
      <c r="K73">
        <f t="shared" si="31"/>
        <v>84328690</v>
      </c>
      <c r="L73">
        <f t="shared" si="32"/>
        <v>3.6602068130785789E-5</v>
      </c>
      <c r="M73">
        <f t="shared" si="33"/>
        <v>2.1304625644731235E-5</v>
      </c>
      <c r="N73">
        <f t="shared" si="34"/>
        <v>1.161149870128533E-5</v>
      </c>
      <c r="O73">
        <f t="shared" si="35"/>
        <v>1.5287091935245832E-5</v>
      </c>
      <c r="P73">
        <f t="shared" si="36"/>
        <v>1.3494814161111716E-5</v>
      </c>
      <c r="Q73">
        <f t="shared" si="37"/>
        <v>0.4511750464607473</v>
      </c>
      <c r="R73">
        <f t="shared" si="38"/>
        <v>0.33020818439582694</v>
      </c>
      <c r="S73">
        <f t="shared" si="39"/>
        <v>0.26048609085620161</v>
      </c>
      <c r="T73">
        <f t="shared" si="40"/>
        <v>0.27625411338507838</v>
      </c>
      <c r="U73">
        <f t="shared" si="41"/>
        <v>0.21254849582512822</v>
      </c>
      <c r="V73">
        <f t="shared" si="42"/>
        <v>-0.37819348870267233</v>
      </c>
      <c r="W73">
        <f t="shared" si="43"/>
        <v>-0.50352405244626341</v>
      </c>
      <c r="X73">
        <f t="shared" si="44"/>
        <v>-0.58668946409513634</v>
      </c>
      <c r="Y73">
        <f t="shared" si="45"/>
        <v>-0.56708603641267874</v>
      </c>
      <c r="Z73">
        <f t="shared" si="46"/>
        <v>-0.64941856501914019</v>
      </c>
    </row>
    <row r="74" spans="1:26" x14ac:dyDescent="0.25">
      <c r="A74" s="11" t="s">
        <v>199</v>
      </c>
      <c r="B74" s="5">
        <v>1196</v>
      </c>
      <c r="C74" s="5">
        <v>1313</v>
      </c>
      <c r="D74" s="5">
        <v>990</v>
      </c>
      <c r="E74" s="5">
        <v>1291</v>
      </c>
      <c r="F74" s="7">
        <v>1129</v>
      </c>
      <c r="G74">
        <f t="shared" si="27"/>
        <v>1837143</v>
      </c>
      <c r="H74">
        <f t="shared" si="28"/>
        <v>2580550</v>
      </c>
      <c r="I74">
        <f t="shared" si="29"/>
        <v>3522703</v>
      </c>
      <c r="J74">
        <f t="shared" si="30"/>
        <v>3394094</v>
      </c>
      <c r="K74">
        <f t="shared" si="31"/>
        <v>2930447</v>
      </c>
      <c r="L74">
        <f t="shared" si="32"/>
        <v>6.5101083584674679E-4</v>
      </c>
      <c r="M74">
        <f t="shared" si="33"/>
        <v>5.0880626223091981E-4</v>
      </c>
      <c r="N74">
        <f t="shared" si="34"/>
        <v>2.810341944807723E-4</v>
      </c>
      <c r="O74">
        <f t="shared" si="35"/>
        <v>3.8036660151427744E-4</v>
      </c>
      <c r="P74">
        <f t="shared" si="36"/>
        <v>3.8526545608912223E-4</v>
      </c>
      <c r="Q74">
        <f t="shared" si="37"/>
        <v>8.0246789077625866</v>
      </c>
      <c r="R74">
        <f t="shared" si="38"/>
        <v>7.8861743389539187</v>
      </c>
      <c r="S74">
        <f t="shared" si="39"/>
        <v>6.3045693411750916</v>
      </c>
      <c r="T74">
        <f t="shared" si="40"/>
        <v>6.873631604213438</v>
      </c>
      <c r="U74">
        <f t="shared" si="41"/>
        <v>6.0680786120865653</v>
      </c>
      <c r="V74">
        <f t="shared" si="42"/>
        <v>0.77838546717936985</v>
      </c>
      <c r="W74">
        <f t="shared" si="43"/>
        <v>0.77493126696460479</v>
      </c>
      <c r="X74">
        <f t="shared" si="44"/>
        <v>0.7261987796150815</v>
      </c>
      <c r="Y74">
        <f t="shared" si="45"/>
        <v>0.7459876076841423</v>
      </c>
      <c r="Z74">
        <f t="shared" si="46"/>
        <v>0.71703766896707155</v>
      </c>
    </row>
    <row r="75" spans="1:26" x14ac:dyDescent="0.25">
      <c r="A75" s="12" t="s">
        <v>85</v>
      </c>
      <c r="B75" s="4">
        <v>3108</v>
      </c>
      <c r="C75" s="4">
        <v>2040</v>
      </c>
      <c r="D75" s="4">
        <v>1641</v>
      </c>
      <c r="E75" s="4">
        <v>2193</v>
      </c>
      <c r="F75" s="13">
        <v>1087</v>
      </c>
      <c r="G75">
        <f t="shared" si="27"/>
        <v>34978940</v>
      </c>
      <c r="H75">
        <f t="shared" si="28"/>
        <v>46309122</v>
      </c>
      <c r="I75">
        <f t="shared" si="29"/>
        <v>58148475</v>
      </c>
      <c r="J75">
        <f t="shared" si="30"/>
        <v>53657409</v>
      </c>
      <c r="K75">
        <f t="shared" si="31"/>
        <v>53813484</v>
      </c>
      <c r="L75">
        <f t="shared" si="32"/>
        <v>8.8853464398864007E-5</v>
      </c>
      <c r="M75">
        <f t="shared" si="33"/>
        <v>4.4051796101856565E-5</v>
      </c>
      <c r="N75">
        <f t="shared" si="34"/>
        <v>2.8220860478284255E-5</v>
      </c>
      <c r="O75">
        <f t="shared" si="35"/>
        <v>4.0870404308937092E-5</v>
      </c>
      <c r="P75">
        <f t="shared" si="36"/>
        <v>2.0199398351535834E-5</v>
      </c>
      <c r="Q75">
        <f t="shared" si="37"/>
        <v>1.0952513881213626</v>
      </c>
      <c r="R75">
        <f t="shared" si="38"/>
        <v>0.68277489840646899</v>
      </c>
      <c r="S75">
        <f t="shared" si="39"/>
        <v>0.63309154276293467</v>
      </c>
      <c r="T75">
        <f t="shared" si="40"/>
        <v>0.73857195036706225</v>
      </c>
      <c r="U75">
        <f t="shared" si="41"/>
        <v>0.31814826680338854</v>
      </c>
      <c r="V75">
        <f t="shared" si="42"/>
        <v>4.546060136810913E-2</v>
      </c>
      <c r="W75">
        <f t="shared" si="43"/>
        <v>-0.1885130933994395</v>
      </c>
      <c r="X75">
        <f t="shared" si="44"/>
        <v>-0.22467109015598341</v>
      </c>
      <c r="Y75">
        <f t="shared" si="45"/>
        <v>-0.15036941644994492</v>
      </c>
      <c r="Z75">
        <f t="shared" si="46"/>
        <v>-0.5172799982889289</v>
      </c>
    </row>
    <row r="76" spans="1:26" ht="23.25" x14ac:dyDescent="0.25">
      <c r="A76" s="11" t="s">
        <v>84</v>
      </c>
      <c r="B76" s="7">
        <v>674</v>
      </c>
      <c r="C76" s="7">
        <v>1328</v>
      </c>
      <c r="D76" s="7">
        <v>698</v>
      </c>
      <c r="E76" s="7">
        <v>497</v>
      </c>
      <c r="F76" s="7">
        <v>1008</v>
      </c>
      <c r="G76">
        <f t="shared" si="27"/>
        <v>4996010</v>
      </c>
      <c r="H76">
        <f t="shared" si="28"/>
        <v>5385161</v>
      </c>
      <c r="I76">
        <f t="shared" si="29"/>
        <v>5183675</v>
      </c>
      <c r="J76">
        <f t="shared" si="30"/>
        <v>4416027</v>
      </c>
      <c r="K76">
        <f t="shared" si="31"/>
        <v>3461997</v>
      </c>
      <c r="L76">
        <f t="shared" si="32"/>
        <v>1.3490765630973516E-4</v>
      </c>
      <c r="M76">
        <f t="shared" si="33"/>
        <v>2.4660358343975232E-4</v>
      </c>
      <c r="N76">
        <f t="shared" si="34"/>
        <v>1.3465350354719384E-4</v>
      </c>
      <c r="O76">
        <f t="shared" si="35"/>
        <v>1.1254460174269767E-4</v>
      </c>
      <c r="P76">
        <f t="shared" si="36"/>
        <v>2.9116143081579793E-4</v>
      </c>
      <c r="Q76">
        <f t="shared" si="37"/>
        <v>1.6629379489149803</v>
      </c>
      <c r="R76">
        <f t="shared" si="38"/>
        <v>3.8221991276004279</v>
      </c>
      <c r="S76">
        <f t="shared" si="39"/>
        <v>3.0207439764186121</v>
      </c>
      <c r="T76">
        <f t="shared" si="40"/>
        <v>2.0338014124859596</v>
      </c>
      <c r="U76">
        <f t="shared" si="41"/>
        <v>4.5859041423873714</v>
      </c>
      <c r="V76">
        <f t="shared" si="42"/>
        <v>0.24894982971161447</v>
      </c>
      <c r="W76">
        <f t="shared" si="43"/>
        <v>0.5852514699045166</v>
      </c>
      <c r="X76">
        <f t="shared" si="44"/>
        <v>0.50257961916255722</v>
      </c>
      <c r="Y76">
        <f t="shared" si="45"/>
        <v>0.34076106901105346</v>
      </c>
      <c r="Z76">
        <f t="shared" si="46"/>
        <v>0.6419559038216478</v>
      </c>
    </row>
    <row r="77" spans="1:26" ht="23.25" x14ac:dyDescent="0.25">
      <c r="A77" s="12" t="s">
        <v>56</v>
      </c>
      <c r="B77" s="4">
        <v>879</v>
      </c>
      <c r="C77" s="4">
        <v>1399</v>
      </c>
      <c r="D77" s="4">
        <v>84</v>
      </c>
      <c r="E77" s="4">
        <v>228</v>
      </c>
      <c r="F77" s="13">
        <v>949</v>
      </c>
      <c r="G77">
        <f t="shared" si="27"/>
        <v>18537603</v>
      </c>
      <c r="H77">
        <f t="shared" si="28"/>
        <v>26942694</v>
      </c>
      <c r="I77">
        <f t="shared" si="29"/>
        <v>29990014</v>
      </c>
      <c r="J77">
        <f t="shared" si="30"/>
        <v>31356398</v>
      </c>
      <c r="K77">
        <f t="shared" si="31"/>
        <v>32702358</v>
      </c>
      <c r="L77">
        <f t="shared" si="32"/>
        <v>4.7417133703855886E-5</v>
      </c>
      <c r="M77">
        <f t="shared" si="33"/>
        <v>5.1925022790965148E-5</v>
      </c>
      <c r="N77">
        <f t="shared" si="34"/>
        <v>2.8009323370105795E-6</v>
      </c>
      <c r="O77">
        <f t="shared" si="35"/>
        <v>7.2712433360489937E-6</v>
      </c>
      <c r="P77">
        <f t="shared" si="36"/>
        <v>2.9019314142423613E-5</v>
      </c>
      <c r="Q77">
        <f t="shared" si="37"/>
        <v>0.58448684990777222</v>
      </c>
      <c r="R77">
        <f t="shared" si="38"/>
        <v>0.80480491825759282</v>
      </c>
      <c r="S77">
        <f t="shared" si="39"/>
        <v>6.2834603352265608E-2</v>
      </c>
      <c r="T77">
        <f t="shared" si="40"/>
        <v>0.1313991496561947</v>
      </c>
      <c r="U77">
        <f t="shared" si="41"/>
        <v>0.45706532133087802</v>
      </c>
      <c r="V77">
        <f t="shared" si="42"/>
        <v>-0.26223830769969053</v>
      </c>
      <c r="W77">
        <f t="shared" si="43"/>
        <v>-0.10815300854280348</v>
      </c>
      <c r="X77">
        <f t="shared" si="44"/>
        <v>-0.88176033570213053</v>
      </c>
      <c r="Y77">
        <f t="shared" si="45"/>
        <v>-0.76772273570097038</v>
      </c>
      <c r="Z77">
        <f t="shared" si="46"/>
        <v>-0.37262205799614223</v>
      </c>
    </row>
    <row r="78" spans="1:26" x14ac:dyDescent="0.25">
      <c r="A78" s="11" t="s">
        <v>172</v>
      </c>
      <c r="B78" s="5">
        <v>462</v>
      </c>
      <c r="C78" s="5">
        <v>8</v>
      </c>
      <c r="D78" s="5">
        <v>3</v>
      </c>
      <c r="E78" s="5">
        <v>570</v>
      </c>
      <c r="F78" s="7">
        <v>872</v>
      </c>
      <c r="G78">
        <f t="shared" si="27"/>
        <v>5410943</v>
      </c>
      <c r="H78">
        <f t="shared" si="28"/>
        <v>7734905</v>
      </c>
      <c r="I78">
        <f t="shared" si="29"/>
        <v>8407345</v>
      </c>
      <c r="J78">
        <f t="shared" si="30"/>
        <v>8668928</v>
      </c>
      <c r="K78">
        <f t="shared" si="31"/>
        <v>8791972</v>
      </c>
      <c r="L78">
        <f t="shared" si="32"/>
        <v>8.5382529440801723E-5</v>
      </c>
      <c r="M78">
        <f t="shared" si="33"/>
        <v>1.0342725605550425E-6</v>
      </c>
      <c r="N78">
        <f t="shared" si="34"/>
        <v>3.5683084255493261E-7</v>
      </c>
      <c r="O78">
        <f t="shared" si="35"/>
        <v>6.5752074535628852E-5</v>
      </c>
      <c r="P78">
        <f t="shared" si="36"/>
        <v>9.9181389567664678E-5</v>
      </c>
      <c r="Q78">
        <f t="shared" si="37"/>
        <v>1.0524669412051286</v>
      </c>
      <c r="R78">
        <f t="shared" si="38"/>
        <v>1.6030568670225138E-2</v>
      </c>
      <c r="S78">
        <f t="shared" si="39"/>
        <v>8.0049504086643127E-3</v>
      </c>
      <c r="T78">
        <f t="shared" si="40"/>
        <v>1.1882103627695386</v>
      </c>
      <c r="U78">
        <f t="shared" si="41"/>
        <v>1.5621449035735762</v>
      </c>
      <c r="V78">
        <f t="shared" si="42"/>
        <v>2.5562867860040698E-2</v>
      </c>
      <c r="W78">
        <f t="shared" si="43"/>
        <v>-0.96844471187278192</v>
      </c>
      <c r="X78">
        <f t="shared" si="44"/>
        <v>-0.9841172398897069</v>
      </c>
      <c r="Y78">
        <f t="shared" si="45"/>
        <v>8.601109197350093E-2</v>
      </c>
      <c r="Z78">
        <f t="shared" si="46"/>
        <v>0.21940402464728642</v>
      </c>
    </row>
    <row r="79" spans="1:26" x14ac:dyDescent="0.25">
      <c r="A79" s="12" t="s">
        <v>28</v>
      </c>
      <c r="B79" s="4">
        <v>1002</v>
      </c>
      <c r="C79" s="4">
        <v>1128</v>
      </c>
      <c r="D79" s="4">
        <v>484</v>
      </c>
      <c r="E79" s="4">
        <v>180</v>
      </c>
      <c r="F79" s="6">
        <v>855</v>
      </c>
      <c r="G79">
        <f t="shared" si="27"/>
        <v>382979896</v>
      </c>
      <c r="H79">
        <f t="shared" si="28"/>
        <v>505715616</v>
      </c>
      <c r="I79">
        <f t="shared" si="29"/>
        <v>604614616</v>
      </c>
      <c r="J79">
        <f t="shared" si="30"/>
        <v>598475395</v>
      </c>
      <c r="K79">
        <f t="shared" si="31"/>
        <v>571784647</v>
      </c>
      <c r="L79">
        <f t="shared" si="32"/>
        <v>2.616325322726601E-6</v>
      </c>
      <c r="M79">
        <f t="shared" si="33"/>
        <v>2.2305026072202602E-6</v>
      </c>
      <c r="N79">
        <f t="shared" si="34"/>
        <v>8.0050992349811138E-7</v>
      </c>
      <c r="O79">
        <f t="shared" si="35"/>
        <v>3.0076424445152001E-7</v>
      </c>
      <c r="P79">
        <f t="shared" si="36"/>
        <v>1.4953182189937324E-6</v>
      </c>
      <c r="Q79">
        <f t="shared" si="37"/>
        <v>3.2250109333159749E-2</v>
      </c>
      <c r="R79">
        <f t="shared" si="38"/>
        <v>3.4571375648767097E-2</v>
      </c>
      <c r="S79">
        <f t="shared" si="39"/>
        <v>1.7958207293304679E-2</v>
      </c>
      <c r="T79">
        <f t="shared" si="40"/>
        <v>5.4351318119126302E-3</v>
      </c>
      <c r="U79">
        <f t="shared" si="41"/>
        <v>2.3551835129595036E-2</v>
      </c>
      <c r="V79">
        <f t="shared" si="42"/>
        <v>-0.93751493162060595</v>
      </c>
      <c r="W79">
        <f t="shared" si="43"/>
        <v>-0.93316773214010906</v>
      </c>
      <c r="X79">
        <f t="shared" si="44"/>
        <v>-0.96471720122763283</v>
      </c>
      <c r="Y79">
        <f t="shared" si="45"/>
        <v>-0.98918849831292877</v>
      </c>
      <c r="Z79">
        <f t="shared" si="46"/>
        <v>-0.95398018093218873</v>
      </c>
    </row>
    <row r="80" spans="1:26" x14ac:dyDescent="0.25">
      <c r="A80" s="11" t="s">
        <v>207</v>
      </c>
      <c r="B80" s="5">
        <v>426</v>
      </c>
      <c r="C80" s="5">
        <v>540</v>
      </c>
      <c r="D80" s="5">
        <v>955</v>
      </c>
      <c r="E80" s="5">
        <v>619</v>
      </c>
      <c r="F80" s="14">
        <v>823</v>
      </c>
      <c r="G80">
        <f t="shared" si="27"/>
        <v>909131</v>
      </c>
      <c r="H80">
        <f t="shared" si="28"/>
        <v>981086</v>
      </c>
      <c r="I80">
        <f t="shared" si="29"/>
        <v>1203662</v>
      </c>
      <c r="J80">
        <f t="shared" si="30"/>
        <v>1182293</v>
      </c>
      <c r="K80">
        <f t="shared" si="31"/>
        <v>1267502</v>
      </c>
      <c r="L80">
        <f t="shared" si="32"/>
        <v>4.6857933565129777E-4</v>
      </c>
      <c r="M80">
        <f t="shared" si="33"/>
        <v>5.5041046350676702E-4</v>
      </c>
      <c r="N80">
        <f t="shared" si="34"/>
        <v>7.9341210406243614E-4</v>
      </c>
      <c r="O80">
        <f t="shared" si="35"/>
        <v>5.2355888092038094E-4</v>
      </c>
      <c r="P80">
        <f t="shared" si="36"/>
        <v>6.4930864014415754E-4</v>
      </c>
      <c r="Q80">
        <f t="shared" si="37"/>
        <v>5.7759387468929262</v>
      </c>
      <c r="R80">
        <f t="shared" si="38"/>
        <v>8.5310130700176376</v>
      </c>
      <c r="S80">
        <f t="shared" si="39"/>
        <v>17.798978645395728</v>
      </c>
      <c r="T80">
        <f t="shared" si="40"/>
        <v>9.4612693549695575</v>
      </c>
      <c r="U80">
        <f t="shared" si="41"/>
        <v>10.226859973115094</v>
      </c>
      <c r="V80">
        <f t="shared" si="42"/>
        <v>0.70483794575075076</v>
      </c>
      <c r="W80">
        <f t="shared" si="43"/>
        <v>0.79015871814387317</v>
      </c>
      <c r="X80">
        <f t="shared" si="44"/>
        <v>0.89361124145487325</v>
      </c>
      <c r="Y80">
        <f t="shared" si="45"/>
        <v>0.80881861157222634</v>
      </c>
      <c r="Z80">
        <f t="shared" si="46"/>
        <v>0.82185579896877758</v>
      </c>
    </row>
    <row r="81" spans="1:26" x14ac:dyDescent="0.25">
      <c r="A81" s="12" t="s">
        <v>66</v>
      </c>
      <c r="B81" s="4">
        <v>1056</v>
      </c>
      <c r="C81" s="4">
        <v>1143</v>
      </c>
      <c r="D81" s="4">
        <v>869</v>
      </c>
      <c r="E81" s="4">
        <v>637</v>
      </c>
      <c r="F81" s="13">
        <v>813</v>
      </c>
      <c r="G81">
        <f t="shared" si="27"/>
        <v>17315082</v>
      </c>
      <c r="H81">
        <f t="shared" si="28"/>
        <v>23085528</v>
      </c>
      <c r="I81">
        <f t="shared" si="29"/>
        <v>27901013</v>
      </c>
      <c r="J81">
        <f t="shared" si="30"/>
        <v>25307970</v>
      </c>
      <c r="K81">
        <f t="shared" si="31"/>
        <v>23466752</v>
      </c>
      <c r="L81">
        <f t="shared" si="32"/>
        <v>6.0987294198202465E-5</v>
      </c>
      <c r="M81">
        <f t="shared" si="33"/>
        <v>4.9511538137659231E-5</v>
      </c>
      <c r="N81">
        <f t="shared" si="34"/>
        <v>3.1145822554901498E-5</v>
      </c>
      <c r="O81">
        <f t="shared" si="35"/>
        <v>2.5169936585194307E-5</v>
      </c>
      <c r="P81">
        <f t="shared" si="36"/>
        <v>3.4644760382689521E-5</v>
      </c>
      <c r="Q81">
        <f t="shared" si="37"/>
        <v>0.75175930483135067</v>
      </c>
      <c r="R81">
        <f t="shared" si="38"/>
        <v>0.76739743695634632</v>
      </c>
      <c r="S81">
        <f t="shared" si="39"/>
        <v>0.69870856230894063</v>
      </c>
      <c r="T81">
        <f t="shared" si="40"/>
        <v>0.45484769403852504</v>
      </c>
      <c r="U81">
        <f t="shared" si="41"/>
        <v>0.54566825594254964</v>
      </c>
      <c r="V81">
        <f t="shared" si="42"/>
        <v>-0.1417093629724139</v>
      </c>
      <c r="W81">
        <f t="shared" si="43"/>
        <v>-0.13160738958873958</v>
      </c>
      <c r="X81">
        <f t="shared" si="44"/>
        <v>-0.17736499619542398</v>
      </c>
      <c r="Y81">
        <f t="shared" si="45"/>
        <v>-0.37471434858461478</v>
      </c>
      <c r="Z81">
        <f t="shared" si="46"/>
        <v>-0.29393871699875113</v>
      </c>
    </row>
    <row r="82" spans="1:26" x14ac:dyDescent="0.25">
      <c r="A82" s="11" t="s">
        <v>155</v>
      </c>
      <c r="B82" s="5">
        <v>853</v>
      </c>
      <c r="C82" s="5">
        <v>757</v>
      </c>
      <c r="D82" s="5">
        <v>821</v>
      </c>
      <c r="E82" s="5">
        <v>733</v>
      </c>
      <c r="F82" s="14">
        <v>783</v>
      </c>
      <c r="G82">
        <f t="shared" si="27"/>
        <v>10732039</v>
      </c>
      <c r="H82">
        <f t="shared" si="28"/>
        <v>11705787</v>
      </c>
      <c r="I82">
        <f t="shared" si="29"/>
        <v>14539859</v>
      </c>
      <c r="J82">
        <f t="shared" si="30"/>
        <v>17285345</v>
      </c>
      <c r="K82">
        <f t="shared" si="31"/>
        <v>21058044</v>
      </c>
      <c r="L82">
        <f t="shared" si="32"/>
        <v>7.948163438466819E-5</v>
      </c>
      <c r="M82">
        <f t="shared" si="33"/>
        <v>6.4668868483597048E-5</v>
      </c>
      <c r="N82">
        <f t="shared" si="34"/>
        <v>5.6465471914136169E-5</v>
      </c>
      <c r="O82">
        <f t="shared" si="35"/>
        <v>4.2405864621157404E-5</v>
      </c>
      <c r="P82">
        <f t="shared" si="36"/>
        <v>3.718294063779143E-5</v>
      </c>
      <c r="Q82">
        <f t="shared" si="37"/>
        <v>0.979729614133936</v>
      </c>
      <c r="R82">
        <f t="shared" si="38"/>
        <v>1.0023264433272085</v>
      </c>
      <c r="S82">
        <f t="shared" si="39"/>
        <v>1.2667159016807905</v>
      </c>
      <c r="T82">
        <f t="shared" si="40"/>
        <v>0.76631936164627468</v>
      </c>
      <c r="U82">
        <f t="shared" si="41"/>
        <v>0.58564556788728173</v>
      </c>
      <c r="V82">
        <f t="shared" si="42"/>
        <v>-1.0238966837363597E-2</v>
      </c>
      <c r="W82">
        <f t="shared" si="43"/>
        <v>1.1618701510742499E-3</v>
      </c>
      <c r="X82">
        <f t="shared" si="44"/>
        <v>0.11766622428643053</v>
      </c>
      <c r="Y82">
        <f t="shared" si="45"/>
        <v>-0.1322980676246035</v>
      </c>
      <c r="Z82">
        <f t="shared" si="46"/>
        <v>-0.26131592110133744</v>
      </c>
    </row>
    <row r="83" spans="1:26" x14ac:dyDescent="0.25">
      <c r="A83" s="12" t="s">
        <v>68</v>
      </c>
      <c r="B83" s="4">
        <v>586</v>
      </c>
      <c r="C83" s="4">
        <v>671</v>
      </c>
      <c r="D83" s="4">
        <v>411</v>
      </c>
      <c r="E83" s="4">
        <v>505</v>
      </c>
      <c r="F83" s="13">
        <v>739</v>
      </c>
      <c r="G83">
        <f t="shared" si="27"/>
        <v>15415397</v>
      </c>
      <c r="H83">
        <f t="shared" si="28"/>
        <v>19288258</v>
      </c>
      <c r="I83">
        <f t="shared" si="29"/>
        <v>21127751</v>
      </c>
      <c r="J83">
        <f t="shared" si="30"/>
        <v>18705398</v>
      </c>
      <c r="K83">
        <f t="shared" si="31"/>
        <v>20203122</v>
      </c>
      <c r="L83">
        <f t="shared" si="32"/>
        <v>3.8013941515745586E-5</v>
      </c>
      <c r="M83">
        <f t="shared" si="33"/>
        <v>3.4788004183685224E-5</v>
      </c>
      <c r="N83">
        <f t="shared" si="34"/>
        <v>1.9453088026264603E-5</v>
      </c>
      <c r="O83">
        <f t="shared" si="35"/>
        <v>2.6997554395795269E-5</v>
      </c>
      <c r="P83">
        <f t="shared" si="36"/>
        <v>3.6578505044913355E-5</v>
      </c>
      <c r="Q83">
        <f t="shared" si="37"/>
        <v>0.46857849038035876</v>
      </c>
      <c r="R83">
        <f t="shared" si="38"/>
        <v>0.53919199951255681</v>
      </c>
      <c r="S83">
        <f t="shared" si="39"/>
        <v>0.4364000707748717</v>
      </c>
      <c r="T83">
        <f t="shared" si="40"/>
        <v>0.4878747040161574</v>
      </c>
      <c r="U83">
        <f t="shared" si="41"/>
        <v>0.5761254756091958</v>
      </c>
      <c r="V83">
        <f t="shared" si="42"/>
        <v>-0.36186115560088605</v>
      </c>
      <c r="W83">
        <f t="shared" si="43"/>
        <v>-0.29938305333796916</v>
      </c>
      <c r="X83">
        <f t="shared" si="44"/>
        <v>-0.39236974481704961</v>
      </c>
      <c r="Y83">
        <f t="shared" si="45"/>
        <v>-0.34419920884566713</v>
      </c>
      <c r="Z83">
        <f t="shared" si="46"/>
        <v>-0.26893450486673365</v>
      </c>
    </row>
    <row r="84" spans="1:26" x14ac:dyDescent="0.25">
      <c r="A84" s="11" t="s">
        <v>86</v>
      </c>
      <c r="B84" s="5"/>
      <c r="C84" s="5">
        <v>83</v>
      </c>
      <c r="D84" s="5">
        <v>267</v>
      </c>
      <c r="E84" s="5">
        <v>116</v>
      </c>
      <c r="F84" s="7">
        <v>702</v>
      </c>
      <c r="G84">
        <f t="shared" si="27"/>
        <v>0</v>
      </c>
      <c r="H84">
        <f t="shared" si="28"/>
        <v>17848192</v>
      </c>
      <c r="I84">
        <f t="shared" si="29"/>
        <v>17962660</v>
      </c>
      <c r="J84">
        <f t="shared" si="30"/>
        <v>16394368</v>
      </c>
      <c r="K84">
        <f t="shared" si="31"/>
        <v>19984601</v>
      </c>
      <c r="L84" t="e">
        <f t="shared" si="32"/>
        <v>#DIV/0!</v>
      </c>
      <c r="M84">
        <f t="shared" si="33"/>
        <v>4.6503309690975979E-6</v>
      </c>
      <c r="N84">
        <f t="shared" si="34"/>
        <v>1.4864168224527994E-5</v>
      </c>
      <c r="O84">
        <f t="shared" si="35"/>
        <v>7.0756005964975291E-6</v>
      </c>
      <c r="P84">
        <f t="shared" si="36"/>
        <v>3.5127046069120921E-5</v>
      </c>
      <c r="Q84" t="e">
        <f t="shared" si="37"/>
        <v>#DIV/0!</v>
      </c>
      <c r="R84">
        <f t="shared" si="38"/>
        <v>7.2077180409183206E-2</v>
      </c>
      <c r="S84">
        <f t="shared" si="39"/>
        <v>0.33345472227522743</v>
      </c>
      <c r="T84">
        <f t="shared" si="40"/>
        <v>0.12786367595171549</v>
      </c>
      <c r="U84">
        <f t="shared" si="41"/>
        <v>0.55326444037200151</v>
      </c>
      <c r="V84" t="e">
        <f t="shared" si="42"/>
        <v>#DIV/0!</v>
      </c>
      <c r="W84">
        <f t="shared" si="43"/>
        <v>-0.8655373293522145</v>
      </c>
      <c r="X84">
        <f t="shared" si="44"/>
        <v>-0.49986344987212583</v>
      </c>
      <c r="Y84">
        <f t="shared" si="45"/>
        <v>-0.77326395258926761</v>
      </c>
      <c r="Z84">
        <f t="shared" si="46"/>
        <v>-0.28761075578412576</v>
      </c>
    </row>
    <row r="85" spans="1:26" ht="23.25" x14ac:dyDescent="0.25">
      <c r="A85" s="12" t="s">
        <v>94</v>
      </c>
      <c r="B85" s="4">
        <v>432</v>
      </c>
      <c r="C85" s="4">
        <v>392</v>
      </c>
      <c r="D85" s="4">
        <v>522</v>
      </c>
      <c r="E85" s="4">
        <v>396</v>
      </c>
      <c r="F85" s="13">
        <v>661</v>
      </c>
      <c r="G85">
        <f t="shared" si="27"/>
        <v>4864446</v>
      </c>
      <c r="H85">
        <f t="shared" si="28"/>
        <v>5734482</v>
      </c>
      <c r="I85">
        <f t="shared" si="29"/>
        <v>6202467</v>
      </c>
      <c r="J85">
        <f t="shared" si="30"/>
        <v>9112531</v>
      </c>
      <c r="K85">
        <f t="shared" si="31"/>
        <v>7669566</v>
      </c>
      <c r="L85">
        <f t="shared" si="32"/>
        <v>8.8807646338349736E-5</v>
      </c>
      <c r="M85">
        <f t="shared" si="33"/>
        <v>6.8358397497803633E-5</v>
      </c>
      <c r="N85">
        <f t="shared" si="34"/>
        <v>8.4160060827409482E-5</v>
      </c>
      <c r="O85">
        <f t="shared" si="35"/>
        <v>4.3456642287417186E-5</v>
      </c>
      <c r="P85">
        <f t="shared" si="36"/>
        <v>8.6184798461868631E-5</v>
      </c>
      <c r="Q85">
        <f t="shared" si="37"/>
        <v>1.0946866122319947</v>
      </c>
      <c r="R85">
        <f t="shared" si="38"/>
        <v>1.0595118028530248</v>
      </c>
      <c r="S85">
        <f t="shared" si="39"/>
        <v>1.8880013523771342</v>
      </c>
      <c r="T85">
        <f t="shared" si="40"/>
        <v>0.78530803874634281</v>
      </c>
      <c r="U85">
        <f t="shared" si="41"/>
        <v>1.3574436118468867</v>
      </c>
      <c r="V85">
        <f t="shared" si="42"/>
        <v>4.5203235500274344E-2</v>
      </c>
      <c r="W85">
        <f t="shared" si="43"/>
        <v>2.8896072734608081E-2</v>
      </c>
      <c r="X85">
        <f t="shared" si="44"/>
        <v>0.30747954866649008</v>
      </c>
      <c r="Y85">
        <f t="shared" si="45"/>
        <v>-0.12025485607761872</v>
      </c>
      <c r="Z85">
        <f t="shared" si="46"/>
        <v>0.1516233983500693</v>
      </c>
    </row>
    <row r="86" spans="1:26" x14ac:dyDescent="0.25">
      <c r="A86" s="11" t="s">
        <v>106</v>
      </c>
      <c r="B86" s="5">
        <v>716</v>
      </c>
      <c r="C86" s="5">
        <v>742</v>
      </c>
      <c r="D86" s="5">
        <v>490</v>
      </c>
      <c r="E86" s="5">
        <v>360</v>
      </c>
      <c r="F86" s="14">
        <v>642</v>
      </c>
      <c r="G86">
        <f t="shared" si="27"/>
        <v>61395860</v>
      </c>
      <c r="H86">
        <f t="shared" si="28"/>
        <v>95168654</v>
      </c>
      <c r="I86">
        <f t="shared" si="29"/>
        <v>109265861</v>
      </c>
      <c r="J86">
        <f t="shared" si="30"/>
        <v>80492407</v>
      </c>
      <c r="K86">
        <f t="shared" si="31"/>
        <v>79688269</v>
      </c>
      <c r="L86">
        <f t="shared" si="32"/>
        <v>1.1662024116935572E-5</v>
      </c>
      <c r="M86">
        <f t="shared" si="33"/>
        <v>7.7966848201930014E-6</v>
      </c>
      <c r="N86">
        <f t="shared" si="34"/>
        <v>4.4844747985832468E-6</v>
      </c>
      <c r="O86">
        <f t="shared" si="35"/>
        <v>4.4724715462913165E-6</v>
      </c>
      <c r="P86">
        <f t="shared" si="36"/>
        <v>8.0563928424646795E-6</v>
      </c>
      <c r="Q86">
        <f t="shared" si="37"/>
        <v>0.14375182992349136</v>
      </c>
      <c r="R86">
        <f t="shared" si="38"/>
        <v>0.12084366943190726</v>
      </c>
      <c r="S86">
        <f t="shared" si="39"/>
        <v>0.10060228570639163</v>
      </c>
      <c r="T86">
        <f t="shared" si="40"/>
        <v>8.0822347827453511E-2</v>
      </c>
      <c r="U86">
        <f t="shared" si="41"/>
        <v>0.12689127541872941</v>
      </c>
      <c r="V86">
        <f t="shared" si="42"/>
        <v>-0.74863108208866025</v>
      </c>
      <c r="W86">
        <f t="shared" si="43"/>
        <v>-0.78437016199920884</v>
      </c>
      <c r="X86">
        <f t="shared" si="44"/>
        <v>-0.81718684939524211</v>
      </c>
      <c r="Y86">
        <f t="shared" si="45"/>
        <v>-0.85044286326996588</v>
      </c>
      <c r="Z86">
        <f t="shared" si="46"/>
        <v>-0.77479411157641753</v>
      </c>
    </row>
    <row r="87" spans="1:26" x14ac:dyDescent="0.25">
      <c r="A87" s="12" t="s">
        <v>168</v>
      </c>
      <c r="B87" s="4">
        <v>497</v>
      </c>
      <c r="C87" s="4">
        <v>514</v>
      </c>
      <c r="D87" s="4">
        <v>373</v>
      </c>
      <c r="E87" s="4">
        <v>686</v>
      </c>
      <c r="F87" s="13">
        <v>635</v>
      </c>
      <c r="G87">
        <f t="shared" si="27"/>
        <v>8739614</v>
      </c>
      <c r="H87">
        <f t="shared" si="28"/>
        <v>10412605</v>
      </c>
      <c r="I87">
        <f t="shared" si="29"/>
        <v>12244599</v>
      </c>
      <c r="J87">
        <f t="shared" si="30"/>
        <v>14136161</v>
      </c>
      <c r="K87">
        <f t="shared" si="31"/>
        <v>13324465</v>
      </c>
      <c r="L87">
        <f t="shared" si="32"/>
        <v>5.6867500097830405E-5</v>
      </c>
      <c r="M87">
        <f t="shared" si="33"/>
        <v>4.9363247717550026E-5</v>
      </c>
      <c r="N87">
        <f t="shared" si="34"/>
        <v>3.0462410406416741E-5</v>
      </c>
      <c r="O87">
        <f t="shared" si="35"/>
        <v>4.8528026810107777E-5</v>
      </c>
      <c r="P87">
        <f t="shared" si="36"/>
        <v>4.7656697661031796E-5</v>
      </c>
      <c r="Q87">
        <f t="shared" si="37"/>
        <v>0.70097670183737681</v>
      </c>
      <c r="R87">
        <f t="shared" si="38"/>
        <v>0.76509902950229824</v>
      </c>
      <c r="S87">
        <f t="shared" si="39"/>
        <v>0.68337726325942805</v>
      </c>
      <c r="T87">
        <f t="shared" si="40"/>
        <v>0.87695338508723719</v>
      </c>
      <c r="U87">
        <f t="shared" si="41"/>
        <v>0.75061125576928633</v>
      </c>
      <c r="V87">
        <f t="shared" si="42"/>
        <v>-0.17579505812138485</v>
      </c>
      <c r="W87">
        <f t="shared" si="43"/>
        <v>-0.13308090173497877</v>
      </c>
      <c r="X87">
        <f t="shared" si="44"/>
        <v>-0.18808780637057748</v>
      </c>
      <c r="Y87">
        <f t="shared" si="45"/>
        <v>-6.5556564105636456E-2</v>
      </c>
      <c r="Z87">
        <f t="shared" si="46"/>
        <v>-0.14245809479907781</v>
      </c>
    </row>
    <row r="88" spans="1:26" x14ac:dyDescent="0.25">
      <c r="A88" s="11" t="s">
        <v>78</v>
      </c>
      <c r="B88" s="5">
        <v>563</v>
      </c>
      <c r="C88" s="5">
        <v>477</v>
      </c>
      <c r="D88" s="5">
        <v>357</v>
      </c>
      <c r="E88" s="5">
        <v>599</v>
      </c>
      <c r="F88" s="14">
        <v>605</v>
      </c>
      <c r="G88">
        <f t="shared" si="27"/>
        <v>21118675</v>
      </c>
      <c r="H88">
        <f t="shared" si="28"/>
        <v>26211169</v>
      </c>
      <c r="I88">
        <f t="shared" si="29"/>
        <v>27042857</v>
      </c>
      <c r="J88">
        <f t="shared" si="30"/>
        <v>26308584</v>
      </c>
      <c r="K88">
        <f t="shared" si="31"/>
        <v>25101182</v>
      </c>
      <c r="L88">
        <f t="shared" si="32"/>
        <v>2.6658869460323625E-5</v>
      </c>
      <c r="M88">
        <f t="shared" si="33"/>
        <v>1.8198348955744781E-5</v>
      </c>
      <c r="N88">
        <f t="shared" si="34"/>
        <v>1.3201267898580391E-5</v>
      </c>
      <c r="O88">
        <f t="shared" si="35"/>
        <v>2.2768234124649202E-5</v>
      </c>
      <c r="P88">
        <f t="shared" si="36"/>
        <v>2.4102450633599643E-5</v>
      </c>
      <c r="Q88">
        <f t="shared" si="37"/>
        <v>0.3286103021385281</v>
      </c>
      <c r="R88">
        <f t="shared" si="38"/>
        <v>0.28206286596565006</v>
      </c>
      <c r="S88">
        <f t="shared" si="39"/>
        <v>0.29615011444354022</v>
      </c>
      <c r="T88">
        <f t="shared" si="40"/>
        <v>0.4114463599808072</v>
      </c>
      <c r="U88">
        <f t="shared" si="41"/>
        <v>0.37962283635101052</v>
      </c>
      <c r="V88">
        <f t="shared" si="42"/>
        <v>-0.50533229855346196</v>
      </c>
      <c r="W88">
        <f t="shared" si="43"/>
        <v>-0.55998590482035326</v>
      </c>
      <c r="X88">
        <f t="shared" si="44"/>
        <v>-0.54303114871739588</v>
      </c>
      <c r="Y88">
        <f t="shared" si="45"/>
        <v>-0.41698618998684162</v>
      </c>
      <c r="Z88">
        <f t="shared" si="46"/>
        <v>-0.44967156769442596</v>
      </c>
    </row>
    <row r="89" spans="1:26" x14ac:dyDescent="0.25">
      <c r="A89" s="12" t="s">
        <v>79</v>
      </c>
      <c r="B89" s="4">
        <v>1541</v>
      </c>
      <c r="C89" s="4">
        <v>599</v>
      </c>
      <c r="D89" s="4">
        <v>559</v>
      </c>
      <c r="E89" s="4">
        <v>536</v>
      </c>
      <c r="F89" s="13">
        <v>592</v>
      </c>
      <c r="G89">
        <f t="shared" si="27"/>
        <v>17764140</v>
      </c>
      <c r="H89">
        <f t="shared" si="28"/>
        <v>24203349</v>
      </c>
      <c r="I89">
        <f t="shared" si="29"/>
        <v>27535703</v>
      </c>
      <c r="J89">
        <f t="shared" si="30"/>
        <v>23437466</v>
      </c>
      <c r="K89">
        <f t="shared" si="31"/>
        <v>22671636</v>
      </c>
      <c r="L89">
        <f t="shared" si="32"/>
        <v>8.6747796403315895E-5</v>
      </c>
      <c r="M89">
        <f t="shared" si="33"/>
        <v>2.4748641190109682E-5</v>
      </c>
      <c r="N89">
        <f t="shared" si="34"/>
        <v>2.0300916232282138E-5</v>
      </c>
      <c r="O89">
        <f t="shared" si="35"/>
        <v>2.2869366509161017E-5</v>
      </c>
      <c r="P89">
        <f t="shared" si="36"/>
        <v>2.6111922403835348E-5</v>
      </c>
      <c r="Q89">
        <f t="shared" si="37"/>
        <v>1.0692958914994855</v>
      </c>
      <c r="R89">
        <f t="shared" si="38"/>
        <v>0.383588240879085</v>
      </c>
      <c r="S89">
        <f t="shared" si="39"/>
        <v>0.45541979086308798</v>
      </c>
      <c r="T89">
        <f t="shared" si="40"/>
        <v>0.41327393041318067</v>
      </c>
      <c r="U89">
        <f t="shared" si="41"/>
        <v>0.4112727869963087</v>
      </c>
      <c r="V89">
        <f t="shared" si="42"/>
        <v>3.348766688425172E-2</v>
      </c>
      <c r="W89">
        <f t="shared" si="43"/>
        <v>-0.44551676641113108</v>
      </c>
      <c r="X89">
        <f t="shared" si="44"/>
        <v>-0.37417397547821379</v>
      </c>
      <c r="Y89">
        <f t="shared" si="45"/>
        <v>-0.41515381905847915</v>
      </c>
      <c r="Z89">
        <f t="shared" si="46"/>
        <v>-0.41716046566497794</v>
      </c>
    </row>
    <row r="90" spans="1:26" x14ac:dyDescent="0.25">
      <c r="A90" s="11" t="s">
        <v>104</v>
      </c>
      <c r="B90" s="5">
        <v>277</v>
      </c>
      <c r="C90" s="5">
        <v>364</v>
      </c>
      <c r="D90" s="5">
        <v>316</v>
      </c>
      <c r="E90" s="5">
        <v>476</v>
      </c>
      <c r="F90" s="14">
        <v>586</v>
      </c>
      <c r="G90">
        <f t="shared" si="27"/>
        <v>7667928</v>
      </c>
      <c r="H90">
        <f t="shared" si="28"/>
        <v>10320440</v>
      </c>
      <c r="I90">
        <f t="shared" si="29"/>
        <v>12973465</v>
      </c>
      <c r="J90">
        <f t="shared" si="30"/>
        <v>12486206</v>
      </c>
      <c r="K90">
        <f t="shared" si="31"/>
        <v>12522742</v>
      </c>
      <c r="L90">
        <f t="shared" si="32"/>
        <v>3.612449151843888E-5</v>
      </c>
      <c r="M90">
        <f t="shared" si="33"/>
        <v>3.5269814077694359E-5</v>
      </c>
      <c r="N90">
        <f t="shared" si="34"/>
        <v>2.4357409527832385E-5</v>
      </c>
      <c r="O90">
        <f t="shared" si="35"/>
        <v>3.812206846499249E-5</v>
      </c>
      <c r="P90">
        <f t="shared" si="36"/>
        <v>4.679486329751104E-5</v>
      </c>
      <c r="Q90">
        <f t="shared" si="37"/>
        <v>0.44528820286780418</v>
      </c>
      <c r="R90">
        <f t="shared" si="38"/>
        <v>0.54665974726732891</v>
      </c>
      <c r="S90">
        <f t="shared" si="39"/>
        <v>0.5464209706699038</v>
      </c>
      <c r="T90">
        <f t="shared" si="40"/>
        <v>0.68890658006188021</v>
      </c>
      <c r="U90">
        <f t="shared" si="41"/>
        <v>0.73703703418833111</v>
      </c>
      <c r="V90">
        <f t="shared" si="42"/>
        <v>-0.38380704694849949</v>
      </c>
      <c r="W90">
        <f t="shared" si="43"/>
        <v>-0.29310923332274097</v>
      </c>
      <c r="X90">
        <f t="shared" si="44"/>
        <v>-0.29330889708098529</v>
      </c>
      <c r="Y90">
        <f t="shared" si="45"/>
        <v>-0.18419812179707512</v>
      </c>
      <c r="Z90">
        <f t="shared" si="46"/>
        <v>-0.15138592939358034</v>
      </c>
    </row>
    <row r="91" spans="1:26" ht="23.25" x14ac:dyDescent="0.25">
      <c r="A91" s="12" t="s">
        <v>173</v>
      </c>
      <c r="B91" s="4">
        <v>797</v>
      </c>
      <c r="C91" s="4">
        <v>459</v>
      </c>
      <c r="D91" s="4">
        <v>367</v>
      </c>
      <c r="E91" s="4">
        <v>582</v>
      </c>
      <c r="F91" s="13">
        <v>581</v>
      </c>
      <c r="G91">
        <f t="shared" si="27"/>
        <v>5415991</v>
      </c>
      <c r="H91">
        <f t="shared" si="28"/>
        <v>7176764</v>
      </c>
      <c r="I91">
        <f t="shared" si="29"/>
        <v>9218982</v>
      </c>
      <c r="J91">
        <f t="shared" si="30"/>
        <v>8673672</v>
      </c>
      <c r="K91">
        <f t="shared" si="31"/>
        <v>9065188</v>
      </c>
      <c r="L91">
        <f t="shared" si="32"/>
        <v>1.4715681765350053E-4</v>
      </c>
      <c r="M91">
        <f t="shared" si="33"/>
        <v>6.3956401520239484E-5</v>
      </c>
      <c r="N91">
        <f t="shared" si="34"/>
        <v>3.9809167649963957E-5</v>
      </c>
      <c r="O91">
        <f t="shared" si="35"/>
        <v>6.7099609023721444E-5</v>
      </c>
      <c r="P91">
        <f t="shared" si="36"/>
        <v>6.4091334895646947E-5</v>
      </c>
      <c r="Q91">
        <f t="shared" si="37"/>
        <v>1.8139271203091019</v>
      </c>
      <c r="R91">
        <f t="shared" si="38"/>
        <v>0.99128365729869683</v>
      </c>
      <c r="S91">
        <f t="shared" si="39"/>
        <v>0.89305736736898567</v>
      </c>
      <c r="T91">
        <f t="shared" si="40"/>
        <v>1.2125617532655655</v>
      </c>
      <c r="U91">
        <f t="shared" si="41"/>
        <v>1.00946309188537</v>
      </c>
      <c r="V91">
        <f t="shared" si="42"/>
        <v>0.28924953828217637</v>
      </c>
      <c r="W91">
        <f t="shared" si="43"/>
        <v>-4.3772481481254375E-3</v>
      </c>
      <c r="X91">
        <f t="shared" si="44"/>
        <v>-5.6492018928959158E-2</v>
      </c>
      <c r="Y91">
        <f t="shared" si="45"/>
        <v>9.6070427391163754E-2</v>
      </c>
      <c r="Z91">
        <f t="shared" si="46"/>
        <v>4.7092638444487548E-3</v>
      </c>
    </row>
    <row r="92" spans="1:26" x14ac:dyDescent="0.25">
      <c r="A92" s="11" t="s">
        <v>97</v>
      </c>
      <c r="B92" s="5">
        <v>1380</v>
      </c>
      <c r="C92" s="5">
        <v>658</v>
      </c>
      <c r="D92" s="5">
        <v>495</v>
      </c>
      <c r="E92" s="5">
        <v>382</v>
      </c>
      <c r="F92" s="14">
        <v>570</v>
      </c>
      <c r="G92">
        <f t="shared" si="27"/>
        <v>43488662</v>
      </c>
      <c r="H92">
        <f t="shared" si="28"/>
        <v>61101362</v>
      </c>
      <c r="I92">
        <f t="shared" si="29"/>
        <v>77413351</v>
      </c>
      <c r="J92">
        <f t="shared" si="30"/>
        <v>62796636</v>
      </c>
      <c r="K92">
        <f t="shared" si="31"/>
        <v>64104684</v>
      </c>
      <c r="L92">
        <f t="shared" si="32"/>
        <v>3.173240878277653E-5</v>
      </c>
      <c r="M92">
        <f t="shared" si="33"/>
        <v>1.0768990714151348E-5</v>
      </c>
      <c r="N92">
        <f t="shared" si="34"/>
        <v>6.3942458711030345E-6</v>
      </c>
      <c r="O92">
        <f t="shared" si="35"/>
        <v>6.0831284019736341E-6</v>
      </c>
      <c r="P92">
        <f t="shared" si="36"/>
        <v>8.8917059477276263E-6</v>
      </c>
      <c r="Q92">
        <f t="shared" si="37"/>
        <v>0.39114923658750278</v>
      </c>
      <c r="R92">
        <f t="shared" si="38"/>
        <v>0.16691252551414154</v>
      </c>
      <c r="S92">
        <f t="shared" si="39"/>
        <v>0.14344505853948575</v>
      </c>
      <c r="T92">
        <f t="shared" si="40"/>
        <v>0.1099286411315607</v>
      </c>
      <c r="U92">
        <f t="shared" si="41"/>
        <v>0.14004777701608301</v>
      </c>
      <c r="V92">
        <f t="shared" si="42"/>
        <v>-0.43766027928535667</v>
      </c>
      <c r="W92">
        <f t="shared" si="43"/>
        <v>-0.71392452842067167</v>
      </c>
      <c r="X92">
        <f t="shared" si="44"/>
        <v>-0.74910021698339035</v>
      </c>
      <c r="Y92">
        <f t="shared" si="45"/>
        <v>-0.8019176421657348</v>
      </c>
      <c r="Z92">
        <f t="shared" si="46"/>
        <v>-0.75431244226862371</v>
      </c>
    </row>
    <row r="93" spans="1:26" x14ac:dyDescent="0.25">
      <c r="A93" s="12" t="s">
        <v>143</v>
      </c>
      <c r="B93" s="4">
        <v>275</v>
      </c>
      <c r="C93" s="4">
        <v>509</v>
      </c>
      <c r="D93" s="4">
        <v>396</v>
      </c>
      <c r="E93" s="4">
        <v>308</v>
      </c>
      <c r="F93" s="6">
        <v>569</v>
      </c>
      <c r="G93">
        <f t="shared" si="27"/>
        <v>18412051</v>
      </c>
      <c r="H93">
        <f t="shared" si="28"/>
        <v>21811968</v>
      </c>
      <c r="I93">
        <f t="shared" si="29"/>
        <v>26672667</v>
      </c>
      <c r="J93">
        <f t="shared" si="30"/>
        <v>25930494</v>
      </c>
      <c r="K93">
        <f t="shared" si="31"/>
        <v>20040234</v>
      </c>
      <c r="L93">
        <f t="shared" si="32"/>
        <v>1.4935869990801134E-5</v>
      </c>
      <c r="M93">
        <f t="shared" si="33"/>
        <v>2.3335812706125371E-5</v>
      </c>
      <c r="N93">
        <f t="shared" si="34"/>
        <v>1.4846659316070643E-5</v>
      </c>
      <c r="O93">
        <f t="shared" si="35"/>
        <v>1.1877907146697629E-5</v>
      </c>
      <c r="P93">
        <f t="shared" si="36"/>
        <v>2.8392882039201736E-5</v>
      </c>
      <c r="Q93">
        <f t="shared" si="37"/>
        <v>0.18410686010836388</v>
      </c>
      <c r="R93">
        <f t="shared" si="38"/>
        <v>0.36169029550614934</v>
      </c>
      <c r="S93">
        <f t="shared" si="39"/>
        <v>0.33306193687891084</v>
      </c>
      <c r="T93">
        <f t="shared" si="40"/>
        <v>0.2146464953295561</v>
      </c>
      <c r="U93">
        <f t="shared" si="41"/>
        <v>0.44719877558324744</v>
      </c>
      <c r="V93">
        <f t="shared" si="42"/>
        <v>-0.68903674776191182</v>
      </c>
      <c r="W93">
        <f t="shared" si="43"/>
        <v>-0.46876276242872583</v>
      </c>
      <c r="X93">
        <f t="shared" si="44"/>
        <v>-0.5003053831711578</v>
      </c>
      <c r="Y93">
        <f t="shared" si="45"/>
        <v>-0.64656960497577765</v>
      </c>
      <c r="Z93">
        <f t="shared" si="46"/>
        <v>-0.38198016315620753</v>
      </c>
    </row>
    <row r="94" spans="1:26" ht="23.25" x14ac:dyDescent="0.25">
      <c r="A94" s="11" t="s">
        <v>115</v>
      </c>
      <c r="B94" s="5">
        <v>904</v>
      </c>
      <c r="C94" s="5">
        <v>647</v>
      </c>
      <c r="D94" s="5">
        <v>451</v>
      </c>
      <c r="E94" s="5">
        <v>601</v>
      </c>
      <c r="F94" s="14">
        <v>567</v>
      </c>
      <c r="G94">
        <f t="shared" si="27"/>
        <v>9867992</v>
      </c>
      <c r="H94">
        <f t="shared" si="28"/>
        <v>13030086</v>
      </c>
      <c r="I94">
        <f t="shared" si="29"/>
        <v>15382424</v>
      </c>
      <c r="J94">
        <f t="shared" si="30"/>
        <v>15348896</v>
      </c>
      <c r="K94">
        <f t="shared" si="31"/>
        <v>15853280</v>
      </c>
      <c r="L94">
        <f t="shared" si="32"/>
        <v>9.1609316262112903E-5</v>
      </c>
      <c r="M94">
        <f t="shared" si="33"/>
        <v>4.96543154051324E-5</v>
      </c>
      <c r="N94">
        <f t="shared" si="34"/>
        <v>2.9319176223461271E-5</v>
      </c>
      <c r="O94">
        <f t="shared" si="35"/>
        <v>3.9155910627057477E-5</v>
      </c>
      <c r="P94">
        <f t="shared" si="36"/>
        <v>3.576546935397596E-5</v>
      </c>
      <c r="Q94">
        <f t="shared" si="37"/>
        <v>1.1292213700359766</v>
      </c>
      <c r="R94">
        <f t="shared" si="38"/>
        <v>0.76961039404141829</v>
      </c>
      <c r="S94">
        <f t="shared" si="39"/>
        <v>0.6577305650241444</v>
      </c>
      <c r="T94">
        <f t="shared" si="40"/>
        <v>0.7075892144747008</v>
      </c>
      <c r="U94">
        <f t="shared" si="41"/>
        <v>0.56331985182677446</v>
      </c>
      <c r="V94">
        <f t="shared" si="42"/>
        <v>6.0689495162164923E-2</v>
      </c>
      <c r="W94">
        <f t="shared" si="43"/>
        <v>-0.13019227663577421</v>
      </c>
      <c r="X94">
        <f t="shared" si="44"/>
        <v>-0.2064686760305168</v>
      </c>
      <c r="Y94">
        <f t="shared" si="45"/>
        <v>-0.17124187892885728</v>
      </c>
      <c r="Z94">
        <f t="shared" si="46"/>
        <v>-0.27932872960255378</v>
      </c>
    </row>
    <row r="95" spans="1:26" x14ac:dyDescent="0.25">
      <c r="A95" s="12" t="s">
        <v>127</v>
      </c>
      <c r="B95" s="4">
        <v>220</v>
      </c>
      <c r="C95" s="4">
        <v>188</v>
      </c>
      <c r="D95" s="4">
        <v>270</v>
      </c>
      <c r="E95" s="4">
        <v>377</v>
      </c>
      <c r="F95" s="13">
        <v>542</v>
      </c>
      <c r="G95">
        <f t="shared" si="27"/>
        <v>19955151</v>
      </c>
      <c r="H95">
        <f t="shared" si="28"/>
        <v>23724275</v>
      </c>
      <c r="I95">
        <f t="shared" si="29"/>
        <v>28264000</v>
      </c>
      <c r="J95">
        <f t="shared" si="30"/>
        <v>36660334</v>
      </c>
      <c r="K95">
        <f t="shared" si="31"/>
        <v>55524325</v>
      </c>
      <c r="L95">
        <f t="shared" si="32"/>
        <v>1.1024722388720587E-5</v>
      </c>
      <c r="M95">
        <f t="shared" si="33"/>
        <v>7.9243728206657535E-6</v>
      </c>
      <c r="N95">
        <f t="shared" si="34"/>
        <v>9.5527879988678184E-6</v>
      </c>
      <c r="O95">
        <f t="shared" si="35"/>
        <v>1.0283594252032729E-5</v>
      </c>
      <c r="P95">
        <f t="shared" si="36"/>
        <v>9.7614874201532386E-6</v>
      </c>
      <c r="Q95">
        <f t="shared" si="37"/>
        <v>0.1358961362012269</v>
      </c>
      <c r="R95">
        <f t="shared" si="38"/>
        <v>0.12282275244929265</v>
      </c>
      <c r="S95">
        <f t="shared" si="39"/>
        <v>0.2143020868036325</v>
      </c>
      <c r="T95">
        <f t="shared" si="40"/>
        <v>0.18583555489433937</v>
      </c>
      <c r="U95">
        <f t="shared" si="41"/>
        <v>0.15374716860854934</v>
      </c>
      <c r="V95">
        <f t="shared" si="42"/>
        <v>-0.76072436225427464</v>
      </c>
      <c r="W95">
        <f t="shared" si="43"/>
        <v>-0.7812250380901693</v>
      </c>
      <c r="X95">
        <f t="shared" si="44"/>
        <v>-0.64703661612287455</v>
      </c>
      <c r="Y95">
        <f t="shared" si="45"/>
        <v>-0.68657449318780506</v>
      </c>
      <c r="Z95">
        <f t="shared" si="46"/>
        <v>-0.73348204391439997</v>
      </c>
    </row>
    <row r="96" spans="1:26" x14ac:dyDescent="0.25">
      <c r="A96" s="11" t="s">
        <v>150</v>
      </c>
      <c r="B96" s="5">
        <v>146</v>
      </c>
      <c r="C96" s="5">
        <v>47</v>
      </c>
      <c r="D96" s="5">
        <v>138</v>
      </c>
      <c r="E96" s="5">
        <v>332</v>
      </c>
      <c r="F96" s="7">
        <v>524</v>
      </c>
      <c r="G96">
        <f t="shared" si="27"/>
        <v>5339900</v>
      </c>
      <c r="H96">
        <f t="shared" si="28"/>
        <v>5765412</v>
      </c>
      <c r="I96">
        <f t="shared" si="29"/>
        <v>6453532</v>
      </c>
      <c r="J96">
        <f t="shared" si="30"/>
        <v>6416647</v>
      </c>
      <c r="K96">
        <f t="shared" si="31"/>
        <v>4699356</v>
      </c>
      <c r="L96">
        <f t="shared" si="32"/>
        <v>2.7341335980074533E-5</v>
      </c>
      <c r="M96">
        <f t="shared" si="33"/>
        <v>8.1520626799958093E-6</v>
      </c>
      <c r="N96">
        <f t="shared" si="34"/>
        <v>2.1383639222676823E-5</v>
      </c>
      <c r="O96">
        <f t="shared" si="35"/>
        <v>5.1740418321282131E-5</v>
      </c>
      <c r="P96">
        <f t="shared" si="36"/>
        <v>1.1150464021027562E-4</v>
      </c>
      <c r="Q96">
        <f t="shared" si="37"/>
        <v>0.33702271923628047</v>
      </c>
      <c r="R96">
        <f t="shared" si="38"/>
        <v>0.12635180084978931</v>
      </c>
      <c r="S96">
        <f t="shared" si="39"/>
        <v>0.47970901368467161</v>
      </c>
      <c r="T96">
        <f t="shared" si="40"/>
        <v>0.93500473798838346</v>
      </c>
      <c r="U96">
        <f t="shared" si="41"/>
        <v>1.7562408249024564</v>
      </c>
      <c r="V96">
        <f t="shared" si="42"/>
        <v>-0.49586089392887667</v>
      </c>
      <c r="W96">
        <f t="shared" si="43"/>
        <v>-0.77564416241095957</v>
      </c>
      <c r="X96">
        <f t="shared" si="44"/>
        <v>-0.35161709599898627</v>
      </c>
      <c r="Y96">
        <f t="shared" si="45"/>
        <v>-3.3589200447739019E-2</v>
      </c>
      <c r="Z96">
        <f t="shared" si="46"/>
        <v>0.27437400174537352</v>
      </c>
    </row>
    <row r="97" spans="1:26" x14ac:dyDescent="0.25">
      <c r="A97" s="12" t="s">
        <v>145</v>
      </c>
      <c r="B97" s="4">
        <v>49</v>
      </c>
      <c r="C97" s="4">
        <v>6</v>
      </c>
      <c r="D97" s="4">
        <v>85</v>
      </c>
      <c r="E97" s="4">
        <v>53</v>
      </c>
      <c r="F97" s="6">
        <v>521</v>
      </c>
      <c r="G97">
        <f t="shared" si="27"/>
        <v>7820339</v>
      </c>
      <c r="H97">
        <f t="shared" si="28"/>
        <v>8285456</v>
      </c>
      <c r="I97">
        <f t="shared" si="29"/>
        <v>12129313</v>
      </c>
      <c r="J97">
        <f t="shared" si="30"/>
        <v>11877493</v>
      </c>
      <c r="K97">
        <f t="shared" si="31"/>
        <v>13278219</v>
      </c>
      <c r="L97">
        <f t="shared" si="32"/>
        <v>6.2657130336677222E-6</v>
      </c>
      <c r="M97">
        <f t="shared" si="33"/>
        <v>7.241605048653931E-7</v>
      </c>
      <c r="N97">
        <f t="shared" si="34"/>
        <v>7.0078165185447845E-6</v>
      </c>
      <c r="O97">
        <f t="shared" si="35"/>
        <v>4.462221110128206E-6</v>
      </c>
      <c r="P97">
        <f t="shared" si="36"/>
        <v>3.9237189867104919E-5</v>
      </c>
      <c r="Q97">
        <f t="shared" si="37"/>
        <v>7.7234252419114732E-2</v>
      </c>
      <c r="R97">
        <f t="shared" si="38"/>
        <v>1.1224028504903753E-2</v>
      </c>
      <c r="S97">
        <f t="shared" si="39"/>
        <v>0.15720957107381678</v>
      </c>
      <c r="T97">
        <f t="shared" si="40"/>
        <v>8.0637111474715847E-2</v>
      </c>
      <c r="U97">
        <f t="shared" si="41"/>
        <v>0.61800078067700281</v>
      </c>
      <c r="V97">
        <f t="shared" si="42"/>
        <v>-0.8566063931857496</v>
      </c>
      <c r="W97">
        <f t="shared" si="43"/>
        <v>-0.97780110403132237</v>
      </c>
      <c r="X97">
        <f t="shared" si="44"/>
        <v>-0.72829541855942936</v>
      </c>
      <c r="Y97">
        <f t="shared" si="45"/>
        <v>-0.85076005512216302</v>
      </c>
      <c r="Z97">
        <f t="shared" si="46"/>
        <v>-0.23609334673074836</v>
      </c>
    </row>
    <row r="98" spans="1:26" x14ac:dyDescent="0.25">
      <c r="A98" s="11" t="s">
        <v>171</v>
      </c>
      <c r="B98" s="5">
        <v>400</v>
      </c>
      <c r="C98" s="5">
        <v>345</v>
      </c>
      <c r="D98" s="5">
        <v>250</v>
      </c>
      <c r="E98" s="5">
        <v>544</v>
      </c>
      <c r="F98" s="14">
        <v>518</v>
      </c>
      <c r="G98">
        <f t="shared" si="27"/>
        <v>5731510</v>
      </c>
      <c r="H98">
        <f t="shared" si="28"/>
        <v>7145956</v>
      </c>
      <c r="I98">
        <f t="shared" si="29"/>
        <v>8570977</v>
      </c>
      <c r="J98">
        <f t="shared" si="30"/>
        <v>8394209</v>
      </c>
      <c r="K98">
        <f t="shared" si="31"/>
        <v>8718694</v>
      </c>
      <c r="L98">
        <f t="shared" si="32"/>
        <v>6.9789636587914874E-5</v>
      </c>
      <c r="M98">
        <f t="shared" si="33"/>
        <v>4.8279054614945849E-5</v>
      </c>
      <c r="N98">
        <f t="shared" si="34"/>
        <v>2.9168203344846216E-5</v>
      </c>
      <c r="O98">
        <f t="shared" si="35"/>
        <v>6.4806582728640667E-5</v>
      </c>
      <c r="P98">
        <f t="shared" si="36"/>
        <v>5.9412567983232353E-5</v>
      </c>
      <c r="Q98">
        <f t="shared" si="37"/>
        <v>0.86026129500445736</v>
      </c>
      <c r="R98">
        <f t="shared" si="38"/>
        <v>0.74829472409391184</v>
      </c>
      <c r="S98">
        <f t="shared" si="39"/>
        <v>0.65434372100103899</v>
      </c>
      <c r="T98">
        <f t="shared" si="40"/>
        <v>1.1711243138363097</v>
      </c>
      <c r="U98">
        <f t="shared" si="41"/>
        <v>0.93577071956535163</v>
      </c>
      <c r="V98">
        <f t="shared" si="42"/>
        <v>-7.5117783383870179E-2</v>
      </c>
      <c r="W98">
        <f t="shared" si="43"/>
        <v>-0.1439718786753986</v>
      </c>
      <c r="X98">
        <f t="shared" si="44"/>
        <v>-0.20893861088903901</v>
      </c>
      <c r="Y98">
        <f t="shared" si="45"/>
        <v>7.8818293704213685E-2</v>
      </c>
      <c r="Z98">
        <f t="shared" si="46"/>
        <v>-3.3180210747825602E-2</v>
      </c>
    </row>
    <row r="99" spans="1:26" x14ac:dyDescent="0.25">
      <c r="A99" s="12" t="s">
        <v>117</v>
      </c>
      <c r="B99" s="4">
        <v>918</v>
      </c>
      <c r="C99" s="4">
        <v>1730</v>
      </c>
      <c r="D99" s="4">
        <v>147</v>
      </c>
      <c r="E99" s="4">
        <v>541</v>
      </c>
      <c r="F99" s="13">
        <v>503</v>
      </c>
      <c r="G99">
        <f t="shared" si="27"/>
        <v>6519859</v>
      </c>
      <c r="H99">
        <f t="shared" si="28"/>
        <v>8405634</v>
      </c>
      <c r="I99">
        <f t="shared" si="29"/>
        <v>8096330</v>
      </c>
      <c r="J99">
        <f t="shared" si="30"/>
        <v>6417468</v>
      </c>
      <c r="K99">
        <f t="shared" si="31"/>
        <v>7099523</v>
      </c>
      <c r="L99">
        <f t="shared" si="32"/>
        <v>1.4080059093302477E-4</v>
      </c>
      <c r="M99">
        <f t="shared" si="33"/>
        <v>2.0581433833545453E-4</v>
      </c>
      <c r="N99">
        <f t="shared" si="34"/>
        <v>1.8156374554890921E-5</v>
      </c>
      <c r="O99">
        <f t="shared" si="35"/>
        <v>8.4301160520005713E-5</v>
      </c>
      <c r="P99">
        <f t="shared" si="36"/>
        <v>7.0849830333671719E-5</v>
      </c>
      <c r="Q99">
        <f t="shared" si="37"/>
        <v>1.7355771517860492</v>
      </c>
      <c r="R99">
        <f t="shared" si="38"/>
        <v>3.1899917002853417</v>
      </c>
      <c r="S99">
        <f t="shared" si="39"/>
        <v>0.40731030107259242</v>
      </c>
      <c r="T99">
        <f t="shared" si="40"/>
        <v>1.523412200007342</v>
      </c>
      <c r="U99">
        <f t="shared" si="41"/>
        <v>1.1159119856784221</v>
      </c>
      <c r="V99">
        <f t="shared" si="42"/>
        <v>0.26889285550063663</v>
      </c>
      <c r="W99">
        <f t="shared" si="43"/>
        <v>0.52267208551658983</v>
      </c>
      <c r="X99">
        <f t="shared" si="44"/>
        <v>-0.42115068615335544</v>
      </c>
      <c r="Y99">
        <f t="shared" si="45"/>
        <v>0.20742239417159794</v>
      </c>
      <c r="Z99">
        <f t="shared" si="46"/>
        <v>5.4781099810849353E-2</v>
      </c>
    </row>
    <row r="100" spans="1:26" x14ac:dyDescent="0.25">
      <c r="A100" s="11" t="s">
        <v>100</v>
      </c>
      <c r="B100" s="5">
        <v>450</v>
      </c>
      <c r="C100" s="5">
        <v>252</v>
      </c>
      <c r="D100" s="5">
        <v>252</v>
      </c>
      <c r="E100" s="5">
        <v>510</v>
      </c>
      <c r="F100" s="14">
        <v>502</v>
      </c>
      <c r="G100">
        <f t="shared" si="27"/>
        <v>6143458</v>
      </c>
      <c r="H100">
        <f t="shared" si="28"/>
        <v>7697303</v>
      </c>
      <c r="I100">
        <f t="shared" si="29"/>
        <v>10038186</v>
      </c>
      <c r="J100">
        <f t="shared" si="30"/>
        <v>10982642</v>
      </c>
      <c r="K100">
        <f t="shared" si="31"/>
        <v>13072085</v>
      </c>
      <c r="L100">
        <f t="shared" si="32"/>
        <v>7.3248649213521118E-5</v>
      </c>
      <c r="M100">
        <f t="shared" si="33"/>
        <v>3.2738739789767922E-5</v>
      </c>
      <c r="N100">
        <f t="shared" si="34"/>
        <v>2.5104137341149089E-5</v>
      </c>
      <c r="O100">
        <f t="shared" si="35"/>
        <v>4.643691381363428E-5</v>
      </c>
      <c r="P100">
        <f t="shared" si="36"/>
        <v>3.8402443068569399E-5</v>
      </c>
      <c r="Q100">
        <f t="shared" si="37"/>
        <v>0.90289878140248914</v>
      </c>
      <c r="R100">
        <f t="shared" si="38"/>
        <v>0.50742970121421549</v>
      </c>
      <c r="S100">
        <f t="shared" si="39"/>
        <v>0.5631726591494397</v>
      </c>
      <c r="T100">
        <f t="shared" si="40"/>
        <v>0.83916473507611844</v>
      </c>
      <c r="U100">
        <f t="shared" si="41"/>
        <v>0.60485319862768094</v>
      </c>
      <c r="V100">
        <f t="shared" si="42"/>
        <v>-5.1028052330741716E-2</v>
      </c>
      <c r="W100">
        <f t="shared" si="43"/>
        <v>-0.32676170463473381</v>
      </c>
      <c r="X100">
        <f t="shared" si="44"/>
        <v>-0.27944919474746233</v>
      </c>
      <c r="Y100">
        <f t="shared" si="45"/>
        <v>-8.7450167924856922E-2</v>
      </c>
      <c r="Z100">
        <f t="shared" si="46"/>
        <v>-0.24621990454342574</v>
      </c>
    </row>
    <row r="101" spans="1:26" x14ac:dyDescent="0.25">
      <c r="A101" s="12" t="s">
        <v>128</v>
      </c>
      <c r="B101" s="4">
        <v>344</v>
      </c>
      <c r="C101" s="4">
        <v>485</v>
      </c>
      <c r="D101" s="4">
        <v>393</v>
      </c>
      <c r="E101" s="4">
        <v>532</v>
      </c>
      <c r="F101" s="13">
        <v>479</v>
      </c>
      <c r="G101">
        <f t="shared" si="27"/>
        <v>5710976</v>
      </c>
      <c r="H101">
        <f t="shared" si="28"/>
        <v>7841938</v>
      </c>
      <c r="I101">
        <f t="shared" si="29"/>
        <v>9764239</v>
      </c>
      <c r="J101">
        <f t="shared" si="30"/>
        <v>9481315</v>
      </c>
      <c r="K101">
        <f t="shared" si="31"/>
        <v>9835158</v>
      </c>
      <c r="L101">
        <f t="shared" si="32"/>
        <v>6.0234888047156915E-5</v>
      </c>
      <c r="M101">
        <f t="shared" si="33"/>
        <v>6.1846956708915571E-5</v>
      </c>
      <c r="N101">
        <f t="shared" si="34"/>
        <v>4.0248912383238471E-5</v>
      </c>
      <c r="O101">
        <f t="shared" si="35"/>
        <v>5.6110360219020251E-5</v>
      </c>
      <c r="P101">
        <f t="shared" si="36"/>
        <v>4.8702827143193838E-5</v>
      </c>
      <c r="Q101">
        <f t="shared" si="37"/>
        <v>0.74248477753026076</v>
      </c>
      <c r="R101">
        <f t="shared" si="38"/>
        <v>0.95858860070178697</v>
      </c>
      <c r="S101">
        <f t="shared" si="39"/>
        <v>0.90292236322284569</v>
      </c>
      <c r="T101">
        <f t="shared" si="40"/>
        <v>1.013974265326713</v>
      </c>
      <c r="U101">
        <f t="shared" si="41"/>
        <v>0.76708819611223844</v>
      </c>
      <c r="V101">
        <f t="shared" si="42"/>
        <v>-0.14778621069776726</v>
      </c>
      <c r="W101">
        <f t="shared" si="43"/>
        <v>-2.1143490411092355E-2</v>
      </c>
      <c r="X101">
        <f t="shared" si="44"/>
        <v>-5.1015027545706457E-2</v>
      </c>
      <c r="Y101">
        <f t="shared" si="45"/>
        <v>6.9386513856203764E-3</v>
      </c>
      <c r="Z101">
        <f t="shared" si="46"/>
        <v>-0.13180542114433769</v>
      </c>
    </row>
    <row r="102" spans="1:26" x14ac:dyDescent="0.25">
      <c r="A102" s="11" t="s">
        <v>165</v>
      </c>
      <c r="B102" s="5">
        <v>592</v>
      </c>
      <c r="C102" s="5">
        <v>591</v>
      </c>
      <c r="D102" s="5">
        <v>400</v>
      </c>
      <c r="E102" s="5">
        <v>380</v>
      </c>
      <c r="F102" s="14">
        <v>458</v>
      </c>
      <c r="G102">
        <f t="shared" si="27"/>
        <v>6612697</v>
      </c>
      <c r="H102">
        <f t="shared" si="28"/>
        <v>6445781</v>
      </c>
      <c r="I102">
        <f t="shared" si="29"/>
        <v>7957768</v>
      </c>
      <c r="J102">
        <f t="shared" si="30"/>
        <v>7441108</v>
      </c>
      <c r="K102">
        <f t="shared" si="31"/>
        <v>8824992</v>
      </c>
      <c r="L102">
        <f t="shared" si="32"/>
        <v>8.9524743081378146E-5</v>
      </c>
      <c r="M102">
        <f t="shared" si="33"/>
        <v>9.1687880801411033E-5</v>
      </c>
      <c r="N102">
        <f t="shared" si="34"/>
        <v>5.0265350786803536E-5</v>
      </c>
      <c r="O102">
        <f t="shared" si="35"/>
        <v>5.1067663579133642E-5</v>
      </c>
      <c r="P102">
        <f t="shared" si="36"/>
        <v>5.1898064043570804E-5</v>
      </c>
      <c r="Q102">
        <f t="shared" si="37"/>
        <v>1.1035258984492828</v>
      </c>
      <c r="R102">
        <f t="shared" si="38"/>
        <v>1.4211039966347589</v>
      </c>
      <c r="S102">
        <f t="shared" si="39"/>
        <v>1.127625732802328</v>
      </c>
      <c r="T102">
        <f t="shared" si="40"/>
        <v>0.92284733973336674</v>
      </c>
      <c r="U102">
        <f t="shared" si="41"/>
        <v>0.81741440208083704</v>
      </c>
      <c r="V102">
        <f t="shared" si="42"/>
        <v>4.9215414236450344E-2</v>
      </c>
      <c r="W102">
        <f t="shared" si="43"/>
        <v>0.17393056936838616</v>
      </c>
      <c r="X102">
        <f t="shared" si="44"/>
        <v>5.9985048514256421E-2</v>
      </c>
      <c r="Y102">
        <f t="shared" si="45"/>
        <v>-4.0124173496441838E-2</v>
      </c>
      <c r="Z102">
        <f t="shared" si="46"/>
        <v>-0.10046448278945778</v>
      </c>
    </row>
    <row r="103" spans="1:26" x14ac:dyDescent="0.25">
      <c r="A103" s="12" t="s">
        <v>188</v>
      </c>
      <c r="B103" s="4">
        <v>510</v>
      </c>
      <c r="C103" s="4">
        <v>447</v>
      </c>
      <c r="D103" s="4">
        <v>390</v>
      </c>
      <c r="E103" s="4">
        <v>723</v>
      </c>
      <c r="F103" s="13">
        <v>411</v>
      </c>
      <c r="G103">
        <f t="shared" si="27"/>
        <v>1065045</v>
      </c>
      <c r="H103">
        <f t="shared" si="28"/>
        <v>1200014</v>
      </c>
      <c r="I103">
        <f t="shared" si="29"/>
        <v>1407302</v>
      </c>
      <c r="J103">
        <f t="shared" si="30"/>
        <v>1468137</v>
      </c>
      <c r="K103">
        <f t="shared" si="31"/>
        <v>1507925</v>
      </c>
      <c r="L103">
        <f t="shared" si="32"/>
        <v>4.7885300621100518E-4</v>
      </c>
      <c r="M103">
        <f t="shared" si="33"/>
        <v>3.7249565421736748E-4</v>
      </c>
      <c r="N103">
        <f t="shared" si="34"/>
        <v>2.7712601843811778E-4</v>
      </c>
      <c r="O103">
        <f t="shared" si="35"/>
        <v>4.9246085344896288E-4</v>
      </c>
      <c r="P103">
        <f t="shared" si="36"/>
        <v>2.7255997479980768E-4</v>
      </c>
      <c r="Q103">
        <f t="shared" si="37"/>
        <v>5.9025770498307795</v>
      </c>
      <c r="R103">
        <f t="shared" si="38"/>
        <v>5.7734463738334503</v>
      </c>
      <c r="S103">
        <f t="shared" si="39"/>
        <v>6.216895430518214</v>
      </c>
      <c r="T103">
        <f t="shared" si="40"/>
        <v>8.89929471364918</v>
      </c>
      <c r="U103">
        <f t="shared" si="41"/>
        <v>4.2929240798868076</v>
      </c>
      <c r="V103">
        <f t="shared" si="42"/>
        <v>0.71025314378069404</v>
      </c>
      <c r="W103">
        <f t="shared" si="43"/>
        <v>0.7047293372357365</v>
      </c>
      <c r="X103">
        <f t="shared" si="44"/>
        <v>0.7228725261083091</v>
      </c>
      <c r="Y103">
        <f t="shared" si="45"/>
        <v>0.79796540482400291</v>
      </c>
      <c r="Z103">
        <f t="shared" si="46"/>
        <v>0.62213703242031548</v>
      </c>
    </row>
    <row r="104" spans="1:26" x14ac:dyDescent="0.25">
      <c r="A104" s="11" t="s">
        <v>176</v>
      </c>
      <c r="B104" s="5">
        <v>776</v>
      </c>
      <c r="C104" s="5">
        <v>808</v>
      </c>
      <c r="D104" s="5">
        <v>799</v>
      </c>
      <c r="E104" s="5">
        <v>796</v>
      </c>
      <c r="F104" s="7">
        <v>372</v>
      </c>
      <c r="G104">
        <f t="shared" si="27"/>
        <v>11950497</v>
      </c>
      <c r="H104">
        <f t="shared" si="28"/>
        <v>19346655</v>
      </c>
      <c r="I104">
        <f t="shared" si="29"/>
        <v>17430546</v>
      </c>
      <c r="J104">
        <f t="shared" si="30"/>
        <v>17560701</v>
      </c>
      <c r="K104">
        <f t="shared" si="31"/>
        <v>14614151</v>
      </c>
      <c r="L104">
        <f t="shared" si="32"/>
        <v>6.4934537869010804E-5</v>
      </c>
      <c r="M104">
        <f t="shared" si="33"/>
        <v>4.1764325667667098E-5</v>
      </c>
      <c r="N104">
        <f t="shared" si="34"/>
        <v>4.5839068954007522E-5</v>
      </c>
      <c r="O104">
        <f t="shared" si="35"/>
        <v>4.5328486601987013E-5</v>
      </c>
      <c r="P104">
        <f t="shared" si="36"/>
        <v>2.5454780096360028E-5</v>
      </c>
      <c r="Q104">
        <f t="shared" si="37"/>
        <v>0.80041496658809552</v>
      </c>
      <c r="R104">
        <f t="shared" si="38"/>
        <v>0.64732055757323126</v>
      </c>
      <c r="S104">
        <f t="shared" si="39"/>
        <v>1.0283289166622007</v>
      </c>
      <c r="T104">
        <f t="shared" si="40"/>
        <v>0.81913426898730535</v>
      </c>
      <c r="U104">
        <f t="shared" si="41"/>
        <v>0.40092254375995229</v>
      </c>
      <c r="V104">
        <f t="shared" si="42"/>
        <v>-0.11085501793518814</v>
      </c>
      <c r="W104">
        <f t="shared" si="43"/>
        <v>-0.21409278285601099</v>
      </c>
      <c r="X104">
        <f t="shared" si="44"/>
        <v>1.3966628602238008E-2</v>
      </c>
      <c r="Y104">
        <f t="shared" si="45"/>
        <v>-9.9424068962969334E-2</v>
      </c>
      <c r="Z104">
        <f t="shared" si="46"/>
        <v>-0.42763067730509696</v>
      </c>
    </row>
    <row r="105" spans="1:26" ht="23.25" x14ac:dyDescent="0.25">
      <c r="A105" s="12" t="s">
        <v>163</v>
      </c>
      <c r="B105" s="4">
        <v>454</v>
      </c>
      <c r="C105" s="4">
        <v>360</v>
      </c>
      <c r="D105" s="4">
        <v>275</v>
      </c>
      <c r="E105" s="4">
        <v>239</v>
      </c>
      <c r="F105" s="13">
        <v>276</v>
      </c>
      <c r="G105">
        <f t="shared" si="27"/>
        <v>8709069</v>
      </c>
      <c r="H105">
        <f t="shared" si="28"/>
        <v>11389534</v>
      </c>
      <c r="I105">
        <f t="shared" si="29"/>
        <v>12755184</v>
      </c>
      <c r="J105">
        <f t="shared" si="30"/>
        <v>12052389</v>
      </c>
      <c r="K105">
        <f t="shared" si="31"/>
        <v>11966612</v>
      </c>
      <c r="L105">
        <f t="shared" si="32"/>
        <v>5.2129567465822123E-5</v>
      </c>
      <c r="M105">
        <f t="shared" si="33"/>
        <v>3.1607965699035621E-5</v>
      </c>
      <c r="N105">
        <f t="shared" si="34"/>
        <v>2.1559861464954172E-5</v>
      </c>
      <c r="O105">
        <f t="shared" si="35"/>
        <v>1.9830093436247371E-5</v>
      </c>
      <c r="P105">
        <f t="shared" si="36"/>
        <v>2.3064172215159981E-5</v>
      </c>
      <c r="Q105">
        <f t="shared" si="37"/>
        <v>0.6425746200824316</v>
      </c>
      <c r="R105">
        <f t="shared" si="38"/>
        <v>0.48990342003523135</v>
      </c>
      <c r="S105">
        <f t="shared" si="39"/>
        <v>0.48366228829578278</v>
      </c>
      <c r="T105">
        <f t="shared" si="40"/>
        <v>0.35835101298392796</v>
      </c>
      <c r="U105">
        <f t="shared" si="41"/>
        <v>0.36326955327112981</v>
      </c>
      <c r="V105">
        <f t="shared" si="42"/>
        <v>-0.21760069560774731</v>
      </c>
      <c r="W105">
        <f t="shared" si="43"/>
        <v>-0.34236888989267944</v>
      </c>
      <c r="X105">
        <f t="shared" si="44"/>
        <v>-0.34801566082623253</v>
      </c>
      <c r="Y105">
        <f t="shared" si="45"/>
        <v>-0.47237347407467495</v>
      </c>
      <c r="Z105">
        <f t="shared" si="46"/>
        <v>-0.46706129774632754</v>
      </c>
    </row>
    <row r="106" spans="1:26" x14ac:dyDescent="0.25">
      <c r="A106" s="11" t="s">
        <v>87</v>
      </c>
      <c r="B106" s="5">
        <v>363</v>
      </c>
      <c r="C106" s="5">
        <v>210</v>
      </c>
      <c r="D106" s="5">
        <v>171</v>
      </c>
      <c r="E106" s="5">
        <v>282</v>
      </c>
      <c r="F106" s="14">
        <v>267</v>
      </c>
      <c r="G106">
        <f t="shared" si="27"/>
        <v>4547329</v>
      </c>
      <c r="H106">
        <f t="shared" si="28"/>
        <v>5324762</v>
      </c>
      <c r="I106">
        <f t="shared" si="29"/>
        <v>8635543</v>
      </c>
      <c r="J106">
        <f t="shared" si="30"/>
        <v>12021705</v>
      </c>
      <c r="K106">
        <f t="shared" si="31"/>
        <v>16807771</v>
      </c>
      <c r="L106">
        <f t="shared" si="32"/>
        <v>7.9827080908375004E-5</v>
      </c>
      <c r="M106">
        <f t="shared" si="33"/>
        <v>3.9438382410331202E-5</v>
      </c>
      <c r="N106">
        <f t="shared" si="34"/>
        <v>1.9801881595633303E-5</v>
      </c>
      <c r="O106">
        <f t="shared" si="35"/>
        <v>2.3457571118239885E-5</v>
      </c>
      <c r="P106">
        <f t="shared" si="36"/>
        <v>1.5885509149309567E-5</v>
      </c>
      <c r="Q106">
        <f t="shared" si="37"/>
        <v>0.9839877574395608</v>
      </c>
      <c r="R106">
        <f t="shared" si="38"/>
        <v>0.61126991238376538</v>
      </c>
      <c r="S106">
        <f t="shared" si="39"/>
        <v>0.44422471733755675</v>
      </c>
      <c r="T106">
        <f t="shared" si="40"/>
        <v>0.42390341726773761</v>
      </c>
      <c r="U106">
        <f t="shared" si="41"/>
        <v>0.25020285828255573</v>
      </c>
      <c r="V106">
        <f t="shared" si="42"/>
        <v>-8.0707365760683096E-3</v>
      </c>
      <c r="W106">
        <f t="shared" si="43"/>
        <v>-0.24125696422962098</v>
      </c>
      <c r="X106">
        <f t="shared" si="44"/>
        <v>-0.38482604264454134</v>
      </c>
      <c r="Y106">
        <f t="shared" si="45"/>
        <v>-0.40458964824855009</v>
      </c>
      <c r="Z106">
        <f t="shared" si="46"/>
        <v>-0.59974038353060954</v>
      </c>
    </row>
    <row r="107" spans="1:26" ht="23.25" x14ac:dyDescent="0.25">
      <c r="A107" s="12" t="s">
        <v>184</v>
      </c>
      <c r="B107" s="6">
        <v>80</v>
      </c>
      <c r="C107" s="6">
        <v>74</v>
      </c>
      <c r="D107" s="6">
        <v>38</v>
      </c>
      <c r="E107" s="6">
        <v>93</v>
      </c>
      <c r="F107" s="6">
        <v>262</v>
      </c>
      <c r="G107">
        <f t="shared" si="27"/>
        <v>2160324</v>
      </c>
      <c r="H107">
        <f t="shared" si="28"/>
        <v>2265708</v>
      </c>
      <c r="I107">
        <f t="shared" si="29"/>
        <v>2836706</v>
      </c>
      <c r="J107">
        <f t="shared" si="30"/>
        <v>2720816</v>
      </c>
      <c r="K107">
        <f t="shared" si="31"/>
        <v>1748506</v>
      </c>
      <c r="L107">
        <f t="shared" si="32"/>
        <v>3.7031482314689833E-5</v>
      </c>
      <c r="M107">
        <f t="shared" si="33"/>
        <v>3.2660872451348541E-5</v>
      </c>
      <c r="N107">
        <f t="shared" si="34"/>
        <v>1.3395818953391716E-5</v>
      </c>
      <c r="O107">
        <f t="shared" si="35"/>
        <v>3.4180922193930054E-5</v>
      </c>
      <c r="P107">
        <f t="shared" si="36"/>
        <v>1.4984220814798463E-4</v>
      </c>
      <c r="Q107">
        <f t="shared" si="37"/>
        <v>0.45646821633523471</v>
      </c>
      <c r="R107">
        <f t="shared" si="38"/>
        <v>0.50622280685840881</v>
      </c>
      <c r="S107">
        <f t="shared" si="39"/>
        <v>0.30051456773621837</v>
      </c>
      <c r="T107">
        <f t="shared" si="40"/>
        <v>0.61768584864709575</v>
      </c>
      <c r="U107">
        <f t="shared" si="41"/>
        <v>2.3600722153513654</v>
      </c>
      <c r="V107">
        <f t="shared" si="42"/>
        <v>-0.37318478877101757</v>
      </c>
      <c r="W107">
        <f t="shared" si="43"/>
        <v>-0.32782480181101675</v>
      </c>
      <c r="X107">
        <f t="shared" si="44"/>
        <v>-0.53785282350305608</v>
      </c>
      <c r="Y107">
        <f t="shared" si="45"/>
        <v>-0.23633399010855013</v>
      </c>
      <c r="Z107">
        <f t="shared" si="46"/>
        <v>0.40477469773938818</v>
      </c>
    </row>
    <row r="108" spans="1:26" x14ac:dyDescent="0.25">
      <c r="A108" s="11" t="s">
        <v>187</v>
      </c>
      <c r="B108" s="5">
        <v>321</v>
      </c>
      <c r="C108" s="5">
        <v>243</v>
      </c>
      <c r="D108" s="5">
        <v>196</v>
      </c>
      <c r="E108" s="5">
        <v>305</v>
      </c>
      <c r="F108" s="14">
        <v>259</v>
      </c>
      <c r="G108">
        <f t="shared" si="27"/>
        <v>2102881</v>
      </c>
      <c r="H108">
        <f t="shared" si="28"/>
        <v>2504294</v>
      </c>
      <c r="I108">
        <f t="shared" si="29"/>
        <v>3722463</v>
      </c>
      <c r="J108">
        <f t="shared" si="30"/>
        <v>4116053</v>
      </c>
      <c r="K108">
        <f t="shared" si="31"/>
        <v>4398798</v>
      </c>
      <c r="L108">
        <f t="shared" si="32"/>
        <v>1.5264772471671007E-4</v>
      </c>
      <c r="M108">
        <f t="shared" si="33"/>
        <v>9.7033335542871568E-5</v>
      </c>
      <c r="N108">
        <f t="shared" si="34"/>
        <v>5.2653310456007221E-5</v>
      </c>
      <c r="O108">
        <f t="shared" si="35"/>
        <v>7.4100114843030443E-5</v>
      </c>
      <c r="P108">
        <f t="shared" si="36"/>
        <v>5.8879721232936814E-5</v>
      </c>
      <c r="Q108">
        <f t="shared" si="37"/>
        <v>1.8816107342650989</v>
      </c>
      <c r="R108">
        <f t="shared" si="38"/>
        <v>1.5039551546124759</v>
      </c>
      <c r="S108">
        <f t="shared" si="39"/>
        <v>1.1811959303586763</v>
      </c>
      <c r="T108">
        <f t="shared" si="40"/>
        <v>1.3390683862178705</v>
      </c>
      <c r="U108">
        <f t="shared" si="41"/>
        <v>0.92737817899913944</v>
      </c>
      <c r="V108">
        <f t="shared" si="42"/>
        <v>0.30594372924208912</v>
      </c>
      <c r="W108">
        <f t="shared" si="43"/>
        <v>0.20126365030306237</v>
      </c>
      <c r="X108">
        <f t="shared" si="44"/>
        <v>8.3071826715209601E-2</v>
      </c>
      <c r="Y108">
        <f t="shared" si="45"/>
        <v>0.14495873152564095</v>
      </c>
      <c r="Z108">
        <f t="shared" si="46"/>
        <v>-3.7679071908229271E-2</v>
      </c>
    </row>
    <row r="109" spans="1:26" x14ac:dyDescent="0.25">
      <c r="A109" s="12" t="s">
        <v>112</v>
      </c>
      <c r="B109" s="4">
        <v>332</v>
      </c>
      <c r="C109" s="4">
        <v>139</v>
      </c>
      <c r="D109" s="4">
        <v>210</v>
      </c>
      <c r="E109" s="4">
        <v>195</v>
      </c>
      <c r="F109" s="6">
        <v>254</v>
      </c>
      <c r="G109">
        <f t="shared" si="27"/>
        <v>1480789</v>
      </c>
      <c r="H109">
        <f t="shared" si="28"/>
        <v>1832506</v>
      </c>
      <c r="I109">
        <f t="shared" si="29"/>
        <v>1881396</v>
      </c>
      <c r="J109">
        <f t="shared" si="30"/>
        <v>1734885</v>
      </c>
      <c r="K109">
        <f t="shared" si="31"/>
        <v>1673439</v>
      </c>
      <c r="L109">
        <f t="shared" si="32"/>
        <v>2.2420479892813899E-4</v>
      </c>
      <c r="M109">
        <f t="shared" si="33"/>
        <v>7.5852411942989545E-5</v>
      </c>
      <c r="N109">
        <f t="shared" si="34"/>
        <v>1.1161924443338883E-4</v>
      </c>
      <c r="O109">
        <f t="shared" si="35"/>
        <v>1.1239938093879421E-4</v>
      </c>
      <c r="P109">
        <f t="shared" si="36"/>
        <v>1.5178324396646666E-4</v>
      </c>
      <c r="Q109">
        <f t="shared" si="37"/>
        <v>2.7636583324111186</v>
      </c>
      <c r="R109">
        <f t="shared" si="38"/>
        <v>1.1756642734500813</v>
      </c>
      <c r="S109">
        <f t="shared" si="39"/>
        <v>2.504005847544712</v>
      </c>
      <c r="T109">
        <f t="shared" si="40"/>
        <v>2.0311771171263611</v>
      </c>
      <c r="U109">
        <f t="shared" si="41"/>
        <v>2.3906442735239</v>
      </c>
      <c r="V109">
        <f t="shared" si="42"/>
        <v>0.46860213564637343</v>
      </c>
      <c r="W109">
        <f t="shared" si="43"/>
        <v>8.0740523983288973E-2</v>
      </c>
      <c r="X109">
        <f t="shared" si="44"/>
        <v>0.42922469681338637</v>
      </c>
      <c r="Y109">
        <f t="shared" si="45"/>
        <v>0.34019032121222437</v>
      </c>
      <c r="Z109">
        <f t="shared" si="46"/>
        <v>0.41014160181380571</v>
      </c>
    </row>
    <row r="110" spans="1:26" x14ac:dyDescent="0.25">
      <c r="A110" s="11" t="s">
        <v>80</v>
      </c>
      <c r="B110" s="5">
        <v>220</v>
      </c>
      <c r="C110" s="5">
        <v>426</v>
      </c>
      <c r="D110" s="5">
        <v>365</v>
      </c>
      <c r="E110" s="5">
        <v>239</v>
      </c>
      <c r="F110" s="14">
        <v>214</v>
      </c>
      <c r="G110">
        <f t="shared" si="27"/>
        <v>18206520</v>
      </c>
      <c r="H110">
        <f t="shared" si="28"/>
        <v>26605961</v>
      </c>
      <c r="I110">
        <f t="shared" si="29"/>
        <v>32123685</v>
      </c>
      <c r="J110">
        <f t="shared" si="30"/>
        <v>30318004</v>
      </c>
      <c r="K110">
        <f t="shared" si="31"/>
        <v>32488859</v>
      </c>
      <c r="L110">
        <f t="shared" si="32"/>
        <v>1.2083583243804967E-5</v>
      </c>
      <c r="M110">
        <f t="shared" si="33"/>
        <v>1.601144946427607E-5</v>
      </c>
      <c r="N110">
        <f t="shared" si="34"/>
        <v>1.1362332808331297E-5</v>
      </c>
      <c r="O110">
        <f t="shared" si="35"/>
        <v>7.8831047057055611E-6</v>
      </c>
      <c r="P110">
        <f t="shared" si="36"/>
        <v>6.5868733648048396E-6</v>
      </c>
      <c r="Q110">
        <f t="shared" si="37"/>
        <v>0.148948174511771</v>
      </c>
      <c r="R110">
        <f t="shared" si="38"/>
        <v>0.24816731095444863</v>
      </c>
      <c r="S110">
        <f t="shared" si="39"/>
        <v>0.25489643778040133</v>
      </c>
      <c r="T110">
        <f t="shared" si="40"/>
        <v>0.14245613949474875</v>
      </c>
      <c r="U110">
        <f t="shared" si="41"/>
        <v>0.10374578035423156</v>
      </c>
      <c r="V110">
        <f t="shared" si="42"/>
        <v>-0.74072255334743109</v>
      </c>
      <c r="W110">
        <f t="shared" si="43"/>
        <v>-0.60234928638744745</v>
      </c>
      <c r="X110">
        <f t="shared" si="44"/>
        <v>-0.5937570143537112</v>
      </c>
      <c r="Y110">
        <f t="shared" si="45"/>
        <v>-0.75061425192611775</v>
      </c>
      <c r="Z110">
        <f t="shared" si="46"/>
        <v>-0.81201145734675273</v>
      </c>
    </row>
    <row r="111" spans="1:26" x14ac:dyDescent="0.25">
      <c r="A111" s="12" t="s">
        <v>61</v>
      </c>
      <c r="B111" s="4">
        <v>60</v>
      </c>
      <c r="C111" s="4">
        <v>80</v>
      </c>
      <c r="D111" s="4">
        <v>75</v>
      </c>
      <c r="E111" s="4">
        <v>148</v>
      </c>
      <c r="F111" s="13">
        <v>210</v>
      </c>
      <c r="G111">
        <f t="shared" si="27"/>
        <v>2486490</v>
      </c>
      <c r="H111">
        <f t="shared" si="28"/>
        <v>4146385</v>
      </c>
      <c r="I111">
        <f t="shared" si="29"/>
        <v>8557370</v>
      </c>
      <c r="J111">
        <f t="shared" si="30"/>
        <v>5230066</v>
      </c>
      <c r="K111">
        <f t="shared" si="31"/>
        <v>7210548</v>
      </c>
      <c r="L111">
        <f t="shared" si="32"/>
        <v>2.4130400685303378E-5</v>
      </c>
      <c r="M111">
        <f t="shared" si="33"/>
        <v>1.9293915060950684E-5</v>
      </c>
      <c r="N111">
        <f t="shared" si="34"/>
        <v>8.764375035787864E-6</v>
      </c>
      <c r="O111">
        <f t="shared" si="35"/>
        <v>2.8297922052991302E-5</v>
      </c>
      <c r="P111">
        <f t="shared" si="36"/>
        <v>2.9124000006656914E-5</v>
      </c>
      <c r="Q111">
        <f t="shared" si="37"/>
        <v>0.29744315570931296</v>
      </c>
      <c r="R111">
        <f t="shared" si="38"/>
        <v>0.29904344570069535</v>
      </c>
      <c r="S111">
        <f t="shared" si="39"/>
        <v>0.19661525618715758</v>
      </c>
      <c r="T111">
        <f t="shared" si="40"/>
        <v>0.51137373939417319</v>
      </c>
      <c r="U111">
        <f t="shared" si="41"/>
        <v>0.45871416382039243</v>
      </c>
      <c r="V111">
        <f t="shared" si="42"/>
        <v>-0.54149335267532306</v>
      </c>
      <c r="W111">
        <f t="shared" si="43"/>
        <v>-0.53959438894764089</v>
      </c>
      <c r="X111">
        <f t="shared" si="44"/>
        <v>-0.67138099707395704</v>
      </c>
      <c r="Y111">
        <f t="shared" si="45"/>
        <v>-0.3232994248012343</v>
      </c>
      <c r="Z111">
        <f t="shared" si="46"/>
        <v>-0.37107052882928931</v>
      </c>
    </row>
    <row r="112" spans="1:26" x14ac:dyDescent="0.25">
      <c r="A112" s="11" t="s">
        <v>99</v>
      </c>
      <c r="B112" s="5">
        <v>517</v>
      </c>
      <c r="C112" s="5">
        <v>892</v>
      </c>
      <c r="D112" s="5">
        <v>836</v>
      </c>
      <c r="E112" s="5">
        <v>828</v>
      </c>
      <c r="F112" s="7">
        <v>187</v>
      </c>
      <c r="G112">
        <f t="shared" si="27"/>
        <v>4765479</v>
      </c>
      <c r="H112">
        <f t="shared" si="28"/>
        <v>5970850</v>
      </c>
      <c r="I112">
        <f t="shared" si="29"/>
        <v>7731214</v>
      </c>
      <c r="J112">
        <f t="shared" si="30"/>
        <v>7592061</v>
      </c>
      <c r="K112">
        <f t="shared" si="31"/>
        <v>6596382</v>
      </c>
      <c r="L112">
        <f t="shared" si="32"/>
        <v>1.0848856956457052E-4</v>
      </c>
      <c r="M112">
        <f t="shared" si="33"/>
        <v>1.4939246505941365E-4</v>
      </c>
      <c r="N112">
        <f t="shared" si="34"/>
        <v>1.0813308233351192E-4</v>
      </c>
      <c r="O112">
        <f t="shared" si="35"/>
        <v>1.0906129442321394E-4</v>
      </c>
      <c r="P112">
        <f t="shared" si="36"/>
        <v>2.8348873670445404E-5</v>
      </c>
      <c r="Q112">
        <f t="shared" si="37"/>
        <v>1.3372833261458741</v>
      </c>
      <c r="R112">
        <f t="shared" si="38"/>
        <v>2.3154884517713064</v>
      </c>
      <c r="S112">
        <f t="shared" si="39"/>
        <v>2.4257991697635348</v>
      </c>
      <c r="T112">
        <f t="shared" si="40"/>
        <v>1.9708543209614353</v>
      </c>
      <c r="U112">
        <f t="shared" si="41"/>
        <v>0.44650562690619255</v>
      </c>
      <c r="V112">
        <f t="shared" si="42"/>
        <v>0.14430570841492565</v>
      </c>
      <c r="W112">
        <f t="shared" si="43"/>
        <v>0.39677063301743792</v>
      </c>
      <c r="X112">
        <f t="shared" si="44"/>
        <v>0.41619461594473744</v>
      </c>
      <c r="Y112">
        <f t="shared" si="45"/>
        <v>0.32679297470474589</v>
      </c>
      <c r="Z112">
        <f t="shared" si="46"/>
        <v>-0.38264239198130834</v>
      </c>
    </row>
    <row r="113" spans="1:26" x14ac:dyDescent="0.25">
      <c r="A113" s="12" t="s">
        <v>25</v>
      </c>
      <c r="B113" s="4">
        <v>176</v>
      </c>
      <c r="C113" s="4">
        <v>214</v>
      </c>
      <c r="D113" s="4">
        <v>92</v>
      </c>
      <c r="E113" s="4">
        <v>79</v>
      </c>
      <c r="F113" s="13">
        <v>168</v>
      </c>
      <c r="G113">
        <f t="shared" si="27"/>
        <v>14456986</v>
      </c>
      <c r="H113">
        <f t="shared" si="28"/>
        <v>18430776</v>
      </c>
      <c r="I113">
        <f t="shared" si="29"/>
        <v>21143801</v>
      </c>
      <c r="J113">
        <f t="shared" si="30"/>
        <v>22515896</v>
      </c>
      <c r="K113">
        <f t="shared" si="31"/>
        <v>23683764</v>
      </c>
      <c r="L113">
        <f t="shared" si="32"/>
        <v>1.2174045129461978E-5</v>
      </c>
      <c r="M113">
        <f t="shared" si="33"/>
        <v>1.1611014099460599E-5</v>
      </c>
      <c r="N113">
        <f t="shared" si="34"/>
        <v>4.3511571074661556E-6</v>
      </c>
      <c r="O113">
        <f t="shared" si="35"/>
        <v>3.5086323013749928E-6</v>
      </c>
      <c r="P113">
        <f t="shared" si="36"/>
        <v>7.0934670688324711E-6</v>
      </c>
      <c r="Q113">
        <f t="shared" si="37"/>
        <v>0.15006325208931096</v>
      </c>
      <c r="R113">
        <f t="shared" si="38"/>
        <v>0.17996335390785975</v>
      </c>
      <c r="S113">
        <f t="shared" si="39"/>
        <v>9.7611508624599289E-2</v>
      </c>
      <c r="T113">
        <f t="shared" si="40"/>
        <v>6.3404741053191604E-2</v>
      </c>
      <c r="U113">
        <f t="shared" si="41"/>
        <v>0.11172482537849314</v>
      </c>
      <c r="V113">
        <f t="shared" si="42"/>
        <v>-0.73903478470998485</v>
      </c>
      <c r="W113">
        <f t="shared" si="43"/>
        <v>-0.69496789317761698</v>
      </c>
      <c r="X113">
        <f t="shared" si="44"/>
        <v>-0.82213832880284787</v>
      </c>
      <c r="Y113">
        <f t="shared" si="45"/>
        <v>-0.88075144184443688</v>
      </c>
      <c r="Z113">
        <f t="shared" si="46"/>
        <v>-0.79900633173239477</v>
      </c>
    </row>
    <row r="114" spans="1:26" ht="34.5" x14ac:dyDescent="0.25">
      <c r="A114" s="11" t="s">
        <v>39</v>
      </c>
      <c r="B114" s="5">
        <v>4</v>
      </c>
      <c r="C114" s="5">
        <v>25</v>
      </c>
      <c r="D114" s="5">
        <v>4</v>
      </c>
      <c r="E114" s="5">
        <v>9</v>
      </c>
      <c r="F114" s="7">
        <v>163</v>
      </c>
      <c r="G114">
        <f t="shared" si="27"/>
        <v>8477673</v>
      </c>
      <c r="H114">
        <f t="shared" si="28"/>
        <v>10873264</v>
      </c>
      <c r="I114">
        <f t="shared" si="29"/>
        <v>15654447</v>
      </c>
      <c r="J114">
        <f t="shared" si="30"/>
        <v>15117482</v>
      </c>
      <c r="K114">
        <f t="shared" si="31"/>
        <v>19382446</v>
      </c>
      <c r="L114">
        <f t="shared" si="32"/>
        <v>4.7182758759390694E-7</v>
      </c>
      <c r="M114">
        <f t="shared" si="33"/>
        <v>2.2992176038400245E-6</v>
      </c>
      <c r="N114">
        <f t="shared" si="34"/>
        <v>2.555184478889609E-7</v>
      </c>
      <c r="O114">
        <f t="shared" si="35"/>
        <v>5.9533723936301029E-7</v>
      </c>
      <c r="P114">
        <f t="shared" si="36"/>
        <v>8.4096713077389714E-6</v>
      </c>
      <c r="Q114">
        <f t="shared" si="37"/>
        <v>5.8159782937263534E-3</v>
      </c>
      <c r="R114">
        <f t="shared" si="38"/>
        <v>3.5636414511826829E-2</v>
      </c>
      <c r="S114">
        <f t="shared" si="39"/>
        <v>5.7321628623936173E-3</v>
      </c>
      <c r="T114">
        <f t="shared" si="40"/>
        <v>1.0758381118004562E-2</v>
      </c>
      <c r="U114">
        <f t="shared" si="41"/>
        <v>0.13245554666433468</v>
      </c>
      <c r="V114">
        <f t="shared" si="42"/>
        <v>-0.98843530343673269</v>
      </c>
      <c r="W114">
        <f t="shared" si="43"/>
        <v>-0.93117968041201993</v>
      </c>
      <c r="X114">
        <f t="shared" si="44"/>
        <v>-0.98860101511305065</v>
      </c>
      <c r="Y114">
        <f t="shared" si="45"/>
        <v>-0.97871225939060802</v>
      </c>
      <c r="Z114">
        <f t="shared" si="46"/>
        <v>-0.76607373763237852</v>
      </c>
    </row>
    <row r="115" spans="1:26" x14ac:dyDescent="0.25">
      <c r="A115" s="12" t="s">
        <v>175</v>
      </c>
      <c r="B115" s="4">
        <v>38</v>
      </c>
      <c r="C115" s="4">
        <v>12</v>
      </c>
      <c r="D115" s="4">
        <v>9</v>
      </c>
      <c r="E115" s="4">
        <v>15</v>
      </c>
      <c r="F115" s="6">
        <v>158</v>
      </c>
      <c r="G115">
        <f t="shared" si="27"/>
        <v>1334620</v>
      </c>
      <c r="H115">
        <f t="shared" si="28"/>
        <v>1537820</v>
      </c>
      <c r="I115">
        <f t="shared" si="29"/>
        <v>1795761</v>
      </c>
      <c r="J115">
        <f t="shared" si="30"/>
        <v>1831973</v>
      </c>
      <c r="K115">
        <f t="shared" si="31"/>
        <v>7067650</v>
      </c>
      <c r="L115">
        <f t="shared" si="32"/>
        <v>2.8472524014326174E-5</v>
      </c>
      <c r="M115">
        <f t="shared" si="33"/>
        <v>7.8032539569000273E-6</v>
      </c>
      <c r="N115">
        <f t="shared" si="34"/>
        <v>5.011802795583599E-6</v>
      </c>
      <c r="O115">
        <f t="shared" si="35"/>
        <v>8.1878935988685424E-6</v>
      </c>
      <c r="P115">
        <f t="shared" si="36"/>
        <v>2.2355379793849441E-5</v>
      </c>
      <c r="Q115">
        <f t="shared" si="37"/>
        <v>0.35096629783642141</v>
      </c>
      <c r="R115">
        <f t="shared" si="38"/>
        <v>0.12094548688419428</v>
      </c>
      <c r="S115">
        <f t="shared" si="39"/>
        <v>0.112432077197687</v>
      </c>
      <c r="T115">
        <f t="shared" si="40"/>
        <v>0.14796400101654869</v>
      </c>
      <c r="U115">
        <f t="shared" si="41"/>
        <v>0.35210580094351757</v>
      </c>
      <c r="V115">
        <f t="shared" si="42"/>
        <v>-0.48042183080585282</v>
      </c>
      <c r="W115">
        <f t="shared" si="43"/>
        <v>-0.78420808451555102</v>
      </c>
      <c r="X115">
        <f t="shared" si="44"/>
        <v>-0.79786257605783328</v>
      </c>
      <c r="Y115">
        <f t="shared" si="45"/>
        <v>-0.74221491111999482</v>
      </c>
      <c r="Z115">
        <f t="shared" si="46"/>
        <v>-0.47917418785155208</v>
      </c>
    </row>
    <row r="116" spans="1:26" x14ac:dyDescent="0.25">
      <c r="A116" s="11" t="s">
        <v>120</v>
      </c>
      <c r="B116" s="5">
        <v>51</v>
      </c>
      <c r="C116" s="5">
        <v>92</v>
      </c>
      <c r="D116" s="5">
        <v>110</v>
      </c>
      <c r="E116" s="5">
        <v>66</v>
      </c>
      <c r="F116" s="14">
        <v>153</v>
      </c>
      <c r="G116">
        <f t="shared" si="27"/>
        <v>5378310</v>
      </c>
      <c r="H116">
        <f t="shared" si="28"/>
        <v>7111525</v>
      </c>
      <c r="I116">
        <f t="shared" si="29"/>
        <v>9048377</v>
      </c>
      <c r="J116">
        <f t="shared" si="30"/>
        <v>10226926</v>
      </c>
      <c r="K116">
        <f t="shared" si="31"/>
        <v>11268015</v>
      </c>
      <c r="L116">
        <f t="shared" si="32"/>
        <v>9.4825326171232233E-6</v>
      </c>
      <c r="M116">
        <f t="shared" si="33"/>
        <v>1.2936747040894886E-5</v>
      </c>
      <c r="N116">
        <f t="shared" si="34"/>
        <v>1.215687631052508E-5</v>
      </c>
      <c r="O116">
        <f t="shared" si="35"/>
        <v>6.4535521230915333E-6</v>
      </c>
      <c r="P116">
        <f t="shared" si="36"/>
        <v>1.3578256684961815E-5</v>
      </c>
      <c r="Q116">
        <f t="shared" si="37"/>
        <v>0.11688634857486874</v>
      </c>
      <c r="R116">
        <f t="shared" si="38"/>
        <v>0.20051137361422891</v>
      </c>
      <c r="S116">
        <f t="shared" si="39"/>
        <v>0.27272079760044282</v>
      </c>
      <c r="T116">
        <f t="shared" si="40"/>
        <v>0.11662259424492512</v>
      </c>
      <c r="U116">
        <f t="shared" si="41"/>
        <v>0.21386274756068008</v>
      </c>
      <c r="V116">
        <f t="shared" si="42"/>
        <v>-0.7906924930651823</v>
      </c>
      <c r="W116">
        <f t="shared" si="43"/>
        <v>-0.66595672807234718</v>
      </c>
      <c r="X116">
        <f t="shared" si="44"/>
        <v>-0.57143656626869921</v>
      </c>
      <c r="Y116">
        <f t="shared" si="45"/>
        <v>-0.79111546757875373</v>
      </c>
      <c r="Z116">
        <f t="shared" si="46"/>
        <v>-0.64763273608907057</v>
      </c>
    </row>
    <row r="117" spans="1:26" ht="34.5" x14ac:dyDescent="0.25">
      <c r="A117" s="12" t="s">
        <v>35</v>
      </c>
      <c r="B117" s="4">
        <v>26</v>
      </c>
      <c r="C117" s="4">
        <v>1578</v>
      </c>
      <c r="D117" s="6">
        <v>302</v>
      </c>
      <c r="E117" s="6">
        <v>3457</v>
      </c>
      <c r="F117" s="6">
        <v>151</v>
      </c>
      <c r="G117">
        <f t="shared" si="27"/>
        <v>5023261</v>
      </c>
      <c r="H117">
        <f t="shared" si="28"/>
        <v>5871286</v>
      </c>
      <c r="I117">
        <f t="shared" si="29"/>
        <v>8284932</v>
      </c>
      <c r="J117">
        <f t="shared" si="30"/>
        <v>9155771</v>
      </c>
      <c r="K117">
        <f t="shared" si="31"/>
        <v>9241694</v>
      </c>
      <c r="L117">
        <f t="shared" si="32"/>
        <v>5.1759205822671764E-6</v>
      </c>
      <c r="M117">
        <f t="shared" si="33"/>
        <v>2.6876565031919755E-4</v>
      </c>
      <c r="N117">
        <f t="shared" si="34"/>
        <v>3.6451717406974491E-5</v>
      </c>
      <c r="O117">
        <f t="shared" si="35"/>
        <v>3.7757606650493987E-4</v>
      </c>
      <c r="P117">
        <f t="shared" si="36"/>
        <v>1.6338995859417115E-5</v>
      </c>
      <c r="Q117">
        <f t="shared" si="37"/>
        <v>6.3800936079274964E-2</v>
      </c>
      <c r="R117">
        <f t="shared" si="38"/>
        <v>4.1656971072765137</v>
      </c>
      <c r="S117">
        <f t="shared" si="39"/>
        <v>0.81773814187196003</v>
      </c>
      <c r="T117">
        <f t="shared" si="40"/>
        <v>6.8232036498228981</v>
      </c>
      <c r="U117">
        <f t="shared" si="41"/>
        <v>0.25734544779577839</v>
      </c>
      <c r="V117">
        <f t="shared" si="42"/>
        <v>-0.88005098714348096</v>
      </c>
      <c r="W117">
        <f t="shared" si="43"/>
        <v>0.61283057088601722</v>
      </c>
      <c r="X117">
        <f t="shared" si="44"/>
        <v>-0.10026848968484611</v>
      </c>
      <c r="Y117">
        <f t="shared" si="45"/>
        <v>0.74435025732133719</v>
      </c>
      <c r="Z117">
        <f t="shared" si="46"/>
        <v>-0.59065275458399369</v>
      </c>
    </row>
    <row r="118" spans="1:26" x14ac:dyDescent="0.25">
      <c r="A118" s="11" t="s">
        <v>54</v>
      </c>
      <c r="B118" s="5">
        <v>42</v>
      </c>
      <c r="C118" s="5">
        <v>75</v>
      </c>
      <c r="D118" s="5">
        <v>26</v>
      </c>
      <c r="E118" s="5">
        <v>52</v>
      </c>
      <c r="F118" s="14">
        <v>149</v>
      </c>
      <c r="G118">
        <f t="shared" si="27"/>
        <v>6437597</v>
      </c>
      <c r="H118">
        <f t="shared" si="28"/>
        <v>8622697</v>
      </c>
      <c r="I118">
        <f t="shared" si="29"/>
        <v>14512194</v>
      </c>
      <c r="J118">
        <f t="shared" si="30"/>
        <v>10069934</v>
      </c>
      <c r="K118">
        <f t="shared" si="31"/>
        <v>9212662</v>
      </c>
      <c r="L118">
        <f t="shared" si="32"/>
        <v>6.5241735386666798E-6</v>
      </c>
      <c r="M118">
        <f t="shared" si="33"/>
        <v>8.6979746592046542E-6</v>
      </c>
      <c r="N118">
        <f t="shared" si="34"/>
        <v>1.7915967771654651E-6</v>
      </c>
      <c r="O118">
        <f t="shared" si="35"/>
        <v>5.1638868735385952E-6</v>
      </c>
      <c r="P118">
        <f t="shared" si="36"/>
        <v>1.6173392663271485E-5</v>
      </c>
      <c r="Q118">
        <f t="shared" si="37"/>
        <v>8.0420163388257263E-2</v>
      </c>
      <c r="R118">
        <f t="shared" si="38"/>
        <v>0.13481309026648769</v>
      </c>
      <c r="S118">
        <f t="shared" si="39"/>
        <v>4.0191714513367831E-2</v>
      </c>
      <c r="T118">
        <f t="shared" si="40"/>
        <v>9.3316962828045469E-2</v>
      </c>
      <c r="U118">
        <f t="shared" si="41"/>
        <v>0.25473713397801417</v>
      </c>
      <c r="V118">
        <f t="shared" si="42"/>
        <v>-0.85113168725756616</v>
      </c>
      <c r="W118">
        <f t="shared" si="43"/>
        <v>-0.76240476705317251</v>
      </c>
      <c r="X118">
        <f t="shared" si="44"/>
        <v>-0.92272248672511159</v>
      </c>
      <c r="Y118">
        <f t="shared" si="45"/>
        <v>-0.82929568276949495</v>
      </c>
      <c r="Z118">
        <f t="shared" si="46"/>
        <v>-0.59395936076204825</v>
      </c>
    </row>
    <row r="119" spans="1:26" x14ac:dyDescent="0.25">
      <c r="A119" s="12" t="s">
        <v>190</v>
      </c>
      <c r="B119" s="4">
        <v>146</v>
      </c>
      <c r="C119" s="4">
        <v>181</v>
      </c>
      <c r="D119" s="4">
        <v>185</v>
      </c>
      <c r="E119" s="4">
        <v>128</v>
      </c>
      <c r="F119" s="13">
        <v>134</v>
      </c>
      <c r="G119">
        <f t="shared" si="27"/>
        <v>1501237</v>
      </c>
      <c r="H119">
        <f t="shared" si="28"/>
        <v>1673621</v>
      </c>
      <c r="I119">
        <f t="shared" si="29"/>
        <v>2147541</v>
      </c>
      <c r="J119">
        <f t="shared" si="30"/>
        <v>2118006</v>
      </c>
      <c r="K119">
        <f t="shared" si="31"/>
        <v>2153549</v>
      </c>
      <c r="L119">
        <f t="shared" si="32"/>
        <v>9.7253131917212274E-5</v>
      </c>
      <c r="M119">
        <f t="shared" si="33"/>
        <v>1.0814873857342851E-4</v>
      </c>
      <c r="N119">
        <f t="shared" si="34"/>
        <v>8.614503751034323E-5</v>
      </c>
      <c r="O119">
        <f t="shared" si="35"/>
        <v>6.0434200847400808E-5</v>
      </c>
      <c r="P119">
        <f t="shared" si="36"/>
        <v>6.2222870248134597E-5</v>
      </c>
      <c r="Q119">
        <f t="shared" si="37"/>
        <v>1.1987898103029797</v>
      </c>
      <c r="R119">
        <f t="shared" si="38"/>
        <v>1.6762368513085075</v>
      </c>
      <c r="S119">
        <f t="shared" si="39"/>
        <v>1.9325312472580496</v>
      </c>
      <c r="T119">
        <f t="shared" si="40"/>
        <v>1.0921106933845353</v>
      </c>
      <c r="U119">
        <f t="shared" si="41"/>
        <v>0.98003405747334948</v>
      </c>
      <c r="V119">
        <f t="shared" si="42"/>
        <v>9.0408737284255317E-2</v>
      </c>
      <c r="W119">
        <f t="shared" si="43"/>
        <v>0.25268198925587293</v>
      </c>
      <c r="X119">
        <f t="shared" si="44"/>
        <v>0.31799533189287482</v>
      </c>
      <c r="Y119">
        <f t="shared" si="45"/>
        <v>4.4027638535474506E-2</v>
      </c>
      <c r="Z119">
        <f t="shared" si="46"/>
        <v>-1.008363591085314E-2</v>
      </c>
    </row>
    <row r="120" spans="1:26" x14ac:dyDescent="0.25">
      <c r="A120" s="11" t="s">
        <v>166</v>
      </c>
      <c r="B120" s="5">
        <v>100</v>
      </c>
      <c r="C120" s="5">
        <v>97</v>
      </c>
      <c r="D120" s="5">
        <v>86</v>
      </c>
      <c r="E120" s="5">
        <v>100</v>
      </c>
      <c r="F120" s="14">
        <v>133</v>
      </c>
      <c r="G120">
        <f t="shared" si="27"/>
        <v>9887885</v>
      </c>
      <c r="H120">
        <f t="shared" si="28"/>
        <v>14617423</v>
      </c>
      <c r="I120">
        <f t="shared" si="29"/>
        <v>17108010</v>
      </c>
      <c r="J120">
        <f t="shared" si="30"/>
        <v>15648327</v>
      </c>
      <c r="K120">
        <f t="shared" si="31"/>
        <v>15972638</v>
      </c>
      <c r="L120">
        <f t="shared" si="32"/>
        <v>1.0113386229714443E-5</v>
      </c>
      <c r="M120">
        <f t="shared" si="33"/>
        <v>6.6359166044520979E-6</v>
      </c>
      <c r="N120">
        <f t="shared" si="34"/>
        <v>5.0268850672871944E-6</v>
      </c>
      <c r="O120">
        <f t="shared" si="35"/>
        <v>6.3904595040735027E-6</v>
      </c>
      <c r="P120">
        <f t="shared" si="36"/>
        <v>8.3267397658420604E-6</v>
      </c>
      <c r="Q120">
        <f t="shared" si="37"/>
        <v>0.12466255966091326</v>
      </c>
      <c r="R120">
        <f t="shared" si="38"/>
        <v>0.10285249833996279</v>
      </c>
      <c r="S120">
        <f t="shared" si="39"/>
        <v>0.11277042473562074</v>
      </c>
      <c r="T120">
        <f t="shared" si="40"/>
        <v>0.11548244308983308</v>
      </c>
      <c r="U120">
        <f t="shared" si="41"/>
        <v>0.13114934309041343</v>
      </c>
      <c r="V120">
        <f t="shared" si="42"/>
        <v>-0.77831117682356366</v>
      </c>
      <c r="W120">
        <f t="shared" si="43"/>
        <v>-0.81347913978564024</v>
      </c>
      <c r="X120">
        <f t="shared" si="44"/>
        <v>-0.79731592028533027</v>
      </c>
      <c r="Y120">
        <f t="shared" si="45"/>
        <v>-0.79294619327229876</v>
      </c>
      <c r="Z120">
        <f t="shared" si="46"/>
        <v>-0.76811312512970176</v>
      </c>
    </row>
    <row r="121" spans="1:26" x14ac:dyDescent="0.25">
      <c r="A121" s="12" t="s">
        <v>119</v>
      </c>
      <c r="B121" s="4">
        <v>44</v>
      </c>
      <c r="C121" s="4">
        <v>52</v>
      </c>
      <c r="D121" s="4">
        <v>17</v>
      </c>
      <c r="E121" s="4">
        <v>14</v>
      </c>
      <c r="F121" s="6">
        <v>133</v>
      </c>
      <c r="G121">
        <f t="shared" si="27"/>
        <v>5643095</v>
      </c>
      <c r="H121">
        <f t="shared" si="28"/>
        <v>7577619</v>
      </c>
      <c r="I121">
        <f t="shared" si="29"/>
        <v>8603710</v>
      </c>
      <c r="J121">
        <f t="shared" si="30"/>
        <v>9201594</v>
      </c>
      <c r="K121">
        <f t="shared" si="31"/>
        <v>6530844</v>
      </c>
      <c r="L121">
        <f t="shared" si="32"/>
        <v>7.7971396901877432E-6</v>
      </c>
      <c r="M121">
        <f t="shared" si="33"/>
        <v>6.8623138745825042E-6</v>
      </c>
      <c r="N121">
        <f t="shared" si="34"/>
        <v>1.9758917955161205E-6</v>
      </c>
      <c r="O121">
        <f t="shared" si="35"/>
        <v>1.5214755182634661E-6</v>
      </c>
      <c r="P121">
        <f t="shared" si="36"/>
        <v>2.0364902300529611E-5</v>
      </c>
      <c r="Q121">
        <f t="shared" si="37"/>
        <v>9.6111368609319847E-2</v>
      </c>
      <c r="R121">
        <f t="shared" si="38"/>
        <v>0.10636151242772834</v>
      </c>
      <c r="S121">
        <f t="shared" si="39"/>
        <v>4.4326089423052842E-2</v>
      </c>
      <c r="T121">
        <f t="shared" si="40"/>
        <v>2.7494691084175609E-2</v>
      </c>
      <c r="U121">
        <f t="shared" si="41"/>
        <v>0.32075501744046792</v>
      </c>
      <c r="V121">
        <f t="shared" si="42"/>
        <v>-0.82463211063806385</v>
      </c>
      <c r="W121">
        <f t="shared" si="43"/>
        <v>-0.80772738163254509</v>
      </c>
      <c r="X121">
        <f t="shared" si="44"/>
        <v>-0.91511063474907317</v>
      </c>
      <c r="Y121">
        <f t="shared" si="45"/>
        <v>-0.94648207660291817</v>
      </c>
      <c r="Z121">
        <f t="shared" si="46"/>
        <v>-0.51428536979996642</v>
      </c>
    </row>
    <row r="122" spans="1:26" x14ac:dyDescent="0.25">
      <c r="A122" s="11" t="s">
        <v>177</v>
      </c>
      <c r="B122" s="5">
        <v>204</v>
      </c>
      <c r="C122" s="5">
        <v>201</v>
      </c>
      <c r="D122" s="5">
        <v>112</v>
      </c>
      <c r="E122" s="5">
        <v>119</v>
      </c>
      <c r="F122" s="7">
        <v>131</v>
      </c>
      <c r="G122">
        <f t="shared" si="27"/>
        <v>1605274</v>
      </c>
      <c r="H122">
        <f t="shared" si="28"/>
        <v>2051495</v>
      </c>
      <c r="I122">
        <f t="shared" si="29"/>
        <v>2123792</v>
      </c>
      <c r="J122">
        <f t="shared" si="30"/>
        <v>2038539</v>
      </c>
      <c r="K122">
        <f t="shared" si="31"/>
        <v>2123695</v>
      </c>
      <c r="L122">
        <f t="shared" si="32"/>
        <v>1.270811088948055E-4</v>
      </c>
      <c r="M122">
        <f t="shared" si="33"/>
        <v>9.7977328728561367E-5</v>
      </c>
      <c r="N122">
        <f t="shared" si="34"/>
        <v>5.2735861138943928E-5</v>
      </c>
      <c r="O122">
        <f t="shared" si="35"/>
        <v>5.8375140235237101E-5</v>
      </c>
      <c r="P122">
        <f t="shared" si="36"/>
        <v>6.1684940634130605E-5</v>
      </c>
      <c r="Q122">
        <f t="shared" si="37"/>
        <v>1.5664640862649049</v>
      </c>
      <c r="R122">
        <f t="shared" si="38"/>
        <v>1.5185864502346897</v>
      </c>
      <c r="S122">
        <f t="shared" si="39"/>
        <v>1.1830478277966283</v>
      </c>
      <c r="T122">
        <f t="shared" si="40"/>
        <v>1.0549012642642757</v>
      </c>
      <c r="U122">
        <f t="shared" si="41"/>
        <v>0.97156145985538267</v>
      </c>
      <c r="V122">
        <f t="shared" si="42"/>
        <v>0.22071771403172313</v>
      </c>
      <c r="W122">
        <f t="shared" si="43"/>
        <v>0.20590377200924204</v>
      </c>
      <c r="X122">
        <f t="shared" si="44"/>
        <v>8.3849664430568294E-2</v>
      </c>
      <c r="Y122">
        <f t="shared" si="45"/>
        <v>2.6717227352493836E-2</v>
      </c>
      <c r="Z122">
        <f t="shared" si="46"/>
        <v>-1.4424374143884587E-2</v>
      </c>
    </row>
    <row r="123" spans="1:26" x14ac:dyDescent="0.25">
      <c r="A123" s="12" t="s">
        <v>126</v>
      </c>
      <c r="B123" s="4">
        <v>324</v>
      </c>
      <c r="C123" s="4">
        <v>120</v>
      </c>
      <c r="D123" s="4">
        <v>144</v>
      </c>
      <c r="E123" s="4">
        <v>95</v>
      </c>
      <c r="F123" s="13">
        <v>126</v>
      </c>
      <c r="G123">
        <f t="shared" si="27"/>
        <v>4241133</v>
      </c>
      <c r="H123">
        <f t="shared" si="28"/>
        <v>5179825</v>
      </c>
      <c r="I123">
        <f t="shared" si="29"/>
        <v>6610753</v>
      </c>
      <c r="J123">
        <f t="shared" si="30"/>
        <v>6304368</v>
      </c>
      <c r="K123">
        <f t="shared" si="31"/>
        <v>6801692</v>
      </c>
      <c r="L123">
        <f t="shared" si="32"/>
        <v>7.6394680383755942E-5</v>
      </c>
      <c r="M123">
        <f t="shared" si="33"/>
        <v>2.3166805828382234E-5</v>
      </c>
      <c r="N123">
        <f t="shared" si="34"/>
        <v>2.1782692531395439E-5</v>
      </c>
      <c r="O123">
        <f t="shared" si="35"/>
        <v>1.506891729670603E-5</v>
      </c>
      <c r="P123">
        <f t="shared" si="36"/>
        <v>1.8524802358001509E-5</v>
      </c>
      <c r="Q123">
        <f t="shared" si="37"/>
        <v>0.94167830485252602</v>
      </c>
      <c r="R123">
        <f t="shared" si="38"/>
        <v>0.3590707960988096</v>
      </c>
      <c r="S123">
        <f t="shared" si="39"/>
        <v>0.48866116009621441</v>
      </c>
      <c r="T123">
        <f t="shared" si="40"/>
        <v>0.27231146414948626</v>
      </c>
      <c r="U123">
        <f t="shared" si="41"/>
        <v>0.2917727380046144</v>
      </c>
      <c r="V123">
        <f t="shared" si="42"/>
        <v>-3.0036744501764225E-2</v>
      </c>
      <c r="W123">
        <f t="shared" si="43"/>
        <v>-0.47159368425910353</v>
      </c>
      <c r="X123">
        <f t="shared" si="44"/>
        <v>-0.34348907166405612</v>
      </c>
      <c r="Y123">
        <f t="shared" si="45"/>
        <v>-0.57194213551864714</v>
      </c>
      <c r="Z123">
        <f t="shared" si="46"/>
        <v>-0.54825995406078587</v>
      </c>
    </row>
    <row r="124" spans="1:26" x14ac:dyDescent="0.25">
      <c r="A124" s="11" t="s">
        <v>192</v>
      </c>
      <c r="B124" s="7">
        <v>1918</v>
      </c>
      <c r="C124" s="7">
        <v>2041</v>
      </c>
      <c r="D124" s="7">
        <v>2239</v>
      </c>
      <c r="E124" s="7">
        <v>1714</v>
      </c>
      <c r="F124" s="7">
        <v>122</v>
      </c>
      <c r="G124">
        <f t="shared" si="27"/>
        <v>4420043</v>
      </c>
      <c r="H124">
        <f t="shared" si="28"/>
        <v>5159980</v>
      </c>
      <c r="I124">
        <f t="shared" si="29"/>
        <v>5824416</v>
      </c>
      <c r="J124">
        <f t="shared" si="30"/>
        <v>5298254</v>
      </c>
      <c r="K124">
        <f t="shared" si="31"/>
        <v>3100163</v>
      </c>
      <c r="L124">
        <f t="shared" si="32"/>
        <v>4.3393243006911925E-4</v>
      </c>
      <c r="M124">
        <f t="shared" si="33"/>
        <v>3.9554416877584796E-4</v>
      </c>
      <c r="N124">
        <f t="shared" si="34"/>
        <v>3.8441622301703724E-4</v>
      </c>
      <c r="O124">
        <f t="shared" si="35"/>
        <v>3.2350279922404624E-4</v>
      </c>
      <c r="P124">
        <f t="shared" si="36"/>
        <v>3.9352769515667399E-5</v>
      </c>
      <c r="Q124">
        <f t="shared" si="37"/>
        <v>5.3488639930865229</v>
      </c>
      <c r="R124">
        <f t="shared" si="38"/>
        <v>6.1306837302785668</v>
      </c>
      <c r="S124">
        <f t="shared" si="39"/>
        <v>8.6237859359472182</v>
      </c>
      <c r="T124">
        <f t="shared" si="40"/>
        <v>5.8460418342341036</v>
      </c>
      <c r="U124">
        <f t="shared" si="41"/>
        <v>0.61982120444547117</v>
      </c>
      <c r="V124">
        <f t="shared" si="42"/>
        <v>0.68498301394109828</v>
      </c>
      <c r="W124">
        <f t="shared" si="43"/>
        <v>0.71952198756095043</v>
      </c>
      <c r="X124">
        <f t="shared" si="44"/>
        <v>0.79218157871430761</v>
      </c>
      <c r="Y124">
        <f t="shared" si="45"/>
        <v>0.70786038875794444</v>
      </c>
      <c r="Z124">
        <f t="shared" si="46"/>
        <v>-0.23470417260322202</v>
      </c>
    </row>
    <row r="125" spans="1:26" x14ac:dyDescent="0.25">
      <c r="A125" s="12" t="s">
        <v>91</v>
      </c>
      <c r="B125" s="4">
        <v>199</v>
      </c>
      <c r="C125" s="4">
        <v>223</v>
      </c>
      <c r="D125" s="4">
        <v>96</v>
      </c>
      <c r="E125" s="4">
        <v>116</v>
      </c>
      <c r="F125" s="13">
        <v>118</v>
      </c>
      <c r="G125">
        <f t="shared" si="27"/>
        <v>14739520</v>
      </c>
      <c r="H125">
        <f t="shared" si="28"/>
        <v>20595840</v>
      </c>
      <c r="I125">
        <f t="shared" si="29"/>
        <v>29249346</v>
      </c>
      <c r="J125">
        <f t="shared" si="30"/>
        <v>34284541</v>
      </c>
      <c r="K125">
        <f t="shared" si="31"/>
        <v>26686634</v>
      </c>
      <c r="L125">
        <f t="shared" si="32"/>
        <v>1.3501118082542715E-5</v>
      </c>
      <c r="M125">
        <f t="shared" si="33"/>
        <v>1.0827429228426712E-5</v>
      </c>
      <c r="N125">
        <f t="shared" si="34"/>
        <v>3.2821246669925543E-6</v>
      </c>
      <c r="O125">
        <f t="shared" si="35"/>
        <v>3.3834491177816846E-6</v>
      </c>
      <c r="P125">
        <f t="shared" si="36"/>
        <v>4.4216891497069285E-6</v>
      </c>
      <c r="Q125">
        <f t="shared" si="37"/>
        <v>0.16642140428780389</v>
      </c>
      <c r="R125">
        <f t="shared" si="38"/>
        <v>0.16781828541903007</v>
      </c>
      <c r="S125">
        <f t="shared" si="39"/>
        <v>7.3629412206106082E-2</v>
      </c>
      <c r="T125">
        <f t="shared" si="40"/>
        <v>6.1142546939309296E-2</v>
      </c>
      <c r="U125">
        <f t="shared" si="41"/>
        <v>6.9643299015173271E-2</v>
      </c>
      <c r="V125">
        <f t="shared" si="42"/>
        <v>-0.71464617559994492</v>
      </c>
      <c r="W125">
        <f t="shared" si="43"/>
        <v>-0.71259520849373503</v>
      </c>
      <c r="X125">
        <f t="shared" si="44"/>
        <v>-0.86284017302616267</v>
      </c>
      <c r="Y125">
        <f t="shared" si="45"/>
        <v>-0.88476091715356275</v>
      </c>
      <c r="Z125">
        <f t="shared" si="46"/>
        <v>-0.869782199207354</v>
      </c>
    </row>
    <row r="126" spans="1:26" x14ac:dyDescent="0.25">
      <c r="A126" s="11" t="s">
        <v>13</v>
      </c>
      <c r="B126" s="5">
        <v>68</v>
      </c>
      <c r="C126" s="5">
        <v>94</v>
      </c>
      <c r="D126" s="5">
        <v>196</v>
      </c>
      <c r="E126" s="5">
        <v>122</v>
      </c>
      <c r="F126" s="14">
        <v>110</v>
      </c>
      <c r="G126">
        <f t="shared" si="27"/>
        <v>36064092</v>
      </c>
      <c r="H126">
        <f t="shared" si="28"/>
        <v>51177743</v>
      </c>
      <c r="I126">
        <f t="shared" si="29"/>
        <v>60318941</v>
      </c>
      <c r="J126">
        <f t="shared" si="30"/>
        <v>52273093</v>
      </c>
      <c r="K126">
        <f t="shared" si="31"/>
        <v>55026567</v>
      </c>
      <c r="L126">
        <f t="shared" si="32"/>
        <v>1.8855320133943758E-6</v>
      </c>
      <c r="M126">
        <f t="shared" si="33"/>
        <v>1.8367359420285493E-6</v>
      </c>
      <c r="N126">
        <f t="shared" si="34"/>
        <v>3.2493939175755754E-6</v>
      </c>
      <c r="O126">
        <f t="shared" si="35"/>
        <v>2.3338967143191624E-6</v>
      </c>
      <c r="P126">
        <f t="shared" si="36"/>
        <v>1.9990343936956851E-6</v>
      </c>
      <c r="Q126">
        <f t="shared" si="37"/>
        <v>2.324199252093383E-2</v>
      </c>
      <c r="R126">
        <f t="shared" si="38"/>
        <v>2.846824209660772E-2</v>
      </c>
      <c r="S126">
        <f t="shared" si="39"/>
        <v>7.2895148250542871E-2</v>
      </c>
      <c r="T126">
        <f t="shared" si="40"/>
        <v>4.2176011649413786E-2</v>
      </c>
      <c r="U126">
        <f t="shared" si="41"/>
        <v>3.1485557963972143E-2</v>
      </c>
      <c r="V126">
        <f t="shared" si="42"/>
        <v>-0.95457185555164104</v>
      </c>
      <c r="W126">
        <f t="shared" si="43"/>
        <v>-0.94463953103972731</v>
      </c>
      <c r="X126">
        <f t="shared" si="44"/>
        <v>-0.86411505659354448</v>
      </c>
      <c r="Y126">
        <f t="shared" si="45"/>
        <v>-0.91906163416165498</v>
      </c>
      <c r="Z126">
        <f t="shared" si="46"/>
        <v>-0.9389510444991187</v>
      </c>
    </row>
    <row r="127" spans="1:26" ht="34.5" x14ac:dyDescent="0.25">
      <c r="A127" s="12" t="s">
        <v>161</v>
      </c>
      <c r="B127" s="6">
        <v>65</v>
      </c>
      <c r="C127" s="6">
        <v>60</v>
      </c>
      <c r="D127" s="6">
        <v>53</v>
      </c>
      <c r="E127" s="6">
        <v>94</v>
      </c>
      <c r="F127" s="6">
        <v>109</v>
      </c>
      <c r="G127">
        <f t="shared" si="27"/>
        <v>19663868</v>
      </c>
      <c r="H127">
        <f t="shared" si="28"/>
        <v>23839731</v>
      </c>
      <c r="I127">
        <f t="shared" si="29"/>
        <v>51612558</v>
      </c>
      <c r="J127">
        <f t="shared" si="30"/>
        <v>50655550</v>
      </c>
      <c r="K127">
        <f t="shared" si="31"/>
        <v>50326161</v>
      </c>
      <c r="L127">
        <f t="shared" si="32"/>
        <v>3.3055551430674778E-6</v>
      </c>
      <c r="M127">
        <f t="shared" si="33"/>
        <v>2.5168069220244137E-6</v>
      </c>
      <c r="N127">
        <f t="shared" si="34"/>
        <v>1.0268818685560982E-6</v>
      </c>
      <c r="O127">
        <f t="shared" si="35"/>
        <v>1.8556703066100358E-6</v>
      </c>
      <c r="P127">
        <f t="shared" si="36"/>
        <v>2.1658715434304635E-6</v>
      </c>
      <c r="Q127">
        <f t="shared" si="37"/>
        <v>4.0745894191635497E-2</v>
      </c>
      <c r="R127">
        <f t="shared" si="38"/>
        <v>3.9008910931136689E-2</v>
      </c>
      <c r="S127">
        <f t="shared" si="39"/>
        <v>2.3036513252305695E-2</v>
      </c>
      <c r="T127">
        <f t="shared" si="40"/>
        <v>3.3533948605727948E-2</v>
      </c>
      <c r="U127">
        <f t="shared" si="41"/>
        <v>3.411330702376042E-2</v>
      </c>
      <c r="V127">
        <f t="shared" si="42"/>
        <v>-0.9216986693504402</v>
      </c>
      <c r="W127">
        <f t="shared" si="43"/>
        <v>-0.92491130630212259</v>
      </c>
      <c r="X127">
        <f t="shared" si="44"/>
        <v>-0.95496443586540047</v>
      </c>
      <c r="Y127">
        <f t="shared" si="45"/>
        <v>-0.93510818168872645</v>
      </c>
      <c r="Z127">
        <f t="shared" si="46"/>
        <v>-0.93402404399583527</v>
      </c>
    </row>
    <row r="128" spans="1:26" x14ac:dyDescent="0.25">
      <c r="A128" s="11" t="s">
        <v>116</v>
      </c>
      <c r="B128" s="5">
        <v>32</v>
      </c>
      <c r="C128" s="5">
        <v>3</v>
      </c>
      <c r="D128" s="5">
        <v>1</v>
      </c>
      <c r="E128" s="5">
        <v>48</v>
      </c>
      <c r="F128" s="14">
        <v>107</v>
      </c>
      <c r="G128">
        <f t="shared" si="27"/>
        <v>19296193</v>
      </c>
      <c r="H128">
        <f t="shared" si="28"/>
        <v>28702890</v>
      </c>
      <c r="I128">
        <f t="shared" si="29"/>
        <v>29941602</v>
      </c>
      <c r="J128">
        <f t="shared" si="30"/>
        <v>24407102</v>
      </c>
      <c r="K128">
        <f t="shared" si="31"/>
        <v>28710505</v>
      </c>
      <c r="L128">
        <f t="shared" si="32"/>
        <v>1.6583582056833699E-6</v>
      </c>
      <c r="M128">
        <f t="shared" si="33"/>
        <v>1.0451909197993652E-7</v>
      </c>
      <c r="N128">
        <f t="shared" si="34"/>
        <v>3.3398346554736783E-8</v>
      </c>
      <c r="O128">
        <f t="shared" si="35"/>
        <v>1.9666406933522874E-6</v>
      </c>
      <c r="P128">
        <f t="shared" si="36"/>
        <v>3.7268588622875146E-6</v>
      </c>
      <c r="Q128">
        <f t="shared" si="37"/>
        <v>2.0441736729855463E-2</v>
      </c>
      <c r="R128">
        <f t="shared" si="38"/>
        <v>1.6199796313215466E-3</v>
      </c>
      <c r="S128">
        <f t="shared" si="39"/>
        <v>7.4924046920326075E-4</v>
      </c>
      <c r="T128">
        <f t="shared" si="40"/>
        <v>3.5539302268238454E-2</v>
      </c>
      <c r="U128">
        <f t="shared" si="41"/>
        <v>5.8699455648265314E-2</v>
      </c>
      <c r="V128">
        <f t="shared" si="42"/>
        <v>-0.95993551421100465</v>
      </c>
      <c r="W128">
        <f t="shared" si="43"/>
        <v>-0.99676528091638528</v>
      </c>
      <c r="X128">
        <f t="shared" si="44"/>
        <v>-0.99850264094359542</v>
      </c>
      <c r="Y128">
        <f t="shared" si="45"/>
        <v>-0.93136078526349819</v>
      </c>
      <c r="Z128">
        <f t="shared" si="46"/>
        <v>-0.88911025629587703</v>
      </c>
    </row>
    <row r="129" spans="1:26" x14ac:dyDescent="0.25">
      <c r="A129" s="12" t="s">
        <v>50</v>
      </c>
      <c r="B129" s="4">
        <v>152</v>
      </c>
      <c r="C129" s="4">
        <v>147</v>
      </c>
      <c r="D129" s="4">
        <v>176</v>
      </c>
      <c r="E129" s="4">
        <v>98</v>
      </c>
      <c r="F129" s="6">
        <v>96</v>
      </c>
      <c r="G129">
        <f t="shared" si="27"/>
        <v>8250511</v>
      </c>
      <c r="H129">
        <f t="shared" si="28"/>
        <v>9086037</v>
      </c>
      <c r="I129">
        <f t="shared" si="29"/>
        <v>9747769</v>
      </c>
      <c r="J129">
        <f t="shared" si="30"/>
        <v>11780107</v>
      </c>
      <c r="K129">
        <f t="shared" si="31"/>
        <v>4539022</v>
      </c>
      <c r="L129">
        <f t="shared" si="32"/>
        <v>1.8423101308512892E-5</v>
      </c>
      <c r="M129">
        <f t="shared" si="33"/>
        <v>1.617867063495339E-5</v>
      </c>
      <c r="N129">
        <f t="shared" si="34"/>
        <v>1.8055413500258366E-5</v>
      </c>
      <c r="O129">
        <f t="shared" si="35"/>
        <v>8.3191094953551786E-6</v>
      </c>
      <c r="P129">
        <f t="shared" si="36"/>
        <v>2.1149930535696898E-5</v>
      </c>
      <c r="Q129">
        <f t="shared" si="37"/>
        <v>0.22709218394760994</v>
      </c>
      <c r="R129">
        <f t="shared" si="38"/>
        <v>0.25075913303490643</v>
      </c>
      <c r="S129">
        <f t="shared" si="39"/>
        <v>0.40504539529888356</v>
      </c>
      <c r="T129">
        <f t="shared" si="40"/>
        <v>0.15033521270936048</v>
      </c>
      <c r="U129">
        <f t="shared" si="41"/>
        <v>0.33311951305878446</v>
      </c>
      <c r="V129">
        <f t="shared" si="42"/>
        <v>-0.62986939869986902</v>
      </c>
      <c r="W129">
        <f t="shared" si="43"/>
        <v>-0.59902889947091331</v>
      </c>
      <c r="X129">
        <f t="shared" si="44"/>
        <v>-0.42344155334180988</v>
      </c>
      <c r="Y129">
        <f t="shared" si="45"/>
        <v>-0.7386236445717782</v>
      </c>
      <c r="Z129">
        <f t="shared" si="46"/>
        <v>-0.50024058639055347</v>
      </c>
    </row>
    <row r="130" spans="1:26" x14ac:dyDescent="0.25">
      <c r="A130" s="11" t="s">
        <v>44</v>
      </c>
      <c r="B130" s="5">
        <v>32</v>
      </c>
      <c r="C130" s="5">
        <v>29</v>
      </c>
      <c r="D130" s="5">
        <v>17</v>
      </c>
      <c r="E130" s="5">
        <v>16</v>
      </c>
      <c r="F130" s="7">
        <v>94</v>
      </c>
      <c r="G130">
        <f t="shared" si="27"/>
        <v>6545027</v>
      </c>
      <c r="H130">
        <f t="shared" si="28"/>
        <v>10163198</v>
      </c>
      <c r="I130">
        <f t="shared" si="29"/>
        <v>11246827</v>
      </c>
      <c r="J130">
        <f t="shared" si="30"/>
        <v>10916351</v>
      </c>
      <c r="K130">
        <f t="shared" si="31"/>
        <v>8949467</v>
      </c>
      <c r="L130">
        <f t="shared" si="32"/>
        <v>4.8892082492555036E-6</v>
      </c>
      <c r="M130">
        <f t="shared" si="33"/>
        <v>2.8534325514468968E-6</v>
      </c>
      <c r="N130">
        <f t="shared" si="34"/>
        <v>1.5115374318463333E-6</v>
      </c>
      <c r="O130">
        <f t="shared" si="35"/>
        <v>1.4656912369343931E-6</v>
      </c>
      <c r="P130">
        <f t="shared" si="36"/>
        <v>1.0503418806952415E-5</v>
      </c>
      <c r="Q130">
        <f t="shared" si="37"/>
        <v>6.0266779219471489E-2</v>
      </c>
      <c r="R130">
        <f t="shared" si="38"/>
        <v>4.4226394672288005E-2</v>
      </c>
      <c r="S130">
        <f t="shared" si="39"/>
        <v>3.3909014411799346E-2</v>
      </c>
      <c r="T130">
        <f t="shared" si="40"/>
        <v>2.6486609413399746E-2</v>
      </c>
      <c r="U130">
        <f t="shared" si="41"/>
        <v>0.16543287234532647</v>
      </c>
      <c r="V130">
        <f t="shared" si="42"/>
        <v>-0.88631770720226155</v>
      </c>
      <c r="W130">
        <f t="shared" si="43"/>
        <v>-0.91529347486726242</v>
      </c>
      <c r="X130">
        <f t="shared" si="44"/>
        <v>-0.93440619253892376</v>
      </c>
      <c r="Y130">
        <f t="shared" si="45"/>
        <v>-0.94839365819192534</v>
      </c>
      <c r="Z130">
        <f t="shared" si="46"/>
        <v>-0.7161005558176714</v>
      </c>
    </row>
    <row r="131" spans="1:26" x14ac:dyDescent="0.25">
      <c r="A131" s="12" t="s">
        <v>23</v>
      </c>
      <c r="B131" s="4">
        <v>346</v>
      </c>
      <c r="C131" s="4">
        <v>110</v>
      </c>
      <c r="D131" s="4">
        <v>491</v>
      </c>
      <c r="E131" s="4">
        <v>651</v>
      </c>
      <c r="F131" s="6">
        <v>89</v>
      </c>
      <c r="G131">
        <f t="shared" ref="G131:G147" si="47">VLOOKUP(A131,IMPOTOTAL,2,FALSE)</f>
        <v>53010001</v>
      </c>
      <c r="H131">
        <f t="shared" ref="H131:H144" si="48">VLOOKUP(A131,IMPOTOTAL,3,FALSE)</f>
        <v>52441679</v>
      </c>
      <c r="I131">
        <f t="shared" ref="I131:I144" si="49">VLOOKUP(A131,IMPOTOTAL,4,FALSE)</f>
        <v>60487524</v>
      </c>
      <c r="J131">
        <f t="shared" ref="J131:J144" si="50">VLOOKUP(A131,IMPOTOTAL,5,FALSE)</f>
        <v>60575070</v>
      </c>
      <c r="K131">
        <f t="shared" ref="K131:K144" si="51">VLOOKUP(A131,IMPOTOTAL,6,FALSE)</f>
        <v>47195990</v>
      </c>
      <c r="L131">
        <f t="shared" ref="L131:L144" si="52">B131/G131</f>
        <v>6.5270702409532121E-6</v>
      </c>
      <c r="M131">
        <f t="shared" ref="M131:M144" si="53">C131/H131</f>
        <v>2.0975682338469752E-6</v>
      </c>
      <c r="N131">
        <f t="shared" ref="N131:N144" si="54">D131/I131</f>
        <v>8.1173764031075237E-6</v>
      </c>
      <c r="O131">
        <f t="shared" ref="O131:O144" si="55">E131/J131</f>
        <v>1.0746995422374253E-5</v>
      </c>
      <c r="P131">
        <f t="shared" ref="P131:P144" si="56">F131/K131</f>
        <v>1.8857534294756822E-6</v>
      </c>
      <c r="Q131">
        <f t="shared" si="37"/>
        <v>8.0455869561581655E-2</v>
      </c>
      <c r="R131">
        <f t="shared" si="38"/>
        <v>3.2510977179092737E-2</v>
      </c>
      <c r="S131">
        <f t="shared" si="39"/>
        <v>0.18210083828539667</v>
      </c>
      <c r="T131">
        <f t="shared" si="40"/>
        <v>0.1942097100310107</v>
      </c>
      <c r="U131">
        <f t="shared" si="41"/>
        <v>2.9701339355021825E-2</v>
      </c>
      <c r="V131">
        <f t="shared" si="42"/>
        <v>-0.85107051231212549</v>
      </c>
      <c r="W131">
        <f t="shared" si="43"/>
        <v>-0.93702541106552584</v>
      </c>
      <c r="X131">
        <f t="shared" si="44"/>
        <v>-0.69190303840824829</v>
      </c>
      <c r="Y131">
        <f t="shared" si="45"/>
        <v>-0.67474772914722392</v>
      </c>
      <c r="Z131">
        <f t="shared" si="46"/>
        <v>-0.94231076872518005</v>
      </c>
    </row>
    <row r="132" spans="1:26" x14ac:dyDescent="0.25">
      <c r="A132" s="11" t="s">
        <v>182</v>
      </c>
      <c r="B132" s="7">
        <v>36</v>
      </c>
      <c r="C132" s="7">
        <v>38</v>
      </c>
      <c r="D132" s="7">
        <v>1</v>
      </c>
      <c r="E132" s="7">
        <v>3</v>
      </c>
      <c r="F132" s="7">
        <v>89</v>
      </c>
      <c r="G132">
        <f t="shared" si="47"/>
        <v>1211402</v>
      </c>
      <c r="H132">
        <f t="shared" si="48"/>
        <v>1689962</v>
      </c>
      <c r="I132">
        <f t="shared" si="49"/>
        <v>1849948</v>
      </c>
      <c r="J132">
        <f t="shared" si="50"/>
        <v>2034786</v>
      </c>
      <c r="K132">
        <f t="shared" si="51"/>
        <v>2033045</v>
      </c>
      <c r="L132">
        <f t="shared" si="52"/>
        <v>2.9717632957515343E-5</v>
      </c>
      <c r="M132">
        <f t="shared" si="53"/>
        <v>2.2485712696498503E-5</v>
      </c>
      <c r="N132">
        <f t="shared" si="54"/>
        <v>5.4055573453956539E-7</v>
      </c>
      <c r="O132">
        <f t="shared" si="55"/>
        <v>1.4743565170981126E-6</v>
      </c>
      <c r="P132">
        <f t="shared" si="56"/>
        <v>4.3776699482795513E-5</v>
      </c>
      <c r="Q132">
        <f t="shared" ref="Q132:Q144" si="57">L132/$L$2</f>
        <v>0.36631412144258457</v>
      </c>
      <c r="R132">
        <f t="shared" ref="R132:R144" si="58">M132/$M$2</f>
        <v>0.34851428455834915</v>
      </c>
      <c r="S132">
        <f t="shared" ref="S132:S144" si="59">N132/$N$2</f>
        <v>1.2126535411361449E-2</v>
      </c>
      <c r="T132">
        <f t="shared" ref="T132:T144" si="60">O132/$O$2</f>
        <v>2.664320030060063E-2</v>
      </c>
      <c r="U132">
        <f t="shared" ref="U132:U144" si="61">P132/$P$2</f>
        <v>0.68949979719397092</v>
      </c>
      <c r="V132">
        <f t="shared" ref="V132:V144" si="62">(Q132-1)/(Q132+1)</f>
        <v>-0.46379223387397617</v>
      </c>
      <c r="W132">
        <f t="shared" ref="W132:W144" si="63">(R132-1)/(R132+1)</f>
        <v>-0.48311369252941838</v>
      </c>
      <c r="X132">
        <f t="shared" ref="X132:X144" si="64">(S132-1)/(S132+1)</f>
        <v>-0.97603751114689852</v>
      </c>
      <c r="Y132">
        <f t="shared" ref="Y132:Y144" si="65">(T132-1)/(T132+1)</f>
        <v>-0.94809647540099717</v>
      </c>
      <c r="Z132">
        <f t="shared" ref="Z132:Z144" si="66">(U132-1)/(U132+1)</f>
        <v>-0.18378232617827336</v>
      </c>
    </row>
    <row r="133" spans="1:26" x14ac:dyDescent="0.25">
      <c r="A133" s="12" t="s">
        <v>215</v>
      </c>
      <c r="B133" s="4">
        <v>78</v>
      </c>
      <c r="C133" s="4">
        <v>59</v>
      </c>
      <c r="D133" s="4">
        <v>49</v>
      </c>
      <c r="E133" s="4">
        <v>59</v>
      </c>
      <c r="F133" s="13">
        <v>82</v>
      </c>
      <c r="G133">
        <f t="shared" si="47"/>
        <v>735266</v>
      </c>
      <c r="H133">
        <f t="shared" si="48"/>
        <v>767192</v>
      </c>
      <c r="I133">
        <f t="shared" si="49"/>
        <v>846564</v>
      </c>
      <c r="J133">
        <f t="shared" si="50"/>
        <v>925276</v>
      </c>
      <c r="K133">
        <f t="shared" si="51"/>
        <v>915655</v>
      </c>
      <c r="L133">
        <f t="shared" si="52"/>
        <v>1.0608405665432646E-4</v>
      </c>
      <c r="M133">
        <f t="shared" si="53"/>
        <v>7.6903825900165795E-5</v>
      </c>
      <c r="N133">
        <f t="shared" si="54"/>
        <v>5.7881034393146883E-5</v>
      </c>
      <c r="O133">
        <f t="shared" si="55"/>
        <v>6.3764757758766035E-5</v>
      </c>
      <c r="P133">
        <f t="shared" si="56"/>
        <v>8.955337982100245E-5</v>
      </c>
      <c r="Q133">
        <f t="shared" si="57"/>
        <v>1.3076441205108689</v>
      </c>
      <c r="R133">
        <f t="shared" si="58"/>
        <v>1.1919605228954906</v>
      </c>
      <c r="S133">
        <f t="shared" si="59"/>
        <v>1.2984718658337553</v>
      </c>
      <c r="T133">
        <f t="shared" si="60"/>
        <v>1.1522974215421917</v>
      </c>
      <c r="U133">
        <f t="shared" si="61"/>
        <v>1.4105000594867314</v>
      </c>
      <c r="V133">
        <f t="shared" si="62"/>
        <v>0.13331523599174483</v>
      </c>
      <c r="W133">
        <f t="shared" si="63"/>
        <v>8.7574808437662272E-2</v>
      </c>
      <c r="X133">
        <f t="shared" si="64"/>
        <v>0.12985665401020111</v>
      </c>
      <c r="Y133">
        <f t="shared" si="65"/>
        <v>7.076039771169991E-2</v>
      </c>
      <c r="Z133">
        <f t="shared" si="66"/>
        <v>0.17029663943428375</v>
      </c>
    </row>
    <row r="134" spans="1:26" x14ac:dyDescent="0.25">
      <c r="A134" s="11" t="s">
        <v>136</v>
      </c>
      <c r="B134" s="5">
        <v>125</v>
      </c>
      <c r="C134" s="5">
        <v>94</v>
      </c>
      <c r="D134" s="5">
        <v>125</v>
      </c>
      <c r="E134" s="5">
        <v>113</v>
      </c>
      <c r="F134" s="7">
        <v>81</v>
      </c>
      <c r="G134">
        <f t="shared" si="47"/>
        <v>9340310</v>
      </c>
      <c r="H134">
        <f t="shared" si="48"/>
        <v>11359681</v>
      </c>
      <c r="I134">
        <f t="shared" si="49"/>
        <v>17710712</v>
      </c>
      <c r="J134">
        <f t="shared" si="50"/>
        <v>15749426</v>
      </c>
      <c r="K134">
        <f t="shared" si="51"/>
        <v>11908935</v>
      </c>
      <c r="L134">
        <f t="shared" si="52"/>
        <v>1.3382853459895871E-5</v>
      </c>
      <c r="M134">
        <f t="shared" si="53"/>
        <v>8.2748802541198127E-6</v>
      </c>
      <c r="N134">
        <f t="shared" si="54"/>
        <v>7.0578754823634419E-6</v>
      </c>
      <c r="O134">
        <f t="shared" si="55"/>
        <v>7.1748646585596203E-6</v>
      </c>
      <c r="P134">
        <f t="shared" si="56"/>
        <v>6.8016157616109252E-6</v>
      </c>
      <c r="Q134">
        <f t="shared" si="57"/>
        <v>0.16496361653584699</v>
      </c>
      <c r="R134">
        <f t="shared" si="58"/>
        <v>0.12825539534798303</v>
      </c>
      <c r="S134">
        <f t="shared" si="59"/>
        <v>0.15833256683283886</v>
      </c>
      <c r="T134">
        <f t="shared" si="60"/>
        <v>0.1296574837977153</v>
      </c>
      <c r="U134">
        <f t="shared" si="61"/>
        <v>0.1071280554182741</v>
      </c>
      <c r="V134">
        <f t="shared" si="62"/>
        <v>-0.71679181359090804</v>
      </c>
      <c r="W134">
        <f t="shared" si="63"/>
        <v>-0.7726482924401602</v>
      </c>
      <c r="X134">
        <f t="shared" si="64"/>
        <v>-0.72661984758702192</v>
      </c>
      <c r="Y134">
        <f t="shared" si="65"/>
        <v>-0.77044814794334104</v>
      </c>
      <c r="Z134">
        <f t="shared" si="66"/>
        <v>-0.80647576421898004</v>
      </c>
    </row>
    <row r="135" spans="1:26" x14ac:dyDescent="0.25">
      <c r="A135" s="12" t="s">
        <v>181</v>
      </c>
      <c r="B135" s="6">
        <v>49</v>
      </c>
      <c r="C135" s="6">
        <v>50</v>
      </c>
      <c r="D135" s="6">
        <v>39</v>
      </c>
      <c r="E135" s="6">
        <v>47</v>
      </c>
      <c r="F135" s="6">
        <v>74</v>
      </c>
      <c r="G135">
        <f t="shared" si="47"/>
        <v>797694</v>
      </c>
      <c r="H135">
        <f t="shared" si="48"/>
        <v>952785</v>
      </c>
      <c r="I135">
        <f t="shared" si="49"/>
        <v>1062776</v>
      </c>
      <c r="J135">
        <f t="shared" si="50"/>
        <v>1131380</v>
      </c>
      <c r="K135">
        <f t="shared" si="51"/>
        <v>1039263</v>
      </c>
      <c r="L135">
        <f t="shared" si="52"/>
        <v>6.142706351056922E-5</v>
      </c>
      <c r="M135">
        <f t="shared" si="53"/>
        <v>5.2477736320366088E-5</v>
      </c>
      <c r="N135">
        <f t="shared" si="54"/>
        <v>3.6696349936392996E-5</v>
      </c>
      <c r="O135">
        <f t="shared" si="55"/>
        <v>4.1542187417136596E-5</v>
      </c>
      <c r="P135">
        <f t="shared" si="56"/>
        <v>7.1204305358701315E-5</v>
      </c>
      <c r="Q135">
        <f t="shared" si="57"/>
        <v>0.75718011709884647</v>
      </c>
      <c r="R135">
        <f t="shared" si="58"/>
        <v>0.81337162738818147</v>
      </c>
      <c r="S135">
        <f t="shared" si="59"/>
        <v>0.82322609591853257</v>
      </c>
      <c r="T135">
        <f t="shared" si="60"/>
        <v>0.75071179015665934</v>
      </c>
      <c r="U135">
        <f t="shared" si="61"/>
        <v>1.1214951031988347</v>
      </c>
      <c r="V135">
        <f t="shared" si="62"/>
        <v>-0.13818724702055923</v>
      </c>
      <c r="W135">
        <f t="shared" si="63"/>
        <v>-0.10291788500111329</v>
      </c>
      <c r="X135">
        <f t="shared" si="64"/>
        <v>-9.6956655281093693E-2</v>
      </c>
      <c r="Y135">
        <f t="shared" si="65"/>
        <v>-0.14239248929775788</v>
      </c>
      <c r="Z135">
        <f t="shared" si="66"/>
        <v>5.7268622970489944E-2</v>
      </c>
    </row>
    <row r="136" spans="1:26" ht="23.25" x14ac:dyDescent="0.25">
      <c r="A136" s="11" t="s">
        <v>98</v>
      </c>
      <c r="B136" s="5">
        <v>0</v>
      </c>
      <c r="C136" s="5">
        <v>0</v>
      </c>
      <c r="D136" s="5">
        <v>108</v>
      </c>
      <c r="E136" s="5">
        <v>111</v>
      </c>
      <c r="F136" s="7">
        <v>73</v>
      </c>
      <c r="G136">
        <f t="shared" si="47"/>
        <v>544916</v>
      </c>
      <c r="H136">
        <f t="shared" si="48"/>
        <v>486656</v>
      </c>
      <c r="I136">
        <f t="shared" si="49"/>
        <v>629525</v>
      </c>
      <c r="J136">
        <f t="shared" si="50"/>
        <v>742649</v>
      </c>
      <c r="K136">
        <f t="shared" si="51"/>
        <v>239373</v>
      </c>
      <c r="L136">
        <f t="shared" si="52"/>
        <v>0</v>
      </c>
      <c r="M136">
        <f t="shared" si="53"/>
        <v>0</v>
      </c>
      <c r="N136">
        <f t="shared" si="54"/>
        <v>1.7155792065446171E-4</v>
      </c>
      <c r="O136">
        <f t="shared" si="55"/>
        <v>1.4946495585397678E-4</v>
      </c>
      <c r="P136">
        <f t="shared" si="56"/>
        <v>3.0496338350607629E-4</v>
      </c>
      <c r="Q136">
        <f t="shared" si="57"/>
        <v>0</v>
      </c>
      <c r="R136">
        <f t="shared" si="58"/>
        <v>0</v>
      </c>
      <c r="S136">
        <f t="shared" si="59"/>
        <v>3.8486377388779598</v>
      </c>
      <c r="T136">
        <f t="shared" si="60"/>
        <v>2.7009917279545848</v>
      </c>
      <c r="U136">
        <f t="shared" si="61"/>
        <v>4.8032901877782015</v>
      </c>
      <c r="V136">
        <f t="shared" si="62"/>
        <v>-1</v>
      </c>
      <c r="W136">
        <f t="shared" si="63"/>
        <v>-1</v>
      </c>
      <c r="X136">
        <f t="shared" si="64"/>
        <v>0.58751300721781141</v>
      </c>
      <c r="Y136">
        <f t="shared" si="65"/>
        <v>0.45960430419407244</v>
      </c>
      <c r="Z136">
        <f t="shared" si="66"/>
        <v>0.65536791453027388</v>
      </c>
    </row>
    <row r="137" spans="1:26" ht="23.25" x14ac:dyDescent="0.25">
      <c r="A137" s="12" t="s">
        <v>238</v>
      </c>
      <c r="B137" s="6">
        <v>3</v>
      </c>
      <c r="C137" s="4"/>
      <c r="D137" s="4"/>
      <c r="E137" s="6">
        <v>2</v>
      </c>
      <c r="F137" s="6">
        <v>68</v>
      </c>
      <c r="G137">
        <f t="shared" si="47"/>
        <v>112785</v>
      </c>
      <c r="H137">
        <f t="shared" si="48"/>
        <v>65149</v>
      </c>
      <c r="I137">
        <f t="shared" si="49"/>
        <v>154893</v>
      </c>
      <c r="J137">
        <f t="shared" si="50"/>
        <v>163367</v>
      </c>
      <c r="K137">
        <f t="shared" si="51"/>
        <v>151632</v>
      </c>
      <c r="L137">
        <f t="shared" si="52"/>
        <v>2.6599281819390877E-5</v>
      </c>
      <c r="M137">
        <f t="shared" si="53"/>
        <v>0</v>
      </c>
      <c r="N137">
        <f t="shared" si="54"/>
        <v>0</v>
      </c>
      <c r="O137">
        <f t="shared" si="55"/>
        <v>1.2242374530964026E-5</v>
      </c>
      <c r="P137">
        <f t="shared" si="56"/>
        <v>4.4845415215785585E-4</v>
      </c>
      <c r="Q137">
        <f t="shared" si="57"/>
        <v>0.32787579564642888</v>
      </c>
      <c r="R137">
        <f t="shared" si="58"/>
        <v>0</v>
      </c>
      <c r="S137">
        <f t="shared" si="59"/>
        <v>0</v>
      </c>
      <c r="T137">
        <f t="shared" si="60"/>
        <v>0.2212328110608138</v>
      </c>
      <c r="U137">
        <f t="shared" si="61"/>
        <v>7.0633247964515151</v>
      </c>
      <c r="V137">
        <f t="shared" si="62"/>
        <v>-0.50616496404045941</v>
      </c>
      <c r="W137">
        <f t="shared" si="63"/>
        <v>-1</v>
      </c>
      <c r="X137">
        <f t="shared" si="64"/>
        <v>-1</v>
      </c>
      <c r="Y137">
        <f t="shared" si="65"/>
        <v>-0.63768937575687679</v>
      </c>
      <c r="Z137">
        <f t="shared" si="66"/>
        <v>0.75196335872763631</v>
      </c>
    </row>
    <row r="138" spans="1:26" x14ac:dyDescent="0.25">
      <c r="A138" s="11" t="s">
        <v>156</v>
      </c>
      <c r="B138" s="5">
        <v>40</v>
      </c>
      <c r="C138" s="5">
        <v>80</v>
      </c>
      <c r="D138" s="5">
        <v>85</v>
      </c>
      <c r="E138" s="5">
        <v>63</v>
      </c>
      <c r="F138" s="14">
        <v>63</v>
      </c>
      <c r="G138">
        <f t="shared" si="47"/>
        <v>5298771</v>
      </c>
      <c r="H138">
        <f t="shared" si="48"/>
        <v>6848642</v>
      </c>
      <c r="I138">
        <f t="shared" si="49"/>
        <v>8746855</v>
      </c>
      <c r="J138">
        <f t="shared" si="50"/>
        <v>9252491</v>
      </c>
      <c r="K138">
        <f t="shared" si="51"/>
        <v>11608376</v>
      </c>
      <c r="L138">
        <f t="shared" si="52"/>
        <v>7.5489203062370502E-6</v>
      </c>
      <c r="M138">
        <f t="shared" si="53"/>
        <v>1.1681147883040171E-5</v>
      </c>
      <c r="N138">
        <f t="shared" si="54"/>
        <v>9.7177785615515514E-6</v>
      </c>
      <c r="O138">
        <f t="shared" si="55"/>
        <v>6.8089771716611234E-6</v>
      </c>
      <c r="P138">
        <f t="shared" si="56"/>
        <v>5.4271157309170548E-6</v>
      </c>
      <c r="Q138">
        <f t="shared" si="57"/>
        <v>9.3051694721870373E-2</v>
      </c>
      <c r="R138">
        <f t="shared" si="58"/>
        <v>0.18105038306888835</v>
      </c>
      <c r="S138">
        <f t="shared" si="59"/>
        <v>0.21800339598062041</v>
      </c>
      <c r="T138">
        <f t="shared" si="60"/>
        <v>0.12304550529192808</v>
      </c>
      <c r="U138">
        <f t="shared" si="61"/>
        <v>8.5479153066031016E-2</v>
      </c>
      <c r="V138">
        <f t="shared" si="62"/>
        <v>-0.82973962682424163</v>
      </c>
      <c r="W138">
        <f t="shared" si="63"/>
        <v>-0.69340785852261477</v>
      </c>
      <c r="X138">
        <f t="shared" si="64"/>
        <v>-0.64203154654572225</v>
      </c>
      <c r="Y138">
        <f t="shared" si="65"/>
        <v>-0.78087173723215564</v>
      </c>
      <c r="Z138">
        <f t="shared" si="66"/>
        <v>-0.84250429347337041</v>
      </c>
    </row>
    <row r="139" spans="1:26" x14ac:dyDescent="0.25">
      <c r="A139" s="12" t="s">
        <v>46</v>
      </c>
      <c r="B139" s="4">
        <v>70</v>
      </c>
      <c r="C139" s="4">
        <v>121</v>
      </c>
      <c r="D139" s="4">
        <v>71</v>
      </c>
      <c r="E139" s="4">
        <v>69</v>
      </c>
      <c r="F139" s="6">
        <v>63</v>
      </c>
      <c r="G139">
        <f t="shared" si="47"/>
        <v>1733489</v>
      </c>
      <c r="H139">
        <f t="shared" si="48"/>
        <v>2117133</v>
      </c>
      <c r="I139">
        <f t="shared" si="49"/>
        <v>3015746</v>
      </c>
      <c r="J139">
        <f t="shared" si="50"/>
        <v>3132125</v>
      </c>
      <c r="K139">
        <f t="shared" si="51"/>
        <v>2710891</v>
      </c>
      <c r="L139">
        <f t="shared" si="52"/>
        <v>4.038098886119266E-5</v>
      </c>
      <c r="M139">
        <f t="shared" si="53"/>
        <v>5.7152762722039665E-5</v>
      </c>
      <c r="N139">
        <f t="shared" si="54"/>
        <v>2.3543096799266253E-5</v>
      </c>
      <c r="O139">
        <f t="shared" si="55"/>
        <v>2.2029772119567385E-5</v>
      </c>
      <c r="P139">
        <f t="shared" si="56"/>
        <v>2.3239591706195491E-5</v>
      </c>
      <c r="Q139">
        <f t="shared" si="57"/>
        <v>0.4977558770854183</v>
      </c>
      <c r="R139">
        <f t="shared" si="58"/>
        <v>0.8858315713384739</v>
      </c>
      <c r="S139">
        <f t="shared" si="59"/>
        <v>0.52815311870216786</v>
      </c>
      <c r="T139">
        <f t="shared" si="60"/>
        <v>0.39810156115663736</v>
      </c>
      <c r="U139">
        <f t="shared" si="61"/>
        <v>0.3660324774961593</v>
      </c>
      <c r="V139">
        <f t="shared" si="62"/>
        <v>-0.33533109807716571</v>
      </c>
      <c r="W139">
        <f t="shared" si="63"/>
        <v>-6.0540098276377227E-2</v>
      </c>
      <c r="X139">
        <f t="shared" si="64"/>
        <v>-0.30876937364664281</v>
      </c>
      <c r="Y139">
        <f t="shared" si="65"/>
        <v>-0.43051124150481396</v>
      </c>
      <c r="Z139">
        <f t="shared" si="66"/>
        <v>-0.46409403359564211</v>
      </c>
    </row>
    <row r="140" spans="1:26" x14ac:dyDescent="0.25">
      <c r="A140" s="11" t="s">
        <v>72</v>
      </c>
      <c r="B140" s="5">
        <v>39</v>
      </c>
      <c r="C140" s="5">
        <v>45</v>
      </c>
      <c r="D140" s="5">
        <v>27</v>
      </c>
      <c r="E140" s="5">
        <v>32</v>
      </c>
      <c r="F140" s="14">
        <v>58</v>
      </c>
      <c r="G140">
        <f t="shared" si="47"/>
        <v>17803362</v>
      </c>
      <c r="H140">
        <f t="shared" si="48"/>
        <v>25719892</v>
      </c>
      <c r="I140">
        <f t="shared" si="49"/>
        <v>33048924</v>
      </c>
      <c r="J140">
        <f t="shared" si="50"/>
        <v>30895681</v>
      </c>
      <c r="K140">
        <f t="shared" si="51"/>
        <v>29489612</v>
      </c>
      <c r="L140">
        <f t="shared" si="52"/>
        <v>2.1905974837786258E-6</v>
      </c>
      <c r="M140">
        <f t="shared" si="53"/>
        <v>1.7496185442769356E-6</v>
      </c>
      <c r="N140">
        <f t="shared" si="54"/>
        <v>8.1697062209952735E-7</v>
      </c>
      <c r="O140">
        <f t="shared" si="55"/>
        <v>1.0357434749536674E-6</v>
      </c>
      <c r="P140">
        <f t="shared" si="56"/>
        <v>1.9667942731833842E-6</v>
      </c>
      <c r="Q140">
        <f t="shared" si="57"/>
        <v>2.7002379154890652E-2</v>
      </c>
      <c r="R140">
        <f t="shared" si="58"/>
        <v>2.7117977688278928E-2</v>
      </c>
      <c r="S140">
        <f t="shared" si="59"/>
        <v>1.8327477715818732E-2</v>
      </c>
      <c r="T140">
        <f t="shared" si="60"/>
        <v>1.8716993171736578E-2</v>
      </c>
      <c r="U140">
        <f t="shared" si="61"/>
        <v>3.097776370772683E-2</v>
      </c>
      <c r="V140">
        <f t="shared" si="62"/>
        <v>-0.9474151575440154</v>
      </c>
      <c r="W140">
        <f t="shared" si="63"/>
        <v>-0.94719598278415307</v>
      </c>
      <c r="X140">
        <f t="shared" si="64"/>
        <v>-0.96400474676981407</v>
      </c>
      <c r="Y140">
        <f t="shared" si="65"/>
        <v>-0.96325379217742912</v>
      </c>
      <c r="Z140">
        <f t="shared" si="66"/>
        <v>-0.93990604880493078</v>
      </c>
    </row>
    <row r="141" spans="1:26" x14ac:dyDescent="0.25">
      <c r="A141" s="12" t="s">
        <v>208</v>
      </c>
      <c r="B141" s="6">
        <v>31</v>
      </c>
      <c r="C141" s="6">
        <v>30</v>
      </c>
      <c r="D141" s="6">
        <v>16</v>
      </c>
      <c r="E141" s="6">
        <v>47</v>
      </c>
      <c r="F141" s="6">
        <v>49</v>
      </c>
      <c r="G141">
        <f t="shared" si="47"/>
        <v>5823207</v>
      </c>
      <c r="H141">
        <f t="shared" si="48"/>
        <v>6875818</v>
      </c>
      <c r="I141">
        <f t="shared" si="49"/>
        <v>10326257</v>
      </c>
      <c r="J141">
        <f t="shared" si="50"/>
        <v>9331838</v>
      </c>
      <c r="K141">
        <f t="shared" si="51"/>
        <v>8076312</v>
      </c>
      <c r="L141">
        <f t="shared" si="52"/>
        <v>5.3235270530482603E-6</v>
      </c>
      <c r="M141">
        <f t="shared" si="53"/>
        <v>4.3631172320151581E-6</v>
      </c>
      <c r="N141">
        <f t="shared" si="54"/>
        <v>1.5494481688766801E-6</v>
      </c>
      <c r="O141">
        <f t="shared" si="55"/>
        <v>5.0365212083621682E-6</v>
      </c>
      <c r="P141">
        <f t="shared" si="56"/>
        <v>6.0671256880615809E-6</v>
      </c>
      <c r="Q141">
        <f t="shared" si="57"/>
        <v>6.5620405844606308E-2</v>
      </c>
      <c r="R141">
        <f t="shared" si="58"/>
        <v>6.7625549658328524E-2</v>
      </c>
      <c r="S141">
        <f t="shared" si="59"/>
        <v>3.4759483411931025E-2</v>
      </c>
      <c r="T141">
        <f t="shared" si="60"/>
        <v>9.1015328935997522E-2</v>
      </c>
      <c r="U141">
        <f t="shared" si="61"/>
        <v>9.5559555217561432E-2</v>
      </c>
      <c r="V141">
        <f t="shared" si="62"/>
        <v>-0.87684093606935787</v>
      </c>
      <c r="W141">
        <f t="shared" si="63"/>
        <v>-0.87331597734810551</v>
      </c>
      <c r="X141">
        <f t="shared" si="64"/>
        <v>-0.93281630375144187</v>
      </c>
      <c r="Y141">
        <f t="shared" si="65"/>
        <v>-0.83315481181229711</v>
      </c>
      <c r="Z141">
        <f t="shared" si="66"/>
        <v>-0.82555114459554002</v>
      </c>
    </row>
    <row r="142" spans="1:26" x14ac:dyDescent="0.25">
      <c r="A142" s="11" t="s">
        <v>65</v>
      </c>
      <c r="B142" s="5">
        <v>14</v>
      </c>
      <c r="C142" s="5">
        <v>25</v>
      </c>
      <c r="D142" s="5">
        <v>10</v>
      </c>
      <c r="E142" s="5">
        <v>14</v>
      </c>
      <c r="F142" s="14">
        <v>49</v>
      </c>
      <c r="G142">
        <f t="shared" si="47"/>
        <v>4185567</v>
      </c>
      <c r="H142">
        <f t="shared" si="48"/>
        <v>4713617</v>
      </c>
      <c r="I142">
        <f t="shared" si="49"/>
        <v>5631816</v>
      </c>
      <c r="J142">
        <f t="shared" si="50"/>
        <v>5892915</v>
      </c>
      <c r="K142">
        <f t="shared" si="51"/>
        <v>6430178</v>
      </c>
      <c r="L142">
        <f t="shared" si="52"/>
        <v>3.3448275944453882E-6</v>
      </c>
      <c r="M142">
        <f t="shared" si="53"/>
        <v>5.3037826365612653E-6</v>
      </c>
      <c r="N142">
        <f t="shared" si="54"/>
        <v>1.7756261923329881E-6</v>
      </c>
      <c r="O142">
        <f t="shared" si="55"/>
        <v>2.3757342503667542E-6</v>
      </c>
      <c r="P142">
        <f t="shared" si="56"/>
        <v>7.620317820128774E-6</v>
      </c>
      <c r="Q142">
        <f t="shared" si="57"/>
        <v>4.1229985691922967E-2</v>
      </c>
      <c r="R142">
        <f t="shared" si="58"/>
        <v>8.2205266783560119E-2</v>
      </c>
      <c r="S142">
        <f t="shared" si="59"/>
        <v>3.9833439038450991E-2</v>
      </c>
      <c r="T142">
        <f t="shared" si="60"/>
        <v>4.2932060705440991E-2</v>
      </c>
      <c r="U142">
        <f t="shared" si="61"/>
        <v>0.12002292666210081</v>
      </c>
      <c r="V142">
        <f t="shared" si="62"/>
        <v>-0.92080522793525854</v>
      </c>
      <c r="W142">
        <f t="shared" si="63"/>
        <v>-0.84807823560518469</v>
      </c>
      <c r="X142">
        <f t="shared" si="64"/>
        <v>-0.92338496235457579</v>
      </c>
      <c r="Y142">
        <f t="shared" si="65"/>
        <v>-0.91767045558767901</v>
      </c>
      <c r="Z142">
        <f t="shared" si="66"/>
        <v>-0.78567773247322015</v>
      </c>
    </row>
    <row r="143" spans="1:26" x14ac:dyDescent="0.25">
      <c r="A143" s="12" t="s">
        <v>174</v>
      </c>
      <c r="B143" s="4">
        <v>370</v>
      </c>
      <c r="C143" s="4">
        <v>1004</v>
      </c>
      <c r="D143" s="4">
        <v>413</v>
      </c>
      <c r="E143" s="4">
        <v>385</v>
      </c>
      <c r="F143" s="6">
        <v>47</v>
      </c>
      <c r="G143">
        <f t="shared" si="47"/>
        <v>2205287</v>
      </c>
      <c r="H143">
        <f t="shared" si="48"/>
        <v>3482606</v>
      </c>
      <c r="I143">
        <f t="shared" si="49"/>
        <v>3757894</v>
      </c>
      <c r="J143">
        <f t="shared" si="50"/>
        <v>4187519</v>
      </c>
      <c r="K143">
        <f t="shared" si="51"/>
        <v>9931781</v>
      </c>
      <c r="L143">
        <f t="shared" si="52"/>
        <v>1.6777861566317671E-4</v>
      </c>
      <c r="M143">
        <f t="shared" si="53"/>
        <v>2.8828986109826952E-4</v>
      </c>
      <c r="N143">
        <f t="shared" si="54"/>
        <v>1.0990198233372202E-4</v>
      </c>
      <c r="O143">
        <f t="shared" si="55"/>
        <v>9.1939881347404036E-5</v>
      </c>
      <c r="P143">
        <f t="shared" si="56"/>
        <v>4.7322831625063013E-6</v>
      </c>
      <c r="Q143">
        <f t="shared" si="57"/>
        <v>2.0681215183380544</v>
      </c>
      <c r="R143">
        <f t="shared" si="58"/>
        <v>4.4683099905361257</v>
      </c>
      <c r="S143">
        <f t="shared" si="59"/>
        <v>2.4654817170405074</v>
      </c>
      <c r="T143">
        <f t="shared" si="60"/>
        <v>1.6614520612515677</v>
      </c>
      <c r="U143">
        <f t="shared" si="61"/>
        <v>7.4535273772635122E-2</v>
      </c>
      <c r="V143">
        <f t="shared" si="62"/>
        <v>0.34813533686782927</v>
      </c>
      <c r="W143">
        <f t="shared" si="63"/>
        <v>0.63425628695861203</v>
      </c>
      <c r="X143">
        <f t="shared" si="64"/>
        <v>0.42287965619164097</v>
      </c>
      <c r="Y143">
        <f t="shared" si="65"/>
        <v>0.24853051869005482</v>
      </c>
      <c r="Z143">
        <f t="shared" si="66"/>
        <v>-0.86126974964545222</v>
      </c>
    </row>
    <row r="144" spans="1:26" x14ac:dyDescent="0.25">
      <c r="A144" s="11" t="s">
        <v>180</v>
      </c>
      <c r="B144" s="7">
        <v>46</v>
      </c>
      <c r="C144" s="7">
        <v>40</v>
      </c>
      <c r="D144" s="7">
        <v>40</v>
      </c>
      <c r="E144" s="7">
        <v>44</v>
      </c>
      <c r="F144" s="7">
        <v>46</v>
      </c>
      <c r="G144">
        <f t="shared" si="47"/>
        <v>1166841</v>
      </c>
      <c r="H144">
        <f t="shared" si="48"/>
        <v>1328900</v>
      </c>
      <c r="I144">
        <f t="shared" si="49"/>
        <v>1440679</v>
      </c>
      <c r="J144">
        <f t="shared" si="50"/>
        <v>1464480</v>
      </c>
      <c r="K144">
        <f t="shared" si="51"/>
        <v>1635279</v>
      </c>
      <c r="L144">
        <f t="shared" si="52"/>
        <v>3.9422680553734396E-5</v>
      </c>
      <c r="M144">
        <f t="shared" si="53"/>
        <v>3.0100082775227631E-5</v>
      </c>
      <c r="N144">
        <f t="shared" si="54"/>
        <v>2.7764685957107726E-5</v>
      </c>
      <c r="O144">
        <f t="shared" si="55"/>
        <v>3.0044794056593467E-5</v>
      </c>
      <c r="P144">
        <f t="shared" si="56"/>
        <v>2.8129756451345612E-5</v>
      </c>
      <c r="Q144">
        <f t="shared" si="57"/>
        <v>0.48594329880169168</v>
      </c>
      <c r="R144">
        <f t="shared" si="58"/>
        <v>0.46653219113615679</v>
      </c>
      <c r="S144">
        <f t="shared" si="59"/>
        <v>0.62285796992049702</v>
      </c>
      <c r="T144">
        <f t="shared" si="60"/>
        <v>0.54294158621530053</v>
      </c>
      <c r="U144">
        <f t="shared" si="61"/>
        <v>0.44305444671408173</v>
      </c>
      <c r="V144">
        <f t="shared" si="62"/>
        <v>-0.34594637737042783</v>
      </c>
      <c r="W144">
        <f t="shared" si="63"/>
        <v>-0.36376140400338103</v>
      </c>
      <c r="X144">
        <f t="shared" si="64"/>
        <v>-0.23239373812729833</v>
      </c>
      <c r="Y144">
        <f t="shared" si="65"/>
        <v>-0.29622535154154694</v>
      </c>
      <c r="Z144">
        <f t="shared" si="66"/>
        <v>-0.38594909190995208</v>
      </c>
    </row>
    <row r="145" spans="1:26" ht="34.5" x14ac:dyDescent="0.25">
      <c r="A145" s="12" t="s">
        <v>142</v>
      </c>
      <c r="B145" s="6">
        <v>12</v>
      </c>
      <c r="C145" s="6">
        <v>20</v>
      </c>
      <c r="D145" s="6">
        <v>22</v>
      </c>
      <c r="E145" s="6">
        <v>20</v>
      </c>
      <c r="F145" s="6">
        <v>45</v>
      </c>
      <c r="G145">
        <f t="shared" ref="G145:G208" si="67">VLOOKUP(A145,IMPOTOTAL,2,FALSE)</f>
        <v>6990079</v>
      </c>
      <c r="H145">
        <f t="shared" ref="H145:H208" si="68">VLOOKUP(A145,IMPOTOTAL,3,FALSE)</f>
        <v>8405066</v>
      </c>
      <c r="I145">
        <f t="shared" ref="I145:I208" si="69">VLOOKUP(A145,IMPOTOTAL,4,FALSE)</f>
        <v>11203420</v>
      </c>
      <c r="J145">
        <f t="shared" ref="J145:J208" si="70">VLOOKUP(A145,IMPOTOTAL,5,FALSE)</f>
        <v>11598278</v>
      </c>
      <c r="K145">
        <f t="shared" ref="K145:K208" si="71">VLOOKUP(A145,IMPOTOTAL,6,FALSE)</f>
        <v>15068273</v>
      </c>
      <c r="L145">
        <f t="shared" ref="L145:L208" si="72">B145/G145</f>
        <v>1.7167187953097526E-6</v>
      </c>
      <c r="M145">
        <f t="shared" ref="M145:M208" si="73">C145/H145</f>
        <v>2.3795173053965311E-6</v>
      </c>
      <c r="N145">
        <f t="shared" ref="N145:N208" si="74">D145/I145</f>
        <v>1.9636860887121966E-6</v>
      </c>
      <c r="O145">
        <f t="shared" ref="O145:O208" si="75">E145/J145</f>
        <v>1.7243939143379732E-6</v>
      </c>
      <c r="P145">
        <f t="shared" ref="P145:P208" si="76">F145/K145</f>
        <v>2.9864072677738185E-6</v>
      </c>
      <c r="Q145">
        <f t="shared" ref="Q145:Q208" si="77">L145/$L$2</f>
        <v>2.1161117985637922E-2</v>
      </c>
      <c r="R145">
        <f t="shared" ref="R145:R208" si="78">M145/$M$2</f>
        <v>3.6881008953459665E-2</v>
      </c>
      <c r="S145">
        <f t="shared" ref="S145:S208" si="79">N145/$N$2</f>
        <v>4.4052273188535315E-2</v>
      </c>
      <c r="T145">
        <f t="shared" ref="T145:T208" si="80">O145/$O$2</f>
        <v>3.1161643689323507E-2</v>
      </c>
      <c r="U145">
        <f t="shared" ref="U145:U208" si="81">P145/$P$2</f>
        <v>4.7037059207213579E-2</v>
      </c>
      <c r="V145">
        <f t="shared" ref="V145:V208" si="82">(Q145-1)/(Q145+1)</f>
        <v>-0.95855479098659624</v>
      </c>
      <c r="W145">
        <f t="shared" ref="W145:W208" si="83">(R145-1)/(R145+1)</f>
        <v>-0.92886163670663757</v>
      </c>
      <c r="X145">
        <f t="shared" ref="X145:X208" si="84">(S145-1)/(S145+1)</f>
        <v>-0.91561289732361828</v>
      </c>
      <c r="Y145">
        <f t="shared" ref="Y145:Y208" si="85">(T145-1)/(T145+1)</f>
        <v>-0.93956011866804434</v>
      </c>
      <c r="Z145">
        <f t="shared" ref="Z145:Z208" si="86">(U145-1)/(U145+1)</f>
        <v>-0.91015206425868311</v>
      </c>
    </row>
    <row r="146" spans="1:26" x14ac:dyDescent="0.25">
      <c r="A146" s="11" t="s">
        <v>225</v>
      </c>
      <c r="B146" s="5">
        <v>32</v>
      </c>
      <c r="C146" s="5">
        <v>37</v>
      </c>
      <c r="D146" s="5">
        <v>35</v>
      </c>
      <c r="E146" s="5">
        <v>28</v>
      </c>
      <c r="F146" s="7">
        <v>45</v>
      </c>
      <c r="G146">
        <f t="shared" si="67"/>
        <v>217833</v>
      </c>
      <c r="H146">
        <f t="shared" si="68"/>
        <v>270970</v>
      </c>
      <c r="I146">
        <f t="shared" si="69"/>
        <v>273574</v>
      </c>
      <c r="J146">
        <f t="shared" si="70"/>
        <v>326484</v>
      </c>
      <c r="K146">
        <f t="shared" si="71"/>
        <v>236221</v>
      </c>
      <c r="L146">
        <f t="shared" si="72"/>
        <v>1.4690152548052867E-4</v>
      </c>
      <c r="M146">
        <f t="shared" si="73"/>
        <v>1.3654648116027604E-4</v>
      </c>
      <c r="N146">
        <f t="shared" si="74"/>
        <v>1.2793613428176655E-4</v>
      </c>
      <c r="O146">
        <f t="shared" si="75"/>
        <v>8.5762242560125451E-5</v>
      </c>
      <c r="P146">
        <f t="shared" si="76"/>
        <v>1.9049957455095017E-4</v>
      </c>
      <c r="Q146">
        <f t="shared" si="77"/>
        <v>1.8107802637547106</v>
      </c>
      <c r="R146">
        <f t="shared" si="78"/>
        <v>2.1163838492850715</v>
      </c>
      <c r="S146">
        <f t="shared" si="79"/>
        <v>2.8700501421597271</v>
      </c>
      <c r="T146">
        <f t="shared" si="80"/>
        <v>1.549815516300975</v>
      </c>
      <c r="U146">
        <f t="shared" si="81"/>
        <v>3.0004413208455545</v>
      </c>
      <c r="V146">
        <f t="shared" si="82"/>
        <v>0.28845380558907507</v>
      </c>
      <c r="W146">
        <f t="shared" si="83"/>
        <v>0.35823053361708979</v>
      </c>
      <c r="X146">
        <f t="shared" si="84"/>
        <v>0.48321083021320327</v>
      </c>
      <c r="Y146">
        <f t="shared" si="85"/>
        <v>0.21562952801330271</v>
      </c>
      <c r="Z146">
        <f t="shared" si="86"/>
        <v>0.50005515901998787</v>
      </c>
    </row>
    <row r="147" spans="1:26" x14ac:dyDescent="0.25">
      <c r="A147" s="12" t="s">
        <v>202</v>
      </c>
      <c r="B147" s="4">
        <v>294</v>
      </c>
      <c r="C147" s="6">
        <v>29</v>
      </c>
      <c r="D147" s="6">
        <v>16</v>
      </c>
      <c r="E147" s="6">
        <v>35</v>
      </c>
      <c r="F147" s="6">
        <v>41</v>
      </c>
      <c r="G147">
        <f t="shared" si="67"/>
        <v>1003430</v>
      </c>
      <c r="H147">
        <f t="shared" si="68"/>
        <v>1715157</v>
      </c>
      <c r="I147">
        <f t="shared" si="69"/>
        <v>2343768</v>
      </c>
      <c r="J147">
        <f t="shared" si="70"/>
        <v>2293825</v>
      </c>
      <c r="K147">
        <f t="shared" si="71"/>
        <v>2707963</v>
      </c>
      <c r="L147">
        <f t="shared" si="72"/>
        <v>2.9299502705719383E-4</v>
      </c>
      <c r="M147">
        <f t="shared" si="73"/>
        <v>1.6908073138494028E-5</v>
      </c>
      <c r="N147">
        <f t="shared" si="74"/>
        <v>6.8266142382693169E-6</v>
      </c>
      <c r="O147">
        <f t="shared" si="75"/>
        <v>1.5258356674986104E-5</v>
      </c>
      <c r="P147">
        <f t="shared" si="76"/>
        <v>1.5140531831491051E-5</v>
      </c>
      <c r="Q147">
        <f t="shared" si="77"/>
        <v>3.6116004285045129</v>
      </c>
      <c r="R147">
        <f t="shared" si="78"/>
        <v>0.26206440919438173</v>
      </c>
      <c r="S147">
        <f t="shared" si="79"/>
        <v>0.15314457697981909</v>
      </c>
      <c r="T147">
        <f t="shared" si="80"/>
        <v>0.27573483647619562</v>
      </c>
      <c r="U147">
        <f t="shared" si="81"/>
        <v>0.23846917996466774</v>
      </c>
      <c r="V147">
        <f t="shared" si="82"/>
        <v>0.56631108201874802</v>
      </c>
      <c r="W147">
        <f t="shared" si="83"/>
        <v>-0.58470517465639282</v>
      </c>
      <c r="X147">
        <f t="shared" si="84"/>
        <v>-0.73438789890350531</v>
      </c>
      <c r="Y147">
        <f t="shared" si="85"/>
        <v>-0.56772390532530448</v>
      </c>
      <c r="Z147">
        <f t="shared" si="86"/>
        <v>-0.61489686812961952</v>
      </c>
    </row>
    <row r="148" spans="1:26" ht="23.25" x14ac:dyDescent="0.25">
      <c r="A148" s="11" t="s">
        <v>205</v>
      </c>
      <c r="B148" s="5">
        <v>25</v>
      </c>
      <c r="C148" s="5">
        <v>28</v>
      </c>
      <c r="D148" s="5">
        <v>25</v>
      </c>
      <c r="E148" s="5">
        <v>16</v>
      </c>
      <c r="F148" s="7">
        <v>40</v>
      </c>
      <c r="G148">
        <f t="shared" si="67"/>
        <v>1714131</v>
      </c>
      <c r="H148">
        <f t="shared" si="68"/>
        <v>2003096</v>
      </c>
      <c r="I148">
        <f t="shared" si="69"/>
        <v>2220195</v>
      </c>
      <c r="J148">
        <f t="shared" si="70"/>
        <v>2302657</v>
      </c>
      <c r="K148">
        <f t="shared" si="71"/>
        <v>1827168</v>
      </c>
      <c r="L148">
        <f t="shared" si="72"/>
        <v>1.458464959795955E-5</v>
      </c>
      <c r="M148">
        <f t="shared" si="73"/>
        <v>1.3978361496403567E-5</v>
      </c>
      <c r="N148">
        <f t="shared" si="74"/>
        <v>1.1260272183299215E-5</v>
      </c>
      <c r="O148">
        <f t="shared" si="75"/>
        <v>6.9484947171897505E-6</v>
      </c>
      <c r="P148">
        <f t="shared" si="76"/>
        <v>2.1891801958002766E-5</v>
      </c>
      <c r="Q148">
        <f t="shared" si="77"/>
        <v>0.17977754525948564</v>
      </c>
      <c r="R148">
        <f t="shared" si="78"/>
        <v>0.21665573699941848</v>
      </c>
      <c r="S148">
        <f t="shared" si="79"/>
        <v>0.25260686483819317</v>
      </c>
      <c r="T148">
        <f t="shared" si="80"/>
        <v>0.12556673666836865</v>
      </c>
      <c r="U148">
        <f t="shared" si="81"/>
        <v>0.3448042723318066</v>
      </c>
      <c r="V148">
        <f t="shared" si="82"/>
        <v>-0.69523484154812498</v>
      </c>
      <c r="W148">
        <f t="shared" si="83"/>
        <v>-0.64385038362002645</v>
      </c>
      <c r="X148">
        <f t="shared" si="84"/>
        <v>-0.59667015736685436</v>
      </c>
      <c r="Y148">
        <f t="shared" si="85"/>
        <v>-0.77688264484424796</v>
      </c>
      <c r="Z148">
        <f t="shared" si="86"/>
        <v>-0.48720526930816854</v>
      </c>
    </row>
    <row r="149" spans="1:26" x14ac:dyDescent="0.25">
      <c r="A149" s="12" t="s">
        <v>147</v>
      </c>
      <c r="B149" s="4">
        <v>8</v>
      </c>
      <c r="C149" s="4">
        <v>8</v>
      </c>
      <c r="D149" s="4">
        <v>6</v>
      </c>
      <c r="E149" s="4">
        <v>6</v>
      </c>
      <c r="F149" s="6">
        <v>37</v>
      </c>
      <c r="G149">
        <f t="shared" si="67"/>
        <v>1186080</v>
      </c>
      <c r="H149">
        <f t="shared" si="68"/>
        <v>1701154</v>
      </c>
      <c r="I149">
        <f t="shared" si="69"/>
        <v>1920653</v>
      </c>
      <c r="J149">
        <f t="shared" si="70"/>
        <v>2166707</v>
      </c>
      <c r="K149">
        <f t="shared" si="71"/>
        <v>29130140</v>
      </c>
      <c r="L149">
        <f t="shared" si="72"/>
        <v>6.7449075947659514E-6</v>
      </c>
      <c r="M149">
        <f t="shared" si="73"/>
        <v>4.7026900562794432E-6</v>
      </c>
      <c r="N149">
        <f t="shared" si="74"/>
        <v>3.1239375358276585E-6</v>
      </c>
      <c r="O149">
        <f t="shared" si="75"/>
        <v>2.7691792198945221E-6</v>
      </c>
      <c r="P149">
        <f t="shared" si="76"/>
        <v>1.2701621070135606E-6</v>
      </c>
      <c r="Q149">
        <f t="shared" si="77"/>
        <v>8.3141039642030845E-2</v>
      </c>
      <c r="R149">
        <f t="shared" si="78"/>
        <v>7.2888713050181089E-2</v>
      </c>
      <c r="S149">
        <f t="shared" si="79"/>
        <v>7.0080727537490506E-2</v>
      </c>
      <c r="T149">
        <f t="shared" si="80"/>
        <v>5.004203241772695E-2</v>
      </c>
      <c r="U149">
        <f t="shared" si="81"/>
        <v>2.0005540059809711E-2</v>
      </c>
      <c r="V149">
        <f t="shared" si="82"/>
        <v>-0.84648160008874129</v>
      </c>
      <c r="W149">
        <f t="shared" si="83"/>
        <v>-0.86412623757973683</v>
      </c>
      <c r="X149">
        <f t="shared" si="84"/>
        <v>-0.86901786802802639</v>
      </c>
      <c r="Y149">
        <f t="shared" si="85"/>
        <v>-0.90468565853024974</v>
      </c>
      <c r="Z149">
        <f t="shared" si="86"/>
        <v>-0.96077366391826324</v>
      </c>
    </row>
    <row r="150" spans="1:26" x14ac:dyDescent="0.25">
      <c r="A150" s="11" t="s">
        <v>101</v>
      </c>
      <c r="B150" s="7">
        <v>940</v>
      </c>
      <c r="C150" s="7">
        <v>776</v>
      </c>
      <c r="D150" s="7">
        <v>470</v>
      </c>
      <c r="E150" s="7">
        <v>622</v>
      </c>
      <c r="F150" s="7">
        <v>35</v>
      </c>
      <c r="G150">
        <f t="shared" si="67"/>
        <v>8795009</v>
      </c>
      <c r="H150">
        <f t="shared" si="68"/>
        <v>7325522</v>
      </c>
      <c r="I150">
        <f t="shared" si="69"/>
        <v>7501550</v>
      </c>
      <c r="J150">
        <f t="shared" si="70"/>
        <v>8711906</v>
      </c>
      <c r="K150">
        <f t="shared" si="71"/>
        <v>6159337</v>
      </c>
      <c r="L150">
        <f t="shared" si="72"/>
        <v>1.0687879910071724E-4</v>
      </c>
      <c r="M150">
        <f t="shared" si="73"/>
        <v>1.0593101761212375E-4</v>
      </c>
      <c r="N150">
        <f t="shared" si="74"/>
        <v>6.2653718231565474E-5</v>
      </c>
      <c r="O150">
        <f t="shared" si="75"/>
        <v>7.1396546289640862E-5</v>
      </c>
      <c r="P150">
        <f t="shared" si="76"/>
        <v>5.682429780997533E-6</v>
      </c>
      <c r="Q150">
        <f t="shared" si="77"/>
        <v>1.3174405057559173</v>
      </c>
      <c r="R150">
        <f t="shared" si="78"/>
        <v>1.6418635830642885</v>
      </c>
      <c r="S150">
        <f t="shared" si="79"/>
        <v>1.4055396774870961</v>
      </c>
      <c r="T150">
        <f t="shared" si="80"/>
        <v>1.2902120087684465</v>
      </c>
      <c r="U150">
        <f t="shared" si="81"/>
        <v>8.9500447220937446E-2</v>
      </c>
      <c r="V150">
        <f t="shared" si="82"/>
        <v>0.13697892350093904</v>
      </c>
      <c r="W150">
        <f t="shared" si="83"/>
        <v>0.24295863994604641</v>
      </c>
      <c r="X150">
        <f t="shared" si="84"/>
        <v>0.16858573619984346</v>
      </c>
      <c r="Y150">
        <f t="shared" si="85"/>
        <v>0.12671840321215808</v>
      </c>
      <c r="Z150">
        <f t="shared" si="86"/>
        <v>-0.83570369805862432</v>
      </c>
    </row>
    <row r="151" spans="1:26" x14ac:dyDescent="0.25">
      <c r="A151" s="12" t="s">
        <v>221</v>
      </c>
      <c r="B151" s="6">
        <v>6</v>
      </c>
      <c r="C151" s="6">
        <v>8</v>
      </c>
      <c r="D151" s="6">
        <v>9</v>
      </c>
      <c r="E151" s="6">
        <v>13</v>
      </c>
      <c r="F151" s="6">
        <v>32</v>
      </c>
      <c r="G151">
        <f t="shared" si="67"/>
        <v>89130</v>
      </c>
      <c r="H151">
        <f t="shared" si="68"/>
        <v>158318</v>
      </c>
      <c r="I151">
        <f t="shared" si="69"/>
        <v>161064</v>
      </c>
      <c r="J151">
        <f t="shared" si="70"/>
        <v>251496</v>
      </c>
      <c r="K151">
        <f t="shared" si="71"/>
        <v>290919</v>
      </c>
      <c r="L151">
        <f t="shared" si="72"/>
        <v>6.7317401548300232E-5</v>
      </c>
      <c r="M151">
        <f t="shared" si="73"/>
        <v>5.0531209338167489E-5</v>
      </c>
      <c r="N151">
        <f t="shared" si="74"/>
        <v>5.587840858292356E-5</v>
      </c>
      <c r="O151">
        <f t="shared" si="75"/>
        <v>5.1690682953208006E-5</v>
      </c>
      <c r="P151">
        <f t="shared" si="76"/>
        <v>1.0999625325262358E-4</v>
      </c>
      <c r="Q151">
        <f t="shared" si="77"/>
        <v>0.82978731318259802</v>
      </c>
      <c r="R151">
        <f t="shared" si="78"/>
        <v>0.78320169380719673</v>
      </c>
      <c r="S151">
        <f t="shared" si="79"/>
        <v>1.253546039962969</v>
      </c>
      <c r="T151">
        <f t="shared" si="80"/>
        <v>0.93410596665441126</v>
      </c>
      <c r="U151">
        <f t="shared" si="81"/>
        <v>1.7324831521295272</v>
      </c>
      <c r="V151">
        <f t="shared" si="82"/>
        <v>-9.3023208539656177E-2</v>
      </c>
      <c r="W151">
        <f t="shared" si="83"/>
        <v>-0.12157811813756832</v>
      </c>
      <c r="X151">
        <f t="shared" si="84"/>
        <v>0.1125098114113237</v>
      </c>
      <c r="Y151">
        <f t="shared" si="85"/>
        <v>-3.4069505229628802E-2</v>
      </c>
      <c r="Z151">
        <f t="shared" si="86"/>
        <v>0.26806502047731767</v>
      </c>
    </row>
    <row r="152" spans="1:26" x14ac:dyDescent="0.25">
      <c r="A152" s="11" t="s">
        <v>178</v>
      </c>
      <c r="B152" s="7">
        <v>13</v>
      </c>
      <c r="C152" s="7">
        <v>16</v>
      </c>
      <c r="D152" s="7">
        <v>20</v>
      </c>
      <c r="E152" s="7">
        <v>22</v>
      </c>
      <c r="F152" s="7">
        <v>28</v>
      </c>
      <c r="G152">
        <f t="shared" si="67"/>
        <v>14956197</v>
      </c>
      <c r="H152">
        <f t="shared" si="68"/>
        <v>14244579</v>
      </c>
      <c r="I152">
        <f t="shared" si="69"/>
        <v>16626738</v>
      </c>
      <c r="J152">
        <f t="shared" si="70"/>
        <v>18202725</v>
      </c>
      <c r="K152">
        <f t="shared" si="71"/>
        <v>17389904</v>
      </c>
      <c r="L152">
        <f t="shared" si="72"/>
        <v>8.6920491887075307E-7</v>
      </c>
      <c r="M152">
        <f t="shared" si="73"/>
        <v>1.1232343195260458E-6</v>
      </c>
      <c r="N152">
        <f t="shared" si="74"/>
        <v>1.202881767909015E-6</v>
      </c>
      <c r="O152">
        <f t="shared" si="75"/>
        <v>1.2086102492895982E-6</v>
      </c>
      <c r="P152">
        <f t="shared" si="76"/>
        <v>1.6101296476392279E-6</v>
      </c>
      <c r="Q152">
        <f t="shared" si="77"/>
        <v>1.0714246207458851E-2</v>
      </c>
      <c r="R152">
        <f t="shared" si="78"/>
        <v>1.7409419507613075E-2</v>
      </c>
      <c r="S152">
        <f t="shared" si="79"/>
        <v>2.6984799942330589E-2</v>
      </c>
      <c r="T152">
        <f t="shared" si="80"/>
        <v>2.1840880807147921E-2</v>
      </c>
      <c r="U152">
        <f t="shared" si="81"/>
        <v>2.5360159139899432E-2</v>
      </c>
      <c r="V152">
        <f t="shared" si="82"/>
        <v>-0.97879866391977299</v>
      </c>
      <c r="W152">
        <f t="shared" si="83"/>
        <v>-0.96577696417232195</v>
      </c>
      <c r="X152">
        <f t="shared" si="84"/>
        <v>-0.94744849204419412</v>
      </c>
      <c r="Y152">
        <f t="shared" si="85"/>
        <v>-0.95725189465918425</v>
      </c>
      <c r="Z152">
        <f t="shared" si="86"/>
        <v>-0.95053414370776357</v>
      </c>
    </row>
    <row r="153" spans="1:26" ht="23.25" x14ac:dyDescent="0.25">
      <c r="A153" s="12" t="s">
        <v>218</v>
      </c>
      <c r="B153" s="6">
        <v>24</v>
      </c>
      <c r="C153" s="6">
        <v>33</v>
      </c>
      <c r="D153" s="6">
        <v>24</v>
      </c>
      <c r="E153" s="6">
        <v>67</v>
      </c>
      <c r="F153" s="6">
        <v>27</v>
      </c>
      <c r="G153">
        <f t="shared" si="67"/>
        <v>302375</v>
      </c>
      <c r="H153">
        <f t="shared" si="68"/>
        <v>294142</v>
      </c>
      <c r="I153">
        <f t="shared" si="69"/>
        <v>391380</v>
      </c>
      <c r="J153">
        <f t="shared" si="70"/>
        <v>381256</v>
      </c>
      <c r="K153">
        <f t="shared" si="71"/>
        <v>370784</v>
      </c>
      <c r="L153">
        <f t="shared" si="72"/>
        <v>7.9371641174038853E-5</v>
      </c>
      <c r="M153">
        <f t="shared" si="73"/>
        <v>1.1219071060916156E-4</v>
      </c>
      <c r="N153">
        <f t="shared" si="74"/>
        <v>6.1321477847616122E-5</v>
      </c>
      <c r="O153">
        <f t="shared" si="75"/>
        <v>1.7573493925341502E-4</v>
      </c>
      <c r="P153">
        <f t="shared" si="76"/>
        <v>7.2818676102528692E-5</v>
      </c>
      <c r="Q153">
        <f t="shared" si="77"/>
        <v>0.97837378386394325</v>
      </c>
      <c r="R153">
        <f t="shared" si="78"/>
        <v>1.7388848541204316</v>
      </c>
      <c r="S153">
        <f t="shared" si="79"/>
        <v>1.3756529162150721</v>
      </c>
      <c r="T153">
        <f t="shared" si="80"/>
        <v>3.1757184453311185</v>
      </c>
      <c r="U153">
        <f t="shared" si="81"/>
        <v>1.1469220612293805</v>
      </c>
      <c r="V153">
        <f t="shared" si="82"/>
        <v>-1.0931309498965758E-2</v>
      </c>
      <c r="W153">
        <f t="shared" si="83"/>
        <v>0.26977580054482347</v>
      </c>
      <c r="X153">
        <f t="shared" si="84"/>
        <v>0.15812617813445926</v>
      </c>
      <c r="Y153">
        <f t="shared" si="85"/>
        <v>0.52104050448223937</v>
      </c>
      <c r="Z153">
        <f t="shared" si="86"/>
        <v>6.8433812238740163E-2</v>
      </c>
    </row>
    <row r="154" spans="1:26" x14ac:dyDescent="0.25">
      <c r="A154" s="11" t="s">
        <v>124</v>
      </c>
      <c r="B154" s="5">
        <v>190</v>
      </c>
      <c r="C154" s="7">
        <v>80</v>
      </c>
      <c r="D154" s="7">
        <v>108</v>
      </c>
      <c r="E154" s="7">
        <v>69</v>
      </c>
      <c r="F154" s="7">
        <v>23</v>
      </c>
      <c r="G154">
        <f t="shared" si="67"/>
        <v>532953</v>
      </c>
      <c r="H154">
        <f t="shared" si="68"/>
        <v>1513366</v>
      </c>
      <c r="I154">
        <f t="shared" si="69"/>
        <v>1346174</v>
      </c>
      <c r="J154">
        <f t="shared" si="70"/>
        <v>1132883</v>
      </c>
      <c r="K154">
        <f t="shared" si="71"/>
        <v>1632543</v>
      </c>
      <c r="L154">
        <f t="shared" si="72"/>
        <v>3.5650423208050239E-4</v>
      </c>
      <c r="M154">
        <f t="shared" si="73"/>
        <v>5.2862295042970439E-5</v>
      </c>
      <c r="N154">
        <f t="shared" si="74"/>
        <v>8.022737031022735E-5</v>
      </c>
      <c r="O154">
        <f t="shared" si="75"/>
        <v>6.0906554339680268E-5</v>
      </c>
      <c r="P154">
        <f t="shared" si="76"/>
        <v>1.4088449737617937E-5</v>
      </c>
      <c r="Q154">
        <f t="shared" si="77"/>
        <v>4.3944460432575179</v>
      </c>
      <c r="R154">
        <f t="shared" si="78"/>
        <v>0.81933204367065049</v>
      </c>
      <c r="S154">
        <f t="shared" si="79"/>
        <v>1.7997774972382079</v>
      </c>
      <c r="T154">
        <f t="shared" si="80"/>
        <v>1.1006466265604946</v>
      </c>
      <c r="U154">
        <f t="shared" si="81"/>
        <v>0.22189848370553081</v>
      </c>
      <c r="V154">
        <f t="shared" si="82"/>
        <v>0.62924830761820549</v>
      </c>
      <c r="W154">
        <f t="shared" si="83"/>
        <v>-9.9304553535393802E-2</v>
      </c>
      <c r="X154">
        <f t="shared" si="84"/>
        <v>0.2856575202947858</v>
      </c>
      <c r="Y154">
        <f t="shared" si="85"/>
        <v>4.7912212024584511E-2</v>
      </c>
      <c r="Z154">
        <f t="shared" si="86"/>
        <v>-0.63679718623988923</v>
      </c>
    </row>
    <row r="155" spans="1:26" x14ac:dyDescent="0.25">
      <c r="A155" s="12" t="s">
        <v>210</v>
      </c>
      <c r="B155" s="4">
        <v>22</v>
      </c>
      <c r="C155" s="4">
        <v>130</v>
      </c>
      <c r="D155" s="6">
        <v>19</v>
      </c>
      <c r="E155" s="6">
        <v>15</v>
      </c>
      <c r="F155" s="6">
        <v>23</v>
      </c>
      <c r="G155">
        <f t="shared" si="67"/>
        <v>108947</v>
      </c>
      <c r="H155">
        <f t="shared" si="68"/>
        <v>173779</v>
      </c>
      <c r="I155">
        <f t="shared" si="69"/>
        <v>206722</v>
      </c>
      <c r="J155">
        <f t="shared" si="70"/>
        <v>175870</v>
      </c>
      <c r="K155">
        <f t="shared" si="71"/>
        <v>164703</v>
      </c>
      <c r="L155">
        <f t="shared" si="72"/>
        <v>2.0193305001514497E-4</v>
      </c>
      <c r="M155">
        <f t="shared" si="73"/>
        <v>7.480765800240535E-4</v>
      </c>
      <c r="N155">
        <f t="shared" si="74"/>
        <v>9.191087547527598E-5</v>
      </c>
      <c r="O155">
        <f t="shared" si="75"/>
        <v>8.5290271223062487E-5</v>
      </c>
      <c r="P155">
        <f t="shared" si="76"/>
        <v>1.3964530093562352E-4</v>
      </c>
      <c r="Q155">
        <f t="shared" si="77"/>
        <v>2.489125830185364</v>
      </c>
      <c r="R155">
        <f t="shared" si="78"/>
        <v>11.594712500375339</v>
      </c>
      <c r="S155">
        <f t="shared" si="79"/>
        <v>2.0618789422140291</v>
      </c>
      <c r="T155">
        <f t="shared" si="80"/>
        <v>1.5412864890788067</v>
      </c>
      <c r="U155">
        <f t="shared" si="81"/>
        <v>2.1994670181118643</v>
      </c>
      <c r="V155">
        <f t="shared" si="82"/>
        <v>0.42679052079536278</v>
      </c>
      <c r="W155">
        <f t="shared" si="83"/>
        <v>0.84120320333311316</v>
      </c>
      <c r="X155">
        <f t="shared" si="84"/>
        <v>0.34680631150171792</v>
      </c>
      <c r="Y155">
        <f t="shared" si="85"/>
        <v>0.2129970357159606</v>
      </c>
      <c r="Z155">
        <f t="shared" si="86"/>
        <v>0.3748958846338471</v>
      </c>
    </row>
    <row r="156" spans="1:26" x14ac:dyDescent="0.25">
      <c r="A156" s="11" t="s">
        <v>40</v>
      </c>
      <c r="B156" s="5">
        <v>24</v>
      </c>
      <c r="C156" s="5">
        <v>28</v>
      </c>
      <c r="D156" s="5">
        <v>14</v>
      </c>
      <c r="E156" s="5">
        <v>19</v>
      </c>
      <c r="F156" s="14">
        <v>22</v>
      </c>
      <c r="G156">
        <f t="shared" si="67"/>
        <v>7971839</v>
      </c>
      <c r="H156">
        <f t="shared" si="68"/>
        <v>11631003</v>
      </c>
      <c r="I156">
        <f t="shared" si="69"/>
        <v>13826669</v>
      </c>
      <c r="J156">
        <f t="shared" si="70"/>
        <v>14380540</v>
      </c>
      <c r="K156">
        <f t="shared" si="71"/>
        <v>14508560</v>
      </c>
      <c r="L156">
        <f t="shared" si="72"/>
        <v>3.0105976801588692E-6</v>
      </c>
      <c r="M156">
        <f t="shared" si="73"/>
        <v>2.4073590214016795E-6</v>
      </c>
      <c r="N156">
        <f t="shared" si="74"/>
        <v>1.0125359911342349E-6</v>
      </c>
      <c r="O156">
        <f t="shared" si="75"/>
        <v>1.3212299399048993E-6</v>
      </c>
      <c r="P156">
        <f t="shared" si="76"/>
        <v>1.5163462121671621E-6</v>
      </c>
      <c r="Q156">
        <f t="shared" si="77"/>
        <v>3.7110103816178408E-2</v>
      </c>
      <c r="R156">
        <f t="shared" si="78"/>
        <v>3.7312537892096417E-2</v>
      </c>
      <c r="S156">
        <f t="shared" si="79"/>
        <v>2.2714685585984742E-2</v>
      </c>
      <c r="T156">
        <f t="shared" si="80"/>
        <v>2.387603915593112E-2</v>
      </c>
      <c r="U156">
        <f t="shared" si="81"/>
        <v>2.3883034082457486E-2</v>
      </c>
      <c r="V156">
        <f t="shared" si="82"/>
        <v>-0.92843555630279351</v>
      </c>
      <c r="W156">
        <f t="shared" si="83"/>
        <v>-0.92805921739282449</v>
      </c>
      <c r="X156">
        <f t="shared" si="84"/>
        <v>-0.95557962370908966</v>
      </c>
      <c r="Y156">
        <f t="shared" si="85"/>
        <v>-0.95336146517186937</v>
      </c>
      <c r="Z156">
        <f t="shared" si="86"/>
        <v>-0.95334812026871796</v>
      </c>
    </row>
    <row r="157" spans="1:26" ht="23.25" x14ac:dyDescent="0.25">
      <c r="A157" s="12" t="s">
        <v>157</v>
      </c>
      <c r="B157" s="4">
        <v>25</v>
      </c>
      <c r="C157" s="4">
        <v>16</v>
      </c>
      <c r="D157" s="4">
        <v>23</v>
      </c>
      <c r="E157" s="4">
        <v>62</v>
      </c>
      <c r="F157" s="6">
        <v>22</v>
      </c>
      <c r="G157">
        <f t="shared" si="67"/>
        <v>4087226</v>
      </c>
      <c r="H157">
        <f t="shared" si="68"/>
        <v>4502304</v>
      </c>
      <c r="I157">
        <f t="shared" si="69"/>
        <v>5820621</v>
      </c>
      <c r="J157">
        <f t="shared" si="70"/>
        <v>6175200</v>
      </c>
      <c r="K157">
        <f t="shared" si="71"/>
        <v>5634228</v>
      </c>
      <c r="L157">
        <f t="shared" si="72"/>
        <v>6.1166179702321334E-6</v>
      </c>
      <c r="M157">
        <f t="shared" si="73"/>
        <v>3.5537360427016923E-6</v>
      </c>
      <c r="N157">
        <f t="shared" si="74"/>
        <v>3.9514684086113832E-6</v>
      </c>
      <c r="O157">
        <f t="shared" si="75"/>
        <v>1.0040160642570281E-5</v>
      </c>
      <c r="P157">
        <f t="shared" si="76"/>
        <v>3.9047053118901117E-6</v>
      </c>
      <c r="Q157">
        <f t="shared" si="77"/>
        <v>7.5396433530513701E-2</v>
      </c>
      <c r="R157">
        <f t="shared" si="78"/>
        <v>5.5080654598253585E-2</v>
      </c>
      <c r="S157">
        <f t="shared" si="79"/>
        <v>8.8645108213896359E-2</v>
      </c>
      <c r="T157">
        <f t="shared" si="80"/>
        <v>0.18143644901893557</v>
      </c>
      <c r="U157">
        <f t="shared" si="81"/>
        <v>6.1500605401020224E-2</v>
      </c>
      <c r="V157">
        <f t="shared" si="82"/>
        <v>-0.85977927547520661</v>
      </c>
      <c r="W157">
        <f t="shared" si="83"/>
        <v>-0.89558967959804581</v>
      </c>
      <c r="X157">
        <f t="shared" si="84"/>
        <v>-0.83714599451177718</v>
      </c>
      <c r="Y157">
        <f t="shared" si="85"/>
        <v>-0.69285449222495155</v>
      </c>
      <c r="Z157">
        <f t="shared" si="86"/>
        <v>-0.88412516189232659</v>
      </c>
    </row>
    <row r="158" spans="1:26" x14ac:dyDescent="0.25">
      <c r="A158" s="11" t="s">
        <v>185</v>
      </c>
      <c r="B158" s="5">
        <v>21</v>
      </c>
      <c r="C158" s="5">
        <v>29</v>
      </c>
      <c r="D158" s="5">
        <v>35</v>
      </c>
      <c r="E158" s="5">
        <v>26</v>
      </c>
      <c r="F158" s="14">
        <v>20</v>
      </c>
      <c r="G158">
        <f t="shared" si="67"/>
        <v>2652177</v>
      </c>
      <c r="H158">
        <f t="shared" si="68"/>
        <v>3460378</v>
      </c>
      <c r="I158">
        <f t="shared" si="69"/>
        <v>3925598</v>
      </c>
      <c r="J158">
        <f t="shared" si="70"/>
        <v>4211327</v>
      </c>
      <c r="K158">
        <f t="shared" si="71"/>
        <v>3366575</v>
      </c>
      <c r="L158">
        <f t="shared" si="72"/>
        <v>7.9180235708250245E-6</v>
      </c>
      <c r="M158">
        <f t="shared" si="73"/>
        <v>8.3805873231190358E-6</v>
      </c>
      <c r="N158">
        <f t="shared" si="74"/>
        <v>8.9158390645195959E-6</v>
      </c>
      <c r="O158">
        <f t="shared" si="75"/>
        <v>6.1738259698190145E-6</v>
      </c>
      <c r="P158">
        <f t="shared" si="76"/>
        <v>5.940755812658265E-6</v>
      </c>
      <c r="Q158">
        <f t="shared" si="77"/>
        <v>9.7601442620110723E-2</v>
      </c>
      <c r="R158">
        <f t="shared" si="78"/>
        <v>0.12989378786959349</v>
      </c>
      <c r="S158">
        <f t="shared" si="79"/>
        <v>0.20001311840672559</v>
      </c>
      <c r="T158">
        <f t="shared" si="80"/>
        <v>0.11156764325815488</v>
      </c>
      <c r="U158">
        <f t="shared" si="81"/>
        <v>9.3569181240275717E-2</v>
      </c>
      <c r="V158">
        <f t="shared" si="82"/>
        <v>-0.8221550394702033</v>
      </c>
      <c r="W158">
        <f t="shared" si="83"/>
        <v>-0.77007787941819328</v>
      </c>
      <c r="X158">
        <f t="shared" si="84"/>
        <v>-0.66664844685650471</v>
      </c>
      <c r="Y158">
        <f t="shared" si="85"/>
        <v>-0.79926072167567763</v>
      </c>
      <c r="Z158">
        <f t="shared" si="86"/>
        <v>-0.82887377800066775</v>
      </c>
    </row>
    <row r="159" spans="1:26" ht="34.5" x14ac:dyDescent="0.25">
      <c r="A159" s="12" t="s">
        <v>154</v>
      </c>
      <c r="B159" s="4">
        <v>5</v>
      </c>
      <c r="C159" s="4">
        <v>8</v>
      </c>
      <c r="D159" s="4">
        <v>20</v>
      </c>
      <c r="E159" s="4">
        <v>2</v>
      </c>
      <c r="F159" s="6">
        <v>20</v>
      </c>
      <c r="G159">
        <f t="shared" si="67"/>
        <v>6938042</v>
      </c>
      <c r="H159">
        <f t="shared" si="68"/>
        <v>11971835</v>
      </c>
      <c r="I159">
        <f t="shared" si="69"/>
        <v>26858595</v>
      </c>
      <c r="J159">
        <f t="shared" si="70"/>
        <v>25675561</v>
      </c>
      <c r="K159">
        <f t="shared" si="71"/>
        <v>10747193</v>
      </c>
      <c r="L159">
        <f t="shared" si="72"/>
        <v>7.2066441800150532E-7</v>
      </c>
      <c r="M159">
        <f t="shared" si="73"/>
        <v>6.6823507006235885E-7</v>
      </c>
      <c r="N159">
        <f t="shared" si="74"/>
        <v>7.4464058898092026E-7</v>
      </c>
      <c r="O159">
        <f t="shared" si="75"/>
        <v>7.7895084746152181E-8</v>
      </c>
      <c r="P159">
        <f t="shared" si="76"/>
        <v>1.860951040890398E-6</v>
      </c>
      <c r="Q159">
        <f t="shared" si="77"/>
        <v>8.8832631290841815E-3</v>
      </c>
      <c r="R159">
        <f t="shared" si="78"/>
        <v>1.0357219737840335E-2</v>
      </c>
      <c r="S159">
        <f t="shared" si="79"/>
        <v>1.6704864816031732E-2</v>
      </c>
      <c r="T159">
        <f t="shared" si="80"/>
        <v>1.4076475542081424E-3</v>
      </c>
      <c r="U159">
        <f t="shared" si="81"/>
        <v>2.9310692227633876E-2</v>
      </c>
      <c r="V159">
        <f t="shared" si="82"/>
        <v>-0.98238990881555022</v>
      </c>
      <c r="W159">
        <f t="shared" si="83"/>
        <v>-0.97949790522499014</v>
      </c>
      <c r="X159">
        <f t="shared" si="84"/>
        <v>-0.96713920549784249</v>
      </c>
      <c r="Y159">
        <f t="shared" si="85"/>
        <v>-0.99718866226427139</v>
      </c>
      <c r="Z159">
        <f t="shared" si="86"/>
        <v>-0.94304792042099628</v>
      </c>
    </row>
    <row r="160" spans="1:26" x14ac:dyDescent="0.25">
      <c r="A160" s="11" t="s">
        <v>67</v>
      </c>
      <c r="B160" s="5">
        <v>5</v>
      </c>
      <c r="C160" s="5">
        <v>4</v>
      </c>
      <c r="D160" s="5">
        <v>5</v>
      </c>
      <c r="E160" s="5">
        <v>11</v>
      </c>
      <c r="F160" s="7">
        <v>20</v>
      </c>
      <c r="G160">
        <f t="shared" si="67"/>
        <v>891869</v>
      </c>
      <c r="H160">
        <f t="shared" si="68"/>
        <v>1221291</v>
      </c>
      <c r="I160">
        <f t="shared" si="69"/>
        <v>1568916</v>
      </c>
      <c r="J160">
        <f t="shared" si="70"/>
        <v>1289872</v>
      </c>
      <c r="K160">
        <f t="shared" si="71"/>
        <v>1461529</v>
      </c>
      <c r="L160">
        <f t="shared" si="72"/>
        <v>5.6062044986427377E-6</v>
      </c>
      <c r="M160">
        <f t="shared" si="73"/>
        <v>3.2752226946730959E-6</v>
      </c>
      <c r="N160">
        <f t="shared" si="74"/>
        <v>3.1869137672125214E-6</v>
      </c>
      <c r="O160">
        <f t="shared" si="75"/>
        <v>8.5279779699070913E-6</v>
      </c>
      <c r="P160">
        <f t="shared" si="76"/>
        <v>1.3684299114146896E-5</v>
      </c>
      <c r="Q160">
        <f t="shared" si="77"/>
        <v>6.9104826702842542E-2</v>
      </c>
      <c r="R160">
        <f t="shared" si="78"/>
        <v>5.0763874359250893E-2</v>
      </c>
      <c r="S160">
        <f t="shared" si="79"/>
        <v>7.1493502300879377E-2</v>
      </c>
      <c r="T160">
        <f t="shared" si="80"/>
        <v>0.15410968960109672</v>
      </c>
      <c r="U160">
        <f t="shared" si="81"/>
        <v>0.21553295646817902</v>
      </c>
      <c r="V160">
        <f t="shared" si="82"/>
        <v>-0.8707239459090943</v>
      </c>
      <c r="W160">
        <f t="shared" si="83"/>
        <v>-0.90337719901113578</v>
      </c>
      <c r="X160">
        <f t="shared" si="84"/>
        <v>-0.86655354951316588</v>
      </c>
      <c r="Y160">
        <f t="shared" si="85"/>
        <v>-0.73293753446544108</v>
      </c>
      <c r="Z160">
        <f t="shared" si="86"/>
        <v>-0.64536879840029027</v>
      </c>
    </row>
    <row r="161" spans="1:26" x14ac:dyDescent="0.25">
      <c r="A161" s="12" t="s">
        <v>236</v>
      </c>
      <c r="B161" s="4"/>
      <c r="C161" s="4"/>
      <c r="D161" s="4"/>
      <c r="E161" s="6">
        <v>5</v>
      </c>
      <c r="F161" s="6">
        <v>19</v>
      </c>
      <c r="G161">
        <f t="shared" si="67"/>
        <v>14400</v>
      </c>
      <c r="H161">
        <f t="shared" si="68"/>
        <v>41081</v>
      </c>
      <c r="I161">
        <f t="shared" si="69"/>
        <v>55449</v>
      </c>
      <c r="J161">
        <f t="shared" si="70"/>
        <v>122129</v>
      </c>
      <c r="K161">
        <f t="shared" si="71"/>
        <v>119629</v>
      </c>
      <c r="L161">
        <f t="shared" si="72"/>
        <v>0</v>
      </c>
      <c r="M161">
        <f t="shared" si="73"/>
        <v>0</v>
      </c>
      <c r="N161">
        <f t="shared" si="74"/>
        <v>0</v>
      </c>
      <c r="O161">
        <f t="shared" si="75"/>
        <v>4.0940317205577707E-5</v>
      </c>
      <c r="P161">
        <f t="shared" si="76"/>
        <v>1.5882436532947697E-4</v>
      </c>
      <c r="Q161">
        <f t="shared" si="77"/>
        <v>0</v>
      </c>
      <c r="R161">
        <f t="shared" si="78"/>
        <v>0</v>
      </c>
      <c r="S161">
        <f t="shared" si="79"/>
        <v>0</v>
      </c>
      <c r="T161">
        <f t="shared" si="80"/>
        <v>0.73983535123868949</v>
      </c>
      <c r="U161">
        <f t="shared" si="81"/>
        <v>2.501544633970711</v>
      </c>
      <c r="V161">
        <f t="shared" si="82"/>
        <v>-1</v>
      </c>
      <c r="W161">
        <f t="shared" si="83"/>
        <v>-1</v>
      </c>
      <c r="X161">
        <f t="shared" si="84"/>
        <v>-1</v>
      </c>
      <c r="Y161">
        <f t="shared" si="85"/>
        <v>-0.14953406285030607</v>
      </c>
      <c r="Z161">
        <f t="shared" si="86"/>
        <v>0.42882350246324774</v>
      </c>
    </row>
    <row r="162" spans="1:26" x14ac:dyDescent="0.25">
      <c r="A162" s="11" t="s">
        <v>212</v>
      </c>
      <c r="B162" s="5">
        <v>8</v>
      </c>
      <c r="C162" s="5">
        <v>17</v>
      </c>
      <c r="D162" s="5">
        <v>9</v>
      </c>
      <c r="E162" s="5">
        <v>18</v>
      </c>
      <c r="F162" s="7">
        <v>18</v>
      </c>
      <c r="G162">
        <f t="shared" si="67"/>
        <v>496896</v>
      </c>
      <c r="H162">
        <f t="shared" si="68"/>
        <v>542320</v>
      </c>
      <c r="I162">
        <f t="shared" si="69"/>
        <v>933462</v>
      </c>
      <c r="J162">
        <f t="shared" si="70"/>
        <v>909825</v>
      </c>
      <c r="K162">
        <f t="shared" si="71"/>
        <v>1056247</v>
      </c>
      <c r="L162">
        <f t="shared" si="72"/>
        <v>1.6099948480164864E-5</v>
      </c>
      <c r="M162">
        <f t="shared" si="73"/>
        <v>3.1346806313615574E-5</v>
      </c>
      <c r="N162">
        <f t="shared" si="74"/>
        <v>9.6415279893557527E-6</v>
      </c>
      <c r="O162">
        <f t="shared" si="75"/>
        <v>1.9784024400296761E-5</v>
      </c>
      <c r="P162">
        <f t="shared" si="76"/>
        <v>1.7041468520147275E-5</v>
      </c>
      <c r="Q162">
        <f t="shared" si="77"/>
        <v>0.19845586259221237</v>
      </c>
      <c r="R162">
        <f t="shared" si="78"/>
        <v>0.48585561520939013</v>
      </c>
      <c r="S162">
        <f t="shared" si="79"/>
        <v>0.21629283182453662</v>
      </c>
      <c r="T162">
        <f t="shared" si="80"/>
        <v>0.35751849619558457</v>
      </c>
      <c r="U162">
        <f t="shared" si="81"/>
        <v>0.26840966147177986</v>
      </c>
      <c r="V162">
        <f t="shared" si="82"/>
        <v>-0.66881406518724817</v>
      </c>
      <c r="W162">
        <f t="shared" si="83"/>
        <v>-0.34602580461235161</v>
      </c>
      <c r="X162">
        <f t="shared" si="84"/>
        <v>-0.64434085910038619</v>
      </c>
      <c r="Y162">
        <f t="shared" si="85"/>
        <v>-0.47327642724939328</v>
      </c>
      <c r="Z162">
        <f t="shared" si="86"/>
        <v>-0.57677764585877589</v>
      </c>
    </row>
    <row r="163" spans="1:26" ht="23.25" x14ac:dyDescent="0.25">
      <c r="A163" s="12" t="s">
        <v>162</v>
      </c>
      <c r="B163" s="4">
        <v>16</v>
      </c>
      <c r="C163" s="4">
        <v>18</v>
      </c>
      <c r="D163" s="4">
        <v>14</v>
      </c>
      <c r="E163" s="4">
        <v>11</v>
      </c>
      <c r="F163" s="13">
        <v>16</v>
      </c>
      <c r="G163">
        <f t="shared" si="67"/>
        <v>7079997</v>
      </c>
      <c r="H163">
        <f t="shared" si="68"/>
        <v>9559086</v>
      </c>
      <c r="I163">
        <f t="shared" si="69"/>
        <v>13049406</v>
      </c>
      <c r="J163">
        <f t="shared" si="70"/>
        <v>11495579</v>
      </c>
      <c r="K163">
        <f t="shared" si="71"/>
        <v>9904187</v>
      </c>
      <c r="L163">
        <f t="shared" si="72"/>
        <v>2.2598879632293628E-6</v>
      </c>
      <c r="M163">
        <f t="shared" si="73"/>
        <v>1.8830252181013958E-6</v>
      </c>
      <c r="N163">
        <f t="shared" si="74"/>
        <v>1.0728457678456781E-6</v>
      </c>
      <c r="O163">
        <f t="shared" si="75"/>
        <v>9.5688960077608956E-7</v>
      </c>
      <c r="P163">
        <f t="shared" si="76"/>
        <v>1.6154783830313382E-6</v>
      </c>
      <c r="Q163">
        <f t="shared" si="77"/>
        <v>2.7856487594167045E-2</v>
      </c>
      <c r="R163">
        <f t="shared" si="78"/>
        <v>2.9185696515375784E-2</v>
      </c>
      <c r="S163">
        <f t="shared" si="79"/>
        <v>2.4067642545299153E-2</v>
      </c>
      <c r="T163">
        <f t="shared" si="80"/>
        <v>1.7292019266288875E-2</v>
      </c>
      <c r="U163">
        <f t="shared" si="81"/>
        <v>2.5444403772584764E-2</v>
      </c>
      <c r="V163">
        <f t="shared" si="82"/>
        <v>-0.94579693190560321</v>
      </c>
      <c r="W163">
        <f t="shared" si="83"/>
        <v>-0.94328390568545017</v>
      </c>
      <c r="X163">
        <f t="shared" si="84"/>
        <v>-0.95299599060569951</v>
      </c>
      <c r="Y163">
        <f t="shared" si="85"/>
        <v>-0.96600382399783191</v>
      </c>
      <c r="Z163">
        <f t="shared" si="86"/>
        <v>-0.95037389900617641</v>
      </c>
    </row>
    <row r="164" spans="1:26" x14ac:dyDescent="0.25">
      <c r="A164" s="11" t="s">
        <v>138</v>
      </c>
      <c r="B164" s="5">
        <v>5</v>
      </c>
      <c r="C164" s="5">
        <v>3</v>
      </c>
      <c r="D164" s="5">
        <v>19</v>
      </c>
      <c r="E164" s="7">
        <v>29</v>
      </c>
      <c r="F164" s="7">
        <v>16</v>
      </c>
      <c r="G164">
        <f t="shared" si="67"/>
        <v>7230346</v>
      </c>
      <c r="H164">
        <f t="shared" si="68"/>
        <v>8431207</v>
      </c>
      <c r="I164">
        <f t="shared" si="69"/>
        <v>9833120</v>
      </c>
      <c r="J164">
        <f t="shared" si="70"/>
        <v>4671629</v>
      </c>
      <c r="K164">
        <f t="shared" si="71"/>
        <v>4251894</v>
      </c>
      <c r="L164">
        <f t="shared" si="72"/>
        <v>6.9152983826776754E-7</v>
      </c>
      <c r="M164">
        <f t="shared" si="73"/>
        <v>3.5582093999115432E-7</v>
      </c>
      <c r="N164">
        <f t="shared" si="74"/>
        <v>1.9322453097287535E-6</v>
      </c>
      <c r="O164">
        <f t="shared" si="75"/>
        <v>6.2076847283891764E-6</v>
      </c>
      <c r="P164">
        <f t="shared" si="76"/>
        <v>3.7630288995915701E-6</v>
      </c>
      <c r="Q164">
        <f t="shared" si="77"/>
        <v>8.52413600768725E-3</v>
      </c>
      <c r="R164">
        <f t="shared" si="78"/>
        <v>5.5149988797645356E-3</v>
      </c>
      <c r="S164">
        <f t="shared" si="79"/>
        <v>4.3346947733005244E-2</v>
      </c>
      <c r="T164">
        <f t="shared" si="80"/>
        <v>0.11217950726530157</v>
      </c>
      <c r="U164">
        <f t="shared" si="81"/>
        <v>5.9269147600383494E-2</v>
      </c>
      <c r="V164">
        <f t="shared" si="82"/>
        <v>-0.98309582150124708</v>
      </c>
      <c r="W164">
        <f t="shared" si="83"/>
        <v>-0.98903049902605378</v>
      </c>
      <c r="X164">
        <f t="shared" si="84"/>
        <v>-0.91690789372185355</v>
      </c>
      <c r="Y164">
        <f t="shared" si="85"/>
        <v>-0.79827086089522414</v>
      </c>
      <c r="Z164">
        <f t="shared" si="86"/>
        <v>-0.88809426247399181</v>
      </c>
    </row>
    <row r="165" spans="1:26" ht="34.5" x14ac:dyDescent="0.25">
      <c r="A165" s="12" t="s">
        <v>211</v>
      </c>
      <c r="B165" s="6">
        <v>1</v>
      </c>
      <c r="C165" s="4"/>
      <c r="D165" s="4"/>
      <c r="E165" s="6">
        <v>7</v>
      </c>
      <c r="F165" s="6">
        <v>14</v>
      </c>
      <c r="G165">
        <f t="shared" si="67"/>
        <v>1582024</v>
      </c>
      <c r="H165">
        <f t="shared" si="68"/>
        <v>1094076</v>
      </c>
      <c r="I165">
        <f t="shared" si="69"/>
        <v>2151796</v>
      </c>
      <c r="J165">
        <f t="shared" si="70"/>
        <v>2476840</v>
      </c>
      <c r="K165">
        <f t="shared" si="71"/>
        <v>1521030</v>
      </c>
      <c r="L165">
        <f t="shared" si="72"/>
        <v>6.3210166217453087E-7</v>
      </c>
      <c r="M165">
        <f t="shared" si="73"/>
        <v>0</v>
      </c>
      <c r="N165">
        <f t="shared" si="74"/>
        <v>0</v>
      </c>
      <c r="O165">
        <f t="shared" si="75"/>
        <v>2.8261817477107929E-6</v>
      </c>
      <c r="P165">
        <f t="shared" si="76"/>
        <v>9.2042891987666259E-6</v>
      </c>
      <c r="Q165">
        <f t="shared" si="77"/>
        <v>7.7915951574233358E-3</v>
      </c>
      <c r="R165">
        <f t="shared" si="78"/>
        <v>0</v>
      </c>
      <c r="S165">
        <f t="shared" si="79"/>
        <v>0</v>
      </c>
      <c r="T165">
        <f t="shared" si="80"/>
        <v>5.1072129106442841E-2</v>
      </c>
      <c r="U165">
        <f t="shared" si="81"/>
        <v>0.14497108303832723</v>
      </c>
      <c r="V165">
        <f t="shared" si="82"/>
        <v>-0.98453728887031211</v>
      </c>
      <c r="W165">
        <f t="shared" si="83"/>
        <v>-1</v>
      </c>
      <c r="X165">
        <f t="shared" si="84"/>
        <v>-1</v>
      </c>
      <c r="Y165">
        <f t="shared" si="85"/>
        <v>-0.90281898322266185</v>
      </c>
      <c r="Z165">
        <f t="shared" si="86"/>
        <v>-0.74676900546059566</v>
      </c>
    </row>
    <row r="166" spans="1:26" x14ac:dyDescent="0.25">
      <c r="A166" s="11" t="s">
        <v>152</v>
      </c>
      <c r="B166" s="5">
        <v>2247</v>
      </c>
      <c r="C166" s="5">
        <v>3860</v>
      </c>
      <c r="D166" s="5">
        <v>3447</v>
      </c>
      <c r="E166" s="7">
        <v>3312</v>
      </c>
      <c r="F166" s="7">
        <v>12</v>
      </c>
      <c r="G166">
        <f t="shared" si="67"/>
        <v>3706645</v>
      </c>
      <c r="H166">
        <f t="shared" si="68"/>
        <v>3736702</v>
      </c>
      <c r="I166">
        <f t="shared" si="69"/>
        <v>3367604</v>
      </c>
      <c r="J166">
        <f t="shared" si="70"/>
        <v>2289622</v>
      </c>
      <c r="K166">
        <f t="shared" si="71"/>
        <v>1616708</v>
      </c>
      <c r="L166">
        <f t="shared" si="72"/>
        <v>6.0620857945662451E-4</v>
      </c>
      <c r="M166">
        <f t="shared" si="73"/>
        <v>1.0329964765721216E-3</v>
      </c>
      <c r="N166">
        <f t="shared" si="74"/>
        <v>1.0235764062520416E-3</v>
      </c>
      <c r="O166">
        <f t="shared" si="75"/>
        <v>1.4465269813095786E-3</v>
      </c>
      <c r="P166">
        <f t="shared" si="76"/>
        <v>7.4224906414763831E-6</v>
      </c>
      <c r="Q166">
        <f t="shared" si="77"/>
        <v>7.4724243183188248</v>
      </c>
      <c r="R166">
        <f t="shared" si="78"/>
        <v>16.010790177884385</v>
      </c>
      <c r="S166">
        <f t="shared" si="79"/>
        <v>22.962360296153623</v>
      </c>
      <c r="T166">
        <f t="shared" si="80"/>
        <v>26.140290802329456</v>
      </c>
      <c r="U166">
        <f t="shared" si="81"/>
        <v>0.11690707276786454</v>
      </c>
      <c r="V166">
        <f t="shared" si="82"/>
        <v>0.76394005719523983</v>
      </c>
      <c r="W166">
        <f t="shared" si="83"/>
        <v>0.88242756632198149</v>
      </c>
      <c r="X166">
        <f t="shared" si="84"/>
        <v>0.91653576795934266</v>
      </c>
      <c r="Y166">
        <f t="shared" si="85"/>
        <v>0.9263088220179152</v>
      </c>
      <c r="Z166">
        <f t="shared" si="86"/>
        <v>-0.79065926679441445</v>
      </c>
    </row>
    <row r="167" spans="1:26" x14ac:dyDescent="0.25">
      <c r="A167" s="12" t="s">
        <v>209</v>
      </c>
      <c r="B167" s="4">
        <v>147</v>
      </c>
      <c r="C167" s="4">
        <v>106</v>
      </c>
      <c r="D167" s="4">
        <v>115</v>
      </c>
      <c r="E167" s="4">
        <v>134</v>
      </c>
      <c r="F167" s="6">
        <v>12</v>
      </c>
      <c r="G167">
        <f t="shared" si="67"/>
        <v>939715</v>
      </c>
      <c r="H167">
        <f t="shared" si="68"/>
        <v>1169779</v>
      </c>
      <c r="I167">
        <f t="shared" si="69"/>
        <v>1474134</v>
      </c>
      <c r="J167">
        <f t="shared" si="70"/>
        <v>1536520</v>
      </c>
      <c r="K167">
        <f t="shared" si="71"/>
        <v>1410705</v>
      </c>
      <c r="L167">
        <f t="shared" si="72"/>
        <v>1.5643040709151178E-4</v>
      </c>
      <c r="M167">
        <f t="shared" si="73"/>
        <v>9.0615406841805158E-5</v>
      </c>
      <c r="N167">
        <f t="shared" si="74"/>
        <v>7.8011903938176585E-5</v>
      </c>
      <c r="O167">
        <f t="shared" si="75"/>
        <v>8.7210059094577363E-5</v>
      </c>
      <c r="P167">
        <f t="shared" si="76"/>
        <v>8.5063851053196813E-6</v>
      </c>
      <c r="Q167">
        <f t="shared" si="77"/>
        <v>1.9282379327638077</v>
      </c>
      <c r="R167">
        <f t="shared" si="78"/>
        <v>1.4044813305096284</v>
      </c>
      <c r="S167">
        <f t="shared" si="79"/>
        <v>1.7500769211519362</v>
      </c>
      <c r="T167">
        <f t="shared" si="80"/>
        <v>1.5759791107088239</v>
      </c>
      <c r="U167">
        <f t="shared" si="81"/>
        <v>0.13397882604824449</v>
      </c>
      <c r="V167">
        <f t="shared" si="82"/>
        <v>0.31699539247744579</v>
      </c>
      <c r="W167">
        <f t="shared" si="83"/>
        <v>0.16821978419100425</v>
      </c>
      <c r="X167">
        <f t="shared" si="84"/>
        <v>0.27274761494225713</v>
      </c>
      <c r="Y167">
        <f t="shared" si="85"/>
        <v>0.22359618846067958</v>
      </c>
      <c r="Z167">
        <f t="shared" si="86"/>
        <v>-0.76370136201724037</v>
      </c>
    </row>
    <row r="168" spans="1:26" x14ac:dyDescent="0.25">
      <c r="A168" s="11" t="s">
        <v>179</v>
      </c>
      <c r="B168" s="5">
        <v>61</v>
      </c>
      <c r="C168" s="5">
        <v>35</v>
      </c>
      <c r="D168" s="5">
        <v>7</v>
      </c>
      <c r="E168" s="5">
        <v>14</v>
      </c>
      <c r="F168" s="7">
        <v>11</v>
      </c>
      <c r="G168">
        <f t="shared" si="67"/>
        <v>3139016</v>
      </c>
      <c r="H168">
        <f t="shared" si="68"/>
        <v>4217793</v>
      </c>
      <c r="I168">
        <f t="shared" si="69"/>
        <v>5182866</v>
      </c>
      <c r="J168">
        <f t="shared" si="70"/>
        <v>5704363</v>
      </c>
      <c r="K168">
        <f t="shared" si="71"/>
        <v>6465425</v>
      </c>
      <c r="L168">
        <f t="shared" si="72"/>
        <v>1.9432841374494428E-5</v>
      </c>
      <c r="M168">
        <f t="shared" si="73"/>
        <v>8.2981786920315907E-6</v>
      </c>
      <c r="N168">
        <f t="shared" si="74"/>
        <v>1.3506040866192565E-6</v>
      </c>
      <c r="O168">
        <f t="shared" si="75"/>
        <v>2.454261764196984E-6</v>
      </c>
      <c r="P168">
        <f t="shared" si="76"/>
        <v>1.7013576060351795E-6</v>
      </c>
      <c r="Q168">
        <f t="shared" si="77"/>
        <v>0.23953873531609179</v>
      </c>
      <c r="R168">
        <f t="shared" si="78"/>
        <v>0.12861650635788288</v>
      </c>
      <c r="S168">
        <f t="shared" si="79"/>
        <v>3.0298722660057394E-2</v>
      </c>
      <c r="T168">
        <f t="shared" si="80"/>
        <v>4.4351136930101356E-2</v>
      </c>
      <c r="U168">
        <f t="shared" si="81"/>
        <v>2.6797034453835546E-2</v>
      </c>
      <c r="V168">
        <f t="shared" si="82"/>
        <v>-0.61350342915260714</v>
      </c>
      <c r="W168">
        <f t="shared" si="83"/>
        <v>-0.77208111766336562</v>
      </c>
      <c r="X168">
        <f t="shared" si="84"/>
        <v>-0.94118458657925697</v>
      </c>
      <c r="Y168">
        <f t="shared" si="85"/>
        <v>-0.91506470312183941</v>
      </c>
      <c r="Z168">
        <f t="shared" si="86"/>
        <v>-0.94780461268455229</v>
      </c>
    </row>
    <row r="169" spans="1:26" x14ac:dyDescent="0.25">
      <c r="A169" s="12" t="s">
        <v>38</v>
      </c>
      <c r="B169" s="4">
        <v>49</v>
      </c>
      <c r="C169" s="4">
        <v>11</v>
      </c>
      <c r="D169" s="4">
        <v>12</v>
      </c>
      <c r="E169" s="4">
        <v>14</v>
      </c>
      <c r="F169" s="13">
        <v>10</v>
      </c>
      <c r="G169">
        <f t="shared" si="67"/>
        <v>10532202</v>
      </c>
      <c r="H169">
        <f t="shared" si="68"/>
        <v>13998346</v>
      </c>
      <c r="I169">
        <f t="shared" si="69"/>
        <v>17972135</v>
      </c>
      <c r="J169">
        <f t="shared" si="70"/>
        <v>18834793</v>
      </c>
      <c r="K169">
        <f t="shared" si="71"/>
        <v>17219303</v>
      </c>
      <c r="L169">
        <f t="shared" si="72"/>
        <v>4.6523984253245426E-6</v>
      </c>
      <c r="M169">
        <f t="shared" si="73"/>
        <v>7.8580712321298534E-7</v>
      </c>
      <c r="N169">
        <f t="shared" si="74"/>
        <v>6.677003038314591E-7</v>
      </c>
      <c r="O169">
        <f t="shared" si="75"/>
        <v>7.4330522241470874E-7</v>
      </c>
      <c r="P169">
        <f t="shared" si="76"/>
        <v>5.8074359920375407E-7</v>
      </c>
      <c r="Q169">
        <f t="shared" si="77"/>
        <v>5.7347745165640313E-2</v>
      </c>
      <c r="R169">
        <f t="shared" si="78"/>
        <v>1.2179511988075639E-2</v>
      </c>
      <c r="S169">
        <f t="shared" si="79"/>
        <v>1.4978828012037941E-2</v>
      </c>
      <c r="T169">
        <f t="shared" si="80"/>
        <v>1.3432320945178626E-2</v>
      </c>
      <c r="U169">
        <f t="shared" si="81"/>
        <v>9.1469342961785736E-3</v>
      </c>
      <c r="V169">
        <f t="shared" si="82"/>
        <v>-0.89152528971127387</v>
      </c>
      <c r="W169">
        <f t="shared" si="83"/>
        <v>-0.97593408709853602</v>
      </c>
      <c r="X169">
        <f t="shared" si="84"/>
        <v>-0.97048445228877167</v>
      </c>
      <c r="Y169">
        <f t="shared" si="85"/>
        <v>-0.97349142973326341</v>
      </c>
      <c r="Z169">
        <f t="shared" si="86"/>
        <v>-0.98187194751266227</v>
      </c>
    </row>
    <row r="170" spans="1:26" x14ac:dyDescent="0.25">
      <c r="A170" s="11" t="s">
        <v>206</v>
      </c>
      <c r="B170" s="7">
        <v>15</v>
      </c>
      <c r="C170" s="7">
        <v>11</v>
      </c>
      <c r="D170" s="7">
        <v>4</v>
      </c>
      <c r="E170" s="7">
        <v>3</v>
      </c>
      <c r="F170" s="7">
        <v>8</v>
      </c>
      <c r="G170">
        <f t="shared" si="67"/>
        <v>117912</v>
      </c>
      <c r="H170">
        <f t="shared" si="68"/>
        <v>112147</v>
      </c>
      <c r="I170">
        <f t="shared" si="69"/>
        <v>82595</v>
      </c>
      <c r="J170">
        <f t="shared" si="70"/>
        <v>72184</v>
      </c>
      <c r="K170">
        <f t="shared" si="71"/>
        <v>61313</v>
      </c>
      <c r="L170">
        <f t="shared" si="72"/>
        <v>1.2721351516385102E-4</v>
      </c>
      <c r="M170">
        <f t="shared" si="73"/>
        <v>9.808554843196875E-5</v>
      </c>
      <c r="N170">
        <f t="shared" si="74"/>
        <v>4.8429081663538955E-5</v>
      </c>
      <c r="O170">
        <f t="shared" si="75"/>
        <v>4.1560456610883302E-5</v>
      </c>
      <c r="P170">
        <f t="shared" si="76"/>
        <v>1.3047803891507511E-4</v>
      </c>
      <c r="Q170">
        <f t="shared" si="77"/>
        <v>1.5680961908873774</v>
      </c>
      <c r="R170">
        <f t="shared" si="78"/>
        <v>1.520263786995913</v>
      </c>
      <c r="S170">
        <f t="shared" si="79"/>
        <v>1.0864318630027141</v>
      </c>
      <c r="T170">
        <f t="shared" si="80"/>
        <v>0.75104193404158759</v>
      </c>
      <c r="U170">
        <f t="shared" si="81"/>
        <v>2.05507912732361</v>
      </c>
      <c r="V170">
        <f t="shared" si="82"/>
        <v>0.22121297204645515</v>
      </c>
      <c r="W170">
        <f t="shared" si="83"/>
        <v>0.20643227493898708</v>
      </c>
      <c r="X170">
        <f t="shared" si="84"/>
        <v>4.1425682062928543E-2</v>
      </c>
      <c r="Y170">
        <f t="shared" si="85"/>
        <v>-0.1421771010268105</v>
      </c>
      <c r="Z170">
        <f t="shared" si="86"/>
        <v>0.34535247152433263</v>
      </c>
    </row>
    <row r="171" spans="1:26" ht="23.25" x14ac:dyDescent="0.25">
      <c r="A171" s="12" t="s">
        <v>200</v>
      </c>
      <c r="B171" s="6">
        <v>18</v>
      </c>
      <c r="C171" s="6">
        <v>22</v>
      </c>
      <c r="D171" s="6">
        <v>14</v>
      </c>
      <c r="E171" s="6">
        <v>24</v>
      </c>
      <c r="F171" s="6">
        <v>8</v>
      </c>
      <c r="G171">
        <f t="shared" si="67"/>
        <v>1123416</v>
      </c>
      <c r="H171">
        <f t="shared" si="68"/>
        <v>2175265</v>
      </c>
      <c r="I171">
        <f t="shared" si="69"/>
        <v>1242294</v>
      </c>
      <c r="J171">
        <f t="shared" si="70"/>
        <v>1057030</v>
      </c>
      <c r="K171">
        <f t="shared" si="71"/>
        <v>1110249</v>
      </c>
      <c r="L171">
        <f t="shared" si="72"/>
        <v>1.602255976414792E-5</v>
      </c>
      <c r="M171">
        <f t="shared" si="73"/>
        <v>1.0113710283574645E-5</v>
      </c>
      <c r="N171">
        <f t="shared" si="74"/>
        <v>1.1269474053645917E-5</v>
      </c>
      <c r="O171">
        <f t="shared" si="75"/>
        <v>2.2705126628383299E-5</v>
      </c>
      <c r="P171">
        <f t="shared" si="76"/>
        <v>7.2055908179156207E-6</v>
      </c>
      <c r="Q171">
        <f t="shared" si="77"/>
        <v>0.1975019313165336</v>
      </c>
      <c r="R171">
        <f t="shared" si="78"/>
        <v>0.15675609447146041</v>
      </c>
      <c r="S171">
        <f t="shared" si="79"/>
        <v>0.2528132946279078</v>
      </c>
      <c r="T171">
        <f t="shared" si="80"/>
        <v>0.41030593997792264</v>
      </c>
      <c r="U171">
        <f t="shared" si="81"/>
        <v>0.11349081740545813</v>
      </c>
      <c r="V171">
        <f t="shared" si="82"/>
        <v>-0.67014344419570171</v>
      </c>
      <c r="W171">
        <f t="shared" si="83"/>
        <v>-0.72897295251669336</v>
      </c>
      <c r="X171">
        <f t="shared" si="84"/>
        <v>-0.59640706925448983</v>
      </c>
      <c r="Y171">
        <f t="shared" si="85"/>
        <v>-0.41813201186070914</v>
      </c>
      <c r="Z171">
        <f t="shared" si="86"/>
        <v>-0.7961531148143588</v>
      </c>
    </row>
    <row r="172" spans="1:26" x14ac:dyDescent="0.25">
      <c r="A172" s="11" t="s">
        <v>220</v>
      </c>
      <c r="B172" s="5">
        <v>5</v>
      </c>
      <c r="C172" s="5">
        <v>0</v>
      </c>
      <c r="D172" s="5">
        <v>0</v>
      </c>
      <c r="E172" s="5">
        <v>1</v>
      </c>
      <c r="F172" s="7">
        <v>8</v>
      </c>
      <c r="G172">
        <f t="shared" si="67"/>
        <v>311893</v>
      </c>
      <c r="H172">
        <f t="shared" si="68"/>
        <v>370236</v>
      </c>
      <c r="I172">
        <f t="shared" si="69"/>
        <v>447050</v>
      </c>
      <c r="J172">
        <f t="shared" si="70"/>
        <v>473580</v>
      </c>
      <c r="K172">
        <f t="shared" si="71"/>
        <v>530853</v>
      </c>
      <c r="L172">
        <f t="shared" si="72"/>
        <v>1.603113888416861E-5</v>
      </c>
      <c r="M172">
        <f t="shared" si="73"/>
        <v>0</v>
      </c>
      <c r="N172">
        <f t="shared" si="74"/>
        <v>0</v>
      </c>
      <c r="O172">
        <f t="shared" si="75"/>
        <v>2.1115756577558176E-6</v>
      </c>
      <c r="P172">
        <f t="shared" si="76"/>
        <v>1.5070085315520492E-5</v>
      </c>
      <c r="Q172">
        <f t="shared" si="77"/>
        <v>0.19760768175828722</v>
      </c>
      <c r="R172">
        <f t="shared" si="78"/>
        <v>0</v>
      </c>
      <c r="S172">
        <f t="shared" si="79"/>
        <v>0</v>
      </c>
      <c r="T172">
        <f t="shared" si="80"/>
        <v>3.8158432202132664E-2</v>
      </c>
      <c r="U172">
        <f t="shared" si="81"/>
        <v>0.23735962033480545</v>
      </c>
      <c r="V172">
        <f t="shared" si="82"/>
        <v>-0.66999596818189022</v>
      </c>
      <c r="W172">
        <f t="shared" si="83"/>
        <v>-1</v>
      </c>
      <c r="X172">
        <f t="shared" si="84"/>
        <v>-1</v>
      </c>
      <c r="Y172">
        <f t="shared" si="85"/>
        <v>-0.92648822950618182</v>
      </c>
      <c r="Z172">
        <f t="shared" si="86"/>
        <v>-0.6163449712855823</v>
      </c>
    </row>
    <row r="173" spans="1:26" x14ac:dyDescent="0.25">
      <c r="A173" s="12" t="s">
        <v>191</v>
      </c>
      <c r="B173" s="6">
        <v>556</v>
      </c>
      <c r="C173" s="6">
        <v>1946</v>
      </c>
      <c r="D173" s="6">
        <v>1562</v>
      </c>
      <c r="E173" s="6">
        <v>1186</v>
      </c>
      <c r="F173" s="6">
        <v>8</v>
      </c>
      <c r="G173">
        <f t="shared" si="67"/>
        <v>1035422</v>
      </c>
      <c r="H173">
        <f t="shared" si="68"/>
        <v>1260753</v>
      </c>
      <c r="I173">
        <f t="shared" si="69"/>
        <v>1492691</v>
      </c>
      <c r="J173">
        <f t="shared" si="70"/>
        <v>1467602</v>
      </c>
      <c r="K173">
        <f t="shared" si="71"/>
        <v>471273</v>
      </c>
      <c r="L173">
        <f t="shared" si="72"/>
        <v>5.369791254193942E-4</v>
      </c>
      <c r="M173">
        <f t="shared" si="73"/>
        <v>1.5435220062930645E-3</v>
      </c>
      <c r="N173">
        <f t="shared" si="74"/>
        <v>1.0464322488713336E-3</v>
      </c>
      <c r="O173">
        <f t="shared" si="75"/>
        <v>8.0812100283319318E-4</v>
      </c>
      <c r="P173">
        <f t="shared" si="76"/>
        <v>1.6975298818307012E-5</v>
      </c>
      <c r="Q173">
        <f t="shared" si="77"/>
        <v>6.6190681082245568</v>
      </c>
      <c r="R173">
        <f t="shared" si="78"/>
        <v>23.923612072436715</v>
      </c>
      <c r="S173">
        <f t="shared" si="79"/>
        <v>23.475095925746807</v>
      </c>
      <c r="T173">
        <f t="shared" si="80"/>
        <v>14.603611471114904</v>
      </c>
      <c r="U173">
        <f t="shared" si="81"/>
        <v>0.26736746330384403</v>
      </c>
      <c r="V173">
        <f t="shared" si="82"/>
        <v>0.73750070591427586</v>
      </c>
      <c r="W173">
        <f t="shared" si="83"/>
        <v>0.91975480944787213</v>
      </c>
      <c r="X173">
        <f t="shared" si="84"/>
        <v>0.91828428349912694</v>
      </c>
      <c r="Y173">
        <f t="shared" si="85"/>
        <v>0.87182454499701179</v>
      </c>
      <c r="Z173">
        <f t="shared" si="86"/>
        <v>-0.57807428224982882</v>
      </c>
    </row>
    <row r="174" spans="1:26" x14ac:dyDescent="0.25">
      <c r="A174" s="11" t="s">
        <v>140</v>
      </c>
      <c r="B174" s="5">
        <v>0</v>
      </c>
      <c r="C174" s="5">
        <v>5</v>
      </c>
      <c r="D174" s="5">
        <v>5</v>
      </c>
      <c r="E174" s="5">
        <v>11</v>
      </c>
      <c r="F174" s="7">
        <v>5</v>
      </c>
      <c r="G174">
        <f t="shared" si="67"/>
        <v>210872</v>
      </c>
      <c r="H174">
        <f t="shared" si="68"/>
        <v>327702</v>
      </c>
      <c r="I174">
        <f t="shared" si="69"/>
        <v>228797</v>
      </c>
      <c r="J174">
        <f t="shared" si="70"/>
        <v>273142</v>
      </c>
      <c r="K174">
        <f t="shared" si="71"/>
        <v>347297</v>
      </c>
      <c r="L174">
        <f t="shared" si="72"/>
        <v>0</v>
      </c>
      <c r="M174">
        <f t="shared" si="73"/>
        <v>1.5257764676443842E-5</v>
      </c>
      <c r="N174">
        <f t="shared" si="74"/>
        <v>2.1853433392920363E-5</v>
      </c>
      <c r="O174">
        <f t="shared" si="75"/>
        <v>4.0272092904057233E-5</v>
      </c>
      <c r="P174">
        <f t="shared" si="76"/>
        <v>1.4396899483727184E-5</v>
      </c>
      <c r="Q174">
        <f t="shared" si="77"/>
        <v>0</v>
      </c>
      <c r="R174">
        <f t="shared" si="78"/>
        <v>0.23648567479022053</v>
      </c>
      <c r="S174">
        <f t="shared" si="79"/>
        <v>0.49024812237873078</v>
      </c>
      <c r="T174">
        <f t="shared" si="80"/>
        <v>0.72775982289485264</v>
      </c>
      <c r="U174">
        <f t="shared" si="81"/>
        <v>0.22675668544068997</v>
      </c>
      <c r="V174">
        <f t="shared" si="82"/>
        <v>-1</v>
      </c>
      <c r="W174">
        <f t="shared" si="83"/>
        <v>-0.61748740060358209</v>
      </c>
      <c r="X174">
        <f t="shared" si="84"/>
        <v>-0.34205839280481998</v>
      </c>
      <c r="Y174">
        <f t="shared" si="85"/>
        <v>-0.15756829942312836</v>
      </c>
      <c r="Z174">
        <f t="shared" si="86"/>
        <v>-0.63031514214372231</v>
      </c>
    </row>
    <row r="175" spans="1:26" x14ac:dyDescent="0.25">
      <c r="A175" s="12" t="s">
        <v>52</v>
      </c>
      <c r="B175" s="4">
        <v>0</v>
      </c>
      <c r="C175" s="4">
        <v>7</v>
      </c>
      <c r="D175" s="4">
        <v>3</v>
      </c>
      <c r="E175" s="4">
        <v>4</v>
      </c>
      <c r="F175" s="13">
        <v>5</v>
      </c>
      <c r="G175">
        <f t="shared" si="67"/>
        <v>3227340</v>
      </c>
      <c r="H175">
        <f t="shared" si="68"/>
        <v>4380344</v>
      </c>
      <c r="I175">
        <f t="shared" si="69"/>
        <v>5478191</v>
      </c>
      <c r="J175">
        <f t="shared" si="70"/>
        <v>4809848</v>
      </c>
      <c r="K175">
        <f t="shared" si="71"/>
        <v>4803725</v>
      </c>
      <c r="L175">
        <f t="shared" si="72"/>
        <v>0</v>
      </c>
      <c r="M175">
        <f t="shared" si="73"/>
        <v>1.5980480071884764E-6</v>
      </c>
      <c r="N175">
        <f t="shared" si="74"/>
        <v>5.4762603202407505E-7</v>
      </c>
      <c r="O175">
        <f t="shared" si="75"/>
        <v>8.3162711170914339E-7</v>
      </c>
      <c r="P175">
        <f t="shared" si="76"/>
        <v>1.0408589167781252E-6</v>
      </c>
      <c r="Q175">
        <f t="shared" si="77"/>
        <v>0</v>
      </c>
      <c r="R175">
        <f t="shared" si="78"/>
        <v>2.4768730501564896E-2</v>
      </c>
      <c r="S175">
        <f t="shared" si="79"/>
        <v>1.22851466466817E-2</v>
      </c>
      <c r="T175">
        <f t="shared" si="80"/>
        <v>1.5028392017615511E-2</v>
      </c>
      <c r="U175">
        <f t="shared" si="81"/>
        <v>1.6393926917859642E-2</v>
      </c>
      <c r="V175">
        <f t="shared" si="82"/>
        <v>-1</v>
      </c>
      <c r="W175">
        <f t="shared" si="83"/>
        <v>-0.95165986282691895</v>
      </c>
      <c r="X175">
        <f t="shared" si="84"/>
        <v>-0.97572789309933516</v>
      </c>
      <c r="Y175">
        <f t="shared" si="85"/>
        <v>-0.97038823320450585</v>
      </c>
      <c r="Z175">
        <f t="shared" si="86"/>
        <v>-0.96774099788735835</v>
      </c>
    </row>
    <row r="176" spans="1:26" x14ac:dyDescent="0.25">
      <c r="A176" s="11" t="s">
        <v>133</v>
      </c>
      <c r="B176" s="5">
        <v>43</v>
      </c>
      <c r="C176" s="5">
        <v>28</v>
      </c>
      <c r="D176" s="5">
        <v>31</v>
      </c>
      <c r="E176" s="5">
        <v>28</v>
      </c>
      <c r="F176" s="7">
        <v>5</v>
      </c>
      <c r="G176">
        <f t="shared" si="67"/>
        <v>394552</v>
      </c>
      <c r="H176">
        <f t="shared" si="68"/>
        <v>446676</v>
      </c>
      <c r="I176">
        <f t="shared" si="69"/>
        <v>589270</v>
      </c>
      <c r="J176">
        <f t="shared" si="70"/>
        <v>608759</v>
      </c>
      <c r="K176">
        <f t="shared" si="71"/>
        <v>512167</v>
      </c>
      <c r="L176">
        <f t="shared" si="72"/>
        <v>1.0898436707962448E-4</v>
      </c>
      <c r="M176">
        <f t="shared" si="73"/>
        <v>6.268525732298131E-5</v>
      </c>
      <c r="N176">
        <f t="shared" si="74"/>
        <v>5.2607463471753183E-5</v>
      </c>
      <c r="O176">
        <f t="shared" si="75"/>
        <v>4.5995213212453534E-5</v>
      </c>
      <c r="P176">
        <f t="shared" si="76"/>
        <v>9.7624407663906497E-6</v>
      </c>
      <c r="Q176">
        <f t="shared" si="77"/>
        <v>1.3433947695236172</v>
      </c>
      <c r="R176">
        <f t="shared" si="78"/>
        <v>0.97158172850251001</v>
      </c>
      <c r="S176">
        <f t="shared" si="79"/>
        <v>1.180167423874448</v>
      </c>
      <c r="T176">
        <f t="shared" si="80"/>
        <v>0.83118273245078522</v>
      </c>
      <c r="U176">
        <f t="shared" si="81"/>
        <v>0.15376218417722209</v>
      </c>
      <c r="V176">
        <f t="shared" si="82"/>
        <v>0.14653731159151862</v>
      </c>
      <c r="W176">
        <f t="shared" si="83"/>
        <v>-1.4413945456410133E-2</v>
      </c>
      <c r="X176">
        <f t="shared" si="84"/>
        <v>8.2639260591402849E-2</v>
      </c>
      <c r="Y176">
        <f t="shared" si="85"/>
        <v>-9.2190290219303334E-2</v>
      </c>
      <c r="Z176">
        <f t="shared" si="86"/>
        <v>-0.73345948361641977</v>
      </c>
    </row>
    <row r="177" spans="1:26" x14ac:dyDescent="0.25">
      <c r="A177" s="12" t="s">
        <v>189</v>
      </c>
      <c r="B177" s="6">
        <v>5</v>
      </c>
      <c r="C177" s="6">
        <v>29</v>
      </c>
      <c r="D177" s="6">
        <v>6</v>
      </c>
      <c r="E177" s="6">
        <v>11</v>
      </c>
      <c r="F177" s="6">
        <v>4</v>
      </c>
      <c r="G177">
        <f t="shared" si="67"/>
        <v>309997</v>
      </c>
      <c r="H177">
        <f t="shared" si="68"/>
        <v>343768</v>
      </c>
      <c r="I177">
        <f t="shared" si="69"/>
        <v>451845</v>
      </c>
      <c r="J177">
        <f t="shared" si="70"/>
        <v>444145</v>
      </c>
      <c r="K177">
        <f t="shared" si="71"/>
        <v>345988</v>
      </c>
      <c r="L177">
        <f t="shared" si="72"/>
        <v>1.6129188346984003E-5</v>
      </c>
      <c r="M177">
        <f t="shared" si="73"/>
        <v>8.43592190081683E-5</v>
      </c>
      <c r="N177">
        <f t="shared" si="74"/>
        <v>1.327888988480563E-5</v>
      </c>
      <c r="O177">
        <f t="shared" si="75"/>
        <v>2.4766686555066477E-5</v>
      </c>
      <c r="P177">
        <f t="shared" si="76"/>
        <v>1.1561094604437148E-5</v>
      </c>
      <c r="Q177">
        <f t="shared" si="77"/>
        <v>0.19881628753387121</v>
      </c>
      <c r="R177">
        <f t="shared" si="78"/>
        <v>1.3075143872629451</v>
      </c>
      <c r="S177">
        <f t="shared" si="79"/>
        <v>0.29789144416130253</v>
      </c>
      <c r="T177">
        <f t="shared" si="80"/>
        <v>0.44756053438662108</v>
      </c>
      <c r="U177">
        <f t="shared" si="81"/>
        <v>0.1820916715805064</v>
      </c>
      <c r="V177">
        <f t="shared" si="82"/>
        <v>-0.66831233509036903</v>
      </c>
      <c r="W177">
        <f t="shared" si="83"/>
        <v>0.13326650917557348</v>
      </c>
      <c r="X177">
        <f t="shared" si="84"/>
        <v>-0.54096092473465685</v>
      </c>
      <c r="Y177">
        <f t="shared" si="85"/>
        <v>-0.38163479349584895</v>
      </c>
      <c r="Z177">
        <f t="shared" si="86"/>
        <v>-0.69191615852086641</v>
      </c>
    </row>
    <row r="178" spans="1:26" ht="23.25" x14ac:dyDescent="0.25">
      <c r="A178" s="11" t="s">
        <v>169</v>
      </c>
      <c r="B178" s="7">
        <v>13</v>
      </c>
      <c r="C178" s="7">
        <v>4</v>
      </c>
      <c r="D178" s="7">
        <v>6</v>
      </c>
      <c r="E178" s="7">
        <v>6</v>
      </c>
      <c r="F178" s="7">
        <v>4</v>
      </c>
      <c r="G178">
        <f t="shared" si="67"/>
        <v>1280190</v>
      </c>
      <c r="H178">
        <f t="shared" si="68"/>
        <v>1015295</v>
      </c>
      <c r="I178">
        <f t="shared" si="69"/>
        <v>1734017</v>
      </c>
      <c r="J178">
        <f t="shared" si="70"/>
        <v>1037187</v>
      </c>
      <c r="K178">
        <f t="shared" si="71"/>
        <v>860779</v>
      </c>
      <c r="L178">
        <f t="shared" si="72"/>
        <v>1.015474265538709E-5</v>
      </c>
      <c r="M178">
        <f t="shared" si="73"/>
        <v>3.9397416514412069E-6</v>
      </c>
      <c r="N178">
        <f t="shared" si="74"/>
        <v>3.4601736891852847E-6</v>
      </c>
      <c r="O178">
        <f t="shared" si="75"/>
        <v>5.7848777510709252E-6</v>
      </c>
      <c r="P178">
        <f t="shared" si="76"/>
        <v>4.6469535153622478E-6</v>
      </c>
      <c r="Q178">
        <f t="shared" si="77"/>
        <v>0.12517233925062485</v>
      </c>
      <c r="R178">
        <f t="shared" si="78"/>
        <v>6.1063496698086646E-2</v>
      </c>
      <c r="S178">
        <f t="shared" si="79"/>
        <v>7.762366781125199E-2</v>
      </c>
      <c r="T178">
        <f t="shared" si="80"/>
        <v>0.10453893264543028</v>
      </c>
      <c r="U178">
        <f t="shared" si="81"/>
        <v>7.3191299121837597E-2</v>
      </c>
      <c r="V178">
        <f t="shared" si="82"/>
        <v>-0.77750548092216565</v>
      </c>
      <c r="W178">
        <f t="shared" si="83"/>
        <v>-0.88490133363722412</v>
      </c>
      <c r="X178">
        <f t="shared" si="84"/>
        <v>-0.85593548076219883</v>
      </c>
      <c r="Y178">
        <f t="shared" si="85"/>
        <v>-0.81071027999881573</v>
      </c>
      <c r="Z178">
        <f t="shared" si="86"/>
        <v>-0.86360064756073218</v>
      </c>
    </row>
    <row r="179" spans="1:26" ht="23.25" x14ac:dyDescent="0.25">
      <c r="A179" s="12" t="s">
        <v>197</v>
      </c>
      <c r="B179" s="4">
        <v>0</v>
      </c>
      <c r="C179" s="4">
        <v>0</v>
      </c>
      <c r="D179" s="4">
        <v>0</v>
      </c>
      <c r="E179" s="4">
        <v>0</v>
      </c>
      <c r="F179" s="6">
        <v>4</v>
      </c>
      <c r="G179">
        <f t="shared" si="67"/>
        <v>422167</v>
      </c>
      <c r="H179">
        <f t="shared" si="68"/>
        <v>479796</v>
      </c>
      <c r="I179">
        <f t="shared" si="69"/>
        <v>622972</v>
      </c>
      <c r="J179">
        <f t="shared" si="70"/>
        <v>672522</v>
      </c>
      <c r="K179">
        <f t="shared" si="71"/>
        <v>1227389</v>
      </c>
      <c r="L179">
        <f t="shared" si="72"/>
        <v>0</v>
      </c>
      <c r="M179">
        <f t="shared" si="73"/>
        <v>0</v>
      </c>
      <c r="N179">
        <f t="shared" si="74"/>
        <v>0</v>
      </c>
      <c r="O179">
        <f t="shared" si="75"/>
        <v>0</v>
      </c>
      <c r="P179">
        <f t="shared" si="76"/>
        <v>3.2589505038744846E-6</v>
      </c>
      <c r="Q179">
        <f t="shared" si="77"/>
        <v>0</v>
      </c>
      <c r="R179">
        <f t="shared" si="78"/>
        <v>0</v>
      </c>
      <c r="S179">
        <f t="shared" si="79"/>
        <v>0</v>
      </c>
      <c r="T179">
        <f t="shared" si="80"/>
        <v>0</v>
      </c>
      <c r="U179">
        <f t="shared" si="81"/>
        <v>5.1329719646172681E-2</v>
      </c>
      <c r="V179">
        <f t="shared" si="82"/>
        <v>-1</v>
      </c>
      <c r="W179">
        <f t="shared" si="83"/>
        <v>-1</v>
      </c>
      <c r="X179">
        <f t="shared" si="84"/>
        <v>-1</v>
      </c>
      <c r="Y179">
        <f t="shared" si="85"/>
        <v>-1</v>
      </c>
      <c r="Z179">
        <f t="shared" si="86"/>
        <v>-0.90235276586027113</v>
      </c>
    </row>
    <row r="180" spans="1:26" x14ac:dyDescent="0.25">
      <c r="A180" s="11" t="s">
        <v>223</v>
      </c>
      <c r="B180" s="7">
        <v>3</v>
      </c>
      <c r="C180" s="7">
        <v>3</v>
      </c>
      <c r="D180" s="7">
        <v>3</v>
      </c>
      <c r="E180" s="7">
        <v>2</v>
      </c>
      <c r="F180" s="7">
        <v>4</v>
      </c>
      <c r="G180">
        <f t="shared" si="67"/>
        <v>53168</v>
      </c>
      <c r="H180">
        <f t="shared" si="68"/>
        <v>51727</v>
      </c>
      <c r="I180">
        <f t="shared" si="69"/>
        <v>45403</v>
      </c>
      <c r="J180">
        <f t="shared" si="70"/>
        <v>67402</v>
      </c>
      <c r="K180">
        <f t="shared" si="71"/>
        <v>54404</v>
      </c>
      <c r="L180">
        <f t="shared" si="72"/>
        <v>5.6424917243454707E-5</v>
      </c>
      <c r="M180">
        <f t="shared" si="73"/>
        <v>5.7996790844239954E-5</v>
      </c>
      <c r="N180">
        <f t="shared" si="74"/>
        <v>6.6074928969451363E-5</v>
      </c>
      <c r="O180">
        <f t="shared" si="75"/>
        <v>2.9672710008605084E-5</v>
      </c>
      <c r="P180">
        <f t="shared" si="76"/>
        <v>7.3524005587824429E-5</v>
      </c>
      <c r="Q180">
        <f t="shared" si="77"/>
        <v>0.69552120847093146</v>
      </c>
      <c r="R180">
        <f t="shared" si="78"/>
        <v>0.89891347188243875</v>
      </c>
      <c r="S180">
        <f t="shared" si="79"/>
        <v>1.4822892714915727</v>
      </c>
      <c r="T180">
        <f t="shared" si="80"/>
        <v>0.53621762921830163</v>
      </c>
      <c r="U180">
        <f t="shared" si="81"/>
        <v>1.1580312709873584</v>
      </c>
      <c r="V180">
        <f t="shared" si="82"/>
        <v>-0.17957828543097731</v>
      </c>
      <c r="W180">
        <f t="shared" si="83"/>
        <v>-5.3233878012014804E-2</v>
      </c>
      <c r="X180">
        <f t="shared" si="84"/>
        <v>0.1942921306676606</v>
      </c>
      <c r="Y180">
        <f t="shared" si="85"/>
        <v>-0.30189887289452094</v>
      </c>
      <c r="Z180">
        <f t="shared" si="86"/>
        <v>7.3229370265359847E-2</v>
      </c>
    </row>
    <row r="181" spans="1:26" x14ac:dyDescent="0.25">
      <c r="A181" s="12" t="s">
        <v>123</v>
      </c>
      <c r="B181" s="4"/>
      <c r="C181" s="4"/>
      <c r="D181" s="4"/>
      <c r="E181" s="6">
        <v>10</v>
      </c>
      <c r="F181" s="6">
        <v>3</v>
      </c>
      <c r="G181">
        <f t="shared" si="67"/>
        <v>67951</v>
      </c>
      <c r="H181">
        <f t="shared" si="68"/>
        <v>127531</v>
      </c>
      <c r="I181">
        <f t="shared" si="69"/>
        <v>166727</v>
      </c>
      <c r="J181">
        <f t="shared" si="70"/>
        <v>133241</v>
      </c>
      <c r="K181">
        <f t="shared" si="71"/>
        <v>142575</v>
      </c>
      <c r="L181">
        <f t="shared" si="72"/>
        <v>0</v>
      </c>
      <c r="M181">
        <f t="shared" si="73"/>
        <v>0</v>
      </c>
      <c r="N181">
        <f t="shared" si="74"/>
        <v>0</v>
      </c>
      <c r="O181">
        <f t="shared" si="75"/>
        <v>7.5051973491642966E-5</v>
      </c>
      <c r="P181">
        <f t="shared" si="76"/>
        <v>2.1041557075223567E-5</v>
      </c>
      <c r="Q181">
        <f t="shared" si="77"/>
        <v>0</v>
      </c>
      <c r="R181">
        <f t="shared" si="78"/>
        <v>0</v>
      </c>
      <c r="S181">
        <f t="shared" si="79"/>
        <v>0</v>
      </c>
      <c r="T181">
        <f t="shared" si="80"/>
        <v>1.3562694907938235</v>
      </c>
      <c r="U181">
        <f t="shared" si="81"/>
        <v>0.33141258951497238</v>
      </c>
      <c r="V181">
        <f t="shared" si="82"/>
        <v>-1</v>
      </c>
      <c r="W181">
        <f t="shared" si="83"/>
        <v>-1</v>
      </c>
      <c r="X181">
        <f t="shared" si="84"/>
        <v>-1</v>
      </c>
      <c r="Y181">
        <f t="shared" si="85"/>
        <v>0.1512006551821867</v>
      </c>
      <c r="Z181">
        <f t="shared" si="86"/>
        <v>-0.50216395409674697</v>
      </c>
    </row>
    <row r="182" spans="1:26" ht="23.25" x14ac:dyDescent="0.25">
      <c r="A182" s="11" t="s">
        <v>224</v>
      </c>
      <c r="B182" s="7">
        <v>28</v>
      </c>
      <c r="C182" s="7">
        <v>2</v>
      </c>
      <c r="D182" s="7">
        <v>5</v>
      </c>
      <c r="E182" s="7">
        <v>1</v>
      </c>
      <c r="F182" s="7">
        <v>3</v>
      </c>
      <c r="G182">
        <f t="shared" si="67"/>
        <v>319053</v>
      </c>
      <c r="H182">
        <f t="shared" si="68"/>
        <v>464154</v>
      </c>
      <c r="I182">
        <f t="shared" si="69"/>
        <v>684058</v>
      </c>
      <c r="J182">
        <f t="shared" si="70"/>
        <v>732046</v>
      </c>
      <c r="K182">
        <f t="shared" si="71"/>
        <v>892018</v>
      </c>
      <c r="L182">
        <f t="shared" si="72"/>
        <v>8.7759713903332674E-5</v>
      </c>
      <c r="M182">
        <f t="shared" si="73"/>
        <v>4.3089147136510726E-6</v>
      </c>
      <c r="N182">
        <f t="shared" si="74"/>
        <v>7.3093217241812829E-6</v>
      </c>
      <c r="O182">
        <f t="shared" si="75"/>
        <v>1.3660343748890097E-6</v>
      </c>
      <c r="P182">
        <f t="shared" si="76"/>
        <v>3.3631608330773595E-6</v>
      </c>
      <c r="Q182">
        <f t="shared" si="77"/>
        <v>1.0817692829879983</v>
      </c>
      <c r="R182">
        <f t="shared" si="78"/>
        <v>6.6785445003257407E-2</v>
      </c>
      <c r="S182">
        <f t="shared" si="79"/>
        <v>0.16397337602350451</v>
      </c>
      <c r="T182">
        <f t="shared" si="80"/>
        <v>2.4685703251279268E-2</v>
      </c>
      <c r="U182">
        <f t="shared" si="81"/>
        <v>5.2971072276677363E-2</v>
      </c>
      <c r="V182">
        <f t="shared" si="82"/>
        <v>3.9278744122227378E-2</v>
      </c>
      <c r="W182">
        <f t="shared" si="83"/>
        <v>-0.87479123320237362</v>
      </c>
      <c r="X182">
        <f t="shared" si="84"/>
        <v>-0.71825235971687151</v>
      </c>
      <c r="Y182">
        <f t="shared" si="85"/>
        <v>-0.95181800005025408</v>
      </c>
      <c r="Z182">
        <f t="shared" si="86"/>
        <v>-0.89938741211162387</v>
      </c>
    </row>
    <row r="183" spans="1:26" x14ac:dyDescent="0.25">
      <c r="A183" s="12" t="s">
        <v>149</v>
      </c>
      <c r="B183" s="4">
        <v>25</v>
      </c>
      <c r="C183" s="4">
        <v>24</v>
      </c>
      <c r="D183" s="4">
        <v>39</v>
      </c>
      <c r="E183" s="4">
        <v>70</v>
      </c>
      <c r="F183" s="6">
        <v>3</v>
      </c>
      <c r="G183">
        <f t="shared" si="67"/>
        <v>2730273</v>
      </c>
      <c r="H183">
        <f t="shared" si="68"/>
        <v>3308449</v>
      </c>
      <c r="I183">
        <f t="shared" si="69"/>
        <v>3095448</v>
      </c>
      <c r="J183">
        <f t="shared" si="70"/>
        <v>3329919</v>
      </c>
      <c r="K183">
        <f t="shared" si="71"/>
        <v>1423048</v>
      </c>
      <c r="L183">
        <f t="shared" si="72"/>
        <v>9.1565934981593418E-6</v>
      </c>
      <c r="M183">
        <f t="shared" si="73"/>
        <v>7.2541544391344702E-6</v>
      </c>
      <c r="N183">
        <f t="shared" si="74"/>
        <v>1.2599145584096389E-5</v>
      </c>
      <c r="O183">
        <f t="shared" si="75"/>
        <v>2.1021532355591834E-5</v>
      </c>
      <c r="P183">
        <f t="shared" si="76"/>
        <v>2.1081509548518392E-6</v>
      </c>
      <c r="Q183">
        <f t="shared" si="77"/>
        <v>0.11286866310921559</v>
      </c>
      <c r="R183">
        <f t="shared" si="78"/>
        <v>0.11243479264165875</v>
      </c>
      <c r="S183">
        <f t="shared" si="79"/>
        <v>0.28264242762789565</v>
      </c>
      <c r="T183">
        <f t="shared" si="80"/>
        <v>0.37988158948011014</v>
      </c>
      <c r="U183">
        <f t="shared" si="81"/>
        <v>3.3204185628381601E-2</v>
      </c>
      <c r="V183">
        <f t="shared" si="82"/>
        <v>-0.79715726239631068</v>
      </c>
      <c r="W183">
        <f t="shared" si="83"/>
        <v>-0.7978581874904076</v>
      </c>
      <c r="X183">
        <f t="shared" si="84"/>
        <v>-0.55928102557684556</v>
      </c>
      <c r="Y183">
        <f t="shared" si="85"/>
        <v>-0.44939972766324693</v>
      </c>
      <c r="Z183">
        <f t="shared" si="86"/>
        <v>-0.9357258011722297</v>
      </c>
    </row>
    <row r="184" spans="1:26" x14ac:dyDescent="0.25">
      <c r="A184" s="11" t="s">
        <v>95</v>
      </c>
      <c r="B184" s="7">
        <v>18</v>
      </c>
      <c r="C184" s="7">
        <v>15</v>
      </c>
      <c r="D184" s="7">
        <v>24</v>
      </c>
      <c r="E184" s="7">
        <v>5</v>
      </c>
      <c r="F184" s="7">
        <v>2</v>
      </c>
      <c r="G184">
        <f t="shared" si="67"/>
        <v>4948620</v>
      </c>
      <c r="H184">
        <f t="shared" si="68"/>
        <v>5489697</v>
      </c>
      <c r="I184">
        <f t="shared" si="69"/>
        <v>6432321</v>
      </c>
      <c r="J184">
        <f t="shared" si="70"/>
        <v>6989461</v>
      </c>
      <c r="K184">
        <f t="shared" si="71"/>
        <v>7449895</v>
      </c>
      <c r="L184">
        <f t="shared" si="72"/>
        <v>3.6373776931750669E-6</v>
      </c>
      <c r="M184">
        <f t="shared" si="73"/>
        <v>2.7323912412652282E-6</v>
      </c>
      <c r="N184">
        <f t="shared" si="74"/>
        <v>3.7311570737840975E-6</v>
      </c>
      <c r="O184">
        <f t="shared" si="75"/>
        <v>7.1536274399413633E-7</v>
      </c>
      <c r="P184">
        <f t="shared" si="76"/>
        <v>2.6846015950560376E-7</v>
      </c>
      <c r="Q184">
        <f t="shared" si="77"/>
        <v>4.4836101715608569E-2</v>
      </c>
      <c r="R184">
        <f t="shared" si="78"/>
        <v>4.2350331138551828E-2</v>
      </c>
      <c r="S184">
        <f t="shared" si="79"/>
        <v>8.3702762711664269E-2</v>
      </c>
      <c r="T184">
        <f t="shared" si="80"/>
        <v>1.2927370452661503E-2</v>
      </c>
      <c r="U184">
        <f t="shared" si="81"/>
        <v>4.2283504174754306E-3</v>
      </c>
      <c r="V184">
        <f t="shared" si="82"/>
        <v>-0.91417581830875061</v>
      </c>
      <c r="W184">
        <f t="shared" si="83"/>
        <v>-0.91874069614907139</v>
      </c>
      <c r="X184">
        <f t="shared" si="84"/>
        <v>-0.84552450064403017</v>
      </c>
      <c r="Y184">
        <f t="shared" si="85"/>
        <v>-0.97447522728725466</v>
      </c>
      <c r="Z184">
        <f t="shared" si="86"/>
        <v>-0.99157890649926861</v>
      </c>
    </row>
    <row r="185" spans="1:26" x14ac:dyDescent="0.25">
      <c r="A185" s="12" t="s">
        <v>198</v>
      </c>
      <c r="B185" s="4">
        <v>4</v>
      </c>
      <c r="C185" s="4">
        <v>2</v>
      </c>
      <c r="D185" s="4">
        <v>1</v>
      </c>
      <c r="E185" s="4">
        <v>5</v>
      </c>
      <c r="F185" s="13">
        <v>2</v>
      </c>
      <c r="G185">
        <f t="shared" si="67"/>
        <v>787099</v>
      </c>
      <c r="H185">
        <f t="shared" si="68"/>
        <v>1057442</v>
      </c>
      <c r="I185">
        <f t="shared" si="69"/>
        <v>1378182</v>
      </c>
      <c r="J185">
        <f t="shared" si="70"/>
        <v>1337483</v>
      </c>
      <c r="K185">
        <f t="shared" si="71"/>
        <v>1440307</v>
      </c>
      <c r="L185">
        <f t="shared" si="72"/>
        <v>5.0819528420186022E-6</v>
      </c>
      <c r="M185">
        <f t="shared" si="73"/>
        <v>1.8913566890666343E-6</v>
      </c>
      <c r="N185">
        <f t="shared" si="74"/>
        <v>7.2559357182142848E-7</v>
      </c>
      <c r="O185">
        <f t="shared" si="75"/>
        <v>3.7383652726801013E-6</v>
      </c>
      <c r="P185">
        <f t="shared" si="76"/>
        <v>1.3885928486079704E-6</v>
      </c>
      <c r="Q185">
        <f t="shared" si="77"/>
        <v>6.2642643618286864E-2</v>
      </c>
      <c r="R185">
        <f t="shared" si="78"/>
        <v>2.9314829030851752E-2</v>
      </c>
      <c r="S185">
        <f t="shared" si="79"/>
        <v>1.6277574319775827E-2</v>
      </c>
      <c r="T185">
        <f t="shared" si="80"/>
        <v>6.7556261732993922E-2</v>
      </c>
      <c r="U185">
        <f t="shared" si="81"/>
        <v>2.1870869636402602E-2</v>
      </c>
      <c r="V185">
        <f t="shared" si="82"/>
        <v>-0.88210026391376617</v>
      </c>
      <c r="W185">
        <f t="shared" si="83"/>
        <v>-0.94304011133609511</v>
      </c>
      <c r="X185">
        <f t="shared" si="84"/>
        <v>-0.96796628257654727</v>
      </c>
      <c r="Y185">
        <f t="shared" si="85"/>
        <v>-0.87343756173875475</v>
      </c>
      <c r="Z185">
        <f t="shared" si="86"/>
        <v>-0.95719445521686208</v>
      </c>
    </row>
    <row r="186" spans="1:26" x14ac:dyDescent="0.25">
      <c r="A186" s="11" t="s">
        <v>204</v>
      </c>
      <c r="B186" s="5"/>
      <c r="C186" s="5">
        <v>0</v>
      </c>
      <c r="D186" s="5">
        <v>0</v>
      </c>
      <c r="E186" s="5">
        <v>0</v>
      </c>
      <c r="F186" s="7">
        <v>2</v>
      </c>
      <c r="G186">
        <f t="shared" si="67"/>
        <v>0</v>
      </c>
      <c r="H186">
        <f t="shared" si="68"/>
        <v>3971928</v>
      </c>
      <c r="I186">
        <f t="shared" si="69"/>
        <v>5091386</v>
      </c>
      <c r="J186">
        <f t="shared" si="70"/>
        <v>5294944</v>
      </c>
      <c r="K186">
        <f t="shared" si="71"/>
        <v>7535658</v>
      </c>
      <c r="L186" t="e">
        <f t="shared" si="72"/>
        <v>#DIV/0!</v>
      </c>
      <c r="M186">
        <f t="shared" si="73"/>
        <v>0</v>
      </c>
      <c r="N186">
        <f t="shared" si="74"/>
        <v>0</v>
      </c>
      <c r="O186">
        <f t="shared" si="75"/>
        <v>0</v>
      </c>
      <c r="P186">
        <f t="shared" si="76"/>
        <v>2.6540482596211239E-7</v>
      </c>
      <c r="Q186" t="e">
        <f t="shared" si="77"/>
        <v>#DIV/0!</v>
      </c>
      <c r="R186">
        <f t="shared" si="78"/>
        <v>0</v>
      </c>
      <c r="S186">
        <f t="shared" si="79"/>
        <v>0</v>
      </c>
      <c r="T186">
        <f t="shared" si="80"/>
        <v>0</v>
      </c>
      <c r="U186">
        <f t="shared" si="81"/>
        <v>4.1802277430050732E-3</v>
      </c>
      <c r="V186" t="e">
        <f t="shared" si="82"/>
        <v>#DIV/0!</v>
      </c>
      <c r="W186">
        <f t="shared" si="83"/>
        <v>-1</v>
      </c>
      <c r="X186">
        <f t="shared" si="84"/>
        <v>-1</v>
      </c>
      <c r="Y186">
        <f t="shared" si="85"/>
        <v>-1</v>
      </c>
      <c r="Z186">
        <f t="shared" si="86"/>
        <v>-0.99167434763697648</v>
      </c>
    </row>
    <row r="187" spans="1:26" x14ac:dyDescent="0.25">
      <c r="A187" s="12" t="s">
        <v>164</v>
      </c>
      <c r="B187" s="4">
        <v>12</v>
      </c>
      <c r="C187" s="4">
        <v>8</v>
      </c>
      <c r="D187" s="4">
        <v>37</v>
      </c>
      <c r="E187" s="4">
        <v>21</v>
      </c>
      <c r="F187" s="6">
        <v>2</v>
      </c>
      <c r="G187">
        <f t="shared" si="67"/>
        <v>3477811</v>
      </c>
      <c r="H187">
        <f t="shared" si="68"/>
        <v>3650384</v>
      </c>
      <c r="I187">
        <f t="shared" si="69"/>
        <v>4096472</v>
      </c>
      <c r="J187">
        <f t="shared" si="70"/>
        <v>4226842</v>
      </c>
      <c r="K187">
        <f t="shared" si="71"/>
        <v>2715565</v>
      </c>
      <c r="L187">
        <f t="shared" si="72"/>
        <v>3.4504462720947171E-6</v>
      </c>
      <c r="M187">
        <f t="shared" si="73"/>
        <v>2.1915502588220854E-6</v>
      </c>
      <c r="N187">
        <f t="shared" si="74"/>
        <v>9.0321623094213752E-6</v>
      </c>
      <c r="O187">
        <f t="shared" si="75"/>
        <v>4.9682481625762214E-6</v>
      </c>
      <c r="P187">
        <f t="shared" si="76"/>
        <v>7.3649498354854327E-7</v>
      </c>
      <c r="Q187">
        <f t="shared" si="77"/>
        <v>4.253189332253246E-2</v>
      </c>
      <c r="R187">
        <f t="shared" si="78"/>
        <v>3.3967638955290112E-2</v>
      </c>
      <c r="S187">
        <f t="shared" si="79"/>
        <v>0.20262265126029416</v>
      </c>
      <c r="T187">
        <f t="shared" si="80"/>
        <v>8.9781561924483028E-2</v>
      </c>
      <c r="U187">
        <f t="shared" si="81"/>
        <v>1.1600078301715526E-2</v>
      </c>
      <c r="V187">
        <f t="shared" si="82"/>
        <v>-0.91840653778565173</v>
      </c>
      <c r="W187">
        <f t="shared" si="83"/>
        <v>-0.93429651436748906</v>
      </c>
      <c r="X187">
        <f t="shared" si="84"/>
        <v>-0.66303203910560837</v>
      </c>
      <c r="Y187">
        <f t="shared" si="85"/>
        <v>-0.83523016894149926</v>
      </c>
      <c r="Z187">
        <f t="shared" si="86"/>
        <v>-0.97706588097306224</v>
      </c>
    </row>
    <row r="188" spans="1:26" x14ac:dyDescent="0.25">
      <c r="A188" s="11" t="s">
        <v>216</v>
      </c>
      <c r="B188" s="5">
        <v>0</v>
      </c>
      <c r="C188" s="5">
        <v>0</v>
      </c>
      <c r="D188" s="5">
        <v>2</v>
      </c>
      <c r="E188" s="5">
        <v>0</v>
      </c>
      <c r="F188" s="14">
        <v>2</v>
      </c>
      <c r="G188">
        <f t="shared" si="67"/>
        <v>674761</v>
      </c>
      <c r="H188">
        <f t="shared" si="68"/>
        <v>708977</v>
      </c>
      <c r="I188">
        <f t="shared" si="69"/>
        <v>920565</v>
      </c>
      <c r="J188">
        <f t="shared" si="70"/>
        <v>2383632</v>
      </c>
      <c r="K188">
        <f t="shared" si="71"/>
        <v>988450</v>
      </c>
      <c r="L188">
        <f t="shared" si="72"/>
        <v>0</v>
      </c>
      <c r="M188">
        <f t="shared" si="73"/>
        <v>0</v>
      </c>
      <c r="N188">
        <f t="shared" si="74"/>
        <v>2.1725787967172335E-6</v>
      </c>
      <c r="O188">
        <f t="shared" si="75"/>
        <v>0</v>
      </c>
      <c r="P188">
        <f t="shared" si="76"/>
        <v>2.0233699226061003E-6</v>
      </c>
      <c r="Q188">
        <f t="shared" si="77"/>
        <v>0</v>
      </c>
      <c r="R188">
        <f t="shared" si="78"/>
        <v>0</v>
      </c>
      <c r="S188">
        <f t="shared" si="79"/>
        <v>4.8738459383481432E-2</v>
      </c>
      <c r="T188">
        <f t="shared" si="80"/>
        <v>0</v>
      </c>
      <c r="U188">
        <f t="shared" si="81"/>
        <v>3.1868851872525791E-2</v>
      </c>
      <c r="V188">
        <f t="shared" si="82"/>
        <v>-1</v>
      </c>
      <c r="W188">
        <f t="shared" si="83"/>
        <v>-1</v>
      </c>
      <c r="X188">
        <f t="shared" si="84"/>
        <v>-0.90705316669299385</v>
      </c>
      <c r="Y188">
        <f t="shared" si="85"/>
        <v>-1</v>
      </c>
      <c r="Z188">
        <f t="shared" si="86"/>
        <v>-0.93823080943921588</v>
      </c>
    </row>
    <row r="189" spans="1:26" x14ac:dyDescent="0.25">
      <c r="A189" s="12" t="s">
        <v>103</v>
      </c>
      <c r="B189" s="4">
        <v>0</v>
      </c>
      <c r="C189" s="4">
        <v>7</v>
      </c>
      <c r="D189" s="4">
        <v>5</v>
      </c>
      <c r="E189" s="4">
        <v>2</v>
      </c>
      <c r="F189" s="13">
        <v>2</v>
      </c>
      <c r="G189">
        <f t="shared" si="67"/>
        <v>2160154</v>
      </c>
      <c r="H189">
        <f t="shared" si="68"/>
        <v>2493138</v>
      </c>
      <c r="I189">
        <f t="shared" si="69"/>
        <v>2797558</v>
      </c>
      <c r="J189">
        <f t="shared" si="70"/>
        <v>3049774</v>
      </c>
      <c r="K189">
        <f t="shared" si="71"/>
        <v>3221584</v>
      </c>
      <c r="L189">
        <f t="shared" si="72"/>
        <v>0</v>
      </c>
      <c r="M189">
        <f t="shared" si="73"/>
        <v>2.8077065930566219E-6</v>
      </c>
      <c r="N189">
        <f t="shared" si="74"/>
        <v>1.7872730431326178E-6</v>
      </c>
      <c r="O189">
        <f t="shared" si="75"/>
        <v>6.5578629760762606E-7</v>
      </c>
      <c r="P189">
        <f t="shared" si="76"/>
        <v>6.2081261888561655E-7</v>
      </c>
      <c r="Q189">
        <f t="shared" si="77"/>
        <v>0</v>
      </c>
      <c r="R189">
        <f t="shared" si="78"/>
        <v>4.351767132029867E-2</v>
      </c>
      <c r="S189">
        <f t="shared" si="79"/>
        <v>4.0094718199188882E-2</v>
      </c>
      <c r="T189">
        <f t="shared" si="80"/>
        <v>1.1850760300458976E-2</v>
      </c>
      <c r="U189">
        <f t="shared" si="81"/>
        <v>9.7780367152922668E-3</v>
      </c>
      <c r="V189">
        <f t="shared" si="82"/>
        <v>-1</v>
      </c>
      <c r="W189">
        <f t="shared" si="83"/>
        <v>-0.91659428006573485</v>
      </c>
      <c r="X189">
        <f t="shared" si="84"/>
        <v>-0.92290179442770648</v>
      </c>
      <c r="Y189">
        <f t="shared" si="85"/>
        <v>-0.97657607076968544</v>
      </c>
      <c r="Z189">
        <f t="shared" si="86"/>
        <v>-0.98063329492271545</v>
      </c>
    </row>
    <row r="190" spans="1:26" x14ac:dyDescent="0.25">
      <c r="A190" s="11" t="s">
        <v>160</v>
      </c>
      <c r="B190" s="5">
        <v>11</v>
      </c>
      <c r="C190" s="5">
        <v>31</v>
      </c>
      <c r="D190" s="5">
        <v>5</v>
      </c>
      <c r="E190" s="5">
        <v>6</v>
      </c>
      <c r="F190" s="14">
        <v>2</v>
      </c>
      <c r="G190">
        <f t="shared" si="67"/>
        <v>10217078</v>
      </c>
      <c r="H190">
        <f t="shared" si="68"/>
        <v>13559729</v>
      </c>
      <c r="I190">
        <f t="shared" si="69"/>
        <v>15879593</v>
      </c>
      <c r="J190">
        <f t="shared" si="70"/>
        <v>16134396</v>
      </c>
      <c r="K190">
        <f t="shared" si="71"/>
        <v>16563002</v>
      </c>
      <c r="L190">
        <f t="shared" si="72"/>
        <v>1.0766287582418378E-6</v>
      </c>
      <c r="M190">
        <f t="shared" si="73"/>
        <v>2.2861813831235124E-6</v>
      </c>
      <c r="N190">
        <f t="shared" si="74"/>
        <v>3.1486953097601431E-7</v>
      </c>
      <c r="O190">
        <f t="shared" si="75"/>
        <v>3.7187633178211322E-7</v>
      </c>
      <c r="P190">
        <f t="shared" si="76"/>
        <v>1.2075105708494149E-7</v>
      </c>
      <c r="Q190">
        <f t="shared" si="77"/>
        <v>1.3271054200682664E-2</v>
      </c>
      <c r="R190">
        <f t="shared" si="78"/>
        <v>3.5434361359334691E-2</v>
      </c>
      <c r="S190">
        <f t="shared" si="79"/>
        <v>7.063613006699004E-3</v>
      </c>
      <c r="T190">
        <f t="shared" si="80"/>
        <v>6.7202033428283223E-3</v>
      </c>
      <c r="U190">
        <f t="shared" si="81"/>
        <v>1.9018754349844384E-3</v>
      </c>
      <c r="V190">
        <f t="shared" si="82"/>
        <v>-0.97380551996296494</v>
      </c>
      <c r="W190">
        <f t="shared" si="83"/>
        <v>-0.93155652800083655</v>
      </c>
      <c r="X190">
        <f t="shared" si="84"/>
        <v>-0.98597186331534747</v>
      </c>
      <c r="Y190">
        <f t="shared" si="85"/>
        <v>-0.98664931264811451</v>
      </c>
      <c r="Z190">
        <f t="shared" si="86"/>
        <v>-0.99620346965782713</v>
      </c>
    </row>
    <row r="191" spans="1:26" x14ac:dyDescent="0.25">
      <c r="A191" s="12" t="s">
        <v>232</v>
      </c>
      <c r="B191" s="6">
        <v>1</v>
      </c>
      <c r="C191" s="6">
        <v>2</v>
      </c>
      <c r="D191" s="6">
        <v>1</v>
      </c>
      <c r="E191" s="6">
        <v>1</v>
      </c>
      <c r="F191" s="6">
        <v>2</v>
      </c>
      <c r="G191">
        <f t="shared" si="67"/>
        <v>10859</v>
      </c>
      <c r="H191">
        <f t="shared" si="68"/>
        <v>29360</v>
      </c>
      <c r="I191">
        <f t="shared" si="69"/>
        <v>31710</v>
      </c>
      <c r="J191">
        <f t="shared" si="70"/>
        <v>15756</v>
      </c>
      <c r="K191">
        <f t="shared" si="71"/>
        <v>55821</v>
      </c>
      <c r="L191">
        <f t="shared" si="72"/>
        <v>9.2089511004696571E-5</v>
      </c>
      <c r="M191">
        <f t="shared" si="73"/>
        <v>6.811989100817439E-5</v>
      </c>
      <c r="N191">
        <f t="shared" si="74"/>
        <v>3.1535793125197099E-5</v>
      </c>
      <c r="O191">
        <f t="shared" si="75"/>
        <v>6.3467885250063474E-5</v>
      </c>
      <c r="P191">
        <f t="shared" si="76"/>
        <v>3.5828809946077644E-5</v>
      </c>
      <c r="Q191">
        <f t="shared" si="77"/>
        <v>1.1351404859865084</v>
      </c>
      <c r="R191">
        <f t="shared" si="78"/>
        <v>1.0558151035436629</v>
      </c>
      <c r="S191">
        <f t="shared" si="79"/>
        <v>0.70745695147200538</v>
      </c>
      <c r="T191">
        <f t="shared" si="80"/>
        <v>1.1469326175606744</v>
      </c>
      <c r="U191">
        <f t="shared" si="81"/>
        <v>0.56431749043188273</v>
      </c>
      <c r="V191">
        <f t="shared" si="82"/>
        <v>6.329348671596606E-2</v>
      </c>
      <c r="W191">
        <f t="shared" si="83"/>
        <v>2.714986549493335E-2</v>
      </c>
      <c r="X191">
        <f t="shared" si="84"/>
        <v>-0.17133260564829592</v>
      </c>
      <c r="Y191">
        <f t="shared" si="85"/>
        <v>6.84383926905065E-2</v>
      </c>
      <c r="Z191">
        <f t="shared" si="86"/>
        <v>-0.2785128416916392</v>
      </c>
    </row>
    <row r="192" spans="1:26" x14ac:dyDescent="0.25">
      <c r="A192" s="11" t="s">
        <v>203</v>
      </c>
      <c r="B192" s="5"/>
      <c r="C192" s="7">
        <v>1</v>
      </c>
      <c r="D192" s="7">
        <v>1</v>
      </c>
      <c r="E192" s="7">
        <v>1</v>
      </c>
      <c r="F192" s="7">
        <v>1</v>
      </c>
      <c r="G192">
        <f t="shared" si="67"/>
        <v>331753</v>
      </c>
      <c r="H192">
        <f t="shared" si="68"/>
        <v>411016</v>
      </c>
      <c r="I192">
        <f t="shared" si="69"/>
        <v>423353</v>
      </c>
      <c r="J192">
        <f t="shared" si="70"/>
        <v>577313</v>
      </c>
      <c r="K192">
        <f t="shared" si="71"/>
        <v>425102</v>
      </c>
      <c r="L192">
        <f t="shared" si="72"/>
        <v>0</v>
      </c>
      <c r="M192">
        <f t="shared" si="73"/>
        <v>2.4329953091850437E-6</v>
      </c>
      <c r="N192">
        <f t="shared" si="74"/>
        <v>2.362094989287899E-6</v>
      </c>
      <c r="O192">
        <f t="shared" si="75"/>
        <v>1.7321626223556372E-6</v>
      </c>
      <c r="P192">
        <f t="shared" si="76"/>
        <v>2.3523766060851278E-6</v>
      </c>
      <c r="Q192">
        <f t="shared" si="77"/>
        <v>0</v>
      </c>
      <c r="R192">
        <f t="shared" si="78"/>
        <v>3.7709884092154485E-2</v>
      </c>
      <c r="S192">
        <f t="shared" si="79"/>
        <v>5.2989963295824734E-2</v>
      </c>
      <c r="T192">
        <f t="shared" si="80"/>
        <v>3.1302032558224023E-2</v>
      </c>
      <c r="U192">
        <f t="shared" si="81"/>
        <v>3.7050833251076359E-2</v>
      </c>
      <c r="V192">
        <f t="shared" si="82"/>
        <v>-1</v>
      </c>
      <c r="W192">
        <f t="shared" si="83"/>
        <v>-0.92732095035377793</v>
      </c>
      <c r="X192">
        <f t="shared" si="84"/>
        <v>-0.89935333641743764</v>
      </c>
      <c r="Y192">
        <f t="shared" si="85"/>
        <v>-0.93929609063103081</v>
      </c>
      <c r="Z192">
        <f t="shared" si="86"/>
        <v>-0.92854577217796586</v>
      </c>
    </row>
    <row r="193" spans="1:26" ht="23.25" x14ac:dyDescent="0.25">
      <c r="A193" s="12" t="s">
        <v>230</v>
      </c>
      <c r="B193" s="4"/>
      <c r="C193" s="6">
        <v>1</v>
      </c>
      <c r="D193" s="6">
        <v>1</v>
      </c>
      <c r="E193" s="6">
        <v>2</v>
      </c>
      <c r="F193" s="6">
        <v>1</v>
      </c>
      <c r="G193">
        <f t="shared" si="67"/>
        <v>74541</v>
      </c>
      <c r="H193">
        <f t="shared" si="68"/>
        <v>76445</v>
      </c>
      <c r="I193">
        <f t="shared" si="69"/>
        <v>70634</v>
      </c>
      <c r="J193">
        <f t="shared" si="70"/>
        <v>63729</v>
      </c>
      <c r="K193">
        <f t="shared" si="71"/>
        <v>72469</v>
      </c>
      <c r="L193">
        <f t="shared" si="72"/>
        <v>0</v>
      </c>
      <c r="M193">
        <f t="shared" si="73"/>
        <v>1.3081300281247955E-5</v>
      </c>
      <c r="N193">
        <f t="shared" si="74"/>
        <v>1.415748789534785E-5</v>
      </c>
      <c r="O193">
        <f t="shared" si="75"/>
        <v>3.1382886911767016E-5</v>
      </c>
      <c r="P193">
        <f t="shared" si="76"/>
        <v>1.3799003711931998E-5</v>
      </c>
      <c r="Q193">
        <f t="shared" si="77"/>
        <v>0</v>
      </c>
      <c r="R193">
        <f t="shared" si="78"/>
        <v>0.20275185715247523</v>
      </c>
      <c r="S193">
        <f t="shared" si="79"/>
        <v>0.3176014374264135</v>
      </c>
      <c r="T193">
        <f t="shared" si="80"/>
        <v>0.56712235629889018</v>
      </c>
      <c r="U193">
        <f t="shared" si="81"/>
        <v>0.21733959785148216</v>
      </c>
      <c r="V193">
        <f t="shared" si="82"/>
        <v>-1</v>
      </c>
      <c r="W193">
        <f t="shared" si="83"/>
        <v>-0.66285338751005229</v>
      </c>
      <c r="X193">
        <f t="shared" si="84"/>
        <v>-0.51790969802406395</v>
      </c>
      <c r="Y193">
        <f t="shared" si="85"/>
        <v>-0.27622453470924063</v>
      </c>
      <c r="Z193">
        <f t="shared" si="86"/>
        <v>-0.64292692321013611</v>
      </c>
    </row>
    <row r="194" spans="1:26" ht="23.25" x14ac:dyDescent="0.25">
      <c r="A194" s="11" t="s">
        <v>69</v>
      </c>
      <c r="B194" s="5">
        <v>0</v>
      </c>
      <c r="C194" s="5">
        <v>0</v>
      </c>
      <c r="D194" s="5">
        <v>0</v>
      </c>
      <c r="E194" s="5">
        <v>55</v>
      </c>
      <c r="F194" s="7">
        <v>1</v>
      </c>
      <c r="G194">
        <f t="shared" si="67"/>
        <v>321194</v>
      </c>
      <c r="H194">
        <f t="shared" si="68"/>
        <v>372388</v>
      </c>
      <c r="I194">
        <f t="shared" si="69"/>
        <v>437951</v>
      </c>
      <c r="J194">
        <f t="shared" si="70"/>
        <v>456433</v>
      </c>
      <c r="K194">
        <f t="shared" si="71"/>
        <v>490724</v>
      </c>
      <c r="L194">
        <f t="shared" si="72"/>
        <v>0</v>
      </c>
      <c r="M194">
        <f t="shared" si="73"/>
        <v>0</v>
      </c>
      <c r="N194">
        <f t="shared" si="74"/>
        <v>0</v>
      </c>
      <c r="O194">
        <f t="shared" si="75"/>
        <v>1.2049961330578639E-4</v>
      </c>
      <c r="P194">
        <f t="shared" si="76"/>
        <v>2.0378053651339651E-6</v>
      </c>
      <c r="Q194">
        <f t="shared" si="77"/>
        <v>0</v>
      </c>
      <c r="R194">
        <f t="shared" si="78"/>
        <v>0</v>
      </c>
      <c r="S194">
        <f t="shared" si="79"/>
        <v>0</v>
      </c>
      <c r="T194">
        <f t="shared" si="80"/>
        <v>2.1775569858571338</v>
      </c>
      <c r="U194">
        <f t="shared" si="81"/>
        <v>3.2096215625685841E-2</v>
      </c>
      <c r="V194">
        <f t="shared" si="82"/>
        <v>-1</v>
      </c>
      <c r="W194">
        <f t="shared" si="83"/>
        <v>-1</v>
      </c>
      <c r="X194">
        <f t="shared" si="84"/>
        <v>-1</v>
      </c>
      <c r="Y194">
        <f t="shared" si="85"/>
        <v>0.37058563893528168</v>
      </c>
      <c r="Z194">
        <f t="shared" si="86"/>
        <v>-0.93780383041860449</v>
      </c>
    </row>
    <row r="195" spans="1:26" ht="23.25" x14ac:dyDescent="0.25">
      <c r="A195" s="12" t="s">
        <v>239</v>
      </c>
      <c r="B195" s="4"/>
      <c r="C195" s="6">
        <v>8</v>
      </c>
      <c r="D195" s="6">
        <v>3</v>
      </c>
      <c r="E195" s="6">
        <v>1</v>
      </c>
      <c r="F195" s="6">
        <v>1</v>
      </c>
      <c r="G195">
        <f t="shared" si="67"/>
        <v>40428</v>
      </c>
      <c r="H195">
        <f t="shared" si="68"/>
        <v>50854</v>
      </c>
      <c r="I195">
        <f t="shared" si="69"/>
        <v>60046</v>
      </c>
      <c r="J195">
        <f t="shared" si="70"/>
        <v>54458</v>
      </c>
      <c r="K195">
        <f t="shared" si="71"/>
        <v>38451</v>
      </c>
      <c r="L195">
        <f t="shared" si="72"/>
        <v>0</v>
      </c>
      <c r="M195">
        <f t="shared" si="73"/>
        <v>1.573130923821135E-4</v>
      </c>
      <c r="N195">
        <f t="shared" si="74"/>
        <v>4.9961696033041334E-5</v>
      </c>
      <c r="O195">
        <f t="shared" si="75"/>
        <v>1.8362774982555365E-5</v>
      </c>
      <c r="P195">
        <f t="shared" si="76"/>
        <v>2.6007125952510988E-5</v>
      </c>
      <c r="Q195">
        <f t="shared" si="77"/>
        <v>0</v>
      </c>
      <c r="R195">
        <f t="shared" si="78"/>
        <v>2.4382531513778218</v>
      </c>
      <c r="S195">
        <f t="shared" si="79"/>
        <v>1.1208137060508923</v>
      </c>
      <c r="T195">
        <f t="shared" si="80"/>
        <v>0.33183499802207178</v>
      </c>
      <c r="U195">
        <f t="shared" si="81"/>
        <v>0.40962220271772026</v>
      </c>
      <c r="V195">
        <f t="shared" si="82"/>
        <v>-1</v>
      </c>
      <c r="W195">
        <f t="shared" si="83"/>
        <v>0.41830926579721628</v>
      </c>
      <c r="X195">
        <f t="shared" si="84"/>
        <v>5.6965732400822727E-2</v>
      </c>
      <c r="Y195">
        <f t="shared" si="85"/>
        <v>-0.50168752358229818</v>
      </c>
      <c r="Z195">
        <f t="shared" si="86"/>
        <v>-0.41881987680390137</v>
      </c>
    </row>
    <row r="196" spans="1:26" x14ac:dyDescent="0.25">
      <c r="A196" s="11" t="s">
        <v>139</v>
      </c>
      <c r="B196" s="7">
        <v>5</v>
      </c>
      <c r="C196" s="5"/>
      <c r="D196" s="5"/>
      <c r="E196" s="5"/>
      <c r="F196" s="7">
        <v>1</v>
      </c>
      <c r="G196">
        <f t="shared" si="67"/>
        <v>1154594</v>
      </c>
      <c r="H196">
        <f t="shared" si="68"/>
        <v>1294307</v>
      </c>
      <c r="I196">
        <f t="shared" si="69"/>
        <v>1139354</v>
      </c>
      <c r="J196">
        <f t="shared" si="70"/>
        <v>1416151</v>
      </c>
      <c r="K196">
        <f t="shared" si="71"/>
        <v>1087189</v>
      </c>
      <c r="L196">
        <f t="shared" si="72"/>
        <v>4.3305265747093786E-6</v>
      </c>
      <c r="M196">
        <f t="shared" si="73"/>
        <v>0</v>
      </c>
      <c r="N196">
        <f t="shared" si="74"/>
        <v>0</v>
      </c>
      <c r="O196">
        <f t="shared" si="75"/>
        <v>0</v>
      </c>
      <c r="P196">
        <f t="shared" si="76"/>
        <v>9.1980327247608278E-7</v>
      </c>
      <c r="Q196">
        <f t="shared" si="77"/>
        <v>5.3380194844800402E-2</v>
      </c>
      <c r="R196">
        <f t="shared" si="78"/>
        <v>0</v>
      </c>
      <c r="S196">
        <f t="shared" si="79"/>
        <v>0</v>
      </c>
      <c r="T196">
        <f t="shared" si="80"/>
        <v>0</v>
      </c>
      <c r="U196">
        <f t="shared" si="81"/>
        <v>1.4487254117452495E-2</v>
      </c>
      <c r="V196">
        <f t="shared" si="82"/>
        <v>-0.89864970861225424</v>
      </c>
      <c r="W196">
        <f t="shared" si="83"/>
        <v>-1</v>
      </c>
      <c r="X196">
        <f t="shared" si="84"/>
        <v>-1</v>
      </c>
      <c r="Y196">
        <f t="shared" si="85"/>
        <v>-1</v>
      </c>
      <c r="Z196">
        <f t="shared" si="86"/>
        <v>-0.97143925848520274</v>
      </c>
    </row>
    <row r="197" spans="1:26" x14ac:dyDescent="0.25">
      <c r="A197" s="12" t="s">
        <v>107</v>
      </c>
      <c r="B197" s="4">
        <v>1</v>
      </c>
      <c r="C197" s="4">
        <v>2</v>
      </c>
      <c r="D197" s="4">
        <v>2</v>
      </c>
      <c r="E197" s="4">
        <v>9</v>
      </c>
      <c r="F197" s="6">
        <v>1</v>
      </c>
      <c r="G197">
        <f t="shared" si="67"/>
        <v>1494812</v>
      </c>
      <c r="H197">
        <f t="shared" si="68"/>
        <v>1563492</v>
      </c>
      <c r="I197">
        <f t="shared" si="69"/>
        <v>1864441</v>
      </c>
      <c r="J197">
        <f t="shared" si="70"/>
        <v>1994798</v>
      </c>
      <c r="K197">
        <f t="shared" si="71"/>
        <v>1877488</v>
      </c>
      <c r="L197">
        <f t="shared" si="72"/>
        <v>6.6898044703949395E-7</v>
      </c>
      <c r="M197">
        <f t="shared" si="73"/>
        <v>1.2791878692055987E-6</v>
      </c>
      <c r="N197">
        <f t="shared" si="74"/>
        <v>1.0727075836671689E-6</v>
      </c>
      <c r="O197">
        <f t="shared" si="75"/>
        <v>4.5117350227942879E-6</v>
      </c>
      <c r="P197">
        <f t="shared" si="76"/>
        <v>5.3262657337889778E-7</v>
      </c>
      <c r="Q197">
        <f t="shared" si="77"/>
        <v>8.2461811500894391E-3</v>
      </c>
      <c r="R197">
        <f t="shared" si="78"/>
        <v>1.9826600609431925E-2</v>
      </c>
      <c r="S197">
        <f t="shared" si="79"/>
        <v>2.4064542596067443E-2</v>
      </c>
      <c r="T197">
        <f t="shared" si="80"/>
        <v>8.1531880872436138E-2</v>
      </c>
      <c r="U197">
        <f t="shared" si="81"/>
        <v>8.3890726953775793E-3</v>
      </c>
      <c r="V197">
        <f t="shared" si="82"/>
        <v>-0.98364252440672151</v>
      </c>
      <c r="W197">
        <f t="shared" si="83"/>
        <v>-0.96111770256319284</v>
      </c>
      <c r="X197">
        <f t="shared" si="84"/>
        <v>-0.95300190252645134</v>
      </c>
      <c r="Y197">
        <f t="shared" si="85"/>
        <v>-0.84922889040188621</v>
      </c>
      <c r="Z197">
        <f t="shared" si="86"/>
        <v>-0.98336143672609633</v>
      </c>
    </row>
    <row r="198" spans="1:26" ht="23.25" x14ac:dyDescent="0.25">
      <c r="A198" s="11" t="s">
        <v>233</v>
      </c>
      <c r="B198" s="7">
        <v>16</v>
      </c>
      <c r="C198" s="7">
        <v>9</v>
      </c>
      <c r="D198" s="7">
        <v>4</v>
      </c>
      <c r="E198" s="7">
        <v>8</v>
      </c>
      <c r="F198" s="7">
        <v>1</v>
      </c>
      <c r="G198">
        <f t="shared" si="67"/>
        <v>129000</v>
      </c>
      <c r="H198">
        <f t="shared" si="68"/>
        <v>147927</v>
      </c>
      <c r="I198">
        <f t="shared" si="69"/>
        <v>165778</v>
      </c>
      <c r="J198">
        <f t="shared" si="70"/>
        <v>197383</v>
      </c>
      <c r="K198">
        <f t="shared" si="71"/>
        <v>231466</v>
      </c>
      <c r="L198">
        <f t="shared" si="72"/>
        <v>1.2403100775193799E-4</v>
      </c>
      <c r="M198">
        <f t="shared" si="73"/>
        <v>6.084082013425541E-5</v>
      </c>
      <c r="N198">
        <f t="shared" si="74"/>
        <v>2.4128653983037558E-5</v>
      </c>
      <c r="O198">
        <f t="shared" si="75"/>
        <v>4.0530339492256173E-5</v>
      </c>
      <c r="P198">
        <f t="shared" si="76"/>
        <v>4.3202889409243688E-6</v>
      </c>
      <c r="Q198">
        <f t="shared" si="77"/>
        <v>1.5288670433894567</v>
      </c>
      <c r="R198">
        <f t="shared" si="78"/>
        <v>0.94299412196683996</v>
      </c>
      <c r="S198">
        <f t="shared" si="79"/>
        <v>0.54128919232171435</v>
      </c>
      <c r="T198">
        <f t="shared" si="80"/>
        <v>0.73242661515068608</v>
      </c>
      <c r="U198">
        <f t="shared" si="81"/>
        <v>6.8046206858454639E-2</v>
      </c>
      <c r="V198">
        <f t="shared" si="82"/>
        <v>0.20913200825323455</v>
      </c>
      <c r="W198">
        <f t="shared" si="83"/>
        <v>-2.9339192223316945E-2</v>
      </c>
      <c r="X198">
        <f t="shared" si="84"/>
        <v>-0.29761501602908702</v>
      </c>
      <c r="Y198">
        <f t="shared" si="85"/>
        <v>-0.15445005433955447</v>
      </c>
      <c r="Z198">
        <f t="shared" si="86"/>
        <v>-0.8725781592191495</v>
      </c>
    </row>
    <row r="199" spans="1:26" x14ac:dyDescent="0.25">
      <c r="A199" s="12" t="s">
        <v>71</v>
      </c>
      <c r="B199" s="4">
        <v>16</v>
      </c>
      <c r="C199" s="4">
        <v>39</v>
      </c>
      <c r="D199" s="4">
        <v>40</v>
      </c>
      <c r="E199" s="4">
        <v>28</v>
      </c>
      <c r="F199" s="6">
        <v>1</v>
      </c>
      <c r="G199">
        <f t="shared" si="67"/>
        <v>3026110</v>
      </c>
      <c r="H199">
        <f t="shared" si="68"/>
        <v>2784744</v>
      </c>
      <c r="I199">
        <f t="shared" si="69"/>
        <v>3787226</v>
      </c>
      <c r="J199">
        <f t="shared" si="70"/>
        <v>3136148</v>
      </c>
      <c r="K199">
        <f t="shared" si="71"/>
        <v>875787</v>
      </c>
      <c r="L199">
        <f t="shared" si="72"/>
        <v>5.2873160592311579E-6</v>
      </c>
      <c r="M199">
        <f t="shared" si="73"/>
        <v>1.4004878006739579E-5</v>
      </c>
      <c r="N199">
        <f t="shared" si="74"/>
        <v>1.0561820181842858E-5</v>
      </c>
      <c r="O199">
        <f t="shared" si="75"/>
        <v>8.9281500745500533E-6</v>
      </c>
      <c r="P199">
        <f t="shared" si="76"/>
        <v>1.1418301481981349E-6</v>
      </c>
      <c r="Q199">
        <f t="shared" si="77"/>
        <v>6.5174051371972561E-2</v>
      </c>
      <c r="R199">
        <f t="shared" si="78"/>
        <v>0.21706672609073505</v>
      </c>
      <c r="S199">
        <f t="shared" si="79"/>
        <v>0.23693816984967142</v>
      </c>
      <c r="T199">
        <f t="shared" si="80"/>
        <v>0.16134122784511687</v>
      </c>
      <c r="U199">
        <f t="shared" si="81"/>
        <v>1.7984262516683922E-2</v>
      </c>
      <c r="V199">
        <f t="shared" si="82"/>
        <v>-0.87762741443423897</v>
      </c>
      <c r="W199">
        <f t="shared" si="83"/>
        <v>-0.64329527471684034</v>
      </c>
      <c r="X199">
        <f t="shared" si="84"/>
        <v>-0.61689569353580997</v>
      </c>
      <c r="Y199">
        <f t="shared" si="85"/>
        <v>-0.72214673176722133</v>
      </c>
      <c r="Z199">
        <f t="shared" si="86"/>
        <v>-0.9646669144526403</v>
      </c>
    </row>
    <row r="200" spans="1:26" x14ac:dyDescent="0.25">
      <c r="A200" s="11" t="s">
        <v>170</v>
      </c>
      <c r="B200" s="5">
        <v>0</v>
      </c>
      <c r="C200" s="5">
        <v>0</v>
      </c>
      <c r="D200" s="5">
        <v>4</v>
      </c>
      <c r="E200" s="5">
        <v>24</v>
      </c>
      <c r="F200" s="14">
        <v>0</v>
      </c>
      <c r="G200">
        <f t="shared" si="67"/>
        <v>2859115</v>
      </c>
      <c r="H200">
        <f t="shared" si="68"/>
        <v>3860465</v>
      </c>
      <c r="I200">
        <f t="shared" si="69"/>
        <v>5119811</v>
      </c>
      <c r="J200">
        <f t="shared" si="70"/>
        <v>4816929</v>
      </c>
      <c r="K200">
        <f t="shared" si="71"/>
        <v>4817890</v>
      </c>
      <c r="L200">
        <f t="shared" si="72"/>
        <v>0</v>
      </c>
      <c r="M200">
        <f t="shared" si="73"/>
        <v>0</v>
      </c>
      <c r="N200">
        <f t="shared" si="74"/>
        <v>7.812788401759362E-7</v>
      </c>
      <c r="O200">
        <f t="shared" si="75"/>
        <v>4.9824276006559365E-6</v>
      </c>
      <c r="P200">
        <f t="shared" si="76"/>
        <v>0</v>
      </c>
      <c r="Q200">
        <f t="shared" si="77"/>
        <v>0</v>
      </c>
      <c r="R200">
        <f t="shared" si="78"/>
        <v>0</v>
      </c>
      <c r="S200">
        <f t="shared" si="79"/>
        <v>1.752678755616353E-2</v>
      </c>
      <c r="T200">
        <f t="shared" si="80"/>
        <v>9.0037799547152061E-2</v>
      </c>
      <c r="U200">
        <f t="shared" si="81"/>
        <v>0</v>
      </c>
      <c r="V200">
        <f t="shared" si="82"/>
        <v>-1</v>
      </c>
      <c r="W200">
        <f t="shared" si="83"/>
        <v>-1</v>
      </c>
      <c r="X200">
        <f t="shared" si="84"/>
        <v>-0.96555021888267267</v>
      </c>
      <c r="Y200">
        <f t="shared" si="85"/>
        <v>-0.83479875728244002</v>
      </c>
      <c r="Z200">
        <f t="shared" si="86"/>
        <v>-1</v>
      </c>
    </row>
    <row r="201" spans="1:26" x14ac:dyDescent="0.25">
      <c r="A201" s="12" t="s">
        <v>57</v>
      </c>
      <c r="B201" s="4">
        <v>676</v>
      </c>
      <c r="C201" s="4">
        <v>2</v>
      </c>
      <c r="D201" s="4">
        <v>2</v>
      </c>
      <c r="E201" s="4">
        <v>3</v>
      </c>
      <c r="F201" s="13">
        <v>0</v>
      </c>
      <c r="G201">
        <f t="shared" si="67"/>
        <v>15607090</v>
      </c>
      <c r="H201">
        <f t="shared" si="68"/>
        <v>21501894</v>
      </c>
      <c r="I201">
        <f t="shared" si="69"/>
        <v>17300557</v>
      </c>
      <c r="J201">
        <f t="shared" si="70"/>
        <v>16298240</v>
      </c>
      <c r="K201">
        <f t="shared" si="71"/>
        <v>18604913</v>
      </c>
      <c r="L201">
        <f t="shared" si="72"/>
        <v>4.3313647835695188E-5</v>
      </c>
      <c r="M201">
        <f t="shared" si="73"/>
        <v>9.3015061835948038E-8</v>
      </c>
      <c r="N201">
        <f t="shared" si="74"/>
        <v>1.156032143936175E-7</v>
      </c>
      <c r="O201">
        <f t="shared" si="75"/>
        <v>1.8406895468467761E-7</v>
      </c>
      <c r="P201">
        <f t="shared" si="76"/>
        <v>0</v>
      </c>
      <c r="Q201">
        <f t="shared" si="77"/>
        <v>0.53390527018383227</v>
      </c>
      <c r="R201">
        <f t="shared" si="78"/>
        <v>1.4416744608657238E-3</v>
      </c>
      <c r="S201">
        <f t="shared" si="79"/>
        <v>2.593380078014516E-3</v>
      </c>
      <c r="T201">
        <f t="shared" si="80"/>
        <v>3.3263230242564813E-3</v>
      </c>
      <c r="U201">
        <f t="shared" si="81"/>
        <v>0</v>
      </c>
      <c r="V201">
        <f t="shared" si="82"/>
        <v>-0.30386148276308367</v>
      </c>
      <c r="W201">
        <f t="shared" si="83"/>
        <v>-0.99712080194457287</v>
      </c>
      <c r="X201">
        <f t="shared" si="84"/>
        <v>-0.99482665629048406</v>
      </c>
      <c r="Y201">
        <f t="shared" si="85"/>
        <v>-0.99336940943753937</v>
      </c>
      <c r="Z201">
        <f t="shared" si="86"/>
        <v>-1</v>
      </c>
    </row>
    <row r="202" spans="1:26" x14ac:dyDescent="0.25">
      <c r="A202" s="11" t="s">
        <v>17</v>
      </c>
      <c r="B202" s="5">
        <v>0</v>
      </c>
      <c r="C202" s="5">
        <v>0</v>
      </c>
      <c r="D202" s="5">
        <v>883</v>
      </c>
      <c r="E202" s="5">
        <v>644</v>
      </c>
      <c r="F202" s="14">
        <v>0</v>
      </c>
      <c r="G202">
        <f t="shared" si="67"/>
        <v>17968641</v>
      </c>
      <c r="H202">
        <f t="shared" si="68"/>
        <v>14326568</v>
      </c>
      <c r="I202">
        <f t="shared" si="69"/>
        <v>17403359</v>
      </c>
      <c r="J202">
        <f t="shared" si="70"/>
        <v>16440463</v>
      </c>
      <c r="K202">
        <f t="shared" si="71"/>
        <v>12452129</v>
      </c>
      <c r="L202">
        <f t="shared" si="72"/>
        <v>0</v>
      </c>
      <c r="M202">
        <f t="shared" si="73"/>
        <v>0</v>
      </c>
      <c r="N202">
        <f t="shared" si="74"/>
        <v>5.0737331798993519E-5</v>
      </c>
      <c r="O202">
        <f t="shared" si="75"/>
        <v>3.9171646199988404E-5</v>
      </c>
      <c r="P202">
        <f t="shared" si="76"/>
        <v>0</v>
      </c>
      <c r="Q202">
        <f t="shared" si="77"/>
        <v>0</v>
      </c>
      <c r="R202">
        <f t="shared" si="78"/>
        <v>0</v>
      </c>
      <c r="S202">
        <f t="shared" si="79"/>
        <v>1.1382138999275686</v>
      </c>
      <c r="T202">
        <f t="shared" si="80"/>
        <v>0.70787357311969701</v>
      </c>
      <c r="U202">
        <f t="shared" si="81"/>
        <v>0</v>
      </c>
      <c r="V202">
        <f t="shared" si="82"/>
        <v>-1</v>
      </c>
      <c r="W202">
        <f t="shared" si="83"/>
        <v>-1</v>
      </c>
      <c r="X202">
        <f t="shared" si="84"/>
        <v>6.4639884687051452E-2</v>
      </c>
      <c r="Y202">
        <f t="shared" si="85"/>
        <v>-0.17104686873671135</v>
      </c>
      <c r="Z202">
        <f t="shared" si="86"/>
        <v>-1</v>
      </c>
    </row>
    <row r="203" spans="1:26" x14ac:dyDescent="0.25">
      <c r="A203" s="12" t="s">
        <v>59</v>
      </c>
      <c r="B203" s="4">
        <v>4</v>
      </c>
      <c r="C203" s="4">
        <v>7</v>
      </c>
      <c r="D203" s="4"/>
      <c r="E203" s="6">
        <v>3</v>
      </c>
      <c r="F203" s="13"/>
      <c r="G203">
        <f t="shared" si="67"/>
        <v>5605920</v>
      </c>
      <c r="H203">
        <f t="shared" si="68"/>
        <v>6984923</v>
      </c>
      <c r="I203">
        <f t="shared" si="69"/>
        <v>8635104</v>
      </c>
      <c r="J203">
        <f t="shared" si="70"/>
        <v>9019715</v>
      </c>
      <c r="K203">
        <f t="shared" si="71"/>
        <v>8122516</v>
      </c>
      <c r="L203">
        <f t="shared" si="72"/>
        <v>7.135314096526529E-7</v>
      </c>
      <c r="M203">
        <f t="shared" si="73"/>
        <v>1.0021585062569766E-6</v>
      </c>
      <c r="N203">
        <f t="shared" si="74"/>
        <v>0</v>
      </c>
      <c r="O203">
        <f t="shared" si="75"/>
        <v>3.326047441632025E-7</v>
      </c>
      <c r="P203">
        <f t="shared" si="76"/>
        <v>0</v>
      </c>
      <c r="Q203">
        <f t="shared" si="77"/>
        <v>8.7953381691693745E-3</v>
      </c>
      <c r="R203">
        <f t="shared" si="78"/>
        <v>1.5532821197906804E-2</v>
      </c>
      <c r="S203">
        <f t="shared" si="79"/>
        <v>0</v>
      </c>
      <c r="T203">
        <f t="shared" si="80"/>
        <v>6.0105237212991708E-3</v>
      </c>
      <c r="U203">
        <f t="shared" si="81"/>
        <v>0</v>
      </c>
      <c r="V203">
        <f t="shared" si="82"/>
        <v>-0.98256269069376989</v>
      </c>
      <c r="W203">
        <f t="shared" si="83"/>
        <v>-0.96940951415123233</v>
      </c>
      <c r="X203">
        <f t="shared" si="84"/>
        <v>-1</v>
      </c>
      <c r="Y203">
        <f t="shared" si="85"/>
        <v>-0.98805077366573502</v>
      </c>
      <c r="Z203">
        <f t="shared" si="86"/>
        <v>-1</v>
      </c>
    </row>
    <row r="204" spans="1:26" x14ac:dyDescent="0.25">
      <c r="A204" s="11" t="s">
        <v>186</v>
      </c>
      <c r="B204" s="5"/>
      <c r="C204" s="5"/>
      <c r="D204" s="7">
        <v>3</v>
      </c>
      <c r="E204" s="5"/>
      <c r="F204" s="14"/>
      <c r="G204">
        <f t="shared" si="67"/>
        <v>369488</v>
      </c>
      <c r="H204">
        <f t="shared" si="68"/>
        <v>490173</v>
      </c>
      <c r="I204">
        <f t="shared" si="69"/>
        <v>552231</v>
      </c>
      <c r="J204">
        <f t="shared" si="70"/>
        <v>595939</v>
      </c>
      <c r="K204">
        <f t="shared" si="71"/>
        <v>557376</v>
      </c>
      <c r="L204">
        <f t="shared" si="72"/>
        <v>0</v>
      </c>
      <c r="M204">
        <f t="shared" si="73"/>
        <v>0</v>
      </c>
      <c r="N204">
        <f t="shared" si="74"/>
        <v>5.4325092216844039E-6</v>
      </c>
      <c r="O204">
        <f t="shared" si="75"/>
        <v>0</v>
      </c>
      <c r="P204">
        <f t="shared" si="76"/>
        <v>0</v>
      </c>
      <c r="Q204">
        <f t="shared" si="77"/>
        <v>0</v>
      </c>
      <c r="R204">
        <f t="shared" si="78"/>
        <v>0</v>
      </c>
      <c r="S204">
        <f t="shared" si="79"/>
        <v>0.1218699779504082</v>
      </c>
      <c r="T204">
        <f t="shared" si="80"/>
        <v>0</v>
      </c>
      <c r="U204">
        <f t="shared" si="81"/>
        <v>0</v>
      </c>
      <c r="V204">
        <f t="shared" si="82"/>
        <v>-1</v>
      </c>
      <c r="W204">
        <f t="shared" si="83"/>
        <v>-1</v>
      </c>
      <c r="X204">
        <f t="shared" si="84"/>
        <v>-0.78273778540173145</v>
      </c>
      <c r="Y204">
        <f t="shared" si="85"/>
        <v>-1</v>
      </c>
      <c r="Z204">
        <f t="shared" si="86"/>
        <v>-1</v>
      </c>
    </row>
    <row r="205" spans="1:26" x14ac:dyDescent="0.25">
      <c r="A205" s="12" t="s">
        <v>201</v>
      </c>
      <c r="B205" s="4">
        <v>185</v>
      </c>
      <c r="C205" s="4">
        <v>185</v>
      </c>
      <c r="D205" s="4">
        <v>149</v>
      </c>
      <c r="E205" s="4">
        <v>186</v>
      </c>
      <c r="F205" s="13"/>
      <c r="G205">
        <f t="shared" si="67"/>
        <v>903957</v>
      </c>
      <c r="H205">
        <f t="shared" si="68"/>
        <v>1055227</v>
      </c>
      <c r="I205">
        <f t="shared" si="69"/>
        <v>1192258</v>
      </c>
      <c r="J205">
        <f t="shared" si="70"/>
        <v>1180035</v>
      </c>
      <c r="K205">
        <f t="shared" si="71"/>
        <v>3161567</v>
      </c>
      <c r="L205">
        <f t="shared" si="72"/>
        <v>2.046557524307019E-4</v>
      </c>
      <c r="M205">
        <f t="shared" si="73"/>
        <v>1.753177278443406E-4</v>
      </c>
      <c r="N205">
        <f t="shared" si="74"/>
        <v>1.2497295048554926E-4</v>
      </c>
      <c r="O205">
        <f t="shared" si="75"/>
        <v>1.5762244340210247E-4</v>
      </c>
      <c r="P205">
        <f t="shared" si="76"/>
        <v>0</v>
      </c>
      <c r="Q205">
        <f t="shared" si="77"/>
        <v>2.5226871957466854</v>
      </c>
      <c r="R205">
        <f t="shared" si="78"/>
        <v>2.7173135810625384</v>
      </c>
      <c r="S205">
        <f t="shared" si="79"/>
        <v>2.8035756771985727</v>
      </c>
      <c r="T205">
        <f t="shared" si="80"/>
        <v>2.8484062590899364</v>
      </c>
      <c r="U205">
        <f t="shared" si="81"/>
        <v>0</v>
      </c>
      <c r="V205">
        <f t="shared" si="82"/>
        <v>0.43225160541792851</v>
      </c>
      <c r="W205">
        <f t="shared" si="83"/>
        <v>0.46197705510000853</v>
      </c>
      <c r="X205">
        <f t="shared" si="84"/>
        <v>0.47417899110316919</v>
      </c>
      <c r="Y205">
        <f t="shared" si="85"/>
        <v>0.48030434799444588</v>
      </c>
      <c r="Z205">
        <f t="shared" si="86"/>
        <v>-1</v>
      </c>
    </row>
    <row r="206" spans="1:26" ht="23.25" x14ac:dyDescent="0.25">
      <c r="A206" s="11" t="s">
        <v>235</v>
      </c>
      <c r="B206" s="5"/>
      <c r="C206" s="5"/>
      <c r="D206" s="5"/>
      <c r="E206" s="7">
        <v>1</v>
      </c>
      <c r="F206" s="14"/>
      <c r="G206">
        <f t="shared" si="67"/>
        <v>6966</v>
      </c>
      <c r="H206">
        <f t="shared" si="68"/>
        <v>14582</v>
      </c>
      <c r="I206">
        <f t="shared" si="69"/>
        <v>13127</v>
      </c>
      <c r="J206">
        <f t="shared" si="70"/>
        <v>16666</v>
      </c>
      <c r="K206">
        <f t="shared" si="71"/>
        <v>16172</v>
      </c>
      <c r="L206">
        <f t="shared" si="72"/>
        <v>0</v>
      </c>
      <c r="M206">
        <f t="shared" si="73"/>
        <v>0</v>
      </c>
      <c r="N206">
        <f t="shared" si="74"/>
        <v>0</v>
      </c>
      <c r="O206">
        <f t="shared" si="75"/>
        <v>6.0002400096003839E-5</v>
      </c>
      <c r="P206">
        <f t="shared" si="76"/>
        <v>0</v>
      </c>
      <c r="Q206">
        <f t="shared" si="77"/>
        <v>0</v>
      </c>
      <c r="R206">
        <f t="shared" si="78"/>
        <v>0</v>
      </c>
      <c r="S206">
        <f t="shared" si="79"/>
        <v>0</v>
      </c>
      <c r="T206">
        <f t="shared" si="80"/>
        <v>1.0843075916408247</v>
      </c>
      <c r="U206">
        <f t="shared" si="81"/>
        <v>0</v>
      </c>
      <c r="V206">
        <f t="shared" si="82"/>
        <v>-1</v>
      </c>
      <c r="W206">
        <f t="shared" si="83"/>
        <v>-1</v>
      </c>
      <c r="X206">
        <f t="shared" si="84"/>
        <v>-1</v>
      </c>
      <c r="Y206">
        <f t="shared" si="85"/>
        <v>4.0448728382961659E-2</v>
      </c>
      <c r="Z206">
        <f t="shared" si="86"/>
        <v>-1</v>
      </c>
    </row>
    <row r="207" spans="1:26" x14ac:dyDescent="0.25">
      <c r="A207" s="12" t="s">
        <v>141</v>
      </c>
      <c r="B207" s="4">
        <v>11</v>
      </c>
      <c r="C207" s="4">
        <v>4</v>
      </c>
      <c r="D207" s="4">
        <v>6</v>
      </c>
      <c r="E207" s="6">
        <v>2</v>
      </c>
      <c r="F207" s="13"/>
      <c r="G207">
        <f t="shared" si="67"/>
        <v>1912607</v>
      </c>
      <c r="H207">
        <f t="shared" si="68"/>
        <v>2351503</v>
      </c>
      <c r="I207">
        <f t="shared" si="69"/>
        <v>3631494</v>
      </c>
      <c r="J207">
        <f t="shared" si="70"/>
        <v>6336973</v>
      </c>
      <c r="K207">
        <f t="shared" si="71"/>
        <v>4378398</v>
      </c>
      <c r="L207">
        <f t="shared" si="72"/>
        <v>5.7513122141663182E-6</v>
      </c>
      <c r="M207">
        <f t="shared" si="73"/>
        <v>1.7010397180016356E-6</v>
      </c>
      <c r="N207">
        <f t="shared" si="74"/>
        <v>1.652212560450327E-6</v>
      </c>
      <c r="O207">
        <f t="shared" si="75"/>
        <v>3.1560809869317734E-7</v>
      </c>
      <c r="P207">
        <f t="shared" si="76"/>
        <v>0</v>
      </c>
      <c r="Q207">
        <f t="shared" si="77"/>
        <v>7.0893495585137162E-2</v>
      </c>
      <c r="R207">
        <f t="shared" si="78"/>
        <v>2.6365036693588688E-2</v>
      </c>
      <c r="S207">
        <f t="shared" si="79"/>
        <v>3.7064844272650249E-2</v>
      </c>
      <c r="T207">
        <f t="shared" si="80"/>
        <v>5.703376145767383E-3</v>
      </c>
      <c r="U207">
        <f t="shared" si="81"/>
        <v>0</v>
      </c>
      <c r="V207">
        <f t="shared" si="82"/>
        <v>-0.8675993534793095</v>
      </c>
      <c r="W207">
        <f t="shared" si="83"/>
        <v>-0.94862444500540866</v>
      </c>
      <c r="X207">
        <f t="shared" si="84"/>
        <v>-0.92851971701220704</v>
      </c>
      <c r="Y207">
        <f t="shared" si="85"/>
        <v>-0.98865793576705507</v>
      </c>
      <c r="Z207">
        <f t="shared" si="86"/>
        <v>-1</v>
      </c>
    </row>
    <row r="208" spans="1:26" x14ac:dyDescent="0.25">
      <c r="A208" s="11" t="s">
        <v>75</v>
      </c>
      <c r="B208" s="5">
        <v>0</v>
      </c>
      <c r="C208" s="5">
        <v>0</v>
      </c>
      <c r="D208" s="5">
        <v>0</v>
      </c>
      <c r="E208" s="5">
        <v>2</v>
      </c>
      <c r="F208" s="14"/>
      <c r="G208">
        <f t="shared" si="67"/>
        <v>179967</v>
      </c>
      <c r="H208">
        <f t="shared" si="68"/>
        <v>190371</v>
      </c>
      <c r="I208">
        <f t="shared" si="69"/>
        <v>216719</v>
      </c>
      <c r="J208">
        <f t="shared" si="70"/>
        <v>301309</v>
      </c>
      <c r="K208">
        <f t="shared" si="71"/>
        <v>287257</v>
      </c>
      <c r="L208">
        <f t="shared" si="72"/>
        <v>0</v>
      </c>
      <c r="M208">
        <f t="shared" si="73"/>
        <v>0</v>
      </c>
      <c r="N208">
        <f t="shared" si="74"/>
        <v>0</v>
      </c>
      <c r="O208">
        <f t="shared" si="75"/>
        <v>6.6377041508882911E-6</v>
      </c>
      <c r="P208">
        <f t="shared" si="76"/>
        <v>0</v>
      </c>
      <c r="Q208">
        <f t="shared" si="77"/>
        <v>0</v>
      </c>
      <c r="R208">
        <f t="shared" si="78"/>
        <v>0</v>
      </c>
      <c r="S208">
        <f t="shared" si="79"/>
        <v>0</v>
      </c>
      <c r="T208">
        <f t="shared" si="80"/>
        <v>0.11995041848923188</v>
      </c>
      <c r="U208">
        <f t="shared" si="81"/>
        <v>0</v>
      </c>
      <c r="V208">
        <f t="shared" si="82"/>
        <v>-1</v>
      </c>
      <c r="W208">
        <f t="shared" si="83"/>
        <v>-1</v>
      </c>
      <c r="X208">
        <f t="shared" si="84"/>
        <v>-1</v>
      </c>
      <c r="Y208">
        <f t="shared" si="85"/>
        <v>-0.78579334136766477</v>
      </c>
      <c r="Z208">
        <f t="shared" si="86"/>
        <v>-1</v>
      </c>
    </row>
    <row r="209" spans="1:26" ht="23.25" x14ac:dyDescent="0.25">
      <c r="A209" s="12" t="s">
        <v>132</v>
      </c>
      <c r="B209" s="4">
        <v>301</v>
      </c>
      <c r="C209" s="4">
        <v>432</v>
      </c>
      <c r="D209" s="4">
        <v>0</v>
      </c>
      <c r="E209" s="4">
        <v>276</v>
      </c>
      <c r="F209" s="13"/>
      <c r="G209">
        <f t="shared" ref="G209:G220" si="87">VLOOKUP(A209,IMPOTOTAL,2,FALSE)</f>
        <v>6063062</v>
      </c>
      <c r="H209">
        <f t="shared" ref="H209:H220" si="88">VLOOKUP(A209,IMPOTOTAL,3,FALSE)</f>
        <v>7829705</v>
      </c>
      <c r="I209">
        <f t="shared" ref="I209:I220" si="89">VLOOKUP(A209,IMPOTOTAL,4,FALSE)</f>
        <v>9088634</v>
      </c>
      <c r="J209">
        <f t="shared" ref="J209:J220" si="90">VLOOKUP(A209,IMPOTOTAL,5,FALSE)</f>
        <v>8270534</v>
      </c>
      <c r="K209">
        <f t="shared" ref="K209:K220" si="91">VLOOKUP(A209,IMPOTOTAL,6,FALSE)</f>
        <v>1496150</v>
      </c>
      <c r="L209">
        <f t="shared" ref="L209:L220" si="92">B209/G209</f>
        <v>4.9644882404303307E-5</v>
      </c>
      <c r="M209">
        <f t="shared" ref="M209:M220" si="93">C209/H209</f>
        <v>5.5174492525580464E-5</v>
      </c>
      <c r="N209">
        <f t="shared" ref="N209:N220" si="94">D209/I209</f>
        <v>0</v>
      </c>
      <c r="O209">
        <f t="shared" ref="O209:O220" si="95">E209/J209</f>
        <v>3.3371484840035723E-5</v>
      </c>
      <c r="P209">
        <f t="shared" ref="P209:P220" si="96">F209/K209</f>
        <v>0</v>
      </c>
      <c r="Q209">
        <f t="shared" ref="Q209:Q220" si="97">L209/$L$2</f>
        <v>0.61194717318338099</v>
      </c>
      <c r="R209">
        <f t="shared" ref="R209:R220" si="98">M209/$M$2</f>
        <v>0.85516963807053503</v>
      </c>
      <c r="S209">
        <f t="shared" ref="S209:S220" si="99">N209/$N$2</f>
        <v>0</v>
      </c>
      <c r="T209">
        <f t="shared" ref="T209:T220" si="100">O209/$O$2</f>
        <v>0.60305844930338615</v>
      </c>
      <c r="U209">
        <f t="shared" ref="U209:U220" si="101">P209/$P$2</f>
        <v>0</v>
      </c>
      <c r="V209">
        <f t="shared" ref="V209:V220" si="102">(Q209-1)/(Q209+1)</f>
        <v>-0.24073544919605919</v>
      </c>
      <c r="W209">
        <f t="shared" ref="W209:W220" si="103">(R209-1)/(R209+1)</f>
        <v>-7.8068527512176966E-2</v>
      </c>
      <c r="X209">
        <f t="shared" ref="X209:X220" si="104">(S209-1)/(S209+1)</f>
        <v>-1</v>
      </c>
      <c r="Y209">
        <f t="shared" ref="Y209:Y220" si="105">(T209-1)/(T209+1)</f>
        <v>-0.24761514520515829</v>
      </c>
      <c r="Z209">
        <f t="shared" ref="Z209:Z220" si="106">(U209-1)/(U209+1)</f>
        <v>-1</v>
      </c>
    </row>
    <row r="210" spans="1:26" x14ac:dyDescent="0.25">
      <c r="A210" s="11" t="s">
        <v>48</v>
      </c>
      <c r="B210" s="5">
        <v>242</v>
      </c>
      <c r="C210" s="5">
        <v>238</v>
      </c>
      <c r="D210" s="5">
        <v>158</v>
      </c>
      <c r="E210" s="5">
        <v>0</v>
      </c>
      <c r="F210" s="14"/>
      <c r="G210">
        <f t="shared" si="87"/>
        <v>14134431</v>
      </c>
      <c r="H210">
        <f t="shared" si="88"/>
        <v>15289980</v>
      </c>
      <c r="I210">
        <f t="shared" si="89"/>
        <v>16544493</v>
      </c>
      <c r="J210">
        <f t="shared" si="90"/>
        <v>17036379</v>
      </c>
      <c r="K210">
        <f t="shared" si="91"/>
        <v>7849656</v>
      </c>
      <c r="L210">
        <f t="shared" si="92"/>
        <v>1.7121311781139261E-5</v>
      </c>
      <c r="M210">
        <f t="shared" si="93"/>
        <v>1.5565749595486716E-5</v>
      </c>
      <c r="N210">
        <f t="shared" si="94"/>
        <v>9.5500055516962657E-6</v>
      </c>
      <c r="O210">
        <f t="shared" si="95"/>
        <v>0</v>
      </c>
      <c r="P210">
        <f t="shared" si="96"/>
        <v>0</v>
      </c>
      <c r="Q210">
        <f t="shared" si="97"/>
        <v>0.21104568765684684</v>
      </c>
      <c r="R210">
        <f t="shared" si="98"/>
        <v>0.24125924568671708</v>
      </c>
      <c r="S210">
        <f t="shared" si="99"/>
        <v>0.21423966688649884</v>
      </c>
      <c r="T210">
        <f t="shared" si="100"/>
        <v>0</v>
      </c>
      <c r="U210">
        <f t="shared" si="101"/>
        <v>0</v>
      </c>
      <c r="V210">
        <f t="shared" si="102"/>
        <v>-0.65146535790044069</v>
      </c>
      <c r="W210">
        <f t="shared" si="103"/>
        <v>-0.61126695084032623</v>
      </c>
      <c r="X210">
        <f t="shared" si="104"/>
        <v>-0.64712128465405361</v>
      </c>
      <c r="Y210">
        <f t="shared" si="105"/>
        <v>-1</v>
      </c>
      <c r="Z210">
        <f t="shared" si="106"/>
        <v>-1</v>
      </c>
    </row>
    <row r="211" spans="1:26" ht="23.25" x14ac:dyDescent="0.25">
      <c r="A211" s="12" t="s">
        <v>195</v>
      </c>
      <c r="B211" s="6">
        <v>1</v>
      </c>
      <c r="C211" s="4"/>
      <c r="D211" s="4"/>
      <c r="E211" s="4"/>
      <c r="F211" s="13"/>
      <c r="G211">
        <f t="shared" si="87"/>
        <v>115168</v>
      </c>
      <c r="H211">
        <f t="shared" si="88"/>
        <v>140831</v>
      </c>
      <c r="I211">
        <f t="shared" si="89"/>
        <v>113047</v>
      </c>
      <c r="J211">
        <f t="shared" si="90"/>
        <v>177832</v>
      </c>
      <c r="K211">
        <f t="shared" si="91"/>
        <v>243045</v>
      </c>
      <c r="L211">
        <f t="shared" si="92"/>
        <v>8.6829674909697131E-6</v>
      </c>
      <c r="M211">
        <f t="shared" si="93"/>
        <v>0</v>
      </c>
      <c r="N211">
        <f t="shared" si="94"/>
        <v>0</v>
      </c>
      <c r="O211">
        <f t="shared" si="95"/>
        <v>0</v>
      </c>
      <c r="P211">
        <f t="shared" si="96"/>
        <v>0</v>
      </c>
      <c r="Q211">
        <f t="shared" si="97"/>
        <v>0.10703051661336042</v>
      </c>
      <c r="R211">
        <f t="shared" si="98"/>
        <v>0</v>
      </c>
      <c r="S211">
        <f t="shared" si="99"/>
        <v>0</v>
      </c>
      <c r="T211">
        <f t="shared" si="100"/>
        <v>0</v>
      </c>
      <c r="U211">
        <f t="shared" si="101"/>
        <v>0</v>
      </c>
      <c r="V211">
        <f t="shared" si="102"/>
        <v>-0.80663493009968812</v>
      </c>
      <c r="W211">
        <f t="shared" si="103"/>
        <v>-1</v>
      </c>
      <c r="X211">
        <f t="shared" si="104"/>
        <v>-1</v>
      </c>
      <c r="Y211">
        <f t="shared" si="105"/>
        <v>-1</v>
      </c>
      <c r="Z211">
        <f t="shared" si="106"/>
        <v>-1</v>
      </c>
    </row>
    <row r="212" spans="1:26" x14ac:dyDescent="0.25">
      <c r="A212" s="11" t="s">
        <v>213</v>
      </c>
      <c r="B212" s="5">
        <v>0</v>
      </c>
      <c r="C212" s="5">
        <v>2</v>
      </c>
      <c r="D212" s="5">
        <v>5</v>
      </c>
      <c r="E212" s="5">
        <v>4</v>
      </c>
      <c r="F212" s="14"/>
      <c r="G212">
        <f t="shared" si="87"/>
        <v>30657</v>
      </c>
      <c r="H212">
        <f t="shared" si="88"/>
        <v>36493</v>
      </c>
      <c r="I212">
        <f t="shared" si="89"/>
        <v>39237</v>
      </c>
      <c r="J212">
        <f t="shared" si="90"/>
        <v>47525</v>
      </c>
      <c r="K212">
        <f t="shared" si="91"/>
        <v>24948</v>
      </c>
      <c r="L212">
        <f t="shared" si="92"/>
        <v>0</v>
      </c>
      <c r="M212">
        <f t="shared" si="93"/>
        <v>5.4805031101855149E-5</v>
      </c>
      <c r="N212">
        <f t="shared" si="94"/>
        <v>1.2743074139205343E-4</v>
      </c>
      <c r="O212">
        <f t="shared" si="95"/>
        <v>8.4166228300894269E-5</v>
      </c>
      <c r="P212">
        <f t="shared" si="96"/>
        <v>0</v>
      </c>
      <c r="Q212">
        <f t="shared" si="97"/>
        <v>0</v>
      </c>
      <c r="R212">
        <f t="shared" si="98"/>
        <v>0.84944322034477682</v>
      </c>
      <c r="S212">
        <f t="shared" si="99"/>
        <v>2.8587124310188461</v>
      </c>
      <c r="T212">
        <f t="shared" si="100"/>
        <v>1.520973830387037</v>
      </c>
      <c r="U212">
        <f t="shared" si="101"/>
        <v>0</v>
      </c>
      <c r="V212">
        <f t="shared" si="102"/>
        <v>-1</v>
      </c>
      <c r="W212">
        <f t="shared" si="103"/>
        <v>-8.1406543331001044E-2</v>
      </c>
      <c r="X212">
        <f t="shared" si="104"/>
        <v>0.4816923946125925</v>
      </c>
      <c r="Y212">
        <f t="shared" si="105"/>
        <v>0.20665578678659016</v>
      </c>
      <c r="Z212">
        <f t="shared" si="106"/>
        <v>-1</v>
      </c>
    </row>
    <row r="213" spans="1:26" x14ac:dyDescent="0.25">
      <c r="A213" s="12" t="s">
        <v>196</v>
      </c>
      <c r="B213" s="4"/>
      <c r="C213" s="4"/>
      <c r="D213" s="4"/>
      <c r="E213" s="6">
        <v>1</v>
      </c>
      <c r="F213" s="13"/>
      <c r="G213">
        <f t="shared" si="87"/>
        <v>253761</v>
      </c>
      <c r="H213">
        <f t="shared" si="88"/>
        <v>341944</v>
      </c>
      <c r="I213">
        <f t="shared" si="89"/>
        <v>427909</v>
      </c>
      <c r="J213">
        <f t="shared" si="90"/>
        <v>492381</v>
      </c>
      <c r="K213">
        <f t="shared" si="91"/>
        <v>525871</v>
      </c>
      <c r="L213">
        <f t="shared" si="92"/>
        <v>0</v>
      </c>
      <c r="M213">
        <f t="shared" si="93"/>
        <v>0</v>
      </c>
      <c r="N213">
        <f t="shared" si="94"/>
        <v>0</v>
      </c>
      <c r="O213">
        <f t="shared" si="95"/>
        <v>2.0309475792120329E-6</v>
      </c>
      <c r="P213">
        <f t="shared" si="96"/>
        <v>0</v>
      </c>
      <c r="Q213">
        <f t="shared" si="97"/>
        <v>0</v>
      </c>
      <c r="R213">
        <f t="shared" si="98"/>
        <v>0</v>
      </c>
      <c r="S213">
        <f t="shared" si="99"/>
        <v>0</v>
      </c>
      <c r="T213">
        <f t="shared" si="100"/>
        <v>3.6701396524817131E-2</v>
      </c>
      <c r="U213">
        <f t="shared" si="101"/>
        <v>0</v>
      </c>
      <c r="V213">
        <f t="shared" si="102"/>
        <v>-1</v>
      </c>
      <c r="W213">
        <f t="shared" si="103"/>
        <v>-1</v>
      </c>
      <c r="X213">
        <f t="shared" si="104"/>
        <v>-1</v>
      </c>
      <c r="Y213">
        <f t="shared" si="105"/>
        <v>-0.92919581926320194</v>
      </c>
      <c r="Z213">
        <f t="shared" si="106"/>
        <v>-1</v>
      </c>
    </row>
    <row r="214" spans="1:26" x14ac:dyDescent="0.25">
      <c r="A214" s="11" t="s">
        <v>226</v>
      </c>
      <c r="B214" s="5"/>
      <c r="C214" s="7">
        <v>2</v>
      </c>
      <c r="D214" s="5"/>
      <c r="E214" s="7">
        <v>1</v>
      </c>
      <c r="F214" s="14"/>
      <c r="G214">
        <f t="shared" si="87"/>
        <v>96711</v>
      </c>
      <c r="H214">
        <f t="shared" si="88"/>
        <v>128443</v>
      </c>
      <c r="I214">
        <f t="shared" si="89"/>
        <v>183235</v>
      </c>
      <c r="J214">
        <f t="shared" si="90"/>
        <v>211712</v>
      </c>
      <c r="K214">
        <f t="shared" si="91"/>
        <v>203205</v>
      </c>
      <c r="L214">
        <f t="shared" si="92"/>
        <v>0</v>
      </c>
      <c r="M214">
        <f t="shared" si="93"/>
        <v>1.5571109363686615E-5</v>
      </c>
      <c r="N214">
        <f t="shared" si="94"/>
        <v>0</v>
      </c>
      <c r="O214">
        <f t="shared" si="95"/>
        <v>4.7233978234582827E-6</v>
      </c>
      <c r="P214">
        <f t="shared" si="96"/>
        <v>0</v>
      </c>
      <c r="Q214">
        <f t="shared" si="97"/>
        <v>0</v>
      </c>
      <c r="R214">
        <f t="shared" si="98"/>
        <v>0.24134231869422185</v>
      </c>
      <c r="S214">
        <f t="shared" si="99"/>
        <v>0</v>
      </c>
      <c r="T214">
        <f t="shared" si="100"/>
        <v>8.5356854227847181E-2</v>
      </c>
      <c r="U214">
        <f t="shared" si="101"/>
        <v>0</v>
      </c>
      <c r="V214">
        <f t="shared" si="102"/>
        <v>-1</v>
      </c>
      <c r="W214">
        <f t="shared" si="103"/>
        <v>-0.61115912176732712</v>
      </c>
      <c r="X214">
        <f t="shared" si="104"/>
        <v>-1</v>
      </c>
      <c r="Y214">
        <f t="shared" si="105"/>
        <v>-0.84271190826251818</v>
      </c>
      <c r="Z214">
        <f t="shared" si="106"/>
        <v>-1</v>
      </c>
    </row>
    <row r="215" spans="1:26" ht="23.25" x14ac:dyDescent="0.25">
      <c r="A215" s="12" t="s">
        <v>219</v>
      </c>
      <c r="B215" s="4"/>
      <c r="C215" s="6">
        <v>1</v>
      </c>
      <c r="D215" s="4"/>
      <c r="E215" s="4"/>
      <c r="F215" s="13"/>
      <c r="G215">
        <f t="shared" si="87"/>
        <v>312123</v>
      </c>
      <c r="H215">
        <f t="shared" si="88"/>
        <v>572318</v>
      </c>
      <c r="I215">
        <f t="shared" si="89"/>
        <v>839897</v>
      </c>
      <c r="J215">
        <f t="shared" si="90"/>
        <v>697784</v>
      </c>
      <c r="K215">
        <f t="shared" si="91"/>
        <v>662898</v>
      </c>
      <c r="L215">
        <f t="shared" si="92"/>
        <v>0</v>
      </c>
      <c r="M215">
        <f t="shared" si="93"/>
        <v>1.7472803581225823E-6</v>
      </c>
      <c r="N215">
        <f t="shared" si="94"/>
        <v>0</v>
      </c>
      <c r="O215">
        <f t="shared" si="95"/>
        <v>0</v>
      </c>
      <c r="P215">
        <f t="shared" si="96"/>
        <v>0</v>
      </c>
      <c r="Q215">
        <f t="shared" si="97"/>
        <v>0</v>
      </c>
      <c r="R215">
        <f t="shared" si="98"/>
        <v>2.7081737285951115E-2</v>
      </c>
      <c r="S215">
        <f t="shared" si="99"/>
        <v>0</v>
      </c>
      <c r="T215">
        <f t="shared" si="100"/>
        <v>0</v>
      </c>
      <c r="U215">
        <f t="shared" si="101"/>
        <v>0</v>
      </c>
      <c r="V215">
        <f t="shared" si="102"/>
        <v>-1</v>
      </c>
      <c r="W215">
        <f t="shared" si="103"/>
        <v>-0.94726468925927121</v>
      </c>
      <c r="X215">
        <f t="shared" si="104"/>
        <v>-1</v>
      </c>
      <c r="Y215">
        <f t="shared" si="105"/>
        <v>-1</v>
      </c>
      <c r="Z215">
        <f t="shared" si="106"/>
        <v>-1</v>
      </c>
    </row>
    <row r="216" spans="1:26" x14ac:dyDescent="0.25">
      <c r="A216" s="11" t="s">
        <v>134</v>
      </c>
      <c r="B216" s="7">
        <v>1</v>
      </c>
      <c r="C216" s="7">
        <v>1</v>
      </c>
      <c r="D216" s="7">
        <v>20</v>
      </c>
      <c r="E216" s="5"/>
      <c r="F216" s="14"/>
      <c r="G216">
        <f t="shared" si="87"/>
        <v>4238119</v>
      </c>
      <c r="H216">
        <f t="shared" si="88"/>
        <v>4598229</v>
      </c>
      <c r="I216">
        <f t="shared" si="89"/>
        <v>4326183</v>
      </c>
      <c r="J216">
        <f t="shared" si="90"/>
        <v>3962129</v>
      </c>
      <c r="K216">
        <f t="shared" si="91"/>
        <v>3520958</v>
      </c>
      <c r="L216">
        <f t="shared" si="92"/>
        <v>2.3595373324816976E-7</v>
      </c>
      <c r="M216">
        <f t="shared" si="93"/>
        <v>2.1747503223523666E-7</v>
      </c>
      <c r="N216">
        <f t="shared" si="94"/>
        <v>4.6230129423558828E-6</v>
      </c>
      <c r="O216">
        <f t="shared" si="95"/>
        <v>0</v>
      </c>
      <c r="P216">
        <f t="shared" si="96"/>
        <v>0</v>
      </c>
      <c r="Q216">
        <f t="shared" si="97"/>
        <v>2.9084814601306602E-3</v>
      </c>
      <c r="R216">
        <f t="shared" si="98"/>
        <v>3.3707250595872824E-3</v>
      </c>
      <c r="S216">
        <f t="shared" si="99"/>
        <v>0.10371017560365473</v>
      </c>
      <c r="T216">
        <f t="shared" si="100"/>
        <v>0</v>
      </c>
      <c r="U216">
        <f t="shared" si="101"/>
        <v>0</v>
      </c>
      <c r="V216">
        <f t="shared" si="102"/>
        <v>-0.99419990654402246</v>
      </c>
      <c r="W216">
        <f t="shared" si="103"/>
        <v>-0.99328119711806995</v>
      </c>
      <c r="X216">
        <f t="shared" si="104"/>
        <v>-0.81206991129363781</v>
      </c>
      <c r="Y216">
        <f t="shared" si="105"/>
        <v>-1</v>
      </c>
      <c r="Z216">
        <f t="shared" si="106"/>
        <v>-1</v>
      </c>
    </row>
    <row r="217" spans="1:26" ht="45.75" x14ac:dyDescent="0.25">
      <c r="A217" s="12" t="s">
        <v>193</v>
      </c>
      <c r="B217" s="4"/>
      <c r="C217" s="4"/>
      <c r="D217" s="6">
        <v>298</v>
      </c>
      <c r="E217" s="4"/>
      <c r="F217" s="13"/>
      <c r="G217">
        <f t="shared" si="87"/>
        <v>569503</v>
      </c>
      <c r="H217">
        <f t="shared" si="88"/>
        <v>295048</v>
      </c>
      <c r="I217">
        <f t="shared" si="89"/>
        <v>1300849</v>
      </c>
      <c r="J217">
        <f t="shared" si="90"/>
        <v>2083553</v>
      </c>
      <c r="K217">
        <f t="shared" si="91"/>
        <v>1966746</v>
      </c>
      <c r="L217">
        <f t="shared" si="92"/>
        <v>0</v>
      </c>
      <c r="M217">
        <f t="shared" si="93"/>
        <v>0</v>
      </c>
      <c r="N217">
        <f t="shared" si="94"/>
        <v>2.290811616106097E-4</v>
      </c>
      <c r="O217">
        <f t="shared" si="95"/>
        <v>0</v>
      </c>
      <c r="P217">
        <f t="shared" si="96"/>
        <v>0</v>
      </c>
      <c r="Q217">
        <f t="shared" si="97"/>
        <v>0</v>
      </c>
      <c r="R217">
        <f t="shared" si="98"/>
        <v>0</v>
      </c>
      <c r="S217">
        <f t="shared" si="99"/>
        <v>5.1390830599791624</v>
      </c>
      <c r="T217">
        <f t="shared" si="100"/>
        <v>0</v>
      </c>
      <c r="U217">
        <f t="shared" si="101"/>
        <v>0</v>
      </c>
      <c r="V217">
        <f t="shared" si="102"/>
        <v>-1</v>
      </c>
      <c r="W217">
        <f t="shared" si="103"/>
        <v>-1</v>
      </c>
      <c r="X217">
        <f t="shared" si="104"/>
        <v>0.67421844916253848</v>
      </c>
      <c r="Y217">
        <f t="shared" si="105"/>
        <v>-1</v>
      </c>
      <c r="Z217">
        <f t="shared" si="106"/>
        <v>-1</v>
      </c>
    </row>
    <row r="218" spans="1:26" x14ac:dyDescent="0.25">
      <c r="A218" s="11" t="s">
        <v>167</v>
      </c>
      <c r="B218" s="7">
        <v>59</v>
      </c>
      <c r="C218" s="7">
        <v>161</v>
      </c>
      <c r="D218" s="7">
        <v>186</v>
      </c>
      <c r="E218" s="7">
        <v>285</v>
      </c>
      <c r="F218" s="14"/>
      <c r="G218">
        <f t="shared" si="87"/>
        <v>2242357</v>
      </c>
      <c r="H218">
        <f t="shared" si="88"/>
        <v>2938864</v>
      </c>
      <c r="I218">
        <f t="shared" si="89"/>
        <v>3985448</v>
      </c>
      <c r="J218">
        <f t="shared" si="90"/>
        <v>5065977</v>
      </c>
      <c r="K218">
        <f t="shared" si="91"/>
        <v>2956110</v>
      </c>
      <c r="L218">
        <f t="shared" si="92"/>
        <v>2.6311599803242748E-5</v>
      </c>
      <c r="M218">
        <f t="shared" si="93"/>
        <v>5.4783072643034858E-5</v>
      </c>
      <c r="N218">
        <f t="shared" si="94"/>
        <v>4.6669784676653667E-5</v>
      </c>
      <c r="O218">
        <f t="shared" si="95"/>
        <v>5.6257657703538726E-5</v>
      </c>
      <c r="P218">
        <f t="shared" si="96"/>
        <v>0</v>
      </c>
      <c r="Q218">
        <f t="shared" si="97"/>
        <v>0.32432968599661971</v>
      </c>
      <c r="R218">
        <f t="shared" si="98"/>
        <v>0.84910287816087304</v>
      </c>
      <c r="S218">
        <f t="shared" si="99"/>
        <v>1.046964744540382</v>
      </c>
      <c r="T218">
        <f t="shared" si="100"/>
        <v>1.0166360885277421</v>
      </c>
      <c r="U218">
        <f t="shared" si="101"/>
        <v>0</v>
      </c>
      <c r="V218">
        <f t="shared" si="102"/>
        <v>-0.5101979674305247</v>
      </c>
      <c r="W218">
        <f t="shared" si="103"/>
        <v>-8.1605584860270169E-2</v>
      </c>
      <c r="X218">
        <f t="shared" si="104"/>
        <v>2.2943602065275095E-2</v>
      </c>
      <c r="Y218">
        <f t="shared" si="105"/>
        <v>8.2494251800717313E-3</v>
      </c>
      <c r="Z218">
        <f t="shared" si="106"/>
        <v>-1</v>
      </c>
    </row>
    <row r="219" spans="1:26" x14ac:dyDescent="0.25">
      <c r="A219" s="12" t="s">
        <v>214</v>
      </c>
      <c r="B219" s="4"/>
      <c r="C219" s="4"/>
      <c r="D219" s="4"/>
      <c r="E219" s="6">
        <v>18</v>
      </c>
      <c r="F219" s="13"/>
      <c r="G219">
        <f t="shared" si="87"/>
        <v>109465</v>
      </c>
      <c r="H219">
        <f t="shared" si="88"/>
        <v>168645</v>
      </c>
      <c r="I219">
        <f t="shared" si="89"/>
        <v>153908</v>
      </c>
      <c r="J219">
        <f t="shared" si="90"/>
        <v>144059</v>
      </c>
      <c r="K219">
        <f t="shared" si="91"/>
        <v>86300</v>
      </c>
      <c r="L219">
        <f t="shared" si="92"/>
        <v>0</v>
      </c>
      <c r="M219">
        <f t="shared" si="93"/>
        <v>0</v>
      </c>
      <c r="N219">
        <f t="shared" si="94"/>
        <v>0</v>
      </c>
      <c r="O219">
        <f t="shared" si="95"/>
        <v>1.2494880569766554E-4</v>
      </c>
      <c r="P219">
        <f t="shared" si="96"/>
        <v>0</v>
      </c>
      <c r="Q219">
        <f t="shared" si="97"/>
        <v>0</v>
      </c>
      <c r="R219">
        <f t="shared" si="98"/>
        <v>0</v>
      </c>
      <c r="S219">
        <f t="shared" si="99"/>
        <v>0</v>
      </c>
      <c r="T219">
        <f t="shared" si="100"/>
        <v>2.2579586544481614</v>
      </c>
      <c r="U219">
        <f t="shared" si="101"/>
        <v>0</v>
      </c>
      <c r="V219">
        <f t="shared" si="102"/>
        <v>-1</v>
      </c>
      <c r="W219">
        <f t="shared" si="103"/>
        <v>-1</v>
      </c>
      <c r="X219">
        <f t="shared" si="104"/>
        <v>-1</v>
      </c>
      <c r="Y219">
        <f t="shared" si="105"/>
        <v>0.38611866750691975</v>
      </c>
      <c r="Z219">
        <f t="shared" si="106"/>
        <v>-1</v>
      </c>
    </row>
    <row r="220" spans="1:26" x14ac:dyDescent="0.25">
      <c r="A220" s="15" t="s">
        <v>158</v>
      </c>
      <c r="B220" s="7">
        <v>24</v>
      </c>
      <c r="C220" s="7">
        <v>35</v>
      </c>
      <c r="D220" s="16"/>
      <c r="E220" s="16"/>
      <c r="F220" s="17"/>
      <c r="G220">
        <f>VLOOKUP(A220,IMPOTOTAL,2,FALSE)</f>
        <v>3376044</v>
      </c>
      <c r="H220">
        <f>VLOOKUP(A220,IMPOTOTAL,3,FALSE)</f>
        <v>4541758</v>
      </c>
      <c r="I220">
        <f t="shared" si="89"/>
        <v>4939758</v>
      </c>
      <c r="J220">
        <f t="shared" si="90"/>
        <v>5265519</v>
      </c>
      <c r="K220">
        <f>VLOOKUP(A220,IMPOTOTAL,6,FALSE)</f>
        <v>3947850</v>
      </c>
      <c r="L220">
        <f t="shared" si="92"/>
        <v>7.1089120876386681E-6</v>
      </c>
      <c r="M220">
        <f t="shared" si="93"/>
        <v>7.7062670446113593E-6</v>
      </c>
      <c r="N220">
        <f t="shared" si="94"/>
        <v>0</v>
      </c>
      <c r="O220">
        <f t="shared" si="95"/>
        <v>0</v>
      </c>
      <c r="P220">
        <f t="shared" si="96"/>
        <v>0</v>
      </c>
      <c r="Q220">
        <f t="shared" si="97"/>
        <v>8.7627937578971082E-2</v>
      </c>
      <c r="R220">
        <f t="shared" si="98"/>
        <v>0.11944225126057662</v>
      </c>
      <c r="S220">
        <f t="shared" si="99"/>
        <v>0</v>
      </c>
      <c r="T220">
        <f t="shared" si="100"/>
        <v>0</v>
      </c>
      <c r="U220">
        <f t="shared" si="101"/>
        <v>0</v>
      </c>
      <c r="V220">
        <f t="shared" si="102"/>
        <v>-0.83886412889682049</v>
      </c>
      <c r="W220">
        <f t="shared" si="103"/>
        <v>-0.78660399654189284</v>
      </c>
      <c r="X220">
        <f t="shared" si="104"/>
        <v>-1</v>
      </c>
      <c r="Y220">
        <f t="shared" si="105"/>
        <v>-1</v>
      </c>
      <c r="Z220">
        <f t="shared" si="106"/>
        <v>-1</v>
      </c>
    </row>
  </sheetData>
  <phoneticPr fontId="2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73546-9F22-42D6-B30B-BE6746908796}">
  <dimension ref="A1:AC220"/>
  <sheetViews>
    <sheetView tabSelected="1" workbookViewId="0">
      <selection activeCell="AE23" sqref="AE23"/>
    </sheetView>
  </sheetViews>
  <sheetFormatPr baseColWidth="10" defaultRowHeight="15" x14ac:dyDescent="0.25"/>
  <cols>
    <col min="1" max="1" width="14" style="28" customWidth="1"/>
    <col min="2" max="21" width="12.7109375" style="27" hidden="1" customWidth="1"/>
    <col min="22" max="26" width="12.7109375" style="27" customWidth="1"/>
  </cols>
  <sheetData>
    <row r="1" spans="1:29" s="2" customFormat="1" ht="40.5" x14ac:dyDescent="0.25">
      <c r="A1" s="31" t="s">
        <v>267</v>
      </c>
      <c r="B1" s="29" t="s">
        <v>268</v>
      </c>
      <c r="C1" s="29" t="s">
        <v>269</v>
      </c>
      <c r="D1" s="29" t="s">
        <v>270</v>
      </c>
      <c r="E1" s="29" t="s">
        <v>271</v>
      </c>
      <c r="F1" s="29" t="s">
        <v>272</v>
      </c>
      <c r="G1" s="29" t="s">
        <v>274</v>
      </c>
      <c r="H1" s="29" t="s">
        <v>275</v>
      </c>
      <c r="I1" s="29" t="s">
        <v>276</v>
      </c>
      <c r="J1" s="29" t="s">
        <v>277</v>
      </c>
      <c r="K1" s="29" t="s">
        <v>278</v>
      </c>
      <c r="L1" s="29" t="s">
        <v>249</v>
      </c>
      <c r="M1" s="29" t="s">
        <v>250</v>
      </c>
      <c r="N1" s="29" t="s">
        <v>251</v>
      </c>
      <c r="O1" s="29" t="s">
        <v>252</v>
      </c>
      <c r="P1" s="29" t="s">
        <v>253</v>
      </c>
      <c r="Q1" s="29" t="s">
        <v>279</v>
      </c>
      <c r="R1" s="29" t="s">
        <v>280</v>
      </c>
      <c r="S1" s="29" t="s">
        <v>281</v>
      </c>
      <c r="T1" s="29" t="s">
        <v>282</v>
      </c>
      <c r="U1" s="29" t="s">
        <v>283</v>
      </c>
      <c r="V1" s="29" t="s">
        <v>284</v>
      </c>
      <c r="W1" s="29" t="s">
        <v>285</v>
      </c>
      <c r="X1" s="29" t="s">
        <v>286</v>
      </c>
      <c r="Y1" s="29" t="s">
        <v>287</v>
      </c>
      <c r="Z1" s="29" t="s">
        <v>288</v>
      </c>
    </row>
    <row r="2" spans="1:29" x14ac:dyDescent="0.25">
      <c r="A2" s="32" t="s">
        <v>144</v>
      </c>
      <c r="B2" s="30">
        <v>3653</v>
      </c>
      <c r="C2" s="30">
        <v>6027</v>
      </c>
      <c r="D2" s="30">
        <v>10715</v>
      </c>
      <c r="E2" s="30">
        <v>7219</v>
      </c>
      <c r="F2" s="30">
        <v>5498</v>
      </c>
      <c r="G2" s="30">
        <v>8983163</v>
      </c>
      <c r="H2" s="30">
        <v>9009117</v>
      </c>
      <c r="I2" s="30">
        <v>10500347</v>
      </c>
      <c r="J2" s="30">
        <v>6730166</v>
      </c>
      <c r="K2" s="30">
        <v>3007222</v>
      </c>
      <c r="L2" s="30">
        <v>4.0664963999873985E-4</v>
      </c>
      <c r="M2" s="30">
        <v>6.6898898082908681E-4</v>
      </c>
      <c r="N2" s="30">
        <v>1.0204424672822718E-3</v>
      </c>
      <c r="O2" s="30">
        <v>1.0726332753159431E-3</v>
      </c>
      <c r="P2" s="30">
        <v>1.8282654223732069E-3</v>
      </c>
      <c r="Q2" s="30">
        <v>5.0125629394520992</v>
      </c>
      <c r="R2" s="30">
        <v>10.368904876534113</v>
      </c>
      <c r="S2" s="30">
        <v>22.892055201848539</v>
      </c>
      <c r="T2" s="30">
        <v>19.383631348258351</v>
      </c>
      <c r="U2" s="30">
        <v>28.795881207044719</v>
      </c>
      <c r="V2" s="30">
        <v>0.66736314943552977</v>
      </c>
      <c r="W2" s="30">
        <v>0.8240815609137444</v>
      </c>
      <c r="X2" s="30">
        <v>0.91629016494800086</v>
      </c>
      <c r="Y2" s="30">
        <v>0.90188205595805737</v>
      </c>
      <c r="Z2" s="30">
        <v>0.93287662861512766</v>
      </c>
    </row>
    <row r="3" spans="1:29" x14ac:dyDescent="0.25">
      <c r="A3" s="32" t="s">
        <v>89</v>
      </c>
      <c r="B3" s="30">
        <v>85006</v>
      </c>
      <c r="C3" s="30">
        <v>65125</v>
      </c>
      <c r="D3" s="30">
        <v>37267</v>
      </c>
      <c r="E3" s="30">
        <v>51526</v>
      </c>
      <c r="F3" s="30">
        <v>107017</v>
      </c>
      <c r="G3" s="30">
        <v>50703718</v>
      </c>
      <c r="H3" s="30">
        <v>78305242</v>
      </c>
      <c r="I3" s="30">
        <v>88344267</v>
      </c>
      <c r="J3" s="30">
        <v>70599072</v>
      </c>
      <c r="K3" s="30">
        <v>63526663</v>
      </c>
      <c r="L3" s="30">
        <v>1.6765239977076236E-3</v>
      </c>
      <c r="M3" s="30">
        <v>8.3168123022977179E-4</v>
      </c>
      <c r="N3" s="30">
        <v>4.2183835200081517E-4</v>
      </c>
      <c r="O3" s="30">
        <v>7.2983962168794519E-4</v>
      </c>
      <c r="P3" s="30">
        <v>1.6845997404271022E-3</v>
      </c>
      <c r="Q3" s="30">
        <v>20.665657193345485</v>
      </c>
      <c r="R3" s="30">
        <v>12.890531549808193</v>
      </c>
      <c r="S3" s="30">
        <v>9.4632937670441493</v>
      </c>
      <c r="T3" s="30">
        <v>13.188983127513456</v>
      </c>
      <c r="U3" s="30">
        <v>26.533091646938601</v>
      </c>
      <c r="V3" s="30">
        <v>0.90768800677718231</v>
      </c>
      <c r="W3" s="30">
        <v>0.8560170290943534</v>
      </c>
      <c r="X3" s="30">
        <v>0.80885560087213393</v>
      </c>
      <c r="Y3" s="30">
        <v>0.85904557204512733</v>
      </c>
      <c r="Z3" s="30">
        <v>0.92736013718886601</v>
      </c>
    </row>
    <row r="4" spans="1:29" x14ac:dyDescent="0.25">
      <c r="A4" s="32" t="s">
        <v>105</v>
      </c>
      <c r="B4" s="30">
        <v>93917</v>
      </c>
      <c r="C4" s="30">
        <v>112447</v>
      </c>
      <c r="D4" s="30">
        <v>61681</v>
      </c>
      <c r="E4" s="30">
        <v>43224</v>
      </c>
      <c r="F4" s="30">
        <v>56197</v>
      </c>
      <c r="G4" s="30">
        <v>45841651</v>
      </c>
      <c r="H4" s="30">
        <v>73106624</v>
      </c>
      <c r="I4" s="30">
        <v>71104684</v>
      </c>
      <c r="J4" s="30">
        <v>50362541</v>
      </c>
      <c r="K4" s="30">
        <v>56522668</v>
      </c>
      <c r="L4" s="30">
        <v>2.0487263864034915E-3</v>
      </c>
      <c r="M4" s="30">
        <v>1.5381232759428202E-3</v>
      </c>
      <c r="N4" s="30">
        <v>8.6746746529384763E-4</v>
      </c>
      <c r="O4" s="30">
        <v>8.5825693346171716E-4</v>
      </c>
      <c r="P4" s="30">
        <v>9.942382762257436E-4</v>
      </c>
      <c r="Q4" s="30">
        <v>25.253606415575788</v>
      </c>
      <c r="R4" s="30">
        <v>23.839935176314501</v>
      </c>
      <c r="S4" s="30">
        <v>19.460296624269457</v>
      </c>
      <c r="T4" s="30">
        <v>15.509621399176213</v>
      </c>
      <c r="U4" s="30">
        <v>15.659633958689586</v>
      </c>
      <c r="V4" s="30">
        <v>0.92381998997237058</v>
      </c>
      <c r="W4" s="30">
        <v>0.91948449197616866</v>
      </c>
      <c r="X4" s="30">
        <v>0.90224970650583558</v>
      </c>
      <c r="Y4" s="30">
        <v>0.87885851821533634</v>
      </c>
      <c r="Z4" s="30">
        <v>0.87994934312726547</v>
      </c>
    </row>
    <row r="5" spans="1:29" x14ac:dyDescent="0.25">
      <c r="A5" s="32" t="s">
        <v>207</v>
      </c>
      <c r="B5" s="30">
        <v>426</v>
      </c>
      <c r="C5" s="30">
        <v>540</v>
      </c>
      <c r="D5" s="30">
        <v>955</v>
      </c>
      <c r="E5" s="30">
        <v>619</v>
      </c>
      <c r="F5" s="30">
        <v>823</v>
      </c>
      <c r="G5" s="30">
        <v>909131</v>
      </c>
      <c r="H5" s="30">
        <v>981086</v>
      </c>
      <c r="I5" s="30">
        <v>1203662</v>
      </c>
      <c r="J5" s="30">
        <v>1182293</v>
      </c>
      <c r="K5" s="30">
        <v>1267502</v>
      </c>
      <c r="L5" s="30">
        <v>4.6857933565129777E-4</v>
      </c>
      <c r="M5" s="30">
        <v>5.5041046350676702E-4</v>
      </c>
      <c r="N5" s="30">
        <v>7.9341210406243614E-4</v>
      </c>
      <c r="O5" s="30">
        <v>5.2355888092038094E-4</v>
      </c>
      <c r="P5" s="30">
        <v>6.4930864014415754E-4</v>
      </c>
      <c r="Q5" s="30">
        <v>5.7759387468929262</v>
      </c>
      <c r="R5" s="30">
        <v>8.5310130700176376</v>
      </c>
      <c r="S5" s="30">
        <v>17.798978645395728</v>
      </c>
      <c r="T5" s="30">
        <v>9.4612693549695575</v>
      </c>
      <c r="U5" s="30">
        <v>10.226859973115094</v>
      </c>
      <c r="V5" s="30">
        <v>0.70483794575075076</v>
      </c>
      <c r="W5" s="30">
        <v>0.79015871814387317</v>
      </c>
      <c r="X5" s="30">
        <v>0.89361124145487325</v>
      </c>
      <c r="Y5" s="30">
        <v>0.80881861157222634</v>
      </c>
      <c r="Z5" s="30">
        <v>0.82185579896877758</v>
      </c>
    </row>
    <row r="6" spans="1:29" x14ac:dyDescent="0.25">
      <c r="A6" s="32" t="s">
        <v>73</v>
      </c>
      <c r="B6" s="30">
        <v>15654</v>
      </c>
      <c r="C6" s="30">
        <v>29819</v>
      </c>
      <c r="D6" s="30">
        <v>21479</v>
      </c>
      <c r="E6" s="30">
        <v>19700</v>
      </c>
      <c r="F6" s="30">
        <v>27978</v>
      </c>
      <c r="G6" s="30">
        <v>44518195</v>
      </c>
      <c r="H6" s="30">
        <v>58667257</v>
      </c>
      <c r="I6" s="30">
        <v>72832659</v>
      </c>
      <c r="J6" s="30">
        <v>70671817</v>
      </c>
      <c r="K6" s="30">
        <v>62338226</v>
      </c>
      <c r="L6" s="30">
        <v>3.5163150707255764E-4</v>
      </c>
      <c r="M6" s="30">
        <v>5.0827329459088224E-4</v>
      </c>
      <c r="N6" s="30">
        <v>2.9490890892779298E-4</v>
      </c>
      <c r="O6" s="30">
        <v>2.7875326878888651E-4</v>
      </c>
      <c r="P6" s="30">
        <v>4.488096918253657E-4</v>
      </c>
      <c r="Q6" s="30">
        <v>4.3343824445560877</v>
      </c>
      <c r="R6" s="30">
        <v>7.87791367858404</v>
      </c>
      <c r="S6" s="30">
        <v>6.6158271917788563</v>
      </c>
      <c r="T6" s="30">
        <v>5.0373699228510551</v>
      </c>
      <c r="U6" s="30">
        <v>7.0689246824990875</v>
      </c>
      <c r="V6" s="30">
        <v>0.62507375112538743</v>
      </c>
      <c r="W6" s="30">
        <v>0.77472184654998977</v>
      </c>
      <c r="X6" s="30">
        <v>0.73738899929885982</v>
      </c>
      <c r="Y6" s="30">
        <v>0.66872992287086319</v>
      </c>
      <c r="Z6" s="30">
        <v>0.75213549776491839</v>
      </c>
      <c r="AC6" t="s">
        <v>321</v>
      </c>
    </row>
    <row r="7" spans="1:29" x14ac:dyDescent="0.25">
      <c r="A7" s="32" t="s">
        <v>238</v>
      </c>
      <c r="B7" s="30">
        <v>3</v>
      </c>
      <c r="C7" s="30"/>
      <c r="D7" s="30"/>
      <c r="E7" s="30">
        <v>2</v>
      </c>
      <c r="F7" s="30">
        <v>68</v>
      </c>
      <c r="G7" s="30">
        <v>112785</v>
      </c>
      <c r="H7" s="30">
        <v>65149</v>
      </c>
      <c r="I7" s="30">
        <v>154893</v>
      </c>
      <c r="J7" s="30">
        <v>163367</v>
      </c>
      <c r="K7" s="30">
        <v>151632</v>
      </c>
      <c r="L7" s="30">
        <v>2.6599281819390877E-5</v>
      </c>
      <c r="M7" s="30">
        <v>0</v>
      </c>
      <c r="N7" s="30">
        <v>0</v>
      </c>
      <c r="O7" s="30">
        <v>1.2242374530964026E-5</v>
      </c>
      <c r="P7" s="30">
        <v>4.4845415215785585E-4</v>
      </c>
      <c r="Q7" s="30">
        <v>0.32787579564642888</v>
      </c>
      <c r="R7" s="30">
        <v>0</v>
      </c>
      <c r="S7" s="30">
        <v>0</v>
      </c>
      <c r="T7" s="30">
        <v>0.2212328110608138</v>
      </c>
      <c r="U7" s="30">
        <v>7.0633247964515151</v>
      </c>
      <c r="V7" s="30">
        <v>-0.50616496404045941</v>
      </c>
      <c r="W7" s="30">
        <v>-1</v>
      </c>
      <c r="X7" s="30">
        <v>-1</v>
      </c>
      <c r="Y7" s="30">
        <v>-0.63768937575687679</v>
      </c>
      <c r="Z7" s="30">
        <v>0.75196335872763631</v>
      </c>
    </row>
    <row r="8" spans="1:29" x14ac:dyDescent="0.25">
      <c r="A8" s="32" t="s">
        <v>70</v>
      </c>
      <c r="B8" s="30">
        <v>6905</v>
      </c>
      <c r="C8" s="30">
        <v>9454</v>
      </c>
      <c r="D8" s="30">
        <v>5253</v>
      </c>
      <c r="E8" s="30">
        <v>4128</v>
      </c>
      <c r="F8" s="30">
        <v>32923</v>
      </c>
      <c r="G8" s="30">
        <v>70436789</v>
      </c>
      <c r="H8" s="30">
        <v>89206205</v>
      </c>
      <c r="I8" s="30">
        <v>96188946</v>
      </c>
      <c r="J8" s="30">
        <v>83158878</v>
      </c>
      <c r="K8" s="30">
        <v>77643169</v>
      </c>
      <c r="L8" s="30">
        <v>9.8031158121077887E-5</v>
      </c>
      <c r="M8" s="30">
        <v>1.0597917487914657E-4</v>
      </c>
      <c r="N8" s="30">
        <v>5.4611264791278614E-5</v>
      </c>
      <c r="O8" s="30">
        <v>4.9639919384193712E-5</v>
      </c>
      <c r="P8" s="30">
        <v>4.2402957560889868E-4</v>
      </c>
      <c r="Q8" s="30">
        <v>1.2083801429427219</v>
      </c>
      <c r="R8" s="30">
        <v>1.6426099901579518</v>
      </c>
      <c r="S8" s="30">
        <v>1.2251196204860619</v>
      </c>
      <c r="T8" s="30">
        <v>0.89704647398437176</v>
      </c>
      <c r="U8" s="30">
        <v>6.6786283534573814</v>
      </c>
      <c r="V8" s="30">
        <v>9.4358819340337907E-2</v>
      </c>
      <c r="W8" s="30">
        <v>0.24317246682305257</v>
      </c>
      <c r="X8" s="30">
        <v>0.10117191831551335</v>
      </c>
      <c r="Y8" s="30">
        <v>-5.4270429020852967E-2</v>
      </c>
      <c r="Z8" s="30">
        <v>0.73953681465785759</v>
      </c>
    </row>
    <row r="9" spans="1:29" x14ac:dyDescent="0.25">
      <c r="A9" s="32" t="s">
        <v>199</v>
      </c>
      <c r="B9" s="30">
        <v>1196</v>
      </c>
      <c r="C9" s="30">
        <v>1313</v>
      </c>
      <c r="D9" s="30">
        <v>990</v>
      </c>
      <c r="E9" s="30">
        <v>1291</v>
      </c>
      <c r="F9" s="30">
        <v>1129</v>
      </c>
      <c r="G9" s="30">
        <v>1837143</v>
      </c>
      <c r="H9" s="30">
        <v>2580550</v>
      </c>
      <c r="I9" s="30">
        <v>3522703</v>
      </c>
      <c r="J9" s="30">
        <v>3394094</v>
      </c>
      <c r="K9" s="30">
        <v>2930447</v>
      </c>
      <c r="L9" s="30">
        <v>6.5101083584674679E-4</v>
      </c>
      <c r="M9" s="30">
        <v>5.0880626223091981E-4</v>
      </c>
      <c r="N9" s="30">
        <v>2.810341944807723E-4</v>
      </c>
      <c r="O9" s="30">
        <v>3.8036660151427744E-4</v>
      </c>
      <c r="P9" s="30">
        <v>3.8526545608912223E-4</v>
      </c>
      <c r="Q9" s="30">
        <v>8.0246789077625866</v>
      </c>
      <c r="R9" s="30">
        <v>7.8861743389539187</v>
      </c>
      <c r="S9" s="30">
        <v>6.3045693411750916</v>
      </c>
      <c r="T9" s="30">
        <v>6.873631604213438</v>
      </c>
      <c r="U9" s="30">
        <v>6.0680786120865653</v>
      </c>
      <c r="V9" s="30">
        <v>0.77838546717936985</v>
      </c>
      <c r="W9" s="30">
        <v>0.77493126696460479</v>
      </c>
      <c r="X9" s="30">
        <v>0.7261987796150815</v>
      </c>
      <c r="Y9" s="30">
        <v>0.7459876076841423</v>
      </c>
      <c r="Z9" s="30">
        <v>0.71703766896707155</v>
      </c>
    </row>
    <row r="10" spans="1:29" x14ac:dyDescent="0.25">
      <c r="A10" s="32" t="s">
        <v>81</v>
      </c>
      <c r="B10" s="30">
        <v>9680</v>
      </c>
      <c r="C10" s="30">
        <v>7673</v>
      </c>
      <c r="D10" s="30">
        <v>6364</v>
      </c>
      <c r="E10" s="30">
        <v>5157</v>
      </c>
      <c r="F10" s="30">
        <v>8064</v>
      </c>
      <c r="G10" s="30">
        <v>38911684</v>
      </c>
      <c r="H10" s="30">
        <v>48986643</v>
      </c>
      <c r="I10" s="30">
        <v>58922123</v>
      </c>
      <c r="J10" s="30">
        <v>65555454</v>
      </c>
      <c r="K10" s="30">
        <v>23150950</v>
      </c>
      <c r="L10" s="30">
        <v>2.4876846758932356E-4</v>
      </c>
      <c r="M10" s="30">
        <v>1.5663453403002119E-4</v>
      </c>
      <c r="N10" s="30">
        <v>1.0800697048882641E-4</v>
      </c>
      <c r="O10" s="30">
        <v>7.8666223560895486E-5</v>
      </c>
      <c r="P10" s="30">
        <v>3.4832263902777208E-4</v>
      </c>
      <c r="Q10" s="30">
        <v>3.0664421617252584</v>
      </c>
      <c r="R10" s="30">
        <v>2.4277359273163683</v>
      </c>
      <c r="S10" s="30">
        <v>2.4229700447489355</v>
      </c>
      <c r="T10" s="30">
        <v>1.4215828579576129</v>
      </c>
      <c r="U10" s="30">
        <v>5.4862150825716105</v>
      </c>
      <c r="V10" s="30">
        <v>0.50816956925523682</v>
      </c>
      <c r="W10" s="30">
        <v>0.41652448076248588</v>
      </c>
      <c r="X10" s="30">
        <v>0.41571209392611147</v>
      </c>
      <c r="Y10" s="30">
        <v>0.17409392231706664</v>
      </c>
      <c r="Z10" s="30">
        <v>0.69165376501713949</v>
      </c>
    </row>
    <row r="11" spans="1:29" x14ac:dyDescent="0.25">
      <c r="A11" s="32" t="s">
        <v>98</v>
      </c>
      <c r="B11" s="30">
        <v>0</v>
      </c>
      <c r="C11" s="30">
        <v>0</v>
      </c>
      <c r="D11" s="30">
        <v>108</v>
      </c>
      <c r="E11" s="30">
        <v>111</v>
      </c>
      <c r="F11" s="30">
        <v>73</v>
      </c>
      <c r="G11" s="30">
        <v>544916</v>
      </c>
      <c r="H11" s="30">
        <v>486656</v>
      </c>
      <c r="I11" s="30">
        <v>629525</v>
      </c>
      <c r="J11" s="30">
        <v>742649</v>
      </c>
      <c r="K11" s="30">
        <v>239373</v>
      </c>
      <c r="L11" s="30">
        <v>0</v>
      </c>
      <c r="M11" s="30">
        <v>0</v>
      </c>
      <c r="N11" s="30">
        <v>1.7155792065446171E-4</v>
      </c>
      <c r="O11" s="30">
        <v>1.4946495585397678E-4</v>
      </c>
      <c r="P11" s="30">
        <v>3.0496338350607629E-4</v>
      </c>
      <c r="Q11" s="30">
        <v>0</v>
      </c>
      <c r="R11" s="30">
        <v>0</v>
      </c>
      <c r="S11" s="30">
        <v>3.8486377388779598</v>
      </c>
      <c r="T11" s="30">
        <v>2.7009917279545848</v>
      </c>
      <c r="U11" s="30">
        <v>4.8032901877782015</v>
      </c>
      <c r="V11" s="30">
        <v>-1</v>
      </c>
      <c r="W11" s="30">
        <v>-1</v>
      </c>
      <c r="X11" s="30">
        <v>0.58751300721781141</v>
      </c>
      <c r="Y11" s="30">
        <v>0.45960430419407244</v>
      </c>
      <c r="Z11" s="30">
        <v>0.65536791453027388</v>
      </c>
    </row>
    <row r="12" spans="1:29" x14ac:dyDescent="0.25">
      <c r="A12" s="32" t="s">
        <v>84</v>
      </c>
      <c r="B12" s="30">
        <v>674</v>
      </c>
      <c r="C12" s="30">
        <v>1328</v>
      </c>
      <c r="D12" s="30">
        <v>698</v>
      </c>
      <c r="E12" s="30">
        <v>497</v>
      </c>
      <c r="F12" s="30">
        <v>1008</v>
      </c>
      <c r="G12" s="30">
        <v>4996010</v>
      </c>
      <c r="H12" s="30">
        <v>5385161</v>
      </c>
      <c r="I12" s="30">
        <v>5183675</v>
      </c>
      <c r="J12" s="30">
        <v>4416027</v>
      </c>
      <c r="K12" s="30">
        <v>3461997</v>
      </c>
      <c r="L12" s="30">
        <v>1.3490765630973516E-4</v>
      </c>
      <c r="M12" s="30">
        <v>2.4660358343975232E-4</v>
      </c>
      <c r="N12" s="30">
        <v>1.3465350354719384E-4</v>
      </c>
      <c r="O12" s="30">
        <v>1.1254460174269767E-4</v>
      </c>
      <c r="P12" s="30">
        <v>2.9116143081579793E-4</v>
      </c>
      <c r="Q12" s="30">
        <v>1.6629379489149803</v>
      </c>
      <c r="R12" s="30">
        <v>3.8221991276004279</v>
      </c>
      <c r="S12" s="30">
        <v>3.0207439764186121</v>
      </c>
      <c r="T12" s="30">
        <v>2.0338014124859596</v>
      </c>
      <c r="U12" s="30">
        <v>4.5859041423873714</v>
      </c>
      <c r="V12" s="30">
        <v>0.24894982971161447</v>
      </c>
      <c r="W12" s="30">
        <v>0.5852514699045166</v>
      </c>
      <c r="X12" s="30">
        <v>0.50257961916255722</v>
      </c>
      <c r="Y12" s="30">
        <v>0.34076106901105346</v>
      </c>
      <c r="Z12" s="30">
        <v>0.6419559038216478</v>
      </c>
    </row>
    <row r="13" spans="1:29" x14ac:dyDescent="0.25">
      <c r="A13" s="32" t="s">
        <v>58</v>
      </c>
      <c r="B13" s="30">
        <v>41141</v>
      </c>
      <c r="C13" s="30">
        <v>44173</v>
      </c>
      <c r="D13" s="30">
        <v>38431</v>
      </c>
      <c r="E13" s="30">
        <v>43357</v>
      </c>
      <c r="F13" s="30">
        <v>86348</v>
      </c>
      <c r="G13" s="30">
        <v>246961071</v>
      </c>
      <c r="H13" s="30">
        <v>347528998</v>
      </c>
      <c r="I13" s="30">
        <v>420493198</v>
      </c>
      <c r="J13" s="30">
        <v>470536020</v>
      </c>
      <c r="K13" s="30">
        <v>313364827</v>
      </c>
      <c r="L13" s="30">
        <v>1.6658900867821391E-4</v>
      </c>
      <c r="M13" s="30">
        <v>1.2710594009194019E-4</v>
      </c>
      <c r="N13" s="30">
        <v>9.1395057477243669E-5</v>
      </c>
      <c r="O13" s="30">
        <v>9.2143849051131094E-5</v>
      </c>
      <c r="P13" s="30">
        <v>2.7555102730147821E-4</v>
      </c>
      <c r="Q13" s="30">
        <v>2.0534578390947718</v>
      </c>
      <c r="R13" s="30">
        <v>1.9700614506720568</v>
      </c>
      <c r="S13" s="30">
        <v>2.0503073598233912</v>
      </c>
      <c r="T13" s="30">
        <v>1.6651379759690947</v>
      </c>
      <c r="U13" s="30">
        <v>4.3400343033084896</v>
      </c>
      <c r="V13" s="30">
        <v>0.34500487467253843</v>
      </c>
      <c r="W13" s="30">
        <v>0.32661325928207785</v>
      </c>
      <c r="X13" s="30">
        <v>0.34432836954640617</v>
      </c>
      <c r="Y13" s="30">
        <v>0.24956980913051527</v>
      </c>
      <c r="Z13" s="30">
        <v>0.62547057071133916</v>
      </c>
    </row>
    <row r="14" spans="1:29" x14ac:dyDescent="0.25">
      <c r="A14" s="32" t="s">
        <v>188</v>
      </c>
      <c r="B14" s="30">
        <v>510</v>
      </c>
      <c r="C14" s="30">
        <v>447</v>
      </c>
      <c r="D14" s="30">
        <v>390</v>
      </c>
      <c r="E14" s="30">
        <v>723</v>
      </c>
      <c r="F14" s="30">
        <v>411</v>
      </c>
      <c r="G14" s="30">
        <v>1065045</v>
      </c>
      <c r="H14" s="30">
        <v>1200014</v>
      </c>
      <c r="I14" s="30">
        <v>1407302</v>
      </c>
      <c r="J14" s="30">
        <v>1468137</v>
      </c>
      <c r="K14" s="30">
        <v>1507925</v>
      </c>
      <c r="L14" s="30">
        <v>4.7885300621100518E-4</v>
      </c>
      <c r="M14" s="30">
        <v>3.7249565421736748E-4</v>
      </c>
      <c r="N14" s="30">
        <v>2.7712601843811778E-4</v>
      </c>
      <c r="O14" s="30">
        <v>4.9246085344896288E-4</v>
      </c>
      <c r="P14" s="30">
        <v>2.7255997479980768E-4</v>
      </c>
      <c r="Q14" s="30">
        <v>5.9025770498307795</v>
      </c>
      <c r="R14" s="30">
        <v>5.7734463738334503</v>
      </c>
      <c r="S14" s="30">
        <v>6.216895430518214</v>
      </c>
      <c r="T14" s="30">
        <v>8.89929471364918</v>
      </c>
      <c r="U14" s="30">
        <v>4.2929240798868076</v>
      </c>
      <c r="V14" s="30">
        <v>0.71025314378069404</v>
      </c>
      <c r="W14" s="30">
        <v>0.7047293372357365</v>
      </c>
      <c r="X14" s="30">
        <v>0.7228725261083091</v>
      </c>
      <c r="Y14" s="30">
        <v>0.79796540482400291</v>
      </c>
      <c r="Z14" s="30">
        <v>0.62213703242031548</v>
      </c>
    </row>
    <row r="15" spans="1:29" x14ac:dyDescent="0.25">
      <c r="A15" s="32" t="s">
        <v>12</v>
      </c>
      <c r="B15" s="30">
        <v>150183</v>
      </c>
      <c r="C15" s="30">
        <v>148505</v>
      </c>
      <c r="D15" s="30">
        <v>102595</v>
      </c>
      <c r="E15" s="30">
        <v>142882</v>
      </c>
      <c r="F15" s="30">
        <v>171890</v>
      </c>
      <c r="G15" s="30">
        <v>484088531</v>
      </c>
      <c r="H15" s="30">
        <v>623369107</v>
      </c>
      <c r="I15" s="30">
        <v>710771872</v>
      </c>
      <c r="J15" s="30">
        <v>664131324</v>
      </c>
      <c r="K15" s="30">
        <v>636885898</v>
      </c>
      <c r="L15" s="30">
        <v>3.102387071425991E-4</v>
      </c>
      <c r="M15" s="30">
        <v>2.3822964329222045E-4</v>
      </c>
      <c r="N15" s="30">
        <v>1.4434307833723618E-4</v>
      </c>
      <c r="O15" s="30">
        <v>2.1514118493829693E-4</v>
      </c>
      <c r="P15" s="30">
        <v>2.698913581534506E-4</v>
      </c>
      <c r="Q15" s="30">
        <v>3.8241544879059637</v>
      </c>
      <c r="R15" s="30">
        <v>3.6924083667362653</v>
      </c>
      <c r="S15" s="30">
        <v>3.2381146642211727</v>
      </c>
      <c r="T15" s="30">
        <v>3.8878314822398981</v>
      </c>
      <c r="U15" s="30">
        <v>4.2508923447813594</v>
      </c>
      <c r="V15" s="30">
        <v>0.58541957870255801</v>
      </c>
      <c r="W15" s="30">
        <v>0.57377963644901819</v>
      </c>
      <c r="X15" s="30">
        <v>0.5280920507214415</v>
      </c>
      <c r="Y15" s="30">
        <v>0.59082059042602675</v>
      </c>
      <c r="Z15" s="30">
        <v>0.61911235868552594</v>
      </c>
    </row>
    <row r="16" spans="1:29" x14ac:dyDescent="0.25">
      <c r="A16" s="32" t="s">
        <v>125</v>
      </c>
      <c r="B16" s="30">
        <v>6916</v>
      </c>
      <c r="C16" s="30">
        <v>4783</v>
      </c>
      <c r="D16" s="30">
        <v>5272</v>
      </c>
      <c r="E16" s="30">
        <v>8118</v>
      </c>
      <c r="F16" s="30">
        <v>7456</v>
      </c>
      <c r="G16" s="30">
        <v>25834886</v>
      </c>
      <c r="H16" s="30">
        <v>27985403</v>
      </c>
      <c r="I16" s="30">
        <v>33479012</v>
      </c>
      <c r="J16" s="30">
        <v>31431141</v>
      </c>
      <c r="K16" s="30">
        <v>31124259</v>
      </c>
      <c r="L16" s="30">
        <v>2.6770003939634182E-4</v>
      </c>
      <c r="M16" s="30">
        <v>1.7091052789198712E-4</v>
      </c>
      <c r="N16" s="30">
        <v>1.5747179158094628E-4</v>
      </c>
      <c r="O16" s="30">
        <v>2.5827888335329602E-4</v>
      </c>
      <c r="P16" s="30">
        <v>2.3955590396545665E-4</v>
      </c>
      <c r="Q16" s="30">
        <v>3.2998020024612051</v>
      </c>
      <c r="R16" s="30">
        <v>2.6490047771997531</v>
      </c>
      <c r="S16" s="30">
        <v>3.5326371267218599</v>
      </c>
      <c r="T16" s="30">
        <v>4.6673758638389113</v>
      </c>
      <c r="U16" s="30">
        <v>3.7730973132342909</v>
      </c>
      <c r="V16" s="30">
        <v>0.53486230322810202</v>
      </c>
      <c r="W16" s="30">
        <v>0.45190534896071022</v>
      </c>
      <c r="X16" s="30">
        <v>0.558755765333798</v>
      </c>
      <c r="Y16" s="30">
        <v>0.64710298945211309</v>
      </c>
      <c r="Z16" s="30">
        <v>0.58098486815790829</v>
      </c>
    </row>
    <row r="17" spans="1:26" x14ac:dyDescent="0.25">
      <c r="A17" s="32" t="s">
        <v>109</v>
      </c>
      <c r="B17" s="30">
        <v>13464</v>
      </c>
      <c r="C17" s="30">
        <v>15080</v>
      </c>
      <c r="D17" s="30">
        <v>16984</v>
      </c>
      <c r="E17" s="30">
        <v>15424</v>
      </c>
      <c r="F17" s="30">
        <v>1779</v>
      </c>
      <c r="G17" s="30">
        <v>11257790</v>
      </c>
      <c r="H17" s="30">
        <v>12862943</v>
      </c>
      <c r="I17" s="30">
        <v>13089406</v>
      </c>
      <c r="J17" s="30">
        <v>12218107</v>
      </c>
      <c r="K17" s="30">
        <v>8587654</v>
      </c>
      <c r="L17" s="30">
        <v>1.1959718559326476E-3</v>
      </c>
      <c r="M17" s="30">
        <v>1.172360011235376E-3</v>
      </c>
      <c r="N17" s="30">
        <v>1.2975378714664362E-3</v>
      </c>
      <c r="O17" s="30">
        <v>1.2623886826330789E-3</v>
      </c>
      <c r="P17" s="30">
        <v>2.0715785708180605E-4</v>
      </c>
      <c r="Q17" s="30">
        <v>14.742135765063782</v>
      </c>
      <c r="R17" s="30">
        <v>18.170836569664985</v>
      </c>
      <c r="S17" s="30">
        <v>29.108263848727365</v>
      </c>
      <c r="T17" s="30">
        <v>22.812714657920331</v>
      </c>
      <c r="U17" s="30">
        <v>3.2628156561044066</v>
      </c>
      <c r="V17" s="30">
        <v>0.87295243607042439</v>
      </c>
      <c r="W17" s="30">
        <v>0.89567487090444953</v>
      </c>
      <c r="X17" s="30">
        <v>0.9335730545590879</v>
      </c>
      <c r="Y17" s="30">
        <v>0.91601125580468912</v>
      </c>
      <c r="Z17" s="30">
        <v>0.53082653313052042</v>
      </c>
    </row>
    <row r="18" spans="1:26" x14ac:dyDescent="0.25">
      <c r="A18" s="32" t="s">
        <v>29</v>
      </c>
      <c r="B18" s="30">
        <v>60942</v>
      </c>
      <c r="C18" s="30">
        <v>46519</v>
      </c>
      <c r="D18" s="30">
        <v>32943</v>
      </c>
      <c r="E18" s="30">
        <v>57369</v>
      </c>
      <c r="F18" s="30">
        <v>60581</v>
      </c>
      <c r="G18" s="30">
        <v>189559672</v>
      </c>
      <c r="H18" s="30">
        <v>238321107</v>
      </c>
      <c r="I18" s="30">
        <v>295092902</v>
      </c>
      <c r="J18" s="30">
        <v>265972626</v>
      </c>
      <c r="K18" s="30">
        <v>300081375</v>
      </c>
      <c r="L18" s="30">
        <v>3.2149243220889302E-4</v>
      </c>
      <c r="M18" s="30">
        <v>1.9519462873256963E-4</v>
      </c>
      <c r="N18" s="30">
        <v>1.1163602979511856E-4</v>
      </c>
      <c r="O18" s="30">
        <v>2.1569512946794758E-4</v>
      </c>
      <c r="P18" s="30">
        <v>2.0188190619961003E-4</v>
      </c>
      <c r="Q18" s="30">
        <v>3.9628734234453207</v>
      </c>
      <c r="R18" s="30">
        <v>3.0253929373098098</v>
      </c>
      <c r="S18" s="30">
        <v>2.5043824012845066</v>
      </c>
      <c r="T18" s="30">
        <v>3.8978418527898606</v>
      </c>
      <c r="U18" s="30">
        <v>3.1797174073497425</v>
      </c>
      <c r="V18" s="30">
        <v>0.59700765476876461</v>
      </c>
      <c r="W18" s="30">
        <v>0.50315409423443513</v>
      </c>
      <c r="X18" s="30">
        <v>0.42928602789840681</v>
      </c>
      <c r="Y18" s="30">
        <v>0.59165688478471812</v>
      </c>
      <c r="Z18" s="30">
        <v>0.52149875097222143</v>
      </c>
    </row>
    <row r="19" spans="1:26" x14ac:dyDescent="0.25">
      <c r="A19" s="32" t="s">
        <v>146</v>
      </c>
      <c r="B19" s="30">
        <v>8426</v>
      </c>
      <c r="C19" s="30">
        <v>7886</v>
      </c>
      <c r="D19" s="30">
        <v>7807</v>
      </c>
      <c r="E19" s="30">
        <v>9021</v>
      </c>
      <c r="F19" s="30">
        <v>5540</v>
      </c>
      <c r="G19" s="30">
        <v>28507456</v>
      </c>
      <c r="H19" s="30">
        <v>30994759</v>
      </c>
      <c r="I19" s="30">
        <v>38573002</v>
      </c>
      <c r="J19" s="30">
        <v>38775377</v>
      </c>
      <c r="K19" s="30">
        <v>28248929</v>
      </c>
      <c r="L19" s="30">
        <v>2.9557179707652621E-4</v>
      </c>
      <c r="M19" s="30">
        <v>2.5443011187794684E-4</v>
      </c>
      <c r="N19" s="30">
        <v>2.0239544746867251E-4</v>
      </c>
      <c r="O19" s="30">
        <v>2.3264764131113413E-4</v>
      </c>
      <c r="P19" s="30">
        <v>1.9611362965300385E-4</v>
      </c>
      <c r="Q19" s="30">
        <v>3.6433629597646826</v>
      </c>
      <c r="R19" s="30">
        <v>3.9435053541821494</v>
      </c>
      <c r="S19" s="30">
        <v>4.5404301610411633</v>
      </c>
      <c r="T19" s="30">
        <v>4.2041918864474708</v>
      </c>
      <c r="U19" s="30">
        <v>3.08886484066397</v>
      </c>
      <c r="V19" s="30">
        <v>0.56927769434992515</v>
      </c>
      <c r="W19" s="30">
        <v>0.59542877842581421</v>
      </c>
      <c r="X19" s="30">
        <v>0.63901719868910722</v>
      </c>
      <c r="Y19" s="30">
        <v>0.61569441641682876</v>
      </c>
      <c r="Z19" s="30">
        <v>0.5108666884486136</v>
      </c>
    </row>
    <row r="20" spans="1:26" x14ac:dyDescent="0.25">
      <c r="A20" s="32" t="s">
        <v>225</v>
      </c>
      <c r="B20" s="30">
        <v>32</v>
      </c>
      <c r="C20" s="30">
        <v>37</v>
      </c>
      <c r="D20" s="30">
        <v>35</v>
      </c>
      <c r="E20" s="30">
        <v>28</v>
      </c>
      <c r="F20" s="30">
        <v>45</v>
      </c>
      <c r="G20" s="30">
        <v>217833</v>
      </c>
      <c r="H20" s="30">
        <v>270970</v>
      </c>
      <c r="I20" s="30">
        <v>273574</v>
      </c>
      <c r="J20" s="30">
        <v>326484</v>
      </c>
      <c r="K20" s="30">
        <v>236221</v>
      </c>
      <c r="L20" s="30">
        <v>1.4690152548052867E-4</v>
      </c>
      <c r="M20" s="30">
        <v>1.3654648116027604E-4</v>
      </c>
      <c r="N20" s="30">
        <v>1.2793613428176655E-4</v>
      </c>
      <c r="O20" s="30">
        <v>8.5762242560125451E-5</v>
      </c>
      <c r="P20" s="30">
        <v>1.9049957455095017E-4</v>
      </c>
      <c r="Q20" s="30">
        <v>1.8107802637547106</v>
      </c>
      <c r="R20" s="30">
        <v>2.1163838492850715</v>
      </c>
      <c r="S20" s="30">
        <v>2.8700501421597271</v>
      </c>
      <c r="T20" s="30">
        <v>1.549815516300975</v>
      </c>
      <c r="U20" s="30">
        <v>3.0004413208455545</v>
      </c>
      <c r="V20" s="30">
        <v>0.28845380558907507</v>
      </c>
      <c r="W20" s="30">
        <v>0.35823053361708979</v>
      </c>
      <c r="X20" s="30">
        <v>0.48321083021320327</v>
      </c>
      <c r="Y20" s="30">
        <v>0.21562952801330271</v>
      </c>
      <c r="Z20" s="30">
        <v>0.50005515901998787</v>
      </c>
    </row>
    <row r="21" spans="1:26" x14ac:dyDescent="0.25">
      <c r="A21" s="32" t="s">
        <v>159</v>
      </c>
      <c r="B21" s="30">
        <v>1626</v>
      </c>
      <c r="C21" s="30">
        <v>1932</v>
      </c>
      <c r="D21" s="30">
        <v>1865</v>
      </c>
      <c r="E21" s="30">
        <v>2379</v>
      </c>
      <c r="F21" s="30">
        <v>1315</v>
      </c>
      <c r="G21" s="30">
        <v>5321313</v>
      </c>
      <c r="H21" s="30">
        <v>7237001</v>
      </c>
      <c r="I21" s="30">
        <v>9188938</v>
      </c>
      <c r="J21" s="30">
        <v>7488773</v>
      </c>
      <c r="K21" s="30">
        <v>7294537</v>
      </c>
      <c r="L21" s="30">
        <v>3.0556368324885231E-4</v>
      </c>
      <c r="M21" s="30">
        <v>2.6696141122545101E-4</v>
      </c>
      <c r="N21" s="30">
        <v>2.0296143036333469E-4</v>
      </c>
      <c r="O21" s="30">
        <v>3.1767553910366894E-4</v>
      </c>
      <c r="P21" s="30">
        <v>1.8027189388442337E-4</v>
      </c>
      <c r="Q21" s="30">
        <v>3.7665278501179138</v>
      </c>
      <c r="R21" s="30">
        <v>4.1377325457161769</v>
      </c>
      <c r="S21" s="30">
        <v>4.553127115630299</v>
      </c>
      <c r="T21" s="30">
        <v>5.7407370068125125</v>
      </c>
      <c r="U21" s="30">
        <v>2.8393514299069653</v>
      </c>
      <c r="V21" s="30">
        <v>0.58040736089467637</v>
      </c>
      <c r="W21" s="30">
        <v>0.61072321647657724</v>
      </c>
      <c r="X21" s="30">
        <v>0.63984256827641639</v>
      </c>
      <c r="Y21" s="30">
        <v>0.70329653894244737</v>
      </c>
      <c r="Z21" s="30">
        <v>0.47907868385768904</v>
      </c>
    </row>
    <row r="22" spans="1:26" x14ac:dyDescent="0.25">
      <c r="A22" s="32" t="s">
        <v>33</v>
      </c>
      <c r="B22" s="30">
        <v>45497</v>
      </c>
      <c r="C22" s="30">
        <v>38482</v>
      </c>
      <c r="D22" s="30">
        <v>32149</v>
      </c>
      <c r="E22" s="30">
        <v>39359</v>
      </c>
      <c r="F22" s="30">
        <v>39190</v>
      </c>
      <c r="G22" s="30">
        <v>131328602</v>
      </c>
      <c r="H22" s="30">
        <v>152849564</v>
      </c>
      <c r="I22" s="30">
        <v>189877037</v>
      </c>
      <c r="J22" s="30">
        <v>211114487</v>
      </c>
      <c r="K22" s="30">
        <v>232028140</v>
      </c>
      <c r="L22" s="30">
        <v>3.4643633836900208E-4</v>
      </c>
      <c r="M22" s="30">
        <v>2.5176388465197061E-4</v>
      </c>
      <c r="N22" s="30">
        <v>1.6931483926621417E-4</v>
      </c>
      <c r="O22" s="30">
        <v>1.8643438713895555E-4</v>
      </c>
      <c r="P22" s="30">
        <v>1.6890192715418053E-4</v>
      </c>
      <c r="Q22" s="30">
        <v>4.2703442466918897</v>
      </c>
      <c r="R22" s="30">
        <v>3.9021805233140667</v>
      </c>
      <c r="S22" s="30">
        <v>3.7983176624323391</v>
      </c>
      <c r="T22" s="30">
        <v>3.3690689204803554</v>
      </c>
      <c r="U22" s="30">
        <v>2.6602700956075251</v>
      </c>
      <c r="V22" s="30">
        <v>0.62051814712950337</v>
      </c>
      <c r="W22" s="30">
        <v>0.59201828849666238</v>
      </c>
      <c r="X22" s="30">
        <v>0.58318724588438986</v>
      </c>
      <c r="Y22" s="30">
        <v>0.5422365642654795</v>
      </c>
      <c r="Z22" s="30">
        <v>0.4535922356112238</v>
      </c>
    </row>
    <row r="23" spans="1:26" x14ac:dyDescent="0.25">
      <c r="A23" s="32" t="s">
        <v>131</v>
      </c>
      <c r="B23" s="30">
        <v>49</v>
      </c>
      <c r="C23" s="30">
        <v>186</v>
      </c>
      <c r="D23" s="30">
        <v>412</v>
      </c>
      <c r="E23" s="30">
        <v>553</v>
      </c>
      <c r="F23" s="30">
        <v>4682</v>
      </c>
      <c r="G23" s="30">
        <v>3684109</v>
      </c>
      <c r="H23" s="30">
        <v>5570126</v>
      </c>
      <c r="I23" s="30">
        <v>9802959</v>
      </c>
      <c r="J23" s="30">
        <v>12350402</v>
      </c>
      <c r="K23" s="30">
        <v>28576029</v>
      </c>
      <c r="L23" s="30">
        <v>1.3300366520100247E-5</v>
      </c>
      <c r="M23" s="30">
        <v>3.3392422361720361E-5</v>
      </c>
      <c r="N23" s="30">
        <v>4.2028126405506747E-5</v>
      </c>
      <c r="O23" s="30">
        <v>4.4775870453447586E-5</v>
      </c>
      <c r="P23" s="30">
        <v>1.6384361871973183E-4</v>
      </c>
      <c r="Q23" s="30">
        <v>0.16394684205300311</v>
      </c>
      <c r="R23" s="30">
        <v>0.51756136646171025</v>
      </c>
      <c r="S23" s="30">
        <v>0.94283628970038991</v>
      </c>
      <c r="T23" s="30">
        <v>0.80914790370581857</v>
      </c>
      <c r="U23" s="30">
        <v>2.5805997988308662</v>
      </c>
      <c r="V23" s="30">
        <v>-0.71829152993992595</v>
      </c>
      <c r="W23" s="30">
        <v>-0.31790387143494947</v>
      </c>
      <c r="X23" s="30">
        <v>-2.9422813750522164E-2</v>
      </c>
      <c r="Y23" s="30">
        <v>-0.10549281012527734</v>
      </c>
      <c r="Z23" s="30">
        <v>0.44143436508792799</v>
      </c>
    </row>
    <row r="24" spans="1:26" x14ac:dyDescent="0.25">
      <c r="A24" s="32" t="s">
        <v>236</v>
      </c>
      <c r="B24" s="30"/>
      <c r="C24" s="30"/>
      <c r="D24" s="30"/>
      <c r="E24" s="30">
        <v>5</v>
      </c>
      <c r="F24" s="30">
        <v>19</v>
      </c>
      <c r="G24" s="30">
        <v>14400</v>
      </c>
      <c r="H24" s="30">
        <v>41081</v>
      </c>
      <c r="I24" s="30">
        <v>55449</v>
      </c>
      <c r="J24" s="30">
        <v>122129</v>
      </c>
      <c r="K24" s="30">
        <v>119629</v>
      </c>
      <c r="L24" s="30">
        <v>0</v>
      </c>
      <c r="M24" s="30">
        <v>0</v>
      </c>
      <c r="N24" s="30">
        <v>0</v>
      </c>
      <c r="O24" s="30">
        <v>4.0940317205577707E-5</v>
      </c>
      <c r="P24" s="30">
        <v>1.5882436532947697E-4</v>
      </c>
      <c r="Q24" s="30">
        <v>0</v>
      </c>
      <c r="R24" s="30">
        <v>0</v>
      </c>
      <c r="S24" s="30">
        <v>0</v>
      </c>
      <c r="T24" s="30">
        <v>0.73983535123868949</v>
      </c>
      <c r="U24" s="30">
        <v>2.501544633970711</v>
      </c>
      <c r="V24" s="30">
        <v>-1</v>
      </c>
      <c r="W24" s="30">
        <v>-1</v>
      </c>
      <c r="X24" s="30">
        <v>-1</v>
      </c>
      <c r="Y24" s="30">
        <v>-0.14953406285030607</v>
      </c>
      <c r="Z24" s="30">
        <v>0.42882350246324774</v>
      </c>
    </row>
    <row r="25" spans="1:26" x14ac:dyDescent="0.25">
      <c r="A25" s="32" t="s">
        <v>26</v>
      </c>
      <c r="B25" s="30">
        <v>1380</v>
      </c>
      <c r="C25" s="30">
        <v>1471</v>
      </c>
      <c r="D25" s="30">
        <v>629</v>
      </c>
      <c r="E25" s="30">
        <v>884</v>
      </c>
      <c r="F25" s="30">
        <v>1612</v>
      </c>
      <c r="G25" s="30">
        <v>9745446</v>
      </c>
      <c r="H25" s="30">
        <v>15792669</v>
      </c>
      <c r="I25" s="30">
        <v>13716419</v>
      </c>
      <c r="J25" s="30">
        <v>10354328</v>
      </c>
      <c r="K25" s="30">
        <v>10356044</v>
      </c>
      <c r="L25" s="30">
        <v>1.4160460178015455E-4</v>
      </c>
      <c r="M25" s="30">
        <v>9.3144483684170164E-5</v>
      </c>
      <c r="N25" s="30">
        <v>4.5857450111432147E-5</v>
      </c>
      <c r="O25" s="30">
        <v>8.5374927276787066E-5</v>
      </c>
      <c r="P25" s="30">
        <v>1.5565789407615495E-4</v>
      </c>
      <c r="Q25" s="30">
        <v>1.7454877838851031</v>
      </c>
      <c r="R25" s="30">
        <v>1.4436804174234796</v>
      </c>
      <c r="S25" s="30">
        <v>1.0287412696207747</v>
      </c>
      <c r="T25" s="30">
        <v>1.5428163145788709</v>
      </c>
      <c r="U25" s="30">
        <v>2.4516714979695808</v>
      </c>
      <c r="V25" s="30">
        <v>0.27153199816106016</v>
      </c>
      <c r="W25" s="30">
        <v>0.18156237381125262</v>
      </c>
      <c r="X25" s="30">
        <v>1.4167045374961601E-2</v>
      </c>
      <c r="Y25" s="30">
        <v>0.21347051749932225</v>
      </c>
      <c r="Z25" s="30">
        <v>0.42057058408470083</v>
      </c>
    </row>
    <row r="26" spans="1:26" x14ac:dyDescent="0.25">
      <c r="A26" s="32" t="s">
        <v>112</v>
      </c>
      <c r="B26" s="30">
        <v>332</v>
      </c>
      <c r="C26" s="30">
        <v>139</v>
      </c>
      <c r="D26" s="30">
        <v>210</v>
      </c>
      <c r="E26" s="30">
        <v>195</v>
      </c>
      <c r="F26" s="30">
        <v>254</v>
      </c>
      <c r="G26" s="30">
        <v>1480789</v>
      </c>
      <c r="H26" s="30">
        <v>1832506</v>
      </c>
      <c r="I26" s="30">
        <v>1881396</v>
      </c>
      <c r="J26" s="30">
        <v>1734885</v>
      </c>
      <c r="K26" s="30">
        <v>1673439</v>
      </c>
      <c r="L26" s="30">
        <v>2.2420479892813899E-4</v>
      </c>
      <c r="M26" s="30">
        <v>7.5852411942989545E-5</v>
      </c>
      <c r="N26" s="30">
        <v>1.1161924443338883E-4</v>
      </c>
      <c r="O26" s="30">
        <v>1.1239938093879421E-4</v>
      </c>
      <c r="P26" s="30">
        <v>1.5178324396646666E-4</v>
      </c>
      <c r="Q26" s="30">
        <v>2.7636583324111186</v>
      </c>
      <c r="R26" s="30">
        <v>1.1756642734500813</v>
      </c>
      <c r="S26" s="30">
        <v>2.504005847544712</v>
      </c>
      <c r="T26" s="30">
        <v>2.0311771171263611</v>
      </c>
      <c r="U26" s="30">
        <v>2.3906442735239</v>
      </c>
      <c r="V26" s="30">
        <v>0.46860213564637343</v>
      </c>
      <c r="W26" s="30">
        <v>8.0740523983288973E-2</v>
      </c>
      <c r="X26" s="30">
        <v>0.42922469681338637</v>
      </c>
      <c r="Y26" s="30">
        <v>0.34019032121222437</v>
      </c>
      <c r="Z26" s="30">
        <v>0.41014160181380571</v>
      </c>
    </row>
    <row r="27" spans="1:26" x14ac:dyDescent="0.25">
      <c r="A27" s="32" t="s">
        <v>184</v>
      </c>
      <c r="B27" s="30">
        <v>80</v>
      </c>
      <c r="C27" s="30">
        <v>74</v>
      </c>
      <c r="D27" s="30">
        <v>38</v>
      </c>
      <c r="E27" s="30">
        <v>93</v>
      </c>
      <c r="F27" s="30">
        <v>262</v>
      </c>
      <c r="G27" s="30">
        <v>2160324</v>
      </c>
      <c r="H27" s="30">
        <v>2265708</v>
      </c>
      <c r="I27" s="30">
        <v>2836706</v>
      </c>
      <c r="J27" s="30">
        <v>2720816</v>
      </c>
      <c r="K27" s="30">
        <v>1748506</v>
      </c>
      <c r="L27" s="30">
        <v>3.7031482314689833E-5</v>
      </c>
      <c r="M27" s="30">
        <v>3.2660872451348541E-5</v>
      </c>
      <c r="N27" s="30">
        <v>1.3395818953391716E-5</v>
      </c>
      <c r="O27" s="30">
        <v>3.4180922193930054E-5</v>
      </c>
      <c r="P27" s="30">
        <v>1.4984220814798463E-4</v>
      </c>
      <c r="Q27" s="30">
        <v>0.45646821633523471</v>
      </c>
      <c r="R27" s="30">
        <v>0.50622280685840881</v>
      </c>
      <c r="S27" s="30">
        <v>0.30051456773621837</v>
      </c>
      <c r="T27" s="30">
        <v>0.61768584864709575</v>
      </c>
      <c r="U27" s="30">
        <v>2.3600722153513654</v>
      </c>
      <c r="V27" s="30">
        <v>-0.37318478877101757</v>
      </c>
      <c r="W27" s="30">
        <v>-0.32782480181101675</v>
      </c>
      <c r="X27" s="30">
        <v>-0.53785282350305608</v>
      </c>
      <c r="Y27" s="30">
        <v>-0.23633399010855013</v>
      </c>
      <c r="Z27" s="30">
        <v>0.40477469773938818</v>
      </c>
    </row>
    <row r="28" spans="1:26" x14ac:dyDescent="0.25">
      <c r="A28" s="32" t="s">
        <v>135</v>
      </c>
      <c r="B28" s="30">
        <v>4943</v>
      </c>
      <c r="C28" s="30">
        <v>2899</v>
      </c>
      <c r="D28" s="30">
        <v>1871</v>
      </c>
      <c r="E28" s="30">
        <v>3129</v>
      </c>
      <c r="F28" s="30">
        <v>2510</v>
      </c>
      <c r="G28" s="30">
        <v>32767433</v>
      </c>
      <c r="H28" s="30">
        <v>41810690</v>
      </c>
      <c r="I28" s="30">
        <v>12670093</v>
      </c>
      <c r="J28" s="30">
        <v>18041351</v>
      </c>
      <c r="K28" s="30">
        <v>16777544</v>
      </c>
      <c r="L28" s="30">
        <v>1.5085099891712603E-4</v>
      </c>
      <c r="M28" s="30">
        <v>6.9336334798588594E-5</v>
      </c>
      <c r="N28" s="30">
        <v>1.4767058142351442E-4</v>
      </c>
      <c r="O28" s="30">
        <v>1.7343490517977283E-4</v>
      </c>
      <c r="P28" s="30">
        <v>1.4960473356529419E-4</v>
      </c>
      <c r="Q28" s="30">
        <v>1.8594634106983541</v>
      </c>
      <c r="R28" s="30">
        <v>1.0746692107291411</v>
      </c>
      <c r="S28" s="30">
        <v>3.3127620713780646</v>
      </c>
      <c r="T28" s="30">
        <v>3.1341543678426764</v>
      </c>
      <c r="U28" s="30">
        <v>2.3563318996460176</v>
      </c>
      <c r="V28" s="30">
        <v>0.3005680742347569</v>
      </c>
      <c r="W28" s="30">
        <v>3.5990899340959843E-2</v>
      </c>
      <c r="X28" s="30">
        <v>0.53626006561476358</v>
      </c>
      <c r="Y28" s="30">
        <v>0.51622512803176757</v>
      </c>
      <c r="Z28" s="30">
        <v>0.40411137521562335</v>
      </c>
    </row>
    <row r="29" spans="1:26" x14ac:dyDescent="0.25">
      <c r="A29" s="32" t="s">
        <v>130</v>
      </c>
      <c r="B29" s="30">
        <v>11395</v>
      </c>
      <c r="C29" s="30">
        <v>6904</v>
      </c>
      <c r="D29" s="30">
        <v>8210</v>
      </c>
      <c r="E29" s="30">
        <v>7381</v>
      </c>
      <c r="F29" s="30">
        <v>3637</v>
      </c>
      <c r="G29" s="30">
        <v>27735027</v>
      </c>
      <c r="H29" s="30">
        <v>31888107</v>
      </c>
      <c r="I29" s="30">
        <v>35033785</v>
      </c>
      <c r="J29" s="30">
        <v>37493120</v>
      </c>
      <c r="K29" s="30">
        <v>24490601</v>
      </c>
      <c r="L29" s="30">
        <v>4.1085231321390096E-4</v>
      </c>
      <c r="M29" s="30">
        <v>2.165070507321115E-4</v>
      </c>
      <c r="N29" s="30">
        <v>2.3434521847981882E-4</v>
      </c>
      <c r="O29" s="30">
        <v>1.9686278442551593E-4</v>
      </c>
      <c r="P29" s="30">
        <v>1.4850595132393852E-4</v>
      </c>
      <c r="Q29" s="30">
        <v>5.0643671510702619</v>
      </c>
      <c r="R29" s="30">
        <v>3.35572196026013</v>
      </c>
      <c r="S29" s="30">
        <v>5.2571740688300039</v>
      </c>
      <c r="T29" s="30">
        <v>3.5575212211945244</v>
      </c>
      <c r="U29" s="30">
        <v>2.3390256581630839</v>
      </c>
      <c r="V29" s="30">
        <v>0.670204664365179</v>
      </c>
      <c r="W29" s="30">
        <v>0.5408338690469221</v>
      </c>
      <c r="X29" s="30">
        <v>0.68036689118767479</v>
      </c>
      <c r="Y29" s="30">
        <v>0.56116496162451202</v>
      </c>
      <c r="Z29" s="30">
        <v>0.40102287171393863</v>
      </c>
    </row>
    <row r="30" spans="1:26" x14ac:dyDescent="0.25">
      <c r="A30" s="32" t="s">
        <v>210</v>
      </c>
      <c r="B30" s="30">
        <v>22</v>
      </c>
      <c r="C30" s="30">
        <v>130</v>
      </c>
      <c r="D30" s="30">
        <v>19</v>
      </c>
      <c r="E30" s="30">
        <v>15</v>
      </c>
      <c r="F30" s="30">
        <v>23</v>
      </c>
      <c r="G30" s="30">
        <v>108947</v>
      </c>
      <c r="H30" s="30">
        <v>173779</v>
      </c>
      <c r="I30" s="30">
        <v>206722</v>
      </c>
      <c r="J30" s="30">
        <v>175870</v>
      </c>
      <c r="K30" s="30">
        <v>164703</v>
      </c>
      <c r="L30" s="30">
        <v>2.0193305001514497E-4</v>
      </c>
      <c r="M30" s="30">
        <v>7.480765800240535E-4</v>
      </c>
      <c r="N30" s="30">
        <v>9.191087547527598E-5</v>
      </c>
      <c r="O30" s="30">
        <v>8.5290271223062487E-5</v>
      </c>
      <c r="P30" s="30">
        <v>1.3964530093562352E-4</v>
      </c>
      <c r="Q30" s="30">
        <v>2.489125830185364</v>
      </c>
      <c r="R30" s="30">
        <v>11.594712500375339</v>
      </c>
      <c r="S30" s="30">
        <v>2.0618789422140291</v>
      </c>
      <c r="T30" s="30">
        <v>1.5412864890788067</v>
      </c>
      <c r="U30" s="30">
        <v>2.1994670181118643</v>
      </c>
      <c r="V30" s="30">
        <v>0.42679052079536278</v>
      </c>
      <c r="W30" s="30">
        <v>0.84120320333311316</v>
      </c>
      <c r="X30" s="30">
        <v>0.34680631150171792</v>
      </c>
      <c r="Y30" s="30">
        <v>0.2129970357159606</v>
      </c>
      <c r="Z30" s="30">
        <v>0.3748958846338471</v>
      </c>
    </row>
    <row r="31" spans="1:26" x14ac:dyDescent="0.25">
      <c r="A31" s="32" t="s">
        <v>60</v>
      </c>
      <c r="B31" s="30">
        <v>106776</v>
      </c>
      <c r="C31" s="30">
        <v>121212</v>
      </c>
      <c r="D31" s="30">
        <v>112529</v>
      </c>
      <c r="E31" s="30">
        <v>106327</v>
      </c>
      <c r="F31" s="30">
        <v>101426</v>
      </c>
      <c r="G31" s="30">
        <v>634678167</v>
      </c>
      <c r="H31" s="30">
        <v>773720906</v>
      </c>
      <c r="I31" s="30">
        <v>905098532</v>
      </c>
      <c r="J31" s="30">
        <v>786365263</v>
      </c>
      <c r="K31" s="30">
        <v>743267456</v>
      </c>
      <c r="L31" s="30">
        <v>1.6823644730794719E-4</v>
      </c>
      <c r="M31" s="30">
        <v>1.5666114106525125E-4</v>
      </c>
      <c r="N31" s="30">
        <v>1.2432790024677668E-4</v>
      </c>
      <c r="O31" s="30">
        <v>1.352132463155357E-4</v>
      </c>
      <c r="P31" s="30">
        <v>1.3645962725966572E-4</v>
      </c>
      <c r="Q31" s="30">
        <v>2.0737649757750067</v>
      </c>
      <c r="R31" s="30">
        <v>2.4281483194861244</v>
      </c>
      <c r="S31" s="30">
        <v>2.7891049685134717</v>
      </c>
      <c r="T31" s="30">
        <v>2.4434480826726217</v>
      </c>
      <c r="U31" s="30">
        <v>2.1492914365936113</v>
      </c>
      <c r="V31" s="30">
        <v>0.34933216567876074</v>
      </c>
      <c r="W31" s="30">
        <v>0.41659467047219306</v>
      </c>
      <c r="X31" s="30">
        <v>0.47217086446020706</v>
      </c>
      <c r="Y31" s="30">
        <v>0.41918682902060594</v>
      </c>
      <c r="Z31" s="30">
        <v>0.36493651341354644</v>
      </c>
    </row>
    <row r="32" spans="1:26" x14ac:dyDescent="0.25">
      <c r="A32" s="32" t="s">
        <v>206</v>
      </c>
      <c r="B32" s="30">
        <v>15</v>
      </c>
      <c r="C32" s="30">
        <v>11</v>
      </c>
      <c r="D32" s="30">
        <v>4</v>
      </c>
      <c r="E32" s="30">
        <v>3</v>
      </c>
      <c r="F32" s="30">
        <v>8</v>
      </c>
      <c r="G32" s="30">
        <v>117912</v>
      </c>
      <c r="H32" s="30">
        <v>112147</v>
      </c>
      <c r="I32" s="30">
        <v>82595</v>
      </c>
      <c r="J32" s="30">
        <v>72184</v>
      </c>
      <c r="K32" s="30">
        <v>61313</v>
      </c>
      <c r="L32" s="30">
        <v>1.2721351516385102E-4</v>
      </c>
      <c r="M32" s="30">
        <v>9.808554843196875E-5</v>
      </c>
      <c r="N32" s="30">
        <v>4.8429081663538955E-5</v>
      </c>
      <c r="O32" s="30">
        <v>4.1560456610883302E-5</v>
      </c>
      <c r="P32" s="30">
        <v>1.3047803891507511E-4</v>
      </c>
      <c r="Q32" s="30">
        <v>1.5680961908873774</v>
      </c>
      <c r="R32" s="30">
        <v>1.520263786995913</v>
      </c>
      <c r="S32" s="30">
        <v>1.0864318630027141</v>
      </c>
      <c r="T32" s="30">
        <v>0.75104193404158759</v>
      </c>
      <c r="U32" s="30">
        <v>2.05507912732361</v>
      </c>
      <c r="V32" s="30">
        <v>0.22121297204645515</v>
      </c>
      <c r="W32" s="30">
        <v>0.20643227493898708</v>
      </c>
      <c r="X32" s="30">
        <v>4.1425682062928543E-2</v>
      </c>
      <c r="Y32" s="30">
        <v>-0.1421771010268105</v>
      </c>
      <c r="Z32" s="30">
        <v>0.34535247152433263</v>
      </c>
    </row>
    <row r="33" spans="1:26" x14ac:dyDescent="0.25">
      <c r="A33" s="32" t="s">
        <v>64</v>
      </c>
      <c r="B33" s="30">
        <v>5593</v>
      </c>
      <c r="C33" s="30">
        <v>6415</v>
      </c>
      <c r="D33" s="30">
        <v>4037</v>
      </c>
      <c r="E33" s="30">
        <v>5580</v>
      </c>
      <c r="F33" s="30">
        <v>5691</v>
      </c>
      <c r="G33" s="30">
        <v>37055600</v>
      </c>
      <c r="H33" s="30">
        <v>49589283</v>
      </c>
      <c r="I33" s="30">
        <v>54676139</v>
      </c>
      <c r="J33" s="30">
        <v>49958477</v>
      </c>
      <c r="K33" s="30">
        <v>46889500</v>
      </c>
      <c r="L33" s="30">
        <v>1.5093535120197757E-4</v>
      </c>
      <c r="M33" s="30">
        <v>1.2936262861473516E-4</v>
      </c>
      <c r="N33" s="30">
        <v>7.3834767301326817E-5</v>
      </c>
      <c r="O33" s="30">
        <v>1.1169275636645208E-4</v>
      </c>
      <c r="P33" s="30">
        <v>1.2137045607225498E-4</v>
      </c>
      <c r="Q33" s="30">
        <v>1.8605031783393786</v>
      </c>
      <c r="R33" s="30">
        <v>2.0050386914030298</v>
      </c>
      <c r="S33" s="30">
        <v>1.6563692937821144</v>
      </c>
      <c r="T33" s="30">
        <v>2.0184076547881111</v>
      </c>
      <c r="U33" s="30">
        <v>1.9116312064606011</v>
      </c>
      <c r="V33" s="30">
        <v>0.30082231156230727</v>
      </c>
      <c r="W33" s="30">
        <v>0.33445116506429567</v>
      </c>
      <c r="X33" s="30">
        <v>0.24709263705107123</v>
      </c>
      <c r="Y33" s="30">
        <v>0.33739897696476068</v>
      </c>
      <c r="Z33" s="30">
        <v>0.31309981993522668</v>
      </c>
    </row>
    <row r="34" spans="1:26" x14ac:dyDescent="0.25">
      <c r="A34" s="32" t="s">
        <v>150</v>
      </c>
      <c r="B34" s="30">
        <v>146</v>
      </c>
      <c r="C34" s="30">
        <v>47</v>
      </c>
      <c r="D34" s="30">
        <v>138</v>
      </c>
      <c r="E34" s="30">
        <v>332</v>
      </c>
      <c r="F34" s="30">
        <v>524</v>
      </c>
      <c r="G34" s="30">
        <v>5339900</v>
      </c>
      <c r="H34" s="30">
        <v>5765412</v>
      </c>
      <c r="I34" s="30">
        <v>6453532</v>
      </c>
      <c r="J34" s="30">
        <v>6416647</v>
      </c>
      <c r="K34" s="30">
        <v>4699356</v>
      </c>
      <c r="L34" s="30">
        <v>2.7341335980074533E-5</v>
      </c>
      <c r="M34" s="30">
        <v>8.1520626799958093E-6</v>
      </c>
      <c r="N34" s="30">
        <v>2.1383639222676823E-5</v>
      </c>
      <c r="O34" s="30">
        <v>5.1740418321282131E-5</v>
      </c>
      <c r="P34" s="30">
        <v>1.1150464021027562E-4</v>
      </c>
      <c r="Q34" s="30">
        <v>0.33702271923628047</v>
      </c>
      <c r="R34" s="30">
        <v>0.12635180084978931</v>
      </c>
      <c r="S34" s="30">
        <v>0.47970901368467161</v>
      </c>
      <c r="T34" s="30">
        <v>0.93500473798838346</v>
      </c>
      <c r="U34" s="30">
        <v>1.7562408249024564</v>
      </c>
      <c r="V34" s="30">
        <v>-0.49586089392887667</v>
      </c>
      <c r="W34" s="30">
        <v>-0.77564416241095957</v>
      </c>
      <c r="X34" s="30">
        <v>-0.35161709599898627</v>
      </c>
      <c r="Y34" s="30">
        <v>-3.3589200447739019E-2</v>
      </c>
      <c r="Z34" s="30">
        <v>0.27437400174537352</v>
      </c>
    </row>
    <row r="35" spans="1:26" x14ac:dyDescent="0.25">
      <c r="A35" s="32" t="s">
        <v>221</v>
      </c>
      <c r="B35" s="30">
        <v>6</v>
      </c>
      <c r="C35" s="30">
        <v>8</v>
      </c>
      <c r="D35" s="30">
        <v>9</v>
      </c>
      <c r="E35" s="30">
        <v>13</v>
      </c>
      <c r="F35" s="30">
        <v>32</v>
      </c>
      <c r="G35" s="30">
        <v>89130</v>
      </c>
      <c r="H35" s="30">
        <v>158318</v>
      </c>
      <c r="I35" s="30">
        <v>161064</v>
      </c>
      <c r="J35" s="30">
        <v>251496</v>
      </c>
      <c r="K35" s="30">
        <v>290919</v>
      </c>
      <c r="L35" s="30">
        <v>6.7317401548300232E-5</v>
      </c>
      <c r="M35" s="30">
        <v>5.0531209338167489E-5</v>
      </c>
      <c r="N35" s="30">
        <v>5.587840858292356E-5</v>
      </c>
      <c r="O35" s="30">
        <v>5.1690682953208006E-5</v>
      </c>
      <c r="P35" s="30">
        <v>1.0999625325262358E-4</v>
      </c>
      <c r="Q35" s="30">
        <v>0.82978731318259802</v>
      </c>
      <c r="R35" s="30">
        <v>0.78320169380719673</v>
      </c>
      <c r="S35" s="30">
        <v>1.253546039962969</v>
      </c>
      <c r="T35" s="30">
        <v>0.93410596665441126</v>
      </c>
      <c r="U35" s="30">
        <v>1.7324831521295272</v>
      </c>
      <c r="V35" s="30">
        <v>-9.3023208539656177E-2</v>
      </c>
      <c r="W35" s="30">
        <v>-0.12157811813756832</v>
      </c>
      <c r="X35" s="30">
        <v>0.1125098114113237</v>
      </c>
      <c r="Y35" s="30">
        <v>-3.4069505229628802E-2</v>
      </c>
      <c r="Z35" s="30">
        <v>0.26806502047731767</v>
      </c>
    </row>
    <row r="36" spans="1:26" x14ac:dyDescent="0.25">
      <c r="A36" s="32" t="s">
        <v>148</v>
      </c>
      <c r="B36" s="30">
        <v>1070</v>
      </c>
      <c r="C36" s="30">
        <v>801</v>
      </c>
      <c r="D36" s="30">
        <v>1116</v>
      </c>
      <c r="E36" s="30">
        <v>1519</v>
      </c>
      <c r="F36" s="30">
        <v>1931</v>
      </c>
      <c r="G36" s="30">
        <v>12487628</v>
      </c>
      <c r="H36" s="30">
        <v>18010707</v>
      </c>
      <c r="I36" s="30">
        <v>19948111</v>
      </c>
      <c r="J36" s="30">
        <v>23270982</v>
      </c>
      <c r="K36" s="30">
        <v>18339326</v>
      </c>
      <c r="L36" s="30">
        <v>8.5684807394967237E-5</v>
      </c>
      <c r="M36" s="30">
        <v>4.4473545652594315E-5</v>
      </c>
      <c r="N36" s="30">
        <v>5.594514688633926E-5</v>
      </c>
      <c r="O36" s="30">
        <v>6.5274426322017699E-5</v>
      </c>
      <c r="P36" s="30">
        <v>1.052928553644774E-4</v>
      </c>
      <c r="Q36" s="30">
        <v>1.0561929675467925</v>
      </c>
      <c r="R36" s="30">
        <v>0.68931174893560798</v>
      </c>
      <c r="S36" s="30">
        <v>1.2550432110185197</v>
      </c>
      <c r="T36" s="30">
        <v>1.179578748312057</v>
      </c>
      <c r="U36" s="30">
        <v>1.6584028325002722</v>
      </c>
      <c r="V36" s="30">
        <v>2.7328644944173371E-2</v>
      </c>
      <c r="W36" s="30">
        <v>-0.18391410067451949</v>
      </c>
      <c r="X36" s="30">
        <v>0.11309903498626356</v>
      </c>
      <c r="Y36" s="30">
        <v>8.2391493517327205E-2</v>
      </c>
      <c r="Z36" s="30">
        <v>0.24766857168935283</v>
      </c>
    </row>
    <row r="37" spans="1:26" x14ac:dyDescent="0.25">
      <c r="A37" s="32" t="s">
        <v>111</v>
      </c>
      <c r="B37" s="30">
        <v>1609</v>
      </c>
      <c r="C37" s="30">
        <v>1211</v>
      </c>
      <c r="D37" s="30">
        <v>1353</v>
      </c>
      <c r="E37" s="30">
        <v>1091</v>
      </c>
      <c r="F37" s="30">
        <v>1315</v>
      </c>
      <c r="G37" s="30">
        <v>11354653</v>
      </c>
      <c r="H37" s="30">
        <v>13856704</v>
      </c>
      <c r="I37" s="30">
        <v>19053292</v>
      </c>
      <c r="J37" s="30">
        <v>18122412</v>
      </c>
      <c r="K37" s="30">
        <v>12852475</v>
      </c>
      <c r="L37" s="30">
        <v>1.4170402213083922E-4</v>
      </c>
      <c r="M37" s="30">
        <v>8.7394520370789479E-5</v>
      </c>
      <c r="N37" s="30">
        <v>7.1011350689424171E-5</v>
      </c>
      <c r="O37" s="30">
        <v>6.0201699420584852E-5</v>
      </c>
      <c r="P37" s="30">
        <v>1.0231492377927208E-4</v>
      </c>
      <c r="Q37" s="30">
        <v>1.7467132878970355</v>
      </c>
      <c r="R37" s="30">
        <v>1.3545596331526888</v>
      </c>
      <c r="S37" s="30">
        <v>1.593030290349976</v>
      </c>
      <c r="T37" s="30">
        <v>1.0879091437505122</v>
      </c>
      <c r="U37" s="30">
        <v>1.611499268542383</v>
      </c>
      <c r="V37" s="30">
        <v>0.27185701951030394</v>
      </c>
      <c r="W37" s="30">
        <v>0.15058426559277394</v>
      </c>
      <c r="X37" s="30">
        <v>0.22870164400198192</v>
      </c>
      <c r="Y37" s="30">
        <v>4.2103912430117019E-2</v>
      </c>
      <c r="Z37" s="30">
        <v>0.23415640046634717</v>
      </c>
    </row>
    <row r="38" spans="1:26" x14ac:dyDescent="0.25">
      <c r="A38" s="32" t="s">
        <v>172</v>
      </c>
      <c r="B38" s="30">
        <v>462</v>
      </c>
      <c r="C38" s="30">
        <v>8</v>
      </c>
      <c r="D38" s="30">
        <v>3</v>
      </c>
      <c r="E38" s="30">
        <v>570</v>
      </c>
      <c r="F38" s="30">
        <v>872</v>
      </c>
      <c r="G38" s="30">
        <v>5410943</v>
      </c>
      <c r="H38" s="30">
        <v>7734905</v>
      </c>
      <c r="I38" s="30">
        <v>8407345</v>
      </c>
      <c r="J38" s="30">
        <v>8668928</v>
      </c>
      <c r="K38" s="30">
        <v>8791972</v>
      </c>
      <c r="L38" s="30">
        <v>8.5382529440801723E-5</v>
      </c>
      <c r="M38" s="30">
        <v>1.0342725605550425E-6</v>
      </c>
      <c r="N38" s="30">
        <v>3.5683084255493261E-7</v>
      </c>
      <c r="O38" s="30">
        <v>6.5752074535628852E-5</v>
      </c>
      <c r="P38" s="30">
        <v>9.9181389567664678E-5</v>
      </c>
      <c r="Q38" s="30">
        <v>1.0524669412051286</v>
      </c>
      <c r="R38" s="30">
        <v>1.6030568670225138E-2</v>
      </c>
      <c r="S38" s="30">
        <v>8.0049504086643127E-3</v>
      </c>
      <c r="T38" s="30">
        <v>1.1882103627695386</v>
      </c>
      <c r="U38" s="30">
        <v>1.5621449035735762</v>
      </c>
      <c r="V38" s="30">
        <v>2.5562867860040698E-2</v>
      </c>
      <c r="W38" s="30">
        <v>-0.96844471187278192</v>
      </c>
      <c r="X38" s="30">
        <v>-0.9841172398897069</v>
      </c>
      <c r="Y38" s="30">
        <v>8.601109197350093E-2</v>
      </c>
      <c r="Z38" s="30">
        <v>0.21940402464728642</v>
      </c>
    </row>
    <row r="39" spans="1:26" x14ac:dyDescent="0.25">
      <c r="A39" s="32" t="s">
        <v>21</v>
      </c>
      <c r="B39" s="30">
        <v>6883</v>
      </c>
      <c r="C39" s="30">
        <v>8542</v>
      </c>
      <c r="D39" s="30">
        <v>8446</v>
      </c>
      <c r="E39" s="30">
        <v>6113</v>
      </c>
      <c r="F39" s="30">
        <v>37437</v>
      </c>
      <c r="G39" s="30">
        <v>261309452</v>
      </c>
      <c r="H39" s="30">
        <v>330752261</v>
      </c>
      <c r="I39" s="30">
        <v>358788815</v>
      </c>
      <c r="J39" s="30">
        <v>325443689</v>
      </c>
      <c r="K39" s="30">
        <v>381228376</v>
      </c>
      <c r="L39" s="30">
        <v>2.6340417261293709E-5</v>
      </c>
      <c r="M39" s="30">
        <v>2.5825976137469247E-5</v>
      </c>
      <c r="N39" s="30">
        <v>2.3540310196124705E-5</v>
      </c>
      <c r="O39" s="30">
        <v>1.8783587473407726E-5</v>
      </c>
      <c r="P39" s="30">
        <v>9.8200979666844109E-5</v>
      </c>
      <c r="Q39" s="30">
        <v>0.3246849041205947</v>
      </c>
      <c r="R39" s="30">
        <v>0.4002862492311704</v>
      </c>
      <c r="S39" s="30">
        <v>0.52809060555224785</v>
      </c>
      <c r="T39" s="30">
        <v>0.33943953013676115</v>
      </c>
      <c r="U39" s="30">
        <v>1.5467030718281651</v>
      </c>
      <c r="V39" s="30">
        <v>-0.50979300343708522</v>
      </c>
      <c r="W39" s="30">
        <v>-0.42827939722903335</v>
      </c>
      <c r="X39" s="30">
        <v>-0.30882291451376692</v>
      </c>
      <c r="Y39" s="30">
        <v>-0.49316184493658582</v>
      </c>
      <c r="Z39" s="30">
        <v>0.21467091231633503</v>
      </c>
    </row>
    <row r="40" spans="1:26" x14ac:dyDescent="0.25">
      <c r="A40" s="32" t="s">
        <v>77</v>
      </c>
      <c r="B40" s="30">
        <v>41399</v>
      </c>
      <c r="C40" s="30">
        <v>45150</v>
      </c>
      <c r="D40" s="30">
        <v>36193</v>
      </c>
      <c r="E40" s="30">
        <v>53679</v>
      </c>
      <c r="F40" s="30">
        <v>53191</v>
      </c>
      <c r="G40" s="30">
        <v>405666523</v>
      </c>
      <c r="H40" s="30">
        <v>491713789</v>
      </c>
      <c r="I40" s="30">
        <v>570189759</v>
      </c>
      <c r="J40" s="30">
        <v>559231481</v>
      </c>
      <c r="K40" s="30">
        <v>554263254</v>
      </c>
      <c r="L40" s="30">
        <v>1.0205180278087674E-4</v>
      </c>
      <c r="M40" s="30">
        <v>9.1821708095316405E-5</v>
      </c>
      <c r="N40" s="30">
        <v>6.3475359612693435E-5</v>
      </c>
      <c r="O40" s="30">
        <v>9.5987085533906131E-5</v>
      </c>
      <c r="P40" s="30">
        <v>9.5967033022903583E-5</v>
      </c>
      <c r="Q40" s="30">
        <v>1.2579405812956888</v>
      </c>
      <c r="R40" s="30">
        <v>1.4231782348063191</v>
      </c>
      <c r="S40" s="30">
        <v>1.4239719364884276</v>
      </c>
      <c r="T40" s="30">
        <v>1.7345893727144974</v>
      </c>
      <c r="U40" s="30">
        <v>1.5115175558770484</v>
      </c>
      <c r="V40" s="30">
        <v>0.11423709881137485</v>
      </c>
      <c r="W40" s="30">
        <v>0.17463768398371365</v>
      </c>
      <c r="X40" s="30">
        <v>0.17490793936444227</v>
      </c>
      <c r="Y40" s="30">
        <v>0.26862876746474934</v>
      </c>
      <c r="Z40" s="30">
        <v>0.20366871602393441</v>
      </c>
    </row>
    <row r="41" spans="1:26" x14ac:dyDescent="0.25">
      <c r="A41" s="32" t="s">
        <v>215</v>
      </c>
      <c r="B41" s="30">
        <v>78</v>
      </c>
      <c r="C41" s="30">
        <v>59</v>
      </c>
      <c r="D41" s="30">
        <v>49</v>
      </c>
      <c r="E41" s="30">
        <v>59</v>
      </c>
      <c r="F41" s="30">
        <v>82</v>
      </c>
      <c r="G41" s="30">
        <v>735266</v>
      </c>
      <c r="H41" s="30">
        <v>767192</v>
      </c>
      <c r="I41" s="30">
        <v>846564</v>
      </c>
      <c r="J41" s="30">
        <v>925276</v>
      </c>
      <c r="K41" s="30">
        <v>915655</v>
      </c>
      <c r="L41" s="30">
        <v>1.0608405665432646E-4</v>
      </c>
      <c r="M41" s="30">
        <v>7.6903825900165795E-5</v>
      </c>
      <c r="N41" s="30">
        <v>5.7881034393146883E-5</v>
      </c>
      <c r="O41" s="30">
        <v>6.3764757758766035E-5</v>
      </c>
      <c r="P41" s="30">
        <v>8.955337982100245E-5</v>
      </c>
      <c r="Q41" s="30">
        <v>1.3076441205108689</v>
      </c>
      <c r="R41" s="30">
        <v>1.1919605228954906</v>
      </c>
      <c r="S41" s="30">
        <v>1.2984718658337553</v>
      </c>
      <c r="T41" s="30">
        <v>1.1522974215421917</v>
      </c>
      <c r="U41" s="30">
        <v>1.4105000594867314</v>
      </c>
      <c r="V41" s="30">
        <v>0.13331523599174483</v>
      </c>
      <c r="W41" s="30">
        <v>8.7574808437662272E-2</v>
      </c>
      <c r="X41" s="30">
        <v>0.12985665401020111</v>
      </c>
      <c r="Y41" s="30">
        <v>7.076039771169991E-2</v>
      </c>
      <c r="Z41" s="30">
        <v>0.17029663943428375</v>
      </c>
    </row>
    <row r="42" spans="1:26" x14ac:dyDescent="0.25">
      <c r="A42" s="32" t="s">
        <v>94</v>
      </c>
      <c r="B42" s="30">
        <v>432</v>
      </c>
      <c r="C42" s="30">
        <v>392</v>
      </c>
      <c r="D42" s="30">
        <v>522</v>
      </c>
      <c r="E42" s="30">
        <v>396</v>
      </c>
      <c r="F42" s="30">
        <v>661</v>
      </c>
      <c r="G42" s="30">
        <v>4864446</v>
      </c>
      <c r="H42" s="30">
        <v>5734482</v>
      </c>
      <c r="I42" s="30">
        <v>6202467</v>
      </c>
      <c r="J42" s="30">
        <v>9112531</v>
      </c>
      <c r="K42" s="30">
        <v>7669566</v>
      </c>
      <c r="L42" s="30">
        <v>8.8807646338349736E-5</v>
      </c>
      <c r="M42" s="30">
        <v>6.8358397497803633E-5</v>
      </c>
      <c r="N42" s="30">
        <v>8.4160060827409482E-5</v>
      </c>
      <c r="O42" s="30">
        <v>4.3456642287417186E-5</v>
      </c>
      <c r="P42" s="30">
        <v>8.6184798461868631E-5</v>
      </c>
      <c r="Q42" s="30">
        <v>1.0946866122319947</v>
      </c>
      <c r="R42" s="30">
        <v>1.0595118028530248</v>
      </c>
      <c r="S42" s="30">
        <v>1.8880013523771342</v>
      </c>
      <c r="T42" s="30">
        <v>0.78530803874634281</v>
      </c>
      <c r="U42" s="30">
        <v>1.3574436118468867</v>
      </c>
      <c r="V42" s="30">
        <v>4.5203235500274344E-2</v>
      </c>
      <c r="W42" s="30">
        <v>2.8896072734608081E-2</v>
      </c>
      <c r="X42" s="30">
        <v>0.30747954866649008</v>
      </c>
      <c r="Y42" s="30">
        <v>-0.12025485607761872</v>
      </c>
      <c r="Z42" s="30">
        <v>0.1516233983500693</v>
      </c>
    </row>
    <row r="43" spans="1:26" x14ac:dyDescent="0.25">
      <c r="A43" s="32" t="s">
        <v>114</v>
      </c>
      <c r="B43" s="30">
        <v>3288</v>
      </c>
      <c r="C43" s="30">
        <v>3632</v>
      </c>
      <c r="D43" s="30">
        <v>2607</v>
      </c>
      <c r="E43" s="30">
        <v>3478</v>
      </c>
      <c r="F43" s="30">
        <v>3530</v>
      </c>
      <c r="G43" s="30">
        <v>34900772</v>
      </c>
      <c r="H43" s="30">
        <v>37496398</v>
      </c>
      <c r="I43" s="30">
        <v>36055268</v>
      </c>
      <c r="J43" s="30">
        <v>41626798</v>
      </c>
      <c r="K43" s="30">
        <v>42622122</v>
      </c>
      <c r="L43" s="30">
        <v>9.4209950427457593E-5</v>
      </c>
      <c r="M43" s="30">
        <v>9.6862637312522656E-5</v>
      </c>
      <c r="N43" s="30">
        <v>7.2305661408479899E-5</v>
      </c>
      <c r="O43" s="30">
        <v>8.3551946512916994E-5</v>
      </c>
      <c r="P43" s="30">
        <v>8.2820841252343092E-5</v>
      </c>
      <c r="Q43" s="30">
        <v>1.1612780624661483</v>
      </c>
      <c r="R43" s="30">
        <v>1.5013094403125378</v>
      </c>
      <c r="S43" s="30">
        <v>1.622066158004406</v>
      </c>
      <c r="T43" s="30">
        <v>1.5098731009988002</v>
      </c>
      <c r="U43" s="30">
        <v>1.3044599963358861</v>
      </c>
      <c r="V43" s="30">
        <v>7.4621616379208666E-2</v>
      </c>
      <c r="W43" s="30">
        <v>0.20041880154176342</v>
      </c>
      <c r="X43" s="30">
        <v>0.23724273932044726</v>
      </c>
      <c r="Y43" s="30">
        <v>0.20314696420145584</v>
      </c>
      <c r="Z43" s="30">
        <v>0.13211771817257856</v>
      </c>
    </row>
    <row r="44" spans="1:26" x14ac:dyDescent="0.25">
      <c r="A44" s="32" t="s">
        <v>31</v>
      </c>
      <c r="B44" s="30">
        <v>63378</v>
      </c>
      <c r="C44" s="30">
        <v>65236</v>
      </c>
      <c r="D44" s="30">
        <v>49535</v>
      </c>
      <c r="E44" s="30">
        <v>65646</v>
      </c>
      <c r="F44" s="30">
        <v>66608</v>
      </c>
      <c r="G44" s="30">
        <v>630863707</v>
      </c>
      <c r="H44" s="30">
        <v>695578289</v>
      </c>
      <c r="I44" s="30">
        <v>816299884</v>
      </c>
      <c r="J44" s="30">
        <v>791855405</v>
      </c>
      <c r="K44" s="30">
        <v>815579239</v>
      </c>
      <c r="L44" s="30">
        <v>1.0046226989564324E-4</v>
      </c>
      <c r="M44" s="30">
        <v>9.3786711045548463E-5</v>
      </c>
      <c r="N44" s="30">
        <v>6.0682355799526241E-5</v>
      </c>
      <c r="O44" s="30">
        <v>8.2901498916964516E-5</v>
      </c>
      <c r="P44" s="30">
        <v>8.166956294972585E-5</v>
      </c>
      <c r="Q44" s="30">
        <v>1.2383472192270872</v>
      </c>
      <c r="R44" s="30">
        <v>1.4536345341728858</v>
      </c>
      <c r="S44" s="30">
        <v>1.3613151973581159</v>
      </c>
      <c r="T44" s="30">
        <v>1.498118816751381</v>
      </c>
      <c r="U44" s="30">
        <v>1.2863269217654658</v>
      </c>
      <c r="V44" s="30">
        <v>0.10648357733765262</v>
      </c>
      <c r="W44" s="30">
        <v>0.18488268234527638</v>
      </c>
      <c r="X44" s="30">
        <v>0.1530143869663661</v>
      </c>
      <c r="Y44" s="30">
        <v>0.19939756804648218</v>
      </c>
      <c r="Z44" s="30">
        <v>0.12523446189592549</v>
      </c>
    </row>
    <row r="45" spans="1:26" x14ac:dyDescent="0.25">
      <c r="A45" s="32" t="s">
        <v>137</v>
      </c>
      <c r="B45" s="30">
        <v>4296</v>
      </c>
      <c r="C45" s="30">
        <v>3392</v>
      </c>
      <c r="D45" s="30">
        <v>3111</v>
      </c>
      <c r="E45" s="30">
        <v>3919</v>
      </c>
      <c r="F45" s="30">
        <v>1607</v>
      </c>
      <c r="G45" s="30">
        <v>15459448</v>
      </c>
      <c r="H45" s="30">
        <v>18675855</v>
      </c>
      <c r="I45" s="30">
        <v>15534503</v>
      </c>
      <c r="J45" s="30">
        <v>15354370</v>
      </c>
      <c r="K45" s="30">
        <v>21297031</v>
      </c>
      <c r="L45" s="30">
        <v>2.7788831787525661E-4</v>
      </c>
      <c r="M45" s="30">
        <v>1.8162488410838486E-4</v>
      </c>
      <c r="N45" s="30">
        <v>2.0026389000021437E-4</v>
      </c>
      <c r="O45" s="30">
        <v>2.5523678275305334E-4</v>
      </c>
      <c r="P45" s="30">
        <v>7.545652725020685E-5</v>
      </c>
      <c r="Q45" s="30">
        <v>3.4253877207232053</v>
      </c>
      <c r="R45" s="30">
        <v>2.8150705026522815</v>
      </c>
      <c r="S45" s="30">
        <v>4.4926119519815053</v>
      </c>
      <c r="T45" s="30">
        <v>4.6124018499644572</v>
      </c>
      <c r="U45" s="30">
        <v>1.188469227937706</v>
      </c>
      <c r="V45" s="30">
        <v>0.5480621978873399</v>
      </c>
      <c r="W45" s="30">
        <v>0.47576329228789438</v>
      </c>
      <c r="X45" s="30">
        <v>0.63587451334906642</v>
      </c>
      <c r="Y45" s="30">
        <v>0.6436463294208582</v>
      </c>
      <c r="Z45" s="30">
        <v>8.6119204022488891E-2</v>
      </c>
    </row>
    <row r="46" spans="1:26" x14ac:dyDescent="0.25">
      <c r="A46" s="32" t="s">
        <v>63</v>
      </c>
      <c r="B46" s="30">
        <v>8951</v>
      </c>
      <c r="C46" s="30">
        <v>8504</v>
      </c>
      <c r="D46" s="30">
        <v>6666</v>
      </c>
      <c r="E46" s="30">
        <v>7647</v>
      </c>
      <c r="F46" s="30">
        <v>15920</v>
      </c>
      <c r="G46" s="30">
        <v>172259029</v>
      </c>
      <c r="H46" s="30">
        <v>219819100</v>
      </c>
      <c r="I46" s="30">
        <v>233952070</v>
      </c>
      <c r="J46" s="30">
        <v>226369849</v>
      </c>
      <c r="K46" s="30">
        <v>211991694</v>
      </c>
      <c r="L46" s="30">
        <v>5.1962443141369386E-5</v>
      </c>
      <c r="M46" s="30">
        <v>3.8686356190158181E-5</v>
      </c>
      <c r="N46" s="30">
        <v>2.8493015684793897E-5</v>
      </c>
      <c r="O46" s="30">
        <v>3.3781000578394165E-5</v>
      </c>
      <c r="P46" s="30">
        <v>7.5097281877468269E-5</v>
      </c>
      <c r="Q46" s="30">
        <v>0.64051456367850768</v>
      </c>
      <c r="R46" s="30">
        <v>0.59961398296625879</v>
      </c>
      <c r="S46" s="30">
        <v>0.63919692568322994</v>
      </c>
      <c r="T46" s="30">
        <v>0.61045883700934445</v>
      </c>
      <c r="U46" s="30">
        <v>1.1828109756123231</v>
      </c>
      <c r="V46" s="30">
        <v>-0.21912968301568875</v>
      </c>
      <c r="W46" s="30">
        <v>-0.25030164858354248</v>
      </c>
      <c r="X46" s="30">
        <v>-0.22010965776206817</v>
      </c>
      <c r="Y46" s="30">
        <v>-0.24188209846706893</v>
      </c>
      <c r="Z46" s="30">
        <v>8.3750254902873952E-2</v>
      </c>
    </row>
    <row r="47" spans="1:26" x14ac:dyDescent="0.25">
      <c r="A47" s="32" t="s">
        <v>223</v>
      </c>
      <c r="B47" s="30">
        <v>3</v>
      </c>
      <c r="C47" s="30">
        <v>3</v>
      </c>
      <c r="D47" s="30">
        <v>3</v>
      </c>
      <c r="E47" s="30">
        <v>2</v>
      </c>
      <c r="F47" s="30">
        <v>4</v>
      </c>
      <c r="G47" s="30">
        <v>53168</v>
      </c>
      <c r="H47" s="30">
        <v>51727</v>
      </c>
      <c r="I47" s="30">
        <v>45403</v>
      </c>
      <c r="J47" s="30">
        <v>67402</v>
      </c>
      <c r="K47" s="30">
        <v>54404</v>
      </c>
      <c r="L47" s="30">
        <v>5.6424917243454707E-5</v>
      </c>
      <c r="M47" s="30">
        <v>5.7996790844239954E-5</v>
      </c>
      <c r="N47" s="30">
        <v>6.6074928969451363E-5</v>
      </c>
      <c r="O47" s="30">
        <v>2.9672710008605084E-5</v>
      </c>
      <c r="P47" s="30">
        <v>7.3524005587824429E-5</v>
      </c>
      <c r="Q47" s="30">
        <v>0.69552120847093146</v>
      </c>
      <c r="R47" s="30">
        <v>0.89891347188243875</v>
      </c>
      <c r="S47" s="30">
        <v>1.4822892714915727</v>
      </c>
      <c r="T47" s="30">
        <v>0.53621762921830163</v>
      </c>
      <c r="U47" s="30">
        <v>1.1580312709873584</v>
      </c>
      <c r="V47" s="30">
        <v>-0.17957828543097731</v>
      </c>
      <c r="W47" s="30">
        <v>-5.3233878012014804E-2</v>
      </c>
      <c r="X47" s="30">
        <v>0.1942921306676606</v>
      </c>
      <c r="Y47" s="30">
        <v>-0.30189887289452094</v>
      </c>
      <c r="Z47" s="30">
        <v>7.3229370265359847E-2</v>
      </c>
    </row>
    <row r="48" spans="1:26" x14ac:dyDescent="0.25">
      <c r="A48" s="32" t="s">
        <v>218</v>
      </c>
      <c r="B48" s="30">
        <v>24</v>
      </c>
      <c r="C48" s="30">
        <v>33</v>
      </c>
      <c r="D48" s="30">
        <v>24</v>
      </c>
      <c r="E48" s="30">
        <v>67</v>
      </c>
      <c r="F48" s="30">
        <v>27</v>
      </c>
      <c r="G48" s="30">
        <v>302375</v>
      </c>
      <c r="H48" s="30">
        <v>294142</v>
      </c>
      <c r="I48" s="30">
        <v>391380</v>
      </c>
      <c r="J48" s="30">
        <v>381256</v>
      </c>
      <c r="K48" s="30">
        <v>370784</v>
      </c>
      <c r="L48" s="30">
        <v>7.9371641174038853E-5</v>
      </c>
      <c r="M48" s="30">
        <v>1.1219071060916156E-4</v>
      </c>
      <c r="N48" s="30">
        <v>6.1321477847616122E-5</v>
      </c>
      <c r="O48" s="30">
        <v>1.7573493925341502E-4</v>
      </c>
      <c r="P48" s="30">
        <v>7.2818676102528692E-5</v>
      </c>
      <c r="Q48" s="30">
        <v>0.97837378386394325</v>
      </c>
      <c r="R48" s="30">
        <v>1.7388848541204316</v>
      </c>
      <c r="S48" s="30">
        <v>1.3756529162150721</v>
      </c>
      <c r="T48" s="30">
        <v>3.1757184453311185</v>
      </c>
      <c r="U48" s="30">
        <v>1.1469220612293805</v>
      </c>
      <c r="V48" s="30">
        <v>-1.0931309498965758E-2</v>
      </c>
      <c r="W48" s="30">
        <v>0.26977580054482347</v>
      </c>
      <c r="X48" s="30">
        <v>0.15812617813445926</v>
      </c>
      <c r="Y48" s="30">
        <v>0.52104050448223937</v>
      </c>
      <c r="Z48" s="30">
        <v>6.8433812238740163E-2</v>
      </c>
    </row>
    <row r="49" spans="1:26" x14ac:dyDescent="0.25">
      <c r="A49" s="32" t="s">
        <v>181</v>
      </c>
      <c r="B49" s="30">
        <v>49</v>
      </c>
      <c r="C49" s="30">
        <v>50</v>
      </c>
      <c r="D49" s="30">
        <v>39</v>
      </c>
      <c r="E49" s="30">
        <v>47</v>
      </c>
      <c r="F49" s="30">
        <v>74</v>
      </c>
      <c r="G49" s="30">
        <v>797694</v>
      </c>
      <c r="H49" s="30">
        <v>952785</v>
      </c>
      <c r="I49" s="30">
        <v>1062776</v>
      </c>
      <c r="J49" s="30">
        <v>1131380</v>
      </c>
      <c r="K49" s="30">
        <v>1039263</v>
      </c>
      <c r="L49" s="30">
        <v>6.142706351056922E-5</v>
      </c>
      <c r="M49" s="30">
        <v>5.2477736320366088E-5</v>
      </c>
      <c r="N49" s="30">
        <v>3.6696349936392996E-5</v>
      </c>
      <c r="O49" s="30">
        <v>4.1542187417136596E-5</v>
      </c>
      <c r="P49" s="30">
        <v>7.1204305358701315E-5</v>
      </c>
      <c r="Q49" s="30">
        <v>0.75718011709884647</v>
      </c>
      <c r="R49" s="30">
        <v>0.81337162738818147</v>
      </c>
      <c r="S49" s="30">
        <v>0.82322609591853257</v>
      </c>
      <c r="T49" s="30">
        <v>0.75071179015665934</v>
      </c>
      <c r="U49" s="30">
        <v>1.1214951031988347</v>
      </c>
      <c r="V49" s="30">
        <v>-0.13818724702055923</v>
      </c>
      <c r="W49" s="30">
        <v>-0.10291788500111329</v>
      </c>
      <c r="X49" s="30">
        <v>-9.6956655281093693E-2</v>
      </c>
      <c r="Y49" s="30">
        <v>-0.14239248929775788</v>
      </c>
      <c r="Z49" s="30">
        <v>5.7268622970489944E-2</v>
      </c>
    </row>
    <row r="50" spans="1:26" x14ac:dyDescent="0.25">
      <c r="A50" s="32" t="s">
        <v>18</v>
      </c>
      <c r="B50" s="30">
        <v>84669</v>
      </c>
      <c r="C50" s="30">
        <v>103603</v>
      </c>
      <c r="D50" s="30">
        <v>93486</v>
      </c>
      <c r="E50" s="30">
        <v>109552</v>
      </c>
      <c r="F50" s="30">
        <v>101361</v>
      </c>
      <c r="G50" s="30">
        <v>1172923865</v>
      </c>
      <c r="H50" s="30">
        <v>1422827856</v>
      </c>
      <c r="I50" s="30">
        <v>1505324953</v>
      </c>
      <c r="J50" s="30">
        <v>1433191152</v>
      </c>
      <c r="K50" s="30">
        <v>1425209578</v>
      </c>
      <c r="L50" s="30">
        <v>7.2186271015979369E-5</v>
      </c>
      <c r="M50" s="30">
        <v>7.2814852171407019E-5</v>
      </c>
      <c r="N50" s="30">
        <v>6.2103534398795016E-5</v>
      </c>
      <c r="O50" s="30">
        <v>7.6439210392222678E-5</v>
      </c>
      <c r="P50" s="30">
        <v>7.1120066525401924E-5</v>
      </c>
      <c r="Q50" s="30">
        <v>0.88980338660342762</v>
      </c>
      <c r="R50" s="30">
        <v>1.1285840236539004</v>
      </c>
      <c r="S50" s="30">
        <v>1.3931971505198586</v>
      </c>
      <c r="T50" s="30">
        <v>1.3813383463778697</v>
      </c>
      <c r="U50" s="30">
        <v>1.1201683092842178</v>
      </c>
      <c r="V50" s="30">
        <v>-5.8311152460484496E-2</v>
      </c>
      <c r="W50" s="30">
        <v>6.0408244271783422E-2</v>
      </c>
      <c r="X50" s="30">
        <v>0.1642978516978624</v>
      </c>
      <c r="Y50" s="30">
        <v>0.16013614653201366</v>
      </c>
      <c r="Z50" s="30">
        <v>5.6678664971078367E-2</v>
      </c>
    </row>
    <row r="51" spans="1:26" x14ac:dyDescent="0.25">
      <c r="A51" s="32" t="s">
        <v>117</v>
      </c>
      <c r="B51" s="30">
        <v>918</v>
      </c>
      <c r="C51" s="30">
        <v>1730</v>
      </c>
      <c r="D51" s="30">
        <v>147</v>
      </c>
      <c r="E51" s="30">
        <v>541</v>
      </c>
      <c r="F51" s="30">
        <v>503</v>
      </c>
      <c r="G51" s="30">
        <v>6519859</v>
      </c>
      <c r="H51" s="30">
        <v>8405634</v>
      </c>
      <c r="I51" s="30">
        <v>8096330</v>
      </c>
      <c r="J51" s="30">
        <v>6417468</v>
      </c>
      <c r="K51" s="30">
        <v>7099523</v>
      </c>
      <c r="L51" s="30">
        <v>1.4080059093302477E-4</v>
      </c>
      <c r="M51" s="30">
        <v>2.0581433833545453E-4</v>
      </c>
      <c r="N51" s="30">
        <v>1.8156374554890921E-5</v>
      </c>
      <c r="O51" s="30">
        <v>8.4301160520005713E-5</v>
      </c>
      <c r="P51" s="30">
        <v>7.0849830333671719E-5</v>
      </c>
      <c r="Q51" s="30">
        <v>1.7355771517860492</v>
      </c>
      <c r="R51" s="30">
        <v>3.1899917002853417</v>
      </c>
      <c r="S51" s="30">
        <v>0.40731030107259242</v>
      </c>
      <c r="T51" s="30">
        <v>1.523412200007342</v>
      </c>
      <c r="U51" s="30">
        <v>1.1159119856784221</v>
      </c>
      <c r="V51" s="30">
        <v>0.26889285550063663</v>
      </c>
      <c r="W51" s="30">
        <v>0.52267208551658983</v>
      </c>
      <c r="X51" s="30">
        <v>-0.42115068615335544</v>
      </c>
      <c r="Y51" s="30">
        <v>0.20742239417159794</v>
      </c>
      <c r="Z51" s="30">
        <v>5.4781099810849353E-2</v>
      </c>
    </row>
    <row r="52" spans="1:26" x14ac:dyDescent="0.25">
      <c r="A52" s="32" t="s">
        <v>41</v>
      </c>
      <c r="B52" s="30">
        <v>8267</v>
      </c>
      <c r="C52" s="30">
        <v>7635</v>
      </c>
      <c r="D52" s="30">
        <v>3805</v>
      </c>
      <c r="E52" s="30">
        <v>3797</v>
      </c>
      <c r="F52" s="30">
        <v>6916</v>
      </c>
      <c r="G52" s="30">
        <v>68704670</v>
      </c>
      <c r="H52" s="30">
        <v>93614253</v>
      </c>
      <c r="I52" s="30">
        <v>111878211</v>
      </c>
      <c r="J52" s="30">
        <v>107264215</v>
      </c>
      <c r="K52" s="30">
        <v>101243957</v>
      </c>
      <c r="L52" s="30">
        <v>1.2032660953032742E-4</v>
      </c>
      <c r="M52" s="30">
        <v>8.1558093509542822E-5</v>
      </c>
      <c r="N52" s="30">
        <v>3.4010197034702317E-5</v>
      </c>
      <c r="O52" s="30">
        <v>3.5398571648522296E-5</v>
      </c>
      <c r="P52" s="30">
        <v>6.8310249865085777E-5</v>
      </c>
      <c r="Q52" s="30">
        <v>1.4832048137642813</v>
      </c>
      <c r="R52" s="30">
        <v>1.2640987187320727</v>
      </c>
      <c r="S52" s="30">
        <v>0.76296639242943909</v>
      </c>
      <c r="T52" s="30">
        <v>0.63969007756892526</v>
      </c>
      <c r="U52" s="30">
        <v>1.0759126198345914</v>
      </c>
      <c r="V52" s="30">
        <v>0.19458919018113241</v>
      </c>
      <c r="W52" s="30">
        <v>0.11664629132424566</v>
      </c>
      <c r="X52" s="30">
        <v>-0.13445157468028587</v>
      </c>
      <c r="Y52" s="30">
        <v>-0.2197426985502563</v>
      </c>
      <c r="Z52" s="30">
        <v>3.656831174360322E-2</v>
      </c>
    </row>
    <row r="53" spans="1:26" x14ac:dyDescent="0.25">
      <c r="A53" s="32" t="s">
        <v>32</v>
      </c>
      <c r="B53" s="30">
        <v>22551</v>
      </c>
      <c r="C53" s="30">
        <v>21078</v>
      </c>
      <c r="D53" s="30">
        <v>14277</v>
      </c>
      <c r="E53" s="30">
        <v>21904</v>
      </c>
      <c r="F53" s="30">
        <v>24643</v>
      </c>
      <c r="G53" s="30">
        <v>254660433</v>
      </c>
      <c r="H53" s="30">
        <v>335451322</v>
      </c>
      <c r="I53" s="30">
        <v>386969092</v>
      </c>
      <c r="J53" s="30">
        <v>371400902</v>
      </c>
      <c r="K53" s="30">
        <v>379496070</v>
      </c>
      <c r="L53" s="30">
        <v>8.8553214703754156E-5</v>
      </c>
      <c r="M53" s="30">
        <v>6.2834750134029872E-5</v>
      </c>
      <c r="N53" s="30">
        <v>3.6894419464384508E-5</v>
      </c>
      <c r="O53" s="30">
        <v>5.8976701138975694E-5</v>
      </c>
      <c r="P53" s="30">
        <v>6.4936113831165634E-5</v>
      </c>
      <c r="Q53" s="30">
        <v>1.0915503630957555</v>
      </c>
      <c r="R53" s="30">
        <v>0.97389877225346566</v>
      </c>
      <c r="S53" s="30">
        <v>0.82766948073831736</v>
      </c>
      <c r="T53" s="30">
        <v>1.0657721136588736</v>
      </c>
      <c r="U53" s="30">
        <v>1.0227686839376624</v>
      </c>
      <c r="V53" s="30">
        <v>4.3771531736032175E-2</v>
      </c>
      <c r="W53" s="30">
        <v>-1.3223184548991003E-2</v>
      </c>
      <c r="X53" s="30">
        <v>-9.4289761402628916E-2</v>
      </c>
      <c r="Y53" s="30">
        <v>3.1838997740355167E-2</v>
      </c>
      <c r="Z53" s="30">
        <v>1.125619756646583E-2</v>
      </c>
    </row>
    <row r="54" spans="1:26" x14ac:dyDescent="0.25">
      <c r="A54" s="32" t="s">
        <v>82</v>
      </c>
      <c r="B54" s="30">
        <v>4907</v>
      </c>
      <c r="C54" s="30">
        <v>5667</v>
      </c>
      <c r="D54" s="30">
        <v>4249</v>
      </c>
      <c r="E54" s="30">
        <v>5012</v>
      </c>
      <c r="F54" s="30">
        <v>5887</v>
      </c>
      <c r="G54" s="30">
        <v>69260696</v>
      </c>
      <c r="H54" s="30">
        <v>92158602</v>
      </c>
      <c r="I54" s="30">
        <v>107757786</v>
      </c>
      <c r="J54" s="30">
        <v>83163005</v>
      </c>
      <c r="K54" s="30">
        <v>91537567</v>
      </c>
      <c r="L54" s="30">
        <v>7.0848262916676437E-5</v>
      </c>
      <c r="M54" s="30">
        <v>6.1491818202711012E-5</v>
      </c>
      <c r="N54" s="30">
        <v>3.9431025429568494E-5</v>
      </c>
      <c r="O54" s="30">
        <v>6.0267182505009292E-5</v>
      </c>
      <c r="P54" s="30">
        <v>6.4312393183882632E-5</v>
      </c>
      <c r="Q54" s="30">
        <v>0.87331044242850253</v>
      </c>
      <c r="R54" s="30">
        <v>0.95308417911286059</v>
      </c>
      <c r="S54" s="30">
        <v>0.88457432901945765</v>
      </c>
      <c r="T54" s="30">
        <v>1.0890924931740664</v>
      </c>
      <c r="U54" s="30">
        <v>1.0129448446604155</v>
      </c>
      <c r="V54" s="30">
        <v>-6.7628704085619135E-2</v>
      </c>
      <c r="W54" s="30">
        <v>-2.402140234859193E-2</v>
      </c>
      <c r="X54" s="30">
        <v>-6.1247608652611876E-2</v>
      </c>
      <c r="Y54" s="30">
        <v>4.2646504865231499E-2</v>
      </c>
      <c r="Z54" s="30">
        <v>6.4307994800519514E-3</v>
      </c>
    </row>
    <row r="55" spans="1:26" x14ac:dyDescent="0.25">
      <c r="A55" s="32" t="s">
        <v>173</v>
      </c>
      <c r="B55" s="30">
        <v>797</v>
      </c>
      <c r="C55" s="30">
        <v>459</v>
      </c>
      <c r="D55" s="30">
        <v>367</v>
      </c>
      <c r="E55" s="30">
        <v>582</v>
      </c>
      <c r="F55" s="30">
        <v>581</v>
      </c>
      <c r="G55" s="30">
        <v>5415991</v>
      </c>
      <c r="H55" s="30">
        <v>7176764</v>
      </c>
      <c r="I55" s="30">
        <v>9218982</v>
      </c>
      <c r="J55" s="30">
        <v>8673672</v>
      </c>
      <c r="K55" s="30">
        <v>9065188</v>
      </c>
      <c r="L55" s="30">
        <v>1.4715681765350053E-4</v>
      </c>
      <c r="M55" s="30">
        <v>6.3956401520239484E-5</v>
      </c>
      <c r="N55" s="30">
        <v>3.9809167649963957E-5</v>
      </c>
      <c r="O55" s="30">
        <v>6.7099609023721444E-5</v>
      </c>
      <c r="P55" s="30">
        <v>6.4091334895646947E-5</v>
      </c>
      <c r="Q55" s="30">
        <v>1.8139271203091019</v>
      </c>
      <c r="R55" s="30">
        <v>0.99128365729869683</v>
      </c>
      <c r="S55" s="30">
        <v>0.89305736736898567</v>
      </c>
      <c r="T55" s="30">
        <v>1.2125617532655655</v>
      </c>
      <c r="U55" s="30">
        <v>1.00946309188537</v>
      </c>
      <c r="V55" s="30">
        <v>0.28924953828217637</v>
      </c>
      <c r="W55" s="30">
        <v>-4.3772481481254375E-3</v>
      </c>
      <c r="X55" s="30">
        <v>-5.6492018928959158E-2</v>
      </c>
      <c r="Y55" s="30">
        <v>9.6070427391163754E-2</v>
      </c>
      <c r="Z55" s="30">
        <v>4.7092638444487548E-3</v>
      </c>
    </row>
    <row r="56" spans="1:26" x14ac:dyDescent="0.25">
      <c r="A56" s="32" t="s">
        <v>108</v>
      </c>
      <c r="B56" s="30">
        <v>1576</v>
      </c>
      <c r="C56" s="30">
        <v>2597</v>
      </c>
      <c r="D56" s="30">
        <v>2254</v>
      </c>
      <c r="E56" s="30">
        <v>2352</v>
      </c>
      <c r="F56" s="30">
        <v>1388</v>
      </c>
      <c r="G56" s="30">
        <v>17006883</v>
      </c>
      <c r="H56" s="30">
        <v>21542435</v>
      </c>
      <c r="I56" s="30">
        <v>27364057</v>
      </c>
      <c r="J56" s="30">
        <v>25707802</v>
      </c>
      <c r="K56" s="30">
        <v>21752039</v>
      </c>
      <c r="L56" s="30">
        <v>9.2668362568261331E-5</v>
      </c>
      <c r="M56" s="30">
        <v>1.2055276016847677E-4</v>
      </c>
      <c r="N56" s="30">
        <v>8.2370826811243669E-5</v>
      </c>
      <c r="O56" s="30">
        <v>9.1489735295145034E-5</v>
      </c>
      <c r="P56" s="30">
        <v>6.3810109939578533E-5</v>
      </c>
      <c r="Q56" s="30">
        <v>1.1422756943073067</v>
      </c>
      <c r="R56" s="30">
        <v>1.8684913184091982</v>
      </c>
      <c r="S56" s="30">
        <v>1.847862642767979</v>
      </c>
      <c r="T56" s="30">
        <v>1.6533174402858959</v>
      </c>
      <c r="U56" s="30">
        <v>1.0050336910290707</v>
      </c>
      <c r="V56" s="30">
        <v>6.6413344783483055E-2</v>
      </c>
      <c r="W56" s="30">
        <v>0.30276937316681313</v>
      </c>
      <c r="X56" s="30">
        <v>0.29771893841898894</v>
      </c>
      <c r="Y56" s="30">
        <v>0.24622664079556975</v>
      </c>
      <c r="Z56" s="30">
        <v>2.5105269061524785E-3</v>
      </c>
    </row>
    <row r="57" spans="1:26" x14ac:dyDescent="0.25">
      <c r="A57" s="32" t="s">
        <v>129</v>
      </c>
      <c r="B57" s="30">
        <v>4097</v>
      </c>
      <c r="C57" s="30">
        <v>3018</v>
      </c>
      <c r="D57" s="30">
        <v>2393</v>
      </c>
      <c r="E57" s="30">
        <v>4002</v>
      </c>
      <c r="F57" s="30">
        <v>3181</v>
      </c>
      <c r="G57" s="30">
        <v>52438672</v>
      </c>
      <c r="H57" s="30">
        <v>61032085</v>
      </c>
      <c r="I57" s="30">
        <v>76263662</v>
      </c>
      <c r="J57" s="30">
        <v>85112409</v>
      </c>
      <c r="K57" s="30">
        <v>50646896</v>
      </c>
      <c r="L57" s="30">
        <v>7.8129362238616568E-5</v>
      </c>
      <c r="M57" s="30">
        <v>4.9449400262173578E-5</v>
      </c>
      <c r="N57" s="30">
        <v>3.1377984445593499E-5</v>
      </c>
      <c r="O57" s="30">
        <v>4.7020170701548349E-5</v>
      </c>
      <c r="P57" s="30">
        <v>6.2807402846563396E-5</v>
      </c>
      <c r="Q57" s="30">
        <v>0.96306084432173922</v>
      </c>
      <c r="R57" s="30">
        <v>0.76643433929912907</v>
      </c>
      <c r="S57" s="30">
        <v>0.70391675678132604</v>
      </c>
      <c r="T57" s="30">
        <v>0.84970481131357134</v>
      </c>
      <c r="U57" s="30">
        <v>0.98924066995970927</v>
      </c>
      <c r="V57" s="30">
        <v>-1.8817122141226193E-2</v>
      </c>
      <c r="W57" s="30">
        <v>-0.13222436606024265</v>
      </c>
      <c r="X57" s="30">
        <v>-0.17376626061121137</v>
      </c>
      <c r="Y57" s="30">
        <v>-8.1253607476803963E-2</v>
      </c>
      <c r="Z57" s="30">
        <v>-5.4087623497606502E-3</v>
      </c>
    </row>
    <row r="58" spans="1:26" x14ac:dyDescent="0.25">
      <c r="A58" s="32" t="s">
        <v>190</v>
      </c>
      <c r="B58" s="30">
        <v>146</v>
      </c>
      <c r="C58" s="30">
        <v>181</v>
      </c>
      <c r="D58" s="30">
        <v>185</v>
      </c>
      <c r="E58" s="30">
        <v>128</v>
      </c>
      <c r="F58" s="30">
        <v>134</v>
      </c>
      <c r="G58" s="30">
        <v>1501237</v>
      </c>
      <c r="H58" s="30">
        <v>1673621</v>
      </c>
      <c r="I58" s="30">
        <v>2147541</v>
      </c>
      <c r="J58" s="30">
        <v>2118006</v>
      </c>
      <c r="K58" s="30">
        <v>2153549</v>
      </c>
      <c r="L58" s="30">
        <v>9.7253131917212274E-5</v>
      </c>
      <c r="M58" s="30">
        <v>1.0814873857342851E-4</v>
      </c>
      <c r="N58" s="30">
        <v>8.614503751034323E-5</v>
      </c>
      <c r="O58" s="30">
        <v>6.0434200847400808E-5</v>
      </c>
      <c r="P58" s="30">
        <v>6.2222870248134597E-5</v>
      </c>
      <c r="Q58" s="30">
        <v>1.1987898103029797</v>
      </c>
      <c r="R58" s="30">
        <v>1.6762368513085075</v>
      </c>
      <c r="S58" s="30">
        <v>1.9325312472580496</v>
      </c>
      <c r="T58" s="30">
        <v>1.0921106933845353</v>
      </c>
      <c r="U58" s="30">
        <v>0.98003405747334948</v>
      </c>
      <c r="V58" s="30">
        <v>9.0408737284255317E-2</v>
      </c>
      <c r="W58" s="30">
        <v>0.25268198925587293</v>
      </c>
      <c r="X58" s="30">
        <v>0.31799533189287482</v>
      </c>
      <c r="Y58" s="30">
        <v>4.4027638535474506E-2</v>
      </c>
      <c r="Z58" s="30">
        <v>-1.008363591085314E-2</v>
      </c>
    </row>
    <row r="59" spans="1:26" x14ac:dyDescent="0.25">
      <c r="A59" s="32" t="s">
        <v>177</v>
      </c>
      <c r="B59" s="30">
        <v>204</v>
      </c>
      <c r="C59" s="30">
        <v>201</v>
      </c>
      <c r="D59" s="30">
        <v>112</v>
      </c>
      <c r="E59" s="30">
        <v>119</v>
      </c>
      <c r="F59" s="30">
        <v>131</v>
      </c>
      <c r="G59" s="30">
        <v>1605274</v>
      </c>
      <c r="H59" s="30">
        <v>2051495</v>
      </c>
      <c r="I59" s="30">
        <v>2123792</v>
      </c>
      <c r="J59" s="30">
        <v>2038539</v>
      </c>
      <c r="K59" s="30">
        <v>2123695</v>
      </c>
      <c r="L59" s="30">
        <v>1.270811088948055E-4</v>
      </c>
      <c r="M59" s="30">
        <v>9.7977328728561367E-5</v>
      </c>
      <c r="N59" s="30">
        <v>5.2735861138943928E-5</v>
      </c>
      <c r="O59" s="30">
        <v>5.8375140235237101E-5</v>
      </c>
      <c r="P59" s="30">
        <v>6.1684940634130605E-5</v>
      </c>
      <c r="Q59" s="30">
        <v>1.5664640862649049</v>
      </c>
      <c r="R59" s="30">
        <v>1.5185864502346897</v>
      </c>
      <c r="S59" s="30">
        <v>1.1830478277966283</v>
      </c>
      <c r="T59" s="30">
        <v>1.0549012642642757</v>
      </c>
      <c r="U59" s="30">
        <v>0.97156145985538267</v>
      </c>
      <c r="V59" s="30">
        <v>0.22071771403172313</v>
      </c>
      <c r="W59" s="30">
        <v>0.20590377200924204</v>
      </c>
      <c r="X59" s="30">
        <v>8.3849664430568294E-2</v>
      </c>
      <c r="Y59" s="30">
        <v>2.6717227352493836E-2</v>
      </c>
      <c r="Z59" s="30">
        <v>-1.4424374143884587E-2</v>
      </c>
    </row>
    <row r="60" spans="1:26" x14ac:dyDescent="0.25">
      <c r="A60" s="32" t="s">
        <v>43</v>
      </c>
      <c r="B60" s="30">
        <v>5468</v>
      </c>
      <c r="C60" s="30">
        <v>5849</v>
      </c>
      <c r="D60" s="30">
        <v>5177</v>
      </c>
      <c r="E60" s="30">
        <v>7648</v>
      </c>
      <c r="F60" s="30">
        <v>7354</v>
      </c>
      <c r="G60" s="30">
        <v>95778398</v>
      </c>
      <c r="H60" s="30">
        <v>120259539</v>
      </c>
      <c r="I60" s="30">
        <v>127078114</v>
      </c>
      <c r="J60" s="30">
        <v>126396956</v>
      </c>
      <c r="K60" s="30">
        <v>121792392</v>
      </c>
      <c r="L60" s="30">
        <v>5.7090117544041609E-5</v>
      </c>
      <c r="M60" s="30">
        <v>4.8636474483741366E-5</v>
      </c>
      <c r="N60" s="30">
        <v>4.0738722326332288E-5</v>
      </c>
      <c r="O60" s="30">
        <v>6.0507786279283499E-5</v>
      </c>
      <c r="P60" s="30">
        <v>6.0381439917856283E-5</v>
      </c>
      <c r="Q60" s="30">
        <v>0.70372079368154328</v>
      </c>
      <c r="R60" s="30">
        <v>0.75383450535597551</v>
      </c>
      <c r="S60" s="30">
        <v>0.9139104949551331</v>
      </c>
      <c r="T60" s="30">
        <v>1.0934404608987831</v>
      </c>
      <c r="U60" s="30">
        <v>0.95103082392047034</v>
      </c>
      <c r="V60" s="30">
        <v>-0.17390126798783248</v>
      </c>
      <c r="W60" s="30">
        <v>-0.1403584510923169</v>
      </c>
      <c r="X60" s="30">
        <v>-4.4980946220729644E-2</v>
      </c>
      <c r="Y60" s="30">
        <v>4.4634878633551402E-2</v>
      </c>
      <c r="Z60" s="30">
        <v>-2.5099129895410504E-2</v>
      </c>
    </row>
    <row r="61" spans="1:26" x14ac:dyDescent="0.25">
      <c r="A61" s="32" t="s">
        <v>171</v>
      </c>
      <c r="B61" s="30">
        <v>400</v>
      </c>
      <c r="C61" s="30">
        <v>345</v>
      </c>
      <c r="D61" s="30">
        <v>250</v>
      </c>
      <c r="E61" s="30">
        <v>544</v>
      </c>
      <c r="F61" s="30">
        <v>518</v>
      </c>
      <c r="G61" s="30">
        <v>5731510</v>
      </c>
      <c r="H61" s="30">
        <v>7145956</v>
      </c>
      <c r="I61" s="30">
        <v>8570977</v>
      </c>
      <c r="J61" s="30">
        <v>8394209</v>
      </c>
      <c r="K61" s="30">
        <v>8718694</v>
      </c>
      <c r="L61" s="30">
        <v>6.9789636587914874E-5</v>
      </c>
      <c r="M61" s="30">
        <v>4.8279054614945849E-5</v>
      </c>
      <c r="N61" s="30">
        <v>2.9168203344846216E-5</v>
      </c>
      <c r="O61" s="30">
        <v>6.4806582728640667E-5</v>
      </c>
      <c r="P61" s="30">
        <v>5.9412567983232353E-5</v>
      </c>
      <c r="Q61" s="30">
        <v>0.86026129500445736</v>
      </c>
      <c r="R61" s="30">
        <v>0.74829472409391184</v>
      </c>
      <c r="S61" s="30">
        <v>0.65434372100103899</v>
      </c>
      <c r="T61" s="30">
        <v>1.1711243138363097</v>
      </c>
      <c r="U61" s="30">
        <v>0.93577071956535163</v>
      </c>
      <c r="V61" s="30">
        <v>-7.5117783383870179E-2</v>
      </c>
      <c r="W61" s="30">
        <v>-0.1439718786753986</v>
      </c>
      <c r="X61" s="30">
        <v>-0.20893861088903901</v>
      </c>
      <c r="Y61" s="30">
        <v>7.8818293704213685E-2</v>
      </c>
      <c r="Z61" s="30">
        <v>-3.3180210747825602E-2</v>
      </c>
    </row>
    <row r="62" spans="1:26" x14ac:dyDescent="0.25">
      <c r="A62" s="32" t="s">
        <v>187</v>
      </c>
      <c r="B62" s="30">
        <v>321</v>
      </c>
      <c r="C62" s="30">
        <v>243</v>
      </c>
      <c r="D62" s="30">
        <v>196</v>
      </c>
      <c r="E62" s="30">
        <v>305</v>
      </c>
      <c r="F62" s="30">
        <v>259</v>
      </c>
      <c r="G62" s="30">
        <v>2102881</v>
      </c>
      <c r="H62" s="30">
        <v>2504294</v>
      </c>
      <c r="I62" s="30">
        <v>3722463</v>
      </c>
      <c r="J62" s="30">
        <v>4116053</v>
      </c>
      <c r="K62" s="30">
        <v>4398798</v>
      </c>
      <c r="L62" s="30">
        <v>1.5264772471671007E-4</v>
      </c>
      <c r="M62" s="30">
        <v>9.7033335542871568E-5</v>
      </c>
      <c r="N62" s="30">
        <v>5.2653310456007221E-5</v>
      </c>
      <c r="O62" s="30">
        <v>7.4100114843030443E-5</v>
      </c>
      <c r="P62" s="30">
        <v>5.8879721232936814E-5</v>
      </c>
      <c r="Q62" s="30">
        <v>1.8816107342650989</v>
      </c>
      <c r="R62" s="30">
        <v>1.5039551546124759</v>
      </c>
      <c r="S62" s="30">
        <v>1.1811959303586763</v>
      </c>
      <c r="T62" s="30">
        <v>1.3390683862178705</v>
      </c>
      <c r="U62" s="30">
        <v>0.92737817899913944</v>
      </c>
      <c r="V62" s="30">
        <v>0.30594372924208912</v>
      </c>
      <c r="W62" s="30">
        <v>0.20126365030306237</v>
      </c>
      <c r="X62" s="30">
        <v>8.3071826715209601E-2</v>
      </c>
      <c r="Y62" s="30">
        <v>0.14495873152564095</v>
      </c>
      <c r="Z62" s="30">
        <v>-3.7679071908229271E-2</v>
      </c>
    </row>
    <row r="63" spans="1:26" x14ac:dyDescent="0.25">
      <c r="A63" s="32" t="s">
        <v>19</v>
      </c>
      <c r="B63" s="30">
        <v>24344</v>
      </c>
      <c r="C63" s="30">
        <v>24329</v>
      </c>
      <c r="D63" s="30">
        <v>17145</v>
      </c>
      <c r="E63" s="30">
        <v>26778</v>
      </c>
      <c r="F63" s="30">
        <v>26396</v>
      </c>
      <c r="G63" s="30">
        <v>329738801</v>
      </c>
      <c r="H63" s="30">
        <v>426059817</v>
      </c>
      <c r="I63" s="30">
        <v>499055069</v>
      </c>
      <c r="J63" s="30">
        <v>469043091</v>
      </c>
      <c r="K63" s="30">
        <v>451303134</v>
      </c>
      <c r="L63" s="30">
        <v>7.382813283171973E-5</v>
      </c>
      <c r="M63" s="30">
        <v>5.7102310589407217E-5</v>
      </c>
      <c r="N63" s="30">
        <v>3.4354926069291161E-5</v>
      </c>
      <c r="O63" s="30">
        <v>5.7090703421106353E-5</v>
      </c>
      <c r="P63" s="30">
        <v>5.8488403938271788E-5</v>
      </c>
      <c r="Q63" s="30">
        <v>0.91004178073875053</v>
      </c>
      <c r="R63" s="30">
        <v>0.88504959528344862</v>
      </c>
      <c r="S63" s="30">
        <v>0.77069985741400138</v>
      </c>
      <c r="T63" s="30">
        <v>1.0316901162715859</v>
      </c>
      <c r="U63" s="30">
        <v>0.9212147816097116</v>
      </c>
      <c r="V63" s="30">
        <v>-4.7097513870328088E-2</v>
      </c>
      <c r="W63" s="30">
        <v>-6.0980042649364172E-2</v>
      </c>
      <c r="X63" s="30">
        <v>-0.12949690012449508</v>
      </c>
      <c r="Y63" s="30">
        <v>1.5597908370859909E-2</v>
      </c>
      <c r="Z63" s="30">
        <v>-4.1008022187023416E-2</v>
      </c>
    </row>
    <row r="64" spans="1:26" x14ac:dyDescent="0.25">
      <c r="A64" s="32" t="s">
        <v>90</v>
      </c>
      <c r="B64" s="30">
        <v>37786</v>
      </c>
      <c r="C64" s="30">
        <v>28421</v>
      </c>
      <c r="D64" s="30">
        <v>12333</v>
      </c>
      <c r="E64" s="30">
        <v>14842</v>
      </c>
      <c r="F64" s="30">
        <v>11628</v>
      </c>
      <c r="G64" s="30">
        <v>231667985</v>
      </c>
      <c r="H64" s="30">
        <v>293501672</v>
      </c>
      <c r="I64" s="30">
        <v>199386103</v>
      </c>
      <c r="J64" s="30">
        <v>218843240</v>
      </c>
      <c r="K64" s="30">
        <v>204294595</v>
      </c>
      <c r="L64" s="30">
        <v>1.6310410780324264E-4</v>
      </c>
      <c r="M64" s="30">
        <v>9.6834201339745686E-5</v>
      </c>
      <c r="N64" s="30">
        <v>6.1854862572844404E-5</v>
      </c>
      <c r="O64" s="30">
        <v>6.7820235160108208E-5</v>
      </c>
      <c r="P64" s="30">
        <v>5.6917805387851792E-5</v>
      </c>
      <c r="Q64" s="30">
        <v>2.010501241435914</v>
      </c>
      <c r="R64" s="30">
        <v>1.500868700770863</v>
      </c>
      <c r="S64" s="30">
        <v>1.3876185810763828</v>
      </c>
      <c r="T64" s="30">
        <v>1.225584238852288</v>
      </c>
      <c r="U64" s="30">
        <v>0.89647725240394482</v>
      </c>
      <c r="V64" s="30">
        <v>0.33565880243714391</v>
      </c>
      <c r="W64" s="30">
        <v>0.20027788768617727</v>
      </c>
      <c r="X64" s="30">
        <v>0.16234526910979105</v>
      </c>
      <c r="Y64" s="30">
        <v>0.10135955984690993</v>
      </c>
      <c r="Z64" s="30">
        <v>-5.4586864917483914E-2</v>
      </c>
    </row>
    <row r="65" spans="1:26" x14ac:dyDescent="0.25">
      <c r="A65" s="32" t="s">
        <v>42</v>
      </c>
      <c r="B65" s="30">
        <v>14536</v>
      </c>
      <c r="C65" s="30">
        <v>12564</v>
      </c>
      <c r="D65" s="30">
        <v>7218</v>
      </c>
      <c r="E65" s="30">
        <v>972</v>
      </c>
      <c r="F65" s="30">
        <v>7545</v>
      </c>
      <c r="G65" s="30">
        <v>90758564</v>
      </c>
      <c r="H65" s="30">
        <v>124386497</v>
      </c>
      <c r="I65" s="30">
        <v>145889817</v>
      </c>
      <c r="J65" s="30">
        <v>133758994</v>
      </c>
      <c r="K65" s="30">
        <v>134882435</v>
      </c>
      <c r="L65" s="30">
        <v>1.6016119426481891E-4</v>
      </c>
      <c r="M65" s="30">
        <v>1.0100774845359621E-4</v>
      </c>
      <c r="N65" s="30">
        <v>4.9475694386538303E-5</v>
      </c>
      <c r="O65" s="30">
        <v>7.2668010646072888E-6</v>
      </c>
      <c r="P65" s="30">
        <v>5.5937602253399417E-5</v>
      </c>
      <c r="Q65" s="30">
        <v>1.9742254455523609</v>
      </c>
      <c r="R65" s="30">
        <v>1.5655560338381702</v>
      </c>
      <c r="S65" s="30">
        <v>1.1099110075875802</v>
      </c>
      <c r="T65" s="30">
        <v>0.13131887305658096</v>
      </c>
      <c r="U65" s="30">
        <v>0.88103867730809005</v>
      </c>
      <c r="V65" s="30">
        <v>0.32755601866335043</v>
      </c>
      <c r="W65" s="30">
        <v>0.22044189500397568</v>
      </c>
      <c r="X65" s="30">
        <v>5.2092722011650022E-2</v>
      </c>
      <c r="Y65" s="30">
        <v>-0.76784817051308341</v>
      </c>
      <c r="Z65" s="30">
        <v>-6.3242358664391041E-2</v>
      </c>
    </row>
    <row r="66" spans="1:26" x14ac:dyDescent="0.25">
      <c r="A66" s="32" t="s">
        <v>20</v>
      </c>
      <c r="B66" s="30">
        <v>173426</v>
      </c>
      <c r="C66" s="30">
        <v>181138</v>
      </c>
      <c r="D66" s="30">
        <v>157974</v>
      </c>
      <c r="E66" s="30">
        <v>159987</v>
      </c>
      <c r="F66" s="30">
        <v>187444</v>
      </c>
      <c r="G66" s="30">
        <v>2406931650</v>
      </c>
      <c r="H66" s="30">
        <v>2935314152</v>
      </c>
      <c r="I66" s="30">
        <v>3375948186</v>
      </c>
      <c r="J66" s="30">
        <v>3172533052</v>
      </c>
      <c r="K66" s="30">
        <v>3359310385</v>
      </c>
      <c r="L66" s="30">
        <v>7.205273153477375E-5</v>
      </c>
      <c r="M66" s="30">
        <v>6.1709919490757122E-5</v>
      </c>
      <c r="N66" s="30">
        <v>4.67939646275128E-5</v>
      </c>
      <c r="O66" s="30">
        <v>5.042878903945301E-5</v>
      </c>
      <c r="P66" s="30">
        <v>5.5798356959504351E-5</v>
      </c>
      <c r="Q66" s="30">
        <v>0.88815731345198701</v>
      </c>
      <c r="R66" s="30">
        <v>0.95646461074029487</v>
      </c>
      <c r="S66" s="30">
        <v>1.0497505304922359</v>
      </c>
      <c r="T66" s="30">
        <v>0.91130219299967996</v>
      </c>
      <c r="U66" s="30">
        <v>0.87884551055419624</v>
      </c>
      <c r="V66" s="30">
        <v>-5.9233775571135419E-2</v>
      </c>
      <c r="W66" s="30">
        <v>-2.2252070914399028E-2</v>
      </c>
      <c r="X66" s="30">
        <v>2.4271505118375832E-2</v>
      </c>
      <c r="Y66" s="30">
        <v>-4.6407003207124396E-2</v>
      </c>
      <c r="Z66" s="30">
        <v>-6.4483476031016118E-2</v>
      </c>
    </row>
    <row r="67" spans="1:26" x14ac:dyDescent="0.25">
      <c r="A67" s="32" t="s">
        <v>110</v>
      </c>
      <c r="B67" s="30">
        <v>2355</v>
      </c>
      <c r="C67" s="30">
        <v>2140</v>
      </c>
      <c r="D67" s="30">
        <v>1541</v>
      </c>
      <c r="E67" s="30">
        <v>2279</v>
      </c>
      <c r="F67" s="30">
        <v>2344</v>
      </c>
      <c r="G67" s="30">
        <v>26154982</v>
      </c>
      <c r="H67" s="30">
        <v>33793017</v>
      </c>
      <c r="I67" s="30">
        <v>39756632</v>
      </c>
      <c r="J67" s="30">
        <v>39644484</v>
      </c>
      <c r="K67" s="30">
        <v>42112733</v>
      </c>
      <c r="L67" s="30">
        <v>9.0040207253822623E-5</v>
      </c>
      <c r="M67" s="30">
        <v>6.3326692612263654E-5</v>
      </c>
      <c r="N67" s="30">
        <v>3.8760828633572384E-5</v>
      </c>
      <c r="O67" s="30">
        <v>5.7485929190048231E-5</v>
      </c>
      <c r="P67" s="30">
        <v>5.566012540672675E-5</v>
      </c>
      <c r="Q67" s="30">
        <v>1.1098797626932511</v>
      </c>
      <c r="R67" s="30">
        <v>0.98152356863682444</v>
      </c>
      <c r="S67" s="30">
        <v>0.86953949605047554</v>
      </c>
      <c r="T67" s="30">
        <v>1.0388322689353142</v>
      </c>
      <c r="U67" s="30">
        <v>0.87666831061148653</v>
      </c>
      <c r="V67" s="30">
        <v>5.2078684594324978E-2</v>
      </c>
      <c r="W67" s="30">
        <v>-9.3243560942786533E-3</v>
      </c>
      <c r="X67" s="30">
        <v>-6.9782159844780395E-2</v>
      </c>
      <c r="Y67" s="30">
        <v>1.9046328394435593E-2</v>
      </c>
      <c r="Z67" s="30">
        <v>-6.5718427007662075E-2</v>
      </c>
    </row>
    <row r="68" spans="1:26" x14ac:dyDescent="0.25">
      <c r="A68" s="32" t="s">
        <v>165</v>
      </c>
      <c r="B68" s="30">
        <v>592</v>
      </c>
      <c r="C68" s="30">
        <v>591</v>
      </c>
      <c r="D68" s="30">
        <v>400</v>
      </c>
      <c r="E68" s="30">
        <v>380</v>
      </c>
      <c r="F68" s="30">
        <v>458</v>
      </c>
      <c r="G68" s="30">
        <v>6612697</v>
      </c>
      <c r="H68" s="30">
        <v>6445781</v>
      </c>
      <c r="I68" s="30">
        <v>7957768</v>
      </c>
      <c r="J68" s="30">
        <v>7441108</v>
      </c>
      <c r="K68" s="30">
        <v>8824992</v>
      </c>
      <c r="L68" s="30">
        <v>8.9524743081378146E-5</v>
      </c>
      <c r="M68" s="30">
        <v>9.1687880801411033E-5</v>
      </c>
      <c r="N68" s="30">
        <v>5.0265350786803536E-5</v>
      </c>
      <c r="O68" s="30">
        <v>5.1067663579133642E-5</v>
      </c>
      <c r="P68" s="30">
        <v>5.1898064043570804E-5</v>
      </c>
      <c r="Q68" s="30">
        <v>1.1035258984492828</v>
      </c>
      <c r="R68" s="30">
        <v>1.4211039966347589</v>
      </c>
      <c r="S68" s="30">
        <v>1.127625732802328</v>
      </c>
      <c r="T68" s="30">
        <v>0.92284733973336674</v>
      </c>
      <c r="U68" s="30">
        <v>0.81741440208083704</v>
      </c>
      <c r="V68" s="30">
        <v>4.9215414236450344E-2</v>
      </c>
      <c r="W68" s="30">
        <v>0.17393056936838616</v>
      </c>
      <c r="X68" s="30">
        <v>5.9985048514256421E-2</v>
      </c>
      <c r="Y68" s="30">
        <v>-4.0124173496441838E-2</v>
      </c>
      <c r="Z68" s="30">
        <v>-0.10046448278945778</v>
      </c>
    </row>
    <row r="69" spans="1:26" x14ac:dyDescent="0.25">
      <c r="A69" s="32" t="s">
        <v>51</v>
      </c>
      <c r="B69" s="30">
        <v>1936</v>
      </c>
      <c r="C69" s="30">
        <v>1923</v>
      </c>
      <c r="D69" s="30">
        <v>1567</v>
      </c>
      <c r="E69" s="30">
        <v>2450</v>
      </c>
      <c r="F69" s="30">
        <v>2305</v>
      </c>
      <c r="G69" s="30">
        <v>26794587</v>
      </c>
      <c r="H69" s="30">
        <v>34594841</v>
      </c>
      <c r="I69" s="30">
        <v>44790266</v>
      </c>
      <c r="J69" s="30">
        <v>43463068</v>
      </c>
      <c r="K69" s="30">
        <v>45864363</v>
      </c>
      <c r="L69" s="30">
        <v>7.2253399539242756E-5</v>
      </c>
      <c r="M69" s="30">
        <v>5.55863228277303E-5</v>
      </c>
      <c r="N69" s="30">
        <v>3.4985280060627458E-5</v>
      </c>
      <c r="O69" s="30">
        <v>5.636969760165113E-5</v>
      </c>
      <c r="P69" s="30">
        <v>5.0256884631756467E-5</v>
      </c>
      <c r="Q69" s="30">
        <v>0.89063084571021855</v>
      </c>
      <c r="R69" s="30">
        <v>0.86155274653814207</v>
      </c>
      <c r="S69" s="30">
        <v>0.78484087842110195</v>
      </c>
      <c r="T69" s="30">
        <v>1.018660769405433</v>
      </c>
      <c r="U69" s="30">
        <v>0.79156519725328656</v>
      </c>
      <c r="V69" s="30">
        <v>-5.7847968860730584E-2</v>
      </c>
      <c r="W69" s="30">
        <v>-7.4371920816814333E-2</v>
      </c>
      <c r="X69" s="30">
        <v>-0.1205480691193218</v>
      </c>
      <c r="Y69" s="30">
        <v>9.2441333820190586E-3</v>
      </c>
      <c r="Z69" s="30">
        <v>-0.11634229279865026</v>
      </c>
    </row>
    <row r="70" spans="1:26" x14ac:dyDescent="0.25">
      <c r="A70" s="32" t="s">
        <v>128</v>
      </c>
      <c r="B70" s="30">
        <v>344</v>
      </c>
      <c r="C70" s="30">
        <v>485</v>
      </c>
      <c r="D70" s="30">
        <v>393</v>
      </c>
      <c r="E70" s="30">
        <v>532</v>
      </c>
      <c r="F70" s="30">
        <v>479</v>
      </c>
      <c r="G70" s="30">
        <v>5710976</v>
      </c>
      <c r="H70" s="30">
        <v>7841938</v>
      </c>
      <c r="I70" s="30">
        <v>9764239</v>
      </c>
      <c r="J70" s="30">
        <v>9481315</v>
      </c>
      <c r="K70" s="30">
        <v>9835158</v>
      </c>
      <c r="L70" s="30">
        <v>6.0234888047156915E-5</v>
      </c>
      <c r="M70" s="30">
        <v>6.1846956708915571E-5</v>
      </c>
      <c r="N70" s="30">
        <v>4.0248912383238471E-5</v>
      </c>
      <c r="O70" s="30">
        <v>5.6110360219020251E-5</v>
      </c>
      <c r="P70" s="30">
        <v>4.8702827143193838E-5</v>
      </c>
      <c r="Q70" s="30">
        <v>0.74248477753026076</v>
      </c>
      <c r="R70" s="30">
        <v>0.95858860070178697</v>
      </c>
      <c r="S70" s="30">
        <v>0.90292236322284569</v>
      </c>
      <c r="T70" s="30">
        <v>1.013974265326713</v>
      </c>
      <c r="U70" s="30">
        <v>0.76708819611223844</v>
      </c>
      <c r="V70" s="30">
        <v>-0.14778621069776726</v>
      </c>
      <c r="W70" s="30">
        <v>-2.1143490411092355E-2</v>
      </c>
      <c r="X70" s="30">
        <v>-5.1015027545706457E-2</v>
      </c>
      <c r="Y70" s="30">
        <v>6.9386513856203764E-3</v>
      </c>
      <c r="Z70" s="30">
        <v>-0.13180542114433769</v>
      </c>
    </row>
    <row r="71" spans="1:26" x14ac:dyDescent="0.25">
      <c r="A71" s="32" t="s">
        <v>121</v>
      </c>
      <c r="B71" s="30">
        <v>5495</v>
      </c>
      <c r="C71" s="30">
        <v>4948</v>
      </c>
      <c r="D71" s="30">
        <v>2386</v>
      </c>
      <c r="E71" s="30">
        <v>3458</v>
      </c>
      <c r="F71" s="30">
        <v>3423</v>
      </c>
      <c r="G71" s="30">
        <v>54335684</v>
      </c>
      <c r="H71" s="30">
        <v>72842535</v>
      </c>
      <c r="I71" s="30">
        <v>55224068</v>
      </c>
      <c r="J71" s="30">
        <v>63561928</v>
      </c>
      <c r="K71" s="30">
        <v>70495616</v>
      </c>
      <c r="L71" s="30">
        <v>1.0113059403098708E-4</v>
      </c>
      <c r="M71" s="30">
        <v>6.7927344922853112E-5</v>
      </c>
      <c r="N71" s="30">
        <v>4.3205799326482069E-5</v>
      </c>
      <c r="O71" s="30">
        <v>5.4403636088571762E-5</v>
      </c>
      <c r="P71" s="30">
        <v>4.8556210928066789E-5</v>
      </c>
      <c r="Q71" s="30">
        <v>1.2465853103572706</v>
      </c>
      <c r="R71" s="30">
        <v>1.05283076134931</v>
      </c>
      <c r="S71" s="30">
        <v>0.96925556798512225</v>
      </c>
      <c r="T71" s="30">
        <v>0.98313193354463591</v>
      </c>
      <c r="U71" s="30">
        <v>0.76477893452354384</v>
      </c>
      <c r="V71" s="30">
        <v>0.10976004749094374</v>
      </c>
      <c r="W71" s="30">
        <v>2.5735565904412266E-2</v>
      </c>
      <c r="X71" s="30">
        <v>-1.5612210276157527E-2</v>
      </c>
      <c r="Y71" s="30">
        <v>-8.5057711844790038E-3</v>
      </c>
      <c r="Z71" s="30">
        <v>-0.13328641954804457</v>
      </c>
    </row>
    <row r="72" spans="1:26" x14ac:dyDescent="0.25">
      <c r="A72" s="32" t="s">
        <v>122</v>
      </c>
      <c r="B72" s="30">
        <v>5064</v>
      </c>
      <c r="C72" s="30">
        <v>4420</v>
      </c>
      <c r="D72" s="30">
        <v>3317</v>
      </c>
      <c r="E72" s="30">
        <v>5591</v>
      </c>
      <c r="F72" s="30">
        <v>4783</v>
      </c>
      <c r="G72" s="30">
        <v>81320407</v>
      </c>
      <c r="H72" s="30">
        <v>98636184</v>
      </c>
      <c r="I72" s="30">
        <v>107268574</v>
      </c>
      <c r="J72" s="30">
        <v>96972068</v>
      </c>
      <c r="K72" s="30">
        <v>98730037</v>
      </c>
      <c r="L72" s="30">
        <v>6.2272192021862362E-5</v>
      </c>
      <c r="M72" s="30">
        <v>4.4811141517802429E-5</v>
      </c>
      <c r="N72" s="30">
        <v>3.0922383661033844E-5</v>
      </c>
      <c r="O72" s="30">
        <v>5.7655777744164436E-5</v>
      </c>
      <c r="P72" s="30">
        <v>4.844523657982626E-5</v>
      </c>
      <c r="Q72" s="30">
        <v>0.76759758569612713</v>
      </c>
      <c r="R72" s="30">
        <v>0.69454427071603542</v>
      </c>
      <c r="S72" s="30">
        <v>0.69369605483629404</v>
      </c>
      <c r="T72" s="30">
        <v>1.0419016141008868</v>
      </c>
      <c r="U72" s="30">
        <v>0.76303104600043459</v>
      </c>
      <c r="V72" s="30">
        <v>-0.13147925533760368</v>
      </c>
      <c r="W72" s="30">
        <v>-0.18025833527199217</v>
      </c>
      <c r="X72" s="30">
        <v>-0.18084941763255868</v>
      </c>
      <c r="Y72" s="30">
        <v>2.0520878093011043E-2</v>
      </c>
      <c r="Z72" s="30">
        <v>-0.13440997226744639</v>
      </c>
    </row>
    <row r="73" spans="1:26" x14ac:dyDescent="0.25">
      <c r="A73" s="32" t="s">
        <v>168</v>
      </c>
      <c r="B73" s="30">
        <v>497</v>
      </c>
      <c r="C73" s="30">
        <v>514</v>
      </c>
      <c r="D73" s="30">
        <v>373</v>
      </c>
      <c r="E73" s="30">
        <v>686</v>
      </c>
      <c r="F73" s="30">
        <v>635</v>
      </c>
      <c r="G73" s="30">
        <v>8739614</v>
      </c>
      <c r="H73" s="30">
        <v>10412605</v>
      </c>
      <c r="I73" s="30">
        <v>12244599</v>
      </c>
      <c r="J73" s="30">
        <v>14136161</v>
      </c>
      <c r="K73" s="30">
        <v>13324465</v>
      </c>
      <c r="L73" s="30">
        <v>5.6867500097830405E-5</v>
      </c>
      <c r="M73" s="30">
        <v>4.9363247717550026E-5</v>
      </c>
      <c r="N73" s="30">
        <v>3.0462410406416741E-5</v>
      </c>
      <c r="O73" s="30">
        <v>4.8528026810107777E-5</v>
      </c>
      <c r="P73" s="30">
        <v>4.7656697661031796E-5</v>
      </c>
      <c r="Q73" s="30">
        <v>0.70097670183737681</v>
      </c>
      <c r="R73" s="30">
        <v>0.76509902950229824</v>
      </c>
      <c r="S73" s="30">
        <v>0.68337726325942805</v>
      </c>
      <c r="T73" s="30">
        <v>0.87695338508723719</v>
      </c>
      <c r="U73" s="30">
        <v>0.75061125576928633</v>
      </c>
      <c r="V73" s="30">
        <v>-0.17579505812138485</v>
      </c>
      <c r="W73" s="30">
        <v>-0.13308090173497877</v>
      </c>
      <c r="X73" s="30">
        <v>-0.18808780637057748</v>
      </c>
      <c r="Y73" s="30">
        <v>-6.5556564105636456E-2</v>
      </c>
      <c r="Z73" s="30">
        <v>-0.14245809479907781</v>
      </c>
    </row>
    <row r="74" spans="1:26" x14ac:dyDescent="0.25">
      <c r="A74" s="32" t="s">
        <v>104</v>
      </c>
      <c r="B74" s="30">
        <v>277</v>
      </c>
      <c r="C74" s="30">
        <v>364</v>
      </c>
      <c r="D74" s="30">
        <v>316</v>
      </c>
      <c r="E74" s="30">
        <v>476</v>
      </c>
      <c r="F74" s="30">
        <v>586</v>
      </c>
      <c r="G74" s="30">
        <v>7667928</v>
      </c>
      <c r="H74" s="30">
        <v>10320440</v>
      </c>
      <c r="I74" s="30">
        <v>12973465</v>
      </c>
      <c r="J74" s="30">
        <v>12486206</v>
      </c>
      <c r="K74" s="30">
        <v>12522742</v>
      </c>
      <c r="L74" s="30">
        <v>3.612449151843888E-5</v>
      </c>
      <c r="M74" s="30">
        <v>3.5269814077694359E-5</v>
      </c>
      <c r="N74" s="30">
        <v>2.4357409527832385E-5</v>
      </c>
      <c r="O74" s="30">
        <v>3.812206846499249E-5</v>
      </c>
      <c r="P74" s="30">
        <v>4.679486329751104E-5</v>
      </c>
      <c r="Q74" s="30">
        <v>0.44528820286780418</v>
      </c>
      <c r="R74" s="30">
        <v>0.54665974726732891</v>
      </c>
      <c r="S74" s="30">
        <v>0.5464209706699038</v>
      </c>
      <c r="T74" s="30">
        <v>0.68890658006188021</v>
      </c>
      <c r="U74" s="30">
        <v>0.73703703418833111</v>
      </c>
      <c r="V74" s="30">
        <v>-0.38380704694849949</v>
      </c>
      <c r="W74" s="30">
        <v>-0.29310923332274097</v>
      </c>
      <c r="X74" s="30">
        <v>-0.29330889708098529</v>
      </c>
      <c r="Y74" s="30">
        <v>-0.18419812179707512</v>
      </c>
      <c r="Z74" s="30">
        <v>-0.15138592939358034</v>
      </c>
    </row>
    <row r="75" spans="1:26" x14ac:dyDescent="0.25">
      <c r="A75" s="32" t="s">
        <v>76</v>
      </c>
      <c r="B75" s="30">
        <v>9860</v>
      </c>
      <c r="C75" s="30">
        <v>9379</v>
      </c>
      <c r="D75" s="30">
        <v>7045</v>
      </c>
      <c r="E75" s="30">
        <v>8682</v>
      </c>
      <c r="F75" s="30">
        <v>8577</v>
      </c>
      <c r="G75" s="30">
        <v>149436257</v>
      </c>
      <c r="H75" s="30">
        <v>187319607</v>
      </c>
      <c r="I75" s="30">
        <v>202997376</v>
      </c>
      <c r="J75" s="30">
        <v>193241453</v>
      </c>
      <c r="K75" s="30">
        <v>188975538</v>
      </c>
      <c r="L75" s="30">
        <v>6.5981310010996858E-5</v>
      </c>
      <c r="M75" s="30">
        <v>5.0069505003819488E-5</v>
      </c>
      <c r="N75" s="30">
        <v>3.4704882096604044E-5</v>
      </c>
      <c r="O75" s="30">
        <v>4.4928248391922408E-5</v>
      </c>
      <c r="P75" s="30">
        <v>4.538682673309812E-5</v>
      </c>
      <c r="Q75" s="30">
        <v>0.81331799349102463</v>
      </c>
      <c r="R75" s="30">
        <v>0.77604556947461822</v>
      </c>
      <c r="S75" s="30">
        <v>0.77855058193039894</v>
      </c>
      <c r="T75" s="30">
        <v>0.811901536147562</v>
      </c>
      <c r="U75" s="30">
        <v>0.71485991857489961</v>
      </c>
      <c r="V75" s="30">
        <v>-0.10295050684936546</v>
      </c>
      <c r="W75" s="30">
        <v>-0.1260972321738518</v>
      </c>
      <c r="X75" s="30">
        <v>-0.12451117236668344</v>
      </c>
      <c r="Y75" s="30">
        <v>-0.10381274042758976</v>
      </c>
      <c r="Z75" s="30">
        <v>-0.16627601959585153</v>
      </c>
    </row>
    <row r="76" spans="1:26" x14ac:dyDescent="0.25">
      <c r="A76" s="32" t="s">
        <v>153</v>
      </c>
      <c r="B76" s="30">
        <v>2684</v>
      </c>
      <c r="C76" s="30">
        <v>3592</v>
      </c>
      <c r="D76" s="30">
        <v>2444</v>
      </c>
      <c r="E76" s="30">
        <v>2084</v>
      </c>
      <c r="F76" s="30">
        <v>2753</v>
      </c>
      <c r="G76" s="30">
        <v>42355637</v>
      </c>
      <c r="H76" s="30">
        <v>63183753</v>
      </c>
      <c r="I76" s="30">
        <v>76162545</v>
      </c>
      <c r="J76" s="30">
        <v>73713616</v>
      </c>
      <c r="K76" s="30">
        <v>60821974</v>
      </c>
      <c r="L76" s="30">
        <v>6.3368188748996976E-5</v>
      </c>
      <c r="M76" s="30">
        <v>5.6850057640608974E-5</v>
      </c>
      <c r="N76" s="30">
        <v>3.2089263823838871E-5</v>
      </c>
      <c r="O76" s="30">
        <v>2.8271574684383954E-5</v>
      </c>
      <c r="P76" s="30">
        <v>4.5263246470757429E-5</v>
      </c>
      <c r="Q76" s="30">
        <v>0.78110737898209381</v>
      </c>
      <c r="R76" s="30">
        <v>0.88113983457607092</v>
      </c>
      <c r="S76" s="30">
        <v>0.71987321421306627</v>
      </c>
      <c r="T76" s="30">
        <v>0.51089761424326263</v>
      </c>
      <c r="U76" s="30">
        <v>0.71291348207265548</v>
      </c>
      <c r="V76" s="30">
        <v>-0.12289692558738584</v>
      </c>
      <c r="W76" s="30">
        <v>-6.3185183386813504E-2</v>
      </c>
      <c r="X76" s="30">
        <v>-0.16287641639625552</v>
      </c>
      <c r="Y76" s="30">
        <v>-0.32371643263313093</v>
      </c>
      <c r="Z76" s="30">
        <v>-0.16760129506363905</v>
      </c>
    </row>
    <row r="77" spans="1:26" x14ac:dyDescent="0.25">
      <c r="A77" s="32" t="s">
        <v>182</v>
      </c>
      <c r="B77" s="30">
        <v>36</v>
      </c>
      <c r="C77" s="30">
        <v>38</v>
      </c>
      <c r="D77" s="30">
        <v>1</v>
      </c>
      <c r="E77" s="30">
        <v>3</v>
      </c>
      <c r="F77" s="30">
        <v>89</v>
      </c>
      <c r="G77" s="30">
        <v>1211402</v>
      </c>
      <c r="H77" s="30">
        <v>1689962</v>
      </c>
      <c r="I77" s="30">
        <v>1849948</v>
      </c>
      <c r="J77" s="30">
        <v>2034786</v>
      </c>
      <c r="K77" s="30">
        <v>2033045</v>
      </c>
      <c r="L77" s="30">
        <v>2.9717632957515343E-5</v>
      </c>
      <c r="M77" s="30">
        <v>2.2485712696498503E-5</v>
      </c>
      <c r="N77" s="30">
        <v>5.4055573453956539E-7</v>
      </c>
      <c r="O77" s="30">
        <v>1.4743565170981126E-6</v>
      </c>
      <c r="P77" s="30">
        <v>4.3776699482795513E-5</v>
      </c>
      <c r="Q77" s="30">
        <v>0.36631412144258457</v>
      </c>
      <c r="R77" s="30">
        <v>0.34851428455834915</v>
      </c>
      <c r="S77" s="30">
        <v>1.2126535411361449E-2</v>
      </c>
      <c r="T77" s="30">
        <v>2.664320030060063E-2</v>
      </c>
      <c r="U77" s="30">
        <v>0.68949979719397092</v>
      </c>
      <c r="V77" s="30">
        <v>-0.46379223387397617</v>
      </c>
      <c r="W77" s="30">
        <v>-0.48311369252941838</v>
      </c>
      <c r="X77" s="30">
        <v>-0.97603751114689852</v>
      </c>
      <c r="Y77" s="30">
        <v>-0.94809647540099717</v>
      </c>
      <c r="Z77" s="30">
        <v>-0.18378232617827336</v>
      </c>
    </row>
    <row r="78" spans="1:26" x14ac:dyDescent="0.25">
      <c r="A78" s="32" t="s">
        <v>30</v>
      </c>
      <c r="B78" s="30">
        <v>25387</v>
      </c>
      <c r="C78" s="30">
        <v>23693</v>
      </c>
      <c r="D78" s="30">
        <v>19161</v>
      </c>
      <c r="E78" s="30">
        <v>22658</v>
      </c>
      <c r="F78" s="30">
        <v>29921</v>
      </c>
      <c r="G78" s="30">
        <v>571097349</v>
      </c>
      <c r="H78" s="30">
        <v>707758694</v>
      </c>
      <c r="I78" s="30">
        <v>815172598</v>
      </c>
      <c r="J78" s="30">
        <v>777352604</v>
      </c>
      <c r="K78" s="30">
        <v>740387893</v>
      </c>
      <c r="L78" s="30">
        <v>4.4453016713267918E-5</v>
      </c>
      <c r="M78" s="30">
        <v>3.3476098846763161E-5</v>
      </c>
      <c r="N78" s="30">
        <v>2.3505451541196187E-5</v>
      </c>
      <c r="O78" s="30">
        <v>2.9147647905737254E-5</v>
      </c>
      <c r="P78" s="30">
        <v>4.0412600317871489E-5</v>
      </c>
      <c r="Q78" s="30">
        <v>0.54794968987175796</v>
      </c>
      <c r="R78" s="30">
        <v>0.51885829890555446</v>
      </c>
      <c r="S78" s="30">
        <v>0.5273086053136542</v>
      </c>
      <c r="T78" s="30">
        <v>0.52672919503380966</v>
      </c>
      <c r="U78" s="30">
        <v>0.63651394583103027</v>
      </c>
      <c r="V78" s="30">
        <v>-0.29203165521851859</v>
      </c>
      <c r="W78" s="30">
        <v>-0.31677853124359423</v>
      </c>
      <c r="X78" s="30">
        <v>-0.30949304747043704</v>
      </c>
      <c r="Y78" s="30">
        <v>-0.30999001427735828</v>
      </c>
      <c r="Z78" s="30">
        <v>-0.22210996435132097</v>
      </c>
    </row>
    <row r="79" spans="1:26" x14ac:dyDescent="0.25">
      <c r="A79" s="32" t="s">
        <v>49</v>
      </c>
      <c r="B79" s="30">
        <v>18412</v>
      </c>
      <c r="C79" s="30">
        <v>15703</v>
      </c>
      <c r="D79" s="30">
        <v>12041</v>
      </c>
      <c r="E79" s="30">
        <v>21303</v>
      </c>
      <c r="F79" s="30">
        <v>18347</v>
      </c>
      <c r="G79" s="30">
        <v>328822696</v>
      </c>
      <c r="H79" s="30">
        <v>406912769</v>
      </c>
      <c r="I79" s="30">
        <v>475516057</v>
      </c>
      <c r="J79" s="30">
        <v>422530066</v>
      </c>
      <c r="K79" s="30">
        <v>457612578</v>
      </c>
      <c r="L79" s="30">
        <v>5.5993701845933405E-5</v>
      </c>
      <c r="M79" s="30">
        <v>3.8590580577234232E-5</v>
      </c>
      <c r="N79" s="30">
        <v>2.5321962997350475E-5</v>
      </c>
      <c r="O79" s="30">
        <v>5.041771394322505E-5</v>
      </c>
      <c r="P79" s="30">
        <v>4.0092866503332867E-5</v>
      </c>
      <c r="Q79" s="30">
        <v>0.69020583595383522</v>
      </c>
      <c r="R79" s="30">
        <v>0.5981295217144913</v>
      </c>
      <c r="S79" s="30">
        <v>0.56805924227981586</v>
      </c>
      <c r="T79" s="30">
        <v>0.91110205415691847</v>
      </c>
      <c r="U79" s="30">
        <v>0.63147801569273665</v>
      </c>
      <c r="V79" s="30">
        <v>-0.18328783243807603</v>
      </c>
      <c r="W79" s="30">
        <v>-0.25146302150427552</v>
      </c>
      <c r="X79" s="30">
        <v>-0.27546201449135393</v>
      </c>
      <c r="Y79" s="30">
        <v>-4.6516587457857556E-2</v>
      </c>
      <c r="Z79" s="30">
        <v>-0.22588228634560326</v>
      </c>
    </row>
    <row r="80" spans="1:26" x14ac:dyDescent="0.25">
      <c r="A80" s="32" t="s">
        <v>192</v>
      </c>
      <c r="B80" s="30">
        <v>1918</v>
      </c>
      <c r="C80" s="30">
        <v>2041</v>
      </c>
      <c r="D80" s="30">
        <v>2239</v>
      </c>
      <c r="E80" s="30">
        <v>1714</v>
      </c>
      <c r="F80" s="30">
        <v>122</v>
      </c>
      <c r="G80" s="30">
        <v>4420043</v>
      </c>
      <c r="H80" s="30">
        <v>5159980</v>
      </c>
      <c r="I80" s="30">
        <v>5824416</v>
      </c>
      <c r="J80" s="30">
        <v>5298254</v>
      </c>
      <c r="K80" s="30">
        <v>3100163</v>
      </c>
      <c r="L80" s="30">
        <v>4.3393243006911925E-4</v>
      </c>
      <c r="M80" s="30">
        <v>3.9554416877584796E-4</v>
      </c>
      <c r="N80" s="30">
        <v>3.8441622301703724E-4</v>
      </c>
      <c r="O80" s="30">
        <v>3.2350279922404624E-4</v>
      </c>
      <c r="P80" s="30">
        <v>3.9352769515667399E-5</v>
      </c>
      <c r="Q80" s="30">
        <v>5.3488639930865229</v>
      </c>
      <c r="R80" s="30">
        <v>6.1306837302785668</v>
      </c>
      <c r="S80" s="30">
        <v>8.6237859359472182</v>
      </c>
      <c r="T80" s="30">
        <v>5.8460418342341036</v>
      </c>
      <c r="U80" s="30">
        <v>0.61982120444547117</v>
      </c>
      <c r="V80" s="30">
        <v>0.68498301394109828</v>
      </c>
      <c r="W80" s="30">
        <v>0.71952198756095043</v>
      </c>
      <c r="X80" s="30">
        <v>0.79218157871430761</v>
      </c>
      <c r="Y80" s="30">
        <v>0.70786038875794444</v>
      </c>
      <c r="Z80" s="30">
        <v>-0.23470417260322202</v>
      </c>
    </row>
    <row r="81" spans="1:26" x14ac:dyDescent="0.25">
      <c r="A81" s="32" t="s">
        <v>145</v>
      </c>
      <c r="B81" s="30">
        <v>49</v>
      </c>
      <c r="C81" s="30">
        <v>6</v>
      </c>
      <c r="D81" s="30">
        <v>85</v>
      </c>
      <c r="E81" s="30">
        <v>53</v>
      </c>
      <c r="F81" s="30">
        <v>521</v>
      </c>
      <c r="G81" s="30">
        <v>7820339</v>
      </c>
      <c r="H81" s="30">
        <v>8285456</v>
      </c>
      <c r="I81" s="30">
        <v>12129313</v>
      </c>
      <c r="J81" s="30">
        <v>11877493</v>
      </c>
      <c r="K81" s="30">
        <v>13278219</v>
      </c>
      <c r="L81" s="30">
        <v>6.2657130336677222E-6</v>
      </c>
      <c r="M81" s="30">
        <v>7.241605048653931E-7</v>
      </c>
      <c r="N81" s="30">
        <v>7.0078165185447845E-6</v>
      </c>
      <c r="O81" s="30">
        <v>4.462221110128206E-6</v>
      </c>
      <c r="P81" s="30">
        <v>3.9237189867104919E-5</v>
      </c>
      <c r="Q81" s="30">
        <v>7.7234252419114732E-2</v>
      </c>
      <c r="R81" s="30">
        <v>1.1224028504903753E-2</v>
      </c>
      <c r="S81" s="30">
        <v>0.15720957107381678</v>
      </c>
      <c r="T81" s="30">
        <v>8.0637111474715847E-2</v>
      </c>
      <c r="U81" s="30">
        <v>0.61800078067700281</v>
      </c>
      <c r="V81" s="30">
        <v>-0.8566063931857496</v>
      </c>
      <c r="W81" s="30">
        <v>-0.97780110403132237</v>
      </c>
      <c r="X81" s="30">
        <v>-0.72829541855942936</v>
      </c>
      <c r="Y81" s="30">
        <v>-0.85076005512216302</v>
      </c>
      <c r="Z81" s="30">
        <v>-0.23609334673074836</v>
      </c>
    </row>
    <row r="82" spans="1:26" x14ac:dyDescent="0.25">
      <c r="A82" s="32" t="s">
        <v>100</v>
      </c>
      <c r="B82" s="30">
        <v>450</v>
      </c>
      <c r="C82" s="30">
        <v>252</v>
      </c>
      <c r="D82" s="30">
        <v>252</v>
      </c>
      <c r="E82" s="30">
        <v>510</v>
      </c>
      <c r="F82" s="30">
        <v>502</v>
      </c>
      <c r="G82" s="30">
        <v>6143458</v>
      </c>
      <c r="H82" s="30">
        <v>7697303</v>
      </c>
      <c r="I82" s="30">
        <v>10038186</v>
      </c>
      <c r="J82" s="30">
        <v>10982642</v>
      </c>
      <c r="K82" s="30">
        <v>13072085</v>
      </c>
      <c r="L82" s="30">
        <v>7.3248649213521118E-5</v>
      </c>
      <c r="M82" s="30">
        <v>3.2738739789767922E-5</v>
      </c>
      <c r="N82" s="30">
        <v>2.5104137341149089E-5</v>
      </c>
      <c r="O82" s="30">
        <v>4.643691381363428E-5</v>
      </c>
      <c r="P82" s="30">
        <v>3.8402443068569399E-5</v>
      </c>
      <c r="Q82" s="30">
        <v>0.90289878140248914</v>
      </c>
      <c r="R82" s="30">
        <v>0.50742970121421549</v>
      </c>
      <c r="S82" s="30">
        <v>0.5631726591494397</v>
      </c>
      <c r="T82" s="30">
        <v>0.83916473507611844</v>
      </c>
      <c r="U82" s="30">
        <v>0.60485319862768094</v>
      </c>
      <c r="V82" s="30">
        <v>-5.1028052330741716E-2</v>
      </c>
      <c r="W82" s="30">
        <v>-0.32676170463473381</v>
      </c>
      <c r="X82" s="30">
        <v>-0.27944919474746233</v>
      </c>
      <c r="Y82" s="30">
        <v>-8.7450167924856922E-2</v>
      </c>
      <c r="Z82" s="30">
        <v>-0.24621990454342574</v>
      </c>
    </row>
    <row r="83" spans="1:26" x14ac:dyDescent="0.25">
      <c r="A83" s="32" t="s">
        <v>155</v>
      </c>
      <c r="B83" s="30">
        <v>853</v>
      </c>
      <c r="C83" s="30">
        <v>757</v>
      </c>
      <c r="D83" s="30">
        <v>821</v>
      </c>
      <c r="E83" s="30">
        <v>733</v>
      </c>
      <c r="F83" s="30">
        <v>783</v>
      </c>
      <c r="G83" s="30">
        <v>10732039</v>
      </c>
      <c r="H83" s="30">
        <v>11705787</v>
      </c>
      <c r="I83" s="30">
        <v>14539859</v>
      </c>
      <c r="J83" s="30">
        <v>17285345</v>
      </c>
      <c r="K83" s="30">
        <v>21058044</v>
      </c>
      <c r="L83" s="30">
        <v>7.948163438466819E-5</v>
      </c>
      <c r="M83" s="30">
        <v>6.4668868483597048E-5</v>
      </c>
      <c r="N83" s="30">
        <v>5.6465471914136169E-5</v>
      </c>
      <c r="O83" s="30">
        <v>4.2405864621157404E-5</v>
      </c>
      <c r="P83" s="30">
        <v>3.718294063779143E-5</v>
      </c>
      <c r="Q83" s="30">
        <v>0.979729614133936</v>
      </c>
      <c r="R83" s="30">
        <v>1.0023264433272085</v>
      </c>
      <c r="S83" s="30">
        <v>1.2667159016807905</v>
      </c>
      <c r="T83" s="30">
        <v>0.76631936164627468</v>
      </c>
      <c r="U83" s="30">
        <v>0.58564556788728173</v>
      </c>
      <c r="V83" s="30">
        <v>-1.0238966837363597E-2</v>
      </c>
      <c r="W83" s="30">
        <v>1.1618701510742499E-3</v>
      </c>
      <c r="X83" s="30">
        <v>0.11766622428643053</v>
      </c>
      <c r="Y83" s="30">
        <v>-0.1322980676246035</v>
      </c>
      <c r="Z83" s="30">
        <v>-0.26131592110133744</v>
      </c>
    </row>
    <row r="84" spans="1:26" x14ac:dyDescent="0.25">
      <c r="A84" s="32" t="s">
        <v>68</v>
      </c>
      <c r="B84" s="30">
        <v>586</v>
      </c>
      <c r="C84" s="30">
        <v>671</v>
      </c>
      <c r="D84" s="30">
        <v>411</v>
      </c>
      <c r="E84" s="30">
        <v>505</v>
      </c>
      <c r="F84" s="30">
        <v>739</v>
      </c>
      <c r="G84" s="30">
        <v>15415397</v>
      </c>
      <c r="H84" s="30">
        <v>19288258</v>
      </c>
      <c r="I84" s="30">
        <v>21127751</v>
      </c>
      <c r="J84" s="30">
        <v>18705398</v>
      </c>
      <c r="K84" s="30">
        <v>20203122</v>
      </c>
      <c r="L84" s="30">
        <v>3.8013941515745586E-5</v>
      </c>
      <c r="M84" s="30">
        <v>3.4788004183685224E-5</v>
      </c>
      <c r="N84" s="30">
        <v>1.9453088026264603E-5</v>
      </c>
      <c r="O84" s="30">
        <v>2.6997554395795269E-5</v>
      </c>
      <c r="P84" s="30">
        <v>3.6578505044913355E-5</v>
      </c>
      <c r="Q84" s="30">
        <v>0.46857849038035876</v>
      </c>
      <c r="R84" s="30">
        <v>0.53919199951255681</v>
      </c>
      <c r="S84" s="30">
        <v>0.4364000707748717</v>
      </c>
      <c r="T84" s="30">
        <v>0.4878747040161574</v>
      </c>
      <c r="U84" s="30">
        <v>0.5761254756091958</v>
      </c>
      <c r="V84" s="30">
        <v>-0.36186115560088605</v>
      </c>
      <c r="W84" s="30">
        <v>-0.29938305333796916</v>
      </c>
      <c r="X84" s="30">
        <v>-0.39236974481704961</v>
      </c>
      <c r="Y84" s="30">
        <v>-0.34419920884566713</v>
      </c>
      <c r="Z84" s="30">
        <v>-0.26893450486673365</v>
      </c>
    </row>
    <row r="85" spans="1:26" x14ac:dyDescent="0.25">
      <c r="A85" s="32" t="s">
        <v>62</v>
      </c>
      <c r="B85" s="30">
        <v>4725</v>
      </c>
      <c r="C85" s="30">
        <v>4014</v>
      </c>
      <c r="D85" s="30">
        <v>3476</v>
      </c>
      <c r="E85" s="30">
        <v>5335</v>
      </c>
      <c r="F85" s="30">
        <v>4191</v>
      </c>
      <c r="G85" s="30">
        <v>77834420</v>
      </c>
      <c r="H85" s="30">
        <v>98337110</v>
      </c>
      <c r="I85" s="30">
        <v>115291040</v>
      </c>
      <c r="J85" s="30">
        <v>113486253</v>
      </c>
      <c r="K85" s="30">
        <v>115997232</v>
      </c>
      <c r="L85" s="30">
        <v>6.0705790574401404E-5</v>
      </c>
      <c r="M85" s="30">
        <v>4.0818771265496823E-5</v>
      </c>
      <c r="N85" s="30">
        <v>3.0149784406489871E-5</v>
      </c>
      <c r="O85" s="30">
        <v>4.7010099099844276E-5</v>
      </c>
      <c r="P85" s="30">
        <v>3.6130172485495174E-5</v>
      </c>
      <c r="Q85" s="30">
        <v>0.74828935307634348</v>
      </c>
      <c r="R85" s="30">
        <v>0.63266506408581846</v>
      </c>
      <c r="S85" s="30">
        <v>0.67636398041662438</v>
      </c>
      <c r="T85" s="30">
        <v>0.84952280669091895</v>
      </c>
      <c r="U85" s="30">
        <v>0.5690640659450027</v>
      </c>
      <c r="V85" s="30">
        <v>-0.14397539313543192</v>
      </c>
      <c r="W85" s="30">
        <v>-0.22499099416931798</v>
      </c>
      <c r="X85" s="30">
        <v>-0.19305832346919241</v>
      </c>
      <c r="Y85" s="30">
        <v>-8.1360009600696906E-2</v>
      </c>
      <c r="Z85" s="30">
        <v>-0.27464521265131187</v>
      </c>
    </row>
    <row r="86" spans="1:26" x14ac:dyDescent="0.25">
      <c r="A86" s="32" t="s">
        <v>232</v>
      </c>
      <c r="B86" s="30">
        <v>1</v>
      </c>
      <c r="C86" s="30">
        <v>2</v>
      </c>
      <c r="D86" s="30">
        <v>1</v>
      </c>
      <c r="E86" s="30">
        <v>1</v>
      </c>
      <c r="F86" s="30">
        <v>2</v>
      </c>
      <c r="G86" s="30">
        <v>10859</v>
      </c>
      <c r="H86" s="30">
        <v>29360</v>
      </c>
      <c r="I86" s="30">
        <v>31710</v>
      </c>
      <c r="J86" s="30">
        <v>15756</v>
      </c>
      <c r="K86" s="30">
        <v>55821</v>
      </c>
      <c r="L86" s="30">
        <v>9.2089511004696571E-5</v>
      </c>
      <c r="M86" s="30">
        <v>6.811989100817439E-5</v>
      </c>
      <c r="N86" s="30">
        <v>3.1535793125197099E-5</v>
      </c>
      <c r="O86" s="30">
        <v>6.3467885250063474E-5</v>
      </c>
      <c r="P86" s="30">
        <v>3.5828809946077644E-5</v>
      </c>
      <c r="Q86" s="30">
        <v>1.1351404859865084</v>
      </c>
      <c r="R86" s="30">
        <v>1.0558151035436629</v>
      </c>
      <c r="S86" s="30">
        <v>0.70745695147200538</v>
      </c>
      <c r="T86" s="30">
        <v>1.1469326175606744</v>
      </c>
      <c r="U86" s="30">
        <v>0.56431749043188273</v>
      </c>
      <c r="V86" s="30">
        <v>6.329348671596606E-2</v>
      </c>
      <c r="W86" s="30">
        <v>2.714986549493335E-2</v>
      </c>
      <c r="X86" s="30">
        <v>-0.17133260564829592</v>
      </c>
      <c r="Y86" s="30">
        <v>6.84383926905065E-2</v>
      </c>
      <c r="Z86" s="30">
        <v>-0.2785128416916392</v>
      </c>
    </row>
    <row r="87" spans="1:26" x14ac:dyDescent="0.25">
      <c r="A87" s="32" t="s">
        <v>115</v>
      </c>
      <c r="B87" s="30">
        <v>904</v>
      </c>
      <c r="C87" s="30">
        <v>647</v>
      </c>
      <c r="D87" s="30">
        <v>451</v>
      </c>
      <c r="E87" s="30">
        <v>601</v>
      </c>
      <c r="F87" s="30">
        <v>567</v>
      </c>
      <c r="G87" s="30">
        <v>9867992</v>
      </c>
      <c r="H87" s="30">
        <v>13030086</v>
      </c>
      <c r="I87" s="30">
        <v>15382424</v>
      </c>
      <c r="J87" s="30">
        <v>15348896</v>
      </c>
      <c r="K87" s="30">
        <v>15853280</v>
      </c>
      <c r="L87" s="30">
        <v>9.1609316262112903E-5</v>
      </c>
      <c r="M87" s="30">
        <v>4.96543154051324E-5</v>
      </c>
      <c r="N87" s="30">
        <v>2.9319176223461271E-5</v>
      </c>
      <c r="O87" s="30">
        <v>3.9155910627057477E-5</v>
      </c>
      <c r="P87" s="30">
        <v>3.576546935397596E-5</v>
      </c>
      <c r="Q87" s="30">
        <v>1.1292213700359766</v>
      </c>
      <c r="R87" s="30">
        <v>0.76961039404141829</v>
      </c>
      <c r="S87" s="30">
        <v>0.6577305650241444</v>
      </c>
      <c r="T87" s="30">
        <v>0.7075892144747008</v>
      </c>
      <c r="U87" s="30">
        <v>0.56331985182677446</v>
      </c>
      <c r="V87" s="30">
        <v>6.0689495162164923E-2</v>
      </c>
      <c r="W87" s="30">
        <v>-0.13019227663577421</v>
      </c>
      <c r="X87" s="30">
        <v>-0.2064686760305168</v>
      </c>
      <c r="Y87" s="30">
        <v>-0.17124187892885728</v>
      </c>
      <c r="Z87" s="30">
        <v>-0.27932872960255378</v>
      </c>
    </row>
    <row r="88" spans="1:26" x14ac:dyDescent="0.25">
      <c r="A88" s="32" t="s">
        <v>86</v>
      </c>
      <c r="B88" s="30"/>
      <c r="C88" s="30">
        <v>83</v>
      </c>
      <c r="D88" s="30">
        <v>267</v>
      </c>
      <c r="E88" s="30">
        <v>116</v>
      </c>
      <c r="F88" s="30">
        <v>702</v>
      </c>
      <c r="G88" s="30">
        <v>0</v>
      </c>
      <c r="H88" s="30">
        <v>17848192</v>
      </c>
      <c r="I88" s="30">
        <v>17962660</v>
      </c>
      <c r="J88" s="30">
        <v>16394368</v>
      </c>
      <c r="K88" s="30">
        <v>19984601</v>
      </c>
      <c r="L88" s="30" t="e">
        <v>#DIV/0!</v>
      </c>
      <c r="M88" s="30">
        <v>4.6503309690975979E-6</v>
      </c>
      <c r="N88" s="30">
        <v>1.4864168224527994E-5</v>
      </c>
      <c r="O88" s="30">
        <v>7.0756005964975291E-6</v>
      </c>
      <c r="P88" s="30">
        <v>3.5127046069120921E-5</v>
      </c>
      <c r="Q88" s="30" t="e">
        <v>#DIV/0!</v>
      </c>
      <c r="R88" s="30">
        <v>7.2077180409183206E-2</v>
      </c>
      <c r="S88" s="30">
        <v>0.33345472227522743</v>
      </c>
      <c r="T88" s="30">
        <v>0.12786367595171549</v>
      </c>
      <c r="U88" s="30">
        <v>0.55326444037200151</v>
      </c>
      <c r="V88" s="30" t="e">
        <v>#DIV/0!</v>
      </c>
      <c r="W88" s="30">
        <v>-0.8655373293522145</v>
      </c>
      <c r="X88" s="30">
        <v>-0.49986344987212583</v>
      </c>
      <c r="Y88" s="30">
        <v>-0.77326395258926761</v>
      </c>
      <c r="Z88" s="30">
        <v>-0.28761075578412576</v>
      </c>
    </row>
    <row r="89" spans="1:26" x14ac:dyDescent="0.25">
      <c r="A89" s="32" t="s">
        <v>45</v>
      </c>
      <c r="B89" s="30">
        <v>3416</v>
      </c>
      <c r="C89" s="30">
        <v>1724</v>
      </c>
      <c r="D89" s="30">
        <v>1200</v>
      </c>
      <c r="E89" s="30">
        <v>1594</v>
      </c>
      <c r="F89" s="30">
        <v>1562</v>
      </c>
      <c r="G89" s="30">
        <v>33313761</v>
      </c>
      <c r="H89" s="30">
        <v>44476453</v>
      </c>
      <c r="I89" s="30">
        <v>55110148</v>
      </c>
      <c r="J89" s="30">
        <v>48418283</v>
      </c>
      <c r="K89" s="30">
        <v>44757934</v>
      </c>
      <c r="L89" s="30">
        <v>1.0254020853424505E-4</v>
      </c>
      <c r="M89" s="30">
        <v>3.8762083837935549E-5</v>
      </c>
      <c r="N89" s="30">
        <v>2.1774574076629226E-5</v>
      </c>
      <c r="O89" s="30">
        <v>3.2921448288449221E-5</v>
      </c>
      <c r="P89" s="30">
        <v>3.4898840505015268E-5</v>
      </c>
      <c r="Q89" s="30">
        <v>1.2639609101929596</v>
      </c>
      <c r="R89" s="30">
        <v>0.60078771347427706</v>
      </c>
      <c r="S89" s="30">
        <v>0.48847903506651352</v>
      </c>
      <c r="T89" s="30">
        <v>0.59492580713206744</v>
      </c>
      <c r="U89" s="30">
        <v>0.54967011526233389</v>
      </c>
      <c r="V89" s="30">
        <v>0.1165925211007561</v>
      </c>
      <c r="W89" s="30">
        <v>-0.24938490167399568</v>
      </c>
      <c r="X89" s="30">
        <v>-0.34365345623469179</v>
      </c>
      <c r="Y89" s="30">
        <v>-0.25397682516425074</v>
      </c>
      <c r="Z89" s="30">
        <v>-0.29059725699197125</v>
      </c>
    </row>
    <row r="90" spans="1:26" x14ac:dyDescent="0.25">
      <c r="A90" s="32" t="s">
        <v>66</v>
      </c>
      <c r="B90" s="30">
        <v>1056</v>
      </c>
      <c r="C90" s="30">
        <v>1143</v>
      </c>
      <c r="D90" s="30">
        <v>869</v>
      </c>
      <c r="E90" s="30">
        <v>637</v>
      </c>
      <c r="F90" s="30">
        <v>813</v>
      </c>
      <c r="G90" s="30">
        <v>17315082</v>
      </c>
      <c r="H90" s="30">
        <v>23085528</v>
      </c>
      <c r="I90" s="30">
        <v>27901013</v>
      </c>
      <c r="J90" s="30">
        <v>25307970</v>
      </c>
      <c r="K90" s="30">
        <v>23466752</v>
      </c>
      <c r="L90" s="30">
        <v>6.0987294198202465E-5</v>
      </c>
      <c r="M90" s="30">
        <v>4.9511538137659231E-5</v>
      </c>
      <c r="N90" s="30">
        <v>3.1145822554901498E-5</v>
      </c>
      <c r="O90" s="30">
        <v>2.5169936585194307E-5</v>
      </c>
      <c r="P90" s="30">
        <v>3.4644760382689521E-5</v>
      </c>
      <c r="Q90" s="30">
        <v>0.75175930483135067</v>
      </c>
      <c r="R90" s="30">
        <v>0.76739743695634632</v>
      </c>
      <c r="S90" s="30">
        <v>0.69870856230894063</v>
      </c>
      <c r="T90" s="30">
        <v>0.45484769403852504</v>
      </c>
      <c r="U90" s="30">
        <v>0.54566825594254964</v>
      </c>
      <c r="V90" s="30">
        <v>-0.1417093629724139</v>
      </c>
      <c r="W90" s="30">
        <v>-0.13160738958873958</v>
      </c>
      <c r="X90" s="30">
        <v>-0.17736499619542398</v>
      </c>
      <c r="Y90" s="30">
        <v>-0.37471434858461478</v>
      </c>
      <c r="Z90" s="30">
        <v>-0.29393871699875113</v>
      </c>
    </row>
    <row r="91" spans="1:26" x14ac:dyDescent="0.25">
      <c r="A91" s="32" t="s">
        <v>96</v>
      </c>
      <c r="B91" s="30">
        <v>2982</v>
      </c>
      <c r="C91" s="30">
        <v>2377</v>
      </c>
      <c r="D91" s="30">
        <v>1771</v>
      </c>
      <c r="E91" s="30">
        <v>3304</v>
      </c>
      <c r="F91" s="30">
        <v>4725</v>
      </c>
      <c r="G91" s="30">
        <v>91852185</v>
      </c>
      <c r="H91" s="30">
        <v>116381979</v>
      </c>
      <c r="I91" s="30">
        <v>132869619</v>
      </c>
      <c r="J91" s="30">
        <v>131998810</v>
      </c>
      <c r="K91" s="30">
        <v>136432938</v>
      </c>
      <c r="L91" s="30">
        <v>3.2465204828823616E-5</v>
      </c>
      <c r="M91" s="30">
        <v>2.042412425380737E-5</v>
      </c>
      <c r="N91" s="30">
        <v>1.3328855861323724E-5</v>
      </c>
      <c r="O91" s="30">
        <v>2.5030528684311623E-5</v>
      </c>
      <c r="P91" s="30">
        <v>3.463239939903662E-5</v>
      </c>
      <c r="Q91" s="30">
        <v>0.40018204011489317</v>
      </c>
      <c r="R91" s="30">
        <v>0.31656097132091082</v>
      </c>
      <c r="S91" s="30">
        <v>0.29901235389344333</v>
      </c>
      <c r="T91" s="30">
        <v>0.45232844405819178</v>
      </c>
      <c r="U91" s="30">
        <v>0.54547356571184502</v>
      </c>
      <c r="V91" s="30">
        <v>-0.4283856975025106</v>
      </c>
      <c r="W91" s="30">
        <v>-0.5191092881884477</v>
      </c>
      <c r="X91" s="30">
        <v>-0.53963123907600508</v>
      </c>
      <c r="Y91" s="30">
        <v>-0.37709896696057832</v>
      </c>
      <c r="Z91" s="30">
        <v>-0.29410172025737635</v>
      </c>
    </row>
    <row r="92" spans="1:26" x14ac:dyDescent="0.25">
      <c r="A92" s="32" t="s">
        <v>102</v>
      </c>
      <c r="B92" s="30">
        <v>4808</v>
      </c>
      <c r="C92" s="30">
        <v>1549</v>
      </c>
      <c r="D92" s="30">
        <v>1757</v>
      </c>
      <c r="E92" s="30">
        <v>1398</v>
      </c>
      <c r="F92" s="30">
        <v>2069</v>
      </c>
      <c r="G92" s="30">
        <v>38081411</v>
      </c>
      <c r="H92" s="30">
        <v>41415435</v>
      </c>
      <c r="I92" s="30">
        <v>30952133</v>
      </c>
      <c r="J92" s="30">
        <v>61160501</v>
      </c>
      <c r="K92" s="30">
        <v>59787311</v>
      </c>
      <c r="L92" s="30">
        <v>1.2625582597241474E-4</v>
      </c>
      <c r="M92" s="30">
        <v>3.7401514676834859E-5</v>
      </c>
      <c r="N92" s="30">
        <v>5.6765070116492456E-5</v>
      </c>
      <c r="O92" s="30">
        <v>2.2857889931280975E-5</v>
      </c>
      <c r="P92" s="30">
        <v>3.4606005277608151E-5</v>
      </c>
      <c r="Q92" s="30">
        <v>1.5562912441314372</v>
      </c>
      <c r="R92" s="30">
        <v>0.57969975445899535</v>
      </c>
      <c r="S92" s="30">
        <v>1.273436925948803</v>
      </c>
      <c r="T92" s="30">
        <v>0.41306653636725127</v>
      </c>
      <c r="U92" s="30">
        <v>0.54505784818203906</v>
      </c>
      <c r="V92" s="30">
        <v>0.21761653544310863</v>
      </c>
      <c r="W92" s="30">
        <v>-0.26606337334333902</v>
      </c>
      <c r="X92" s="30">
        <v>0.12027469195552279</v>
      </c>
      <c r="Y92" s="30">
        <v>-0.4153615194523344</v>
      </c>
      <c r="Z92" s="30">
        <v>-0.2944499148386317</v>
      </c>
    </row>
    <row r="93" spans="1:26" x14ac:dyDescent="0.25">
      <c r="A93" s="32" t="s">
        <v>55</v>
      </c>
      <c r="B93" s="30">
        <v>2994</v>
      </c>
      <c r="C93" s="30">
        <v>2657</v>
      </c>
      <c r="D93" s="30">
        <v>2349</v>
      </c>
      <c r="E93" s="30">
        <v>3172</v>
      </c>
      <c r="F93" s="30">
        <v>3001</v>
      </c>
      <c r="G93" s="30">
        <v>55533638</v>
      </c>
      <c r="H93" s="30">
        <v>77285028</v>
      </c>
      <c r="I93" s="30">
        <v>97970296</v>
      </c>
      <c r="J93" s="30">
        <v>88606156</v>
      </c>
      <c r="K93" s="30">
        <v>89273160</v>
      </c>
      <c r="L93" s="30">
        <v>5.3913269647488247E-5</v>
      </c>
      <c r="M93" s="30">
        <v>3.4379233193782369E-5</v>
      </c>
      <c r="N93" s="30">
        <v>2.397665512820335E-5</v>
      </c>
      <c r="O93" s="30">
        <v>3.5798867067430392E-5</v>
      </c>
      <c r="P93" s="30">
        <v>3.3615926668216962E-5</v>
      </c>
      <c r="Q93" s="30">
        <v>0.6645614081461495</v>
      </c>
      <c r="R93" s="30">
        <v>0.53285630844431753</v>
      </c>
      <c r="S93" s="30">
        <v>0.5378793321022064</v>
      </c>
      <c r="T93" s="30">
        <v>0.64692384423370242</v>
      </c>
      <c r="U93" s="30">
        <v>0.52946373057046348</v>
      </c>
      <c r="V93" s="30">
        <v>-0.20151770322936549</v>
      </c>
      <c r="W93" s="30">
        <v>-0.30475373913539394</v>
      </c>
      <c r="X93" s="30">
        <v>-0.30049215062022916</v>
      </c>
      <c r="Y93" s="30">
        <v>-0.21438523523871894</v>
      </c>
      <c r="Z93" s="30">
        <v>-0.30764787685029615</v>
      </c>
    </row>
    <row r="94" spans="1:26" x14ac:dyDescent="0.25">
      <c r="A94" s="32" t="s">
        <v>47</v>
      </c>
      <c r="B94" s="30">
        <v>6438</v>
      </c>
      <c r="C94" s="30">
        <v>6415</v>
      </c>
      <c r="D94" s="30">
        <v>5308</v>
      </c>
      <c r="E94" s="30">
        <v>8004</v>
      </c>
      <c r="F94" s="30">
        <v>7684</v>
      </c>
      <c r="G94" s="30">
        <v>171440208</v>
      </c>
      <c r="H94" s="30">
        <v>212480637</v>
      </c>
      <c r="I94" s="30">
        <v>236320011</v>
      </c>
      <c r="J94" s="30">
        <v>228913299</v>
      </c>
      <c r="K94" s="30">
        <v>229396962</v>
      </c>
      <c r="L94" s="30">
        <v>3.7552450939630216E-5</v>
      </c>
      <c r="M94" s="30">
        <v>3.0190986296789009E-5</v>
      </c>
      <c r="N94" s="30">
        <v>2.2461068690454655E-5</v>
      </c>
      <c r="O94" s="30">
        <v>3.4965203135707726E-5</v>
      </c>
      <c r="P94" s="30">
        <v>3.3496520324449629E-5</v>
      </c>
      <c r="Q94" s="30">
        <v>0.46288993116080684</v>
      </c>
      <c r="R94" s="30">
        <v>0.46794113806207444</v>
      </c>
      <c r="S94" s="30">
        <v>0.50387948447873532</v>
      </c>
      <c r="T94" s="30">
        <v>0.63185864469838871</v>
      </c>
      <c r="U94" s="30">
        <v>0.52758303488568248</v>
      </c>
      <c r="V94" s="30">
        <v>-0.36715685671101383</v>
      </c>
      <c r="W94" s="30">
        <v>-0.36245244999423581</v>
      </c>
      <c r="X94" s="30">
        <v>-0.32989379843373995</v>
      </c>
      <c r="Y94" s="30">
        <v>-0.22559635082219617</v>
      </c>
      <c r="Z94" s="30">
        <v>-0.30925779766182798</v>
      </c>
    </row>
    <row r="95" spans="1:26" x14ac:dyDescent="0.25">
      <c r="A95" s="32" t="s">
        <v>113</v>
      </c>
      <c r="B95" s="30">
        <v>2636</v>
      </c>
      <c r="C95" s="30">
        <v>2755</v>
      </c>
      <c r="D95" s="30">
        <v>1841</v>
      </c>
      <c r="E95" s="30">
        <v>2367</v>
      </c>
      <c r="F95" s="30">
        <v>2672</v>
      </c>
      <c r="G95" s="30">
        <v>68266522</v>
      </c>
      <c r="H95" s="30">
        <v>86263574</v>
      </c>
      <c r="I95" s="30">
        <v>97374453</v>
      </c>
      <c r="J95" s="30">
        <v>83093615</v>
      </c>
      <c r="K95" s="30">
        <v>80413668</v>
      </c>
      <c r="L95" s="30">
        <v>3.8613363077146362E-5</v>
      </c>
      <c r="M95" s="30">
        <v>3.1937002749271665E-5</v>
      </c>
      <c r="N95" s="30">
        <v>1.8906396321425291E-5</v>
      </c>
      <c r="O95" s="30">
        <v>2.8485943234025864E-5</v>
      </c>
      <c r="P95" s="30">
        <v>3.3228182054821828E-5</v>
      </c>
      <c r="Q95" s="30">
        <v>0.47596725458483552</v>
      </c>
      <c r="R95" s="30">
        <v>0.49500328561227669</v>
      </c>
      <c r="S95" s="30">
        <v>0.42413588431965199</v>
      </c>
      <c r="T95" s="30">
        <v>0.51477148337872802</v>
      </c>
      <c r="U95" s="30">
        <v>0.5233566042805049</v>
      </c>
      <c r="V95" s="30">
        <v>-0.35504361210409513</v>
      </c>
      <c r="W95" s="30">
        <v>-0.33778970203460296</v>
      </c>
      <c r="X95" s="30">
        <v>-0.40436037180219908</v>
      </c>
      <c r="Y95" s="30">
        <v>-0.32033116674401613</v>
      </c>
      <c r="Z95" s="30">
        <v>-0.3128902283156596</v>
      </c>
    </row>
    <row r="96" spans="1:26" x14ac:dyDescent="0.25">
      <c r="A96" s="32" t="s">
        <v>22</v>
      </c>
      <c r="B96" s="30">
        <v>16932</v>
      </c>
      <c r="C96" s="30">
        <v>8796</v>
      </c>
      <c r="D96" s="30">
        <v>941</v>
      </c>
      <c r="E96" s="30">
        <v>2173</v>
      </c>
      <c r="F96" s="30">
        <v>7653</v>
      </c>
      <c r="G96" s="30">
        <v>141622127</v>
      </c>
      <c r="H96" s="30">
        <v>195694490</v>
      </c>
      <c r="I96" s="30">
        <v>237447057</v>
      </c>
      <c r="J96" s="30">
        <v>221739634</v>
      </c>
      <c r="K96" s="30">
        <v>233658658</v>
      </c>
      <c r="L96" s="30">
        <v>1.1955758862455159E-4</v>
      </c>
      <c r="M96" s="30">
        <v>4.4947611963934194E-5</v>
      </c>
      <c r="N96" s="30">
        <v>3.9629886842522541E-6</v>
      </c>
      <c r="O96" s="30">
        <v>9.7997816664566159E-6</v>
      </c>
      <c r="P96" s="30">
        <v>3.2752905736538126E-5</v>
      </c>
      <c r="Q96" s="30">
        <v>1.4737254848462285</v>
      </c>
      <c r="R96" s="30">
        <v>0.69665947607060608</v>
      </c>
      <c r="S96" s="30">
        <v>8.8903547855881948E-2</v>
      </c>
      <c r="T96" s="30">
        <v>0.17709254363758645</v>
      </c>
      <c r="U96" s="30">
        <v>0.51587082008618712</v>
      </c>
      <c r="V96" s="30">
        <v>0.19150285177082862</v>
      </c>
      <c r="W96" s="30">
        <v>-0.17878692112804992</v>
      </c>
      <c r="X96" s="30">
        <v>-0.8367099675064178</v>
      </c>
      <c r="Y96" s="30">
        <v>-0.69910174931477387</v>
      </c>
      <c r="Z96" s="30">
        <v>-0.31937363890036952</v>
      </c>
    </row>
    <row r="97" spans="1:26" x14ac:dyDescent="0.25">
      <c r="A97" s="32" t="s">
        <v>36</v>
      </c>
      <c r="B97" s="30">
        <v>3941</v>
      </c>
      <c r="C97" s="30">
        <v>3851</v>
      </c>
      <c r="D97" s="30">
        <v>2980</v>
      </c>
      <c r="E97" s="30">
        <v>4110</v>
      </c>
      <c r="F97" s="30">
        <v>4610</v>
      </c>
      <c r="G97" s="30">
        <v>113422659</v>
      </c>
      <c r="H97" s="30">
        <v>139132012</v>
      </c>
      <c r="I97" s="30">
        <v>159334562</v>
      </c>
      <c r="J97" s="30">
        <v>148897654</v>
      </c>
      <c r="K97" s="30">
        <v>151630797</v>
      </c>
      <c r="L97" s="30">
        <v>3.4746143625499029E-5</v>
      </c>
      <c r="M97" s="30">
        <v>2.7678748726784746E-5</v>
      </c>
      <c r="N97" s="30">
        <v>1.8702784647564413E-5</v>
      </c>
      <c r="O97" s="30">
        <v>2.7602852627886267E-5</v>
      </c>
      <c r="P97" s="30">
        <v>3.0402794756793371E-5</v>
      </c>
      <c r="Q97" s="30">
        <v>0.42829801060833583</v>
      </c>
      <c r="R97" s="30">
        <v>0.42900304918900156</v>
      </c>
      <c r="S97" s="30">
        <v>0.41956816999257401</v>
      </c>
      <c r="T97" s="30">
        <v>0.49881309093422921</v>
      </c>
      <c r="U97" s="30">
        <v>0.47885567131842399</v>
      </c>
      <c r="V97" s="30">
        <v>-0.40026800089721248</v>
      </c>
      <c r="W97" s="30">
        <v>-0.3995771395554788</v>
      </c>
      <c r="X97" s="30">
        <v>-0.40887915232028793</v>
      </c>
      <c r="Y97" s="30">
        <v>-0.33438919909177911</v>
      </c>
      <c r="Z97" s="30">
        <v>-0.35239701803825613</v>
      </c>
    </row>
    <row r="98" spans="1:26" x14ac:dyDescent="0.25">
      <c r="A98" s="32" t="s">
        <v>88</v>
      </c>
      <c r="B98" s="30">
        <v>10874</v>
      </c>
      <c r="C98" s="30">
        <v>9427</v>
      </c>
      <c r="D98" s="30">
        <v>7280</v>
      </c>
      <c r="E98" s="30">
        <v>10192</v>
      </c>
      <c r="F98" s="30">
        <v>10842</v>
      </c>
      <c r="G98" s="30">
        <v>291035118</v>
      </c>
      <c r="H98" s="30">
        <v>324497583</v>
      </c>
      <c r="I98" s="30">
        <v>356763182</v>
      </c>
      <c r="J98" s="30">
        <v>366266257</v>
      </c>
      <c r="K98" s="30">
        <v>369659595</v>
      </c>
      <c r="L98" s="30">
        <v>3.7363188589495238E-5</v>
      </c>
      <c r="M98" s="30">
        <v>2.9051063841051783E-5</v>
      </c>
      <c r="N98" s="30">
        <v>2.0405693096436169E-5</v>
      </c>
      <c r="O98" s="30">
        <v>2.7826751182269024E-5</v>
      </c>
      <c r="P98" s="30">
        <v>2.9329686410547521E-5</v>
      </c>
      <c r="Q98" s="30">
        <v>0.46055699059279565</v>
      </c>
      <c r="R98" s="30">
        <v>0.45027306302813874</v>
      </c>
      <c r="S98" s="30">
        <v>0.45777029844680184</v>
      </c>
      <c r="T98" s="30">
        <v>0.50285917745553821</v>
      </c>
      <c r="U98" s="30">
        <v>0.46195380352470283</v>
      </c>
      <c r="V98" s="30">
        <v>-0.36934060970004384</v>
      </c>
      <c r="W98" s="30">
        <v>-0.37905064293481622</v>
      </c>
      <c r="X98" s="30">
        <v>-0.37195825853423065</v>
      </c>
      <c r="Y98" s="30">
        <v>-0.33079667742799512</v>
      </c>
      <c r="Z98" s="30">
        <v>-0.36803228335812849</v>
      </c>
    </row>
    <row r="99" spans="1:26" x14ac:dyDescent="0.25">
      <c r="A99" s="32" t="s">
        <v>61</v>
      </c>
      <c r="B99" s="30">
        <v>60</v>
      </c>
      <c r="C99" s="30">
        <v>80</v>
      </c>
      <c r="D99" s="30">
        <v>75</v>
      </c>
      <c r="E99" s="30">
        <v>148</v>
      </c>
      <c r="F99" s="30">
        <v>210</v>
      </c>
      <c r="G99" s="30">
        <v>2486490</v>
      </c>
      <c r="H99" s="30">
        <v>4146385</v>
      </c>
      <c r="I99" s="30">
        <v>8557370</v>
      </c>
      <c r="J99" s="30">
        <v>5230066</v>
      </c>
      <c r="K99" s="30">
        <v>7210548</v>
      </c>
      <c r="L99" s="30">
        <v>2.4130400685303378E-5</v>
      </c>
      <c r="M99" s="30">
        <v>1.9293915060950684E-5</v>
      </c>
      <c r="N99" s="30">
        <v>8.764375035787864E-6</v>
      </c>
      <c r="O99" s="30">
        <v>2.8297922052991302E-5</v>
      </c>
      <c r="P99" s="30">
        <v>2.9124000006656914E-5</v>
      </c>
      <c r="Q99" s="30">
        <v>0.29744315570931296</v>
      </c>
      <c r="R99" s="30">
        <v>0.29904344570069535</v>
      </c>
      <c r="S99" s="30">
        <v>0.19661525618715758</v>
      </c>
      <c r="T99" s="30">
        <v>0.51137373939417319</v>
      </c>
      <c r="U99" s="30">
        <v>0.45871416382039243</v>
      </c>
      <c r="V99" s="30">
        <v>-0.54149335267532306</v>
      </c>
      <c r="W99" s="30">
        <v>-0.53959438894764089</v>
      </c>
      <c r="X99" s="30">
        <v>-0.67138099707395704</v>
      </c>
      <c r="Y99" s="30">
        <v>-0.3232994248012343</v>
      </c>
      <c r="Z99" s="30">
        <v>-0.37107052882928931</v>
      </c>
    </row>
    <row r="100" spans="1:26" x14ac:dyDescent="0.25">
      <c r="A100" s="32" t="s">
        <v>56</v>
      </c>
      <c r="B100" s="30">
        <v>879</v>
      </c>
      <c r="C100" s="30">
        <v>1399</v>
      </c>
      <c r="D100" s="30">
        <v>84</v>
      </c>
      <c r="E100" s="30">
        <v>228</v>
      </c>
      <c r="F100" s="30">
        <v>949</v>
      </c>
      <c r="G100" s="30">
        <v>18537603</v>
      </c>
      <c r="H100" s="30">
        <v>26942694</v>
      </c>
      <c r="I100" s="30">
        <v>29990014</v>
      </c>
      <c r="J100" s="30">
        <v>31356398</v>
      </c>
      <c r="K100" s="30">
        <v>32702358</v>
      </c>
      <c r="L100" s="30">
        <v>4.7417133703855886E-5</v>
      </c>
      <c r="M100" s="30">
        <v>5.1925022790965148E-5</v>
      </c>
      <c r="N100" s="30">
        <v>2.8009323370105795E-6</v>
      </c>
      <c r="O100" s="30">
        <v>7.2712433360489937E-6</v>
      </c>
      <c r="P100" s="30">
        <v>2.9019314142423613E-5</v>
      </c>
      <c r="Q100" s="30">
        <v>0.58448684990777222</v>
      </c>
      <c r="R100" s="30">
        <v>0.80480491825759282</v>
      </c>
      <c r="S100" s="30">
        <v>6.2834603352265608E-2</v>
      </c>
      <c r="T100" s="30">
        <v>0.1313991496561947</v>
      </c>
      <c r="U100" s="30">
        <v>0.45706532133087802</v>
      </c>
      <c r="V100" s="30">
        <v>-0.26223830769969053</v>
      </c>
      <c r="W100" s="30">
        <v>-0.10815300854280348</v>
      </c>
      <c r="X100" s="30">
        <v>-0.88176033570213053</v>
      </c>
      <c r="Y100" s="30">
        <v>-0.76772273570097038</v>
      </c>
      <c r="Z100" s="30">
        <v>-0.37262205799614223</v>
      </c>
    </row>
    <row r="101" spans="1:26" x14ac:dyDescent="0.25">
      <c r="A101" s="32" t="s">
        <v>143</v>
      </c>
      <c r="B101" s="30">
        <v>275</v>
      </c>
      <c r="C101" s="30">
        <v>509</v>
      </c>
      <c r="D101" s="30">
        <v>396</v>
      </c>
      <c r="E101" s="30">
        <v>308</v>
      </c>
      <c r="F101" s="30">
        <v>569</v>
      </c>
      <c r="G101" s="30">
        <v>18412051</v>
      </c>
      <c r="H101" s="30">
        <v>21811968</v>
      </c>
      <c r="I101" s="30">
        <v>26672667</v>
      </c>
      <c r="J101" s="30">
        <v>25930494</v>
      </c>
      <c r="K101" s="30">
        <v>20040234</v>
      </c>
      <c r="L101" s="30">
        <v>1.4935869990801134E-5</v>
      </c>
      <c r="M101" s="30">
        <v>2.3335812706125371E-5</v>
      </c>
      <c r="N101" s="30">
        <v>1.4846659316070643E-5</v>
      </c>
      <c r="O101" s="30">
        <v>1.1877907146697629E-5</v>
      </c>
      <c r="P101" s="30">
        <v>2.8392882039201736E-5</v>
      </c>
      <c r="Q101" s="30">
        <v>0.18410686010836388</v>
      </c>
      <c r="R101" s="30">
        <v>0.36169029550614934</v>
      </c>
      <c r="S101" s="30">
        <v>0.33306193687891084</v>
      </c>
      <c r="T101" s="30">
        <v>0.2146464953295561</v>
      </c>
      <c r="U101" s="30">
        <v>0.44719877558324744</v>
      </c>
      <c r="V101" s="30">
        <v>-0.68903674776191182</v>
      </c>
      <c r="W101" s="30">
        <v>-0.46876276242872583</v>
      </c>
      <c r="X101" s="30">
        <v>-0.5003053831711578</v>
      </c>
      <c r="Y101" s="30">
        <v>-0.64656960497577765</v>
      </c>
      <c r="Z101" s="30">
        <v>-0.38198016315620753</v>
      </c>
    </row>
    <row r="102" spans="1:26" x14ac:dyDescent="0.25">
      <c r="A102" s="32" t="s">
        <v>99</v>
      </c>
      <c r="B102" s="30">
        <v>517</v>
      </c>
      <c r="C102" s="30">
        <v>892</v>
      </c>
      <c r="D102" s="30">
        <v>836</v>
      </c>
      <c r="E102" s="30">
        <v>828</v>
      </c>
      <c r="F102" s="30">
        <v>187</v>
      </c>
      <c r="G102" s="30">
        <v>4765479</v>
      </c>
      <c r="H102" s="30">
        <v>5970850</v>
      </c>
      <c r="I102" s="30">
        <v>7731214</v>
      </c>
      <c r="J102" s="30">
        <v>7592061</v>
      </c>
      <c r="K102" s="30">
        <v>6596382</v>
      </c>
      <c r="L102" s="30">
        <v>1.0848856956457052E-4</v>
      </c>
      <c r="M102" s="30">
        <v>1.4939246505941365E-4</v>
      </c>
      <c r="N102" s="30">
        <v>1.0813308233351192E-4</v>
      </c>
      <c r="O102" s="30">
        <v>1.0906129442321394E-4</v>
      </c>
      <c r="P102" s="30">
        <v>2.8348873670445404E-5</v>
      </c>
      <c r="Q102" s="30">
        <v>1.3372833261458741</v>
      </c>
      <c r="R102" s="30">
        <v>2.3154884517713064</v>
      </c>
      <c r="S102" s="30">
        <v>2.4257991697635348</v>
      </c>
      <c r="T102" s="30">
        <v>1.9708543209614353</v>
      </c>
      <c r="U102" s="30">
        <v>0.44650562690619255</v>
      </c>
      <c r="V102" s="30">
        <v>0.14430570841492565</v>
      </c>
      <c r="W102" s="30">
        <v>0.39677063301743792</v>
      </c>
      <c r="X102" s="30">
        <v>0.41619461594473744</v>
      </c>
      <c r="Y102" s="30">
        <v>0.32679297470474589</v>
      </c>
      <c r="Z102" s="30">
        <v>-0.38264239198130834</v>
      </c>
    </row>
    <row r="103" spans="1:26" x14ac:dyDescent="0.25">
      <c r="A103" s="32" t="s">
        <v>180</v>
      </c>
      <c r="B103" s="30">
        <v>46</v>
      </c>
      <c r="C103" s="30">
        <v>40</v>
      </c>
      <c r="D103" s="30">
        <v>40</v>
      </c>
      <c r="E103" s="30">
        <v>44</v>
      </c>
      <c r="F103" s="30">
        <v>46</v>
      </c>
      <c r="G103" s="30">
        <v>1166841</v>
      </c>
      <c r="H103" s="30">
        <v>1328900</v>
      </c>
      <c r="I103" s="30">
        <v>1440679</v>
      </c>
      <c r="J103" s="30">
        <v>1464480</v>
      </c>
      <c r="K103" s="30">
        <v>1635279</v>
      </c>
      <c r="L103" s="30">
        <v>3.9422680553734396E-5</v>
      </c>
      <c r="M103" s="30">
        <v>3.0100082775227631E-5</v>
      </c>
      <c r="N103" s="30">
        <v>2.7764685957107726E-5</v>
      </c>
      <c r="O103" s="30">
        <v>3.0044794056593467E-5</v>
      </c>
      <c r="P103" s="30">
        <v>2.8129756451345612E-5</v>
      </c>
      <c r="Q103" s="30">
        <v>0.48594329880169168</v>
      </c>
      <c r="R103" s="30">
        <v>0.46653219113615679</v>
      </c>
      <c r="S103" s="30">
        <v>0.62285796992049702</v>
      </c>
      <c r="T103" s="30">
        <v>0.54294158621530053</v>
      </c>
      <c r="U103" s="30">
        <v>0.44305444671408173</v>
      </c>
      <c r="V103" s="30">
        <v>-0.34594637737042783</v>
      </c>
      <c r="W103" s="30">
        <v>-0.36376140400338103</v>
      </c>
      <c r="X103" s="30">
        <v>-0.23239373812729833</v>
      </c>
      <c r="Y103" s="30">
        <v>-0.29622535154154694</v>
      </c>
      <c r="Z103" s="30">
        <v>-0.38594909190995208</v>
      </c>
    </row>
    <row r="104" spans="1:26" x14ac:dyDescent="0.25">
      <c r="A104" s="32" t="s">
        <v>24</v>
      </c>
      <c r="B104" s="30">
        <v>16871</v>
      </c>
      <c r="C104" s="30">
        <v>15075</v>
      </c>
      <c r="D104" s="30">
        <v>10705</v>
      </c>
      <c r="E104" s="30">
        <v>16601</v>
      </c>
      <c r="F104" s="30">
        <v>16730</v>
      </c>
      <c r="G104" s="30">
        <v>426475840</v>
      </c>
      <c r="H104" s="30">
        <v>568202425</v>
      </c>
      <c r="I104" s="30">
        <v>695235843</v>
      </c>
      <c r="J104" s="30">
        <v>639928812</v>
      </c>
      <c r="K104" s="30">
        <v>615599099</v>
      </c>
      <c r="L104" s="30">
        <v>3.9559099057053269E-5</v>
      </c>
      <c r="M104" s="30">
        <v>2.6531037772322075E-5</v>
      </c>
      <c r="N104" s="30">
        <v>1.5397652620738082E-5</v>
      </c>
      <c r="O104" s="30">
        <v>2.5941948055309626E-5</v>
      </c>
      <c r="P104" s="30">
        <v>2.7176777917928694E-5</v>
      </c>
      <c r="Q104" s="30">
        <v>0.4876248601919681</v>
      </c>
      <c r="R104" s="30">
        <v>0.4112142573649103</v>
      </c>
      <c r="S104" s="30">
        <v>0.34542262310151478</v>
      </c>
      <c r="T104" s="30">
        <v>0.46879876760459038</v>
      </c>
      <c r="U104" s="30">
        <v>0.42804466952017955</v>
      </c>
      <c r="V104" s="30">
        <v>-0.34442496459887961</v>
      </c>
      <c r="W104" s="30">
        <v>-0.41721924191334342</v>
      </c>
      <c r="X104" s="30">
        <v>-0.48652175581047602</v>
      </c>
      <c r="Y104" s="30">
        <v>-0.36165691591757398</v>
      </c>
      <c r="Z104" s="30">
        <v>-0.40051641428835438</v>
      </c>
    </row>
    <row r="105" spans="1:26" x14ac:dyDescent="0.25">
      <c r="A105" s="32" t="s">
        <v>79</v>
      </c>
      <c r="B105" s="30">
        <v>1541</v>
      </c>
      <c r="C105" s="30">
        <v>599</v>
      </c>
      <c r="D105" s="30">
        <v>559</v>
      </c>
      <c r="E105" s="30">
        <v>536</v>
      </c>
      <c r="F105" s="30">
        <v>592</v>
      </c>
      <c r="G105" s="30">
        <v>17764140</v>
      </c>
      <c r="H105" s="30">
        <v>24203349</v>
      </c>
      <c r="I105" s="30">
        <v>27535703</v>
      </c>
      <c r="J105" s="30">
        <v>23437466</v>
      </c>
      <c r="K105" s="30">
        <v>22671636</v>
      </c>
      <c r="L105" s="30">
        <v>8.6747796403315895E-5</v>
      </c>
      <c r="M105" s="30">
        <v>2.4748641190109682E-5</v>
      </c>
      <c r="N105" s="30">
        <v>2.0300916232282138E-5</v>
      </c>
      <c r="O105" s="30">
        <v>2.2869366509161017E-5</v>
      </c>
      <c r="P105" s="30">
        <v>2.6111922403835348E-5</v>
      </c>
      <c r="Q105" s="30">
        <v>1.0692958914994855</v>
      </c>
      <c r="R105" s="30">
        <v>0.383588240879085</v>
      </c>
      <c r="S105" s="30">
        <v>0.45541979086308798</v>
      </c>
      <c r="T105" s="30">
        <v>0.41327393041318067</v>
      </c>
      <c r="U105" s="30">
        <v>0.4112727869963087</v>
      </c>
      <c r="V105" s="30">
        <v>3.348766688425172E-2</v>
      </c>
      <c r="W105" s="30">
        <v>-0.44551676641113108</v>
      </c>
      <c r="X105" s="30">
        <v>-0.37417397547821379</v>
      </c>
      <c r="Y105" s="30">
        <v>-0.41515381905847915</v>
      </c>
      <c r="Z105" s="30">
        <v>-0.41716046566497794</v>
      </c>
    </row>
    <row r="106" spans="1:26" x14ac:dyDescent="0.25">
      <c r="A106" s="32" t="s">
        <v>239</v>
      </c>
      <c r="B106" s="30"/>
      <c r="C106" s="30">
        <v>8</v>
      </c>
      <c r="D106" s="30">
        <v>3</v>
      </c>
      <c r="E106" s="30">
        <v>1</v>
      </c>
      <c r="F106" s="30">
        <v>1</v>
      </c>
      <c r="G106" s="30">
        <v>40428</v>
      </c>
      <c r="H106" s="30">
        <v>50854</v>
      </c>
      <c r="I106" s="30">
        <v>60046</v>
      </c>
      <c r="J106" s="30">
        <v>54458</v>
      </c>
      <c r="K106" s="30">
        <v>38451</v>
      </c>
      <c r="L106" s="30">
        <v>0</v>
      </c>
      <c r="M106" s="30">
        <v>1.573130923821135E-4</v>
      </c>
      <c r="N106" s="30">
        <v>4.9961696033041334E-5</v>
      </c>
      <c r="O106" s="30">
        <v>1.8362774982555365E-5</v>
      </c>
      <c r="P106" s="30">
        <v>2.6007125952510988E-5</v>
      </c>
      <c r="Q106" s="30">
        <v>0</v>
      </c>
      <c r="R106" s="30">
        <v>2.4382531513778218</v>
      </c>
      <c r="S106" s="30">
        <v>1.1208137060508923</v>
      </c>
      <c r="T106" s="30">
        <v>0.33183499802207178</v>
      </c>
      <c r="U106" s="30">
        <v>0.40962220271772026</v>
      </c>
      <c r="V106" s="30">
        <v>-1</v>
      </c>
      <c r="W106" s="30">
        <v>0.41830926579721628</v>
      </c>
      <c r="X106" s="30">
        <v>5.6965732400822727E-2</v>
      </c>
      <c r="Y106" s="30">
        <v>-0.50168752358229818</v>
      </c>
      <c r="Z106" s="30">
        <v>-0.41881987680390137</v>
      </c>
    </row>
    <row r="107" spans="1:26" x14ac:dyDescent="0.25">
      <c r="A107" s="32" t="s">
        <v>176</v>
      </c>
      <c r="B107" s="30">
        <v>776</v>
      </c>
      <c r="C107" s="30">
        <v>808</v>
      </c>
      <c r="D107" s="30">
        <v>799</v>
      </c>
      <c r="E107" s="30">
        <v>796</v>
      </c>
      <c r="F107" s="30">
        <v>372</v>
      </c>
      <c r="G107" s="30">
        <v>11950497</v>
      </c>
      <c r="H107" s="30">
        <v>19346655</v>
      </c>
      <c r="I107" s="30">
        <v>17430546</v>
      </c>
      <c r="J107" s="30">
        <v>17560701</v>
      </c>
      <c r="K107" s="30">
        <v>14614151</v>
      </c>
      <c r="L107" s="30">
        <v>6.4934537869010804E-5</v>
      </c>
      <c r="M107" s="30">
        <v>4.1764325667667098E-5</v>
      </c>
      <c r="N107" s="30">
        <v>4.5839068954007522E-5</v>
      </c>
      <c r="O107" s="30">
        <v>4.5328486601987013E-5</v>
      </c>
      <c r="P107" s="30">
        <v>2.5454780096360028E-5</v>
      </c>
      <c r="Q107" s="30">
        <v>0.80041496658809552</v>
      </c>
      <c r="R107" s="30">
        <v>0.64732055757323126</v>
      </c>
      <c r="S107" s="30">
        <v>1.0283289166622007</v>
      </c>
      <c r="T107" s="30">
        <v>0.81913426898730535</v>
      </c>
      <c r="U107" s="30">
        <v>0.40092254375995229</v>
      </c>
      <c r="V107" s="30">
        <v>-0.11085501793518814</v>
      </c>
      <c r="W107" s="30">
        <v>-0.21409278285601099</v>
      </c>
      <c r="X107" s="30">
        <v>1.3966628602238008E-2</v>
      </c>
      <c r="Y107" s="30">
        <v>-9.9424068962969334E-2</v>
      </c>
      <c r="Z107" s="30">
        <v>-0.42763067730509696</v>
      </c>
    </row>
    <row r="108" spans="1:26" x14ac:dyDescent="0.25">
      <c r="A108" s="32" t="s">
        <v>78</v>
      </c>
      <c r="B108" s="30">
        <v>563</v>
      </c>
      <c r="C108" s="30">
        <v>477</v>
      </c>
      <c r="D108" s="30">
        <v>357</v>
      </c>
      <c r="E108" s="30">
        <v>599</v>
      </c>
      <c r="F108" s="30">
        <v>605</v>
      </c>
      <c r="G108" s="30">
        <v>21118675</v>
      </c>
      <c r="H108" s="30">
        <v>26211169</v>
      </c>
      <c r="I108" s="30">
        <v>27042857</v>
      </c>
      <c r="J108" s="30">
        <v>26308584</v>
      </c>
      <c r="K108" s="30">
        <v>25101182</v>
      </c>
      <c r="L108" s="30">
        <v>2.6658869460323625E-5</v>
      </c>
      <c r="M108" s="30">
        <v>1.8198348955744781E-5</v>
      </c>
      <c r="N108" s="30">
        <v>1.3201267898580391E-5</v>
      </c>
      <c r="O108" s="30">
        <v>2.2768234124649202E-5</v>
      </c>
      <c r="P108" s="30">
        <v>2.4102450633599643E-5</v>
      </c>
      <c r="Q108" s="30">
        <v>0.3286103021385281</v>
      </c>
      <c r="R108" s="30">
        <v>0.28206286596565006</v>
      </c>
      <c r="S108" s="30">
        <v>0.29615011444354022</v>
      </c>
      <c r="T108" s="30">
        <v>0.4114463599808072</v>
      </c>
      <c r="U108" s="30">
        <v>0.37962283635101052</v>
      </c>
      <c r="V108" s="30">
        <v>-0.50533229855346196</v>
      </c>
      <c r="W108" s="30">
        <v>-0.55998590482035326</v>
      </c>
      <c r="X108" s="30">
        <v>-0.54303114871739588</v>
      </c>
      <c r="Y108" s="30">
        <v>-0.41698618998684162</v>
      </c>
      <c r="Z108" s="30">
        <v>-0.44967156769442596</v>
      </c>
    </row>
    <row r="109" spans="1:26" x14ac:dyDescent="0.25">
      <c r="A109" s="32" t="s">
        <v>46</v>
      </c>
      <c r="B109" s="30">
        <v>70</v>
      </c>
      <c r="C109" s="30">
        <v>121</v>
      </c>
      <c r="D109" s="30">
        <v>71</v>
      </c>
      <c r="E109" s="30">
        <v>69</v>
      </c>
      <c r="F109" s="30">
        <v>63</v>
      </c>
      <c r="G109" s="30">
        <v>1733489</v>
      </c>
      <c r="H109" s="30">
        <v>2117133</v>
      </c>
      <c r="I109" s="30">
        <v>3015746</v>
      </c>
      <c r="J109" s="30">
        <v>3132125</v>
      </c>
      <c r="K109" s="30">
        <v>2710891</v>
      </c>
      <c r="L109" s="30">
        <v>4.038098886119266E-5</v>
      </c>
      <c r="M109" s="30">
        <v>5.7152762722039665E-5</v>
      </c>
      <c r="N109" s="30">
        <v>2.3543096799266253E-5</v>
      </c>
      <c r="O109" s="30">
        <v>2.2029772119567385E-5</v>
      </c>
      <c r="P109" s="30">
        <v>2.3239591706195491E-5</v>
      </c>
      <c r="Q109" s="30">
        <v>0.4977558770854183</v>
      </c>
      <c r="R109" s="30">
        <v>0.8858315713384739</v>
      </c>
      <c r="S109" s="30">
        <v>0.52815311870216786</v>
      </c>
      <c r="T109" s="30">
        <v>0.39810156115663736</v>
      </c>
      <c r="U109" s="30">
        <v>0.3660324774961593</v>
      </c>
      <c r="V109" s="30">
        <v>-0.33533109807716571</v>
      </c>
      <c r="W109" s="30">
        <v>-6.0540098276377227E-2</v>
      </c>
      <c r="X109" s="30">
        <v>-0.30876937364664281</v>
      </c>
      <c r="Y109" s="30">
        <v>-0.43051124150481396</v>
      </c>
      <c r="Z109" s="30">
        <v>-0.46409403359564211</v>
      </c>
    </row>
    <row r="110" spans="1:26" x14ac:dyDescent="0.25">
      <c r="A110" s="32" t="s">
        <v>163</v>
      </c>
      <c r="B110" s="30">
        <v>454</v>
      </c>
      <c r="C110" s="30">
        <v>360</v>
      </c>
      <c r="D110" s="30">
        <v>275</v>
      </c>
      <c r="E110" s="30">
        <v>239</v>
      </c>
      <c r="F110" s="30">
        <v>276</v>
      </c>
      <c r="G110" s="30">
        <v>8709069</v>
      </c>
      <c r="H110" s="30">
        <v>11389534</v>
      </c>
      <c r="I110" s="30">
        <v>12755184</v>
      </c>
      <c r="J110" s="30">
        <v>12052389</v>
      </c>
      <c r="K110" s="30">
        <v>11966612</v>
      </c>
      <c r="L110" s="30">
        <v>5.2129567465822123E-5</v>
      </c>
      <c r="M110" s="30">
        <v>3.1607965699035621E-5</v>
      </c>
      <c r="N110" s="30">
        <v>2.1559861464954172E-5</v>
      </c>
      <c r="O110" s="30">
        <v>1.9830093436247371E-5</v>
      </c>
      <c r="P110" s="30">
        <v>2.3064172215159981E-5</v>
      </c>
      <c r="Q110" s="30">
        <v>0.6425746200824316</v>
      </c>
      <c r="R110" s="30">
        <v>0.48990342003523135</v>
      </c>
      <c r="S110" s="30">
        <v>0.48366228829578278</v>
      </c>
      <c r="T110" s="30">
        <v>0.35835101298392796</v>
      </c>
      <c r="U110" s="30">
        <v>0.36326955327112981</v>
      </c>
      <c r="V110" s="30">
        <v>-0.21760069560774731</v>
      </c>
      <c r="W110" s="30">
        <v>-0.34236888989267944</v>
      </c>
      <c r="X110" s="30">
        <v>-0.34801566082623253</v>
      </c>
      <c r="Y110" s="30">
        <v>-0.47237347407467495</v>
      </c>
      <c r="Z110" s="30">
        <v>-0.46706129774632754</v>
      </c>
    </row>
    <row r="111" spans="1:26" x14ac:dyDescent="0.25">
      <c r="A111" s="32" t="s">
        <v>175</v>
      </c>
      <c r="B111" s="30">
        <v>38</v>
      </c>
      <c r="C111" s="30">
        <v>12</v>
      </c>
      <c r="D111" s="30">
        <v>9</v>
      </c>
      <c r="E111" s="30">
        <v>15</v>
      </c>
      <c r="F111" s="30">
        <v>158</v>
      </c>
      <c r="G111" s="30">
        <v>1334620</v>
      </c>
      <c r="H111" s="30">
        <v>1537820</v>
      </c>
      <c r="I111" s="30">
        <v>1795761</v>
      </c>
      <c r="J111" s="30">
        <v>1831973</v>
      </c>
      <c r="K111" s="30">
        <v>7067650</v>
      </c>
      <c r="L111" s="30">
        <v>2.8472524014326174E-5</v>
      </c>
      <c r="M111" s="30">
        <v>7.8032539569000273E-6</v>
      </c>
      <c r="N111" s="30">
        <v>5.011802795583599E-6</v>
      </c>
      <c r="O111" s="30">
        <v>8.1878935988685424E-6</v>
      </c>
      <c r="P111" s="30">
        <v>2.2355379793849441E-5</v>
      </c>
      <c r="Q111" s="30">
        <v>0.35096629783642141</v>
      </c>
      <c r="R111" s="30">
        <v>0.12094548688419428</v>
      </c>
      <c r="S111" s="30">
        <v>0.112432077197687</v>
      </c>
      <c r="T111" s="30">
        <v>0.14796400101654869</v>
      </c>
      <c r="U111" s="30">
        <v>0.35210580094351757</v>
      </c>
      <c r="V111" s="30">
        <v>-0.48042183080585282</v>
      </c>
      <c r="W111" s="30">
        <v>-0.78420808451555102</v>
      </c>
      <c r="X111" s="30">
        <v>-0.79786257605783328</v>
      </c>
      <c r="Y111" s="30">
        <v>-0.74221491111999482</v>
      </c>
      <c r="Z111" s="30">
        <v>-0.47917418785155208</v>
      </c>
    </row>
    <row r="112" spans="1:26" x14ac:dyDescent="0.25">
      <c r="A112" s="32" t="s">
        <v>205</v>
      </c>
      <c r="B112" s="30">
        <v>25</v>
      </c>
      <c r="C112" s="30">
        <v>28</v>
      </c>
      <c r="D112" s="30">
        <v>25</v>
      </c>
      <c r="E112" s="30">
        <v>16</v>
      </c>
      <c r="F112" s="30">
        <v>40</v>
      </c>
      <c r="G112" s="30">
        <v>1714131</v>
      </c>
      <c r="H112" s="30">
        <v>2003096</v>
      </c>
      <c r="I112" s="30">
        <v>2220195</v>
      </c>
      <c r="J112" s="30">
        <v>2302657</v>
      </c>
      <c r="K112" s="30">
        <v>1827168</v>
      </c>
      <c r="L112" s="30">
        <v>1.458464959795955E-5</v>
      </c>
      <c r="M112" s="30">
        <v>1.3978361496403567E-5</v>
      </c>
      <c r="N112" s="30">
        <v>1.1260272183299215E-5</v>
      </c>
      <c r="O112" s="30">
        <v>6.9484947171897505E-6</v>
      </c>
      <c r="P112" s="30">
        <v>2.1891801958002766E-5</v>
      </c>
      <c r="Q112" s="30">
        <v>0.17977754525948564</v>
      </c>
      <c r="R112" s="30">
        <v>0.21665573699941848</v>
      </c>
      <c r="S112" s="30">
        <v>0.25260686483819317</v>
      </c>
      <c r="T112" s="30">
        <v>0.12556673666836865</v>
      </c>
      <c r="U112" s="30">
        <v>0.3448042723318066</v>
      </c>
      <c r="V112" s="30">
        <v>-0.69523484154812498</v>
      </c>
      <c r="W112" s="30">
        <v>-0.64385038362002645</v>
      </c>
      <c r="X112" s="30">
        <v>-0.59667015736685436</v>
      </c>
      <c r="Y112" s="30">
        <v>-0.77688264484424796</v>
      </c>
      <c r="Z112" s="30">
        <v>-0.48720526930816854</v>
      </c>
    </row>
    <row r="113" spans="1:26" x14ac:dyDescent="0.25">
      <c r="A113" s="32" t="s">
        <v>15</v>
      </c>
      <c r="B113" s="30">
        <v>18419</v>
      </c>
      <c r="C113" s="30">
        <v>15228</v>
      </c>
      <c r="D113" s="30">
        <v>21361</v>
      </c>
      <c r="E113" s="30">
        <v>33989</v>
      </c>
      <c r="F113" s="30">
        <v>14918</v>
      </c>
      <c r="G113" s="30">
        <v>367980363</v>
      </c>
      <c r="H113" s="30">
        <v>570402004</v>
      </c>
      <c r="I113" s="30">
        <v>732565993</v>
      </c>
      <c r="J113" s="30">
        <v>673791035</v>
      </c>
      <c r="K113" s="30">
        <v>702773476</v>
      </c>
      <c r="L113" s="30">
        <v>5.0054301403034379E-5</v>
      </c>
      <c r="M113" s="30">
        <v>2.6696960903384202E-5</v>
      </c>
      <c r="N113" s="30">
        <v>2.9159147713808768E-5</v>
      </c>
      <c r="O113" s="30">
        <v>5.044442302501101E-5</v>
      </c>
      <c r="P113" s="30">
        <v>2.1227323610602516E-5</v>
      </c>
      <c r="Q113" s="30">
        <v>0.61699387259704164</v>
      </c>
      <c r="R113" s="30">
        <v>0.41378596065465317</v>
      </c>
      <c r="S113" s="30">
        <v>0.65414057186500896</v>
      </c>
      <c r="T113" s="30">
        <v>0.9115847158521162</v>
      </c>
      <c r="U113" s="30">
        <v>0.33433848365460594</v>
      </c>
      <c r="V113" s="30">
        <v>-0.23686306664094844</v>
      </c>
      <c r="W113" s="30">
        <v>-0.41464129342032829</v>
      </c>
      <c r="X113" s="30">
        <v>-0.20908708366003123</v>
      </c>
      <c r="Y113" s="30">
        <v>-4.62523493804309E-2</v>
      </c>
      <c r="Z113" s="30">
        <v>-0.49887005770996018</v>
      </c>
    </row>
    <row r="114" spans="1:26" x14ac:dyDescent="0.25">
      <c r="A114" s="32" t="s">
        <v>50</v>
      </c>
      <c r="B114" s="30">
        <v>152</v>
      </c>
      <c r="C114" s="30">
        <v>147</v>
      </c>
      <c r="D114" s="30">
        <v>176</v>
      </c>
      <c r="E114" s="30">
        <v>98</v>
      </c>
      <c r="F114" s="30">
        <v>96</v>
      </c>
      <c r="G114" s="30">
        <v>8250511</v>
      </c>
      <c r="H114" s="30">
        <v>9086037</v>
      </c>
      <c r="I114" s="30">
        <v>9747769</v>
      </c>
      <c r="J114" s="30">
        <v>11780107</v>
      </c>
      <c r="K114" s="30">
        <v>4539022</v>
      </c>
      <c r="L114" s="30">
        <v>1.8423101308512892E-5</v>
      </c>
      <c r="M114" s="30">
        <v>1.617867063495339E-5</v>
      </c>
      <c r="N114" s="30">
        <v>1.8055413500258366E-5</v>
      </c>
      <c r="O114" s="30">
        <v>8.3191094953551786E-6</v>
      </c>
      <c r="P114" s="30">
        <v>2.1149930535696898E-5</v>
      </c>
      <c r="Q114" s="30">
        <v>0.22709218394760994</v>
      </c>
      <c r="R114" s="30">
        <v>0.25075913303490643</v>
      </c>
      <c r="S114" s="30">
        <v>0.40504539529888356</v>
      </c>
      <c r="T114" s="30">
        <v>0.15033521270936048</v>
      </c>
      <c r="U114" s="30">
        <v>0.33311951305878446</v>
      </c>
      <c r="V114" s="30">
        <v>-0.62986939869986902</v>
      </c>
      <c r="W114" s="30">
        <v>-0.59902889947091331</v>
      </c>
      <c r="X114" s="30">
        <v>-0.42344155334180988</v>
      </c>
      <c r="Y114" s="30">
        <v>-0.7386236445717782</v>
      </c>
      <c r="Z114" s="30">
        <v>-0.50024058639055347</v>
      </c>
    </row>
    <row r="115" spans="1:26" x14ac:dyDescent="0.25">
      <c r="A115" s="32" t="s">
        <v>93</v>
      </c>
      <c r="B115" s="30">
        <v>1977</v>
      </c>
      <c r="C115" s="30">
        <v>1947</v>
      </c>
      <c r="D115" s="30">
        <v>1642</v>
      </c>
      <c r="E115" s="30">
        <v>2130</v>
      </c>
      <c r="F115" s="30">
        <v>2385</v>
      </c>
      <c r="G115" s="30">
        <v>84112732</v>
      </c>
      <c r="H115" s="30">
        <v>104037546</v>
      </c>
      <c r="I115" s="30">
        <v>112651398</v>
      </c>
      <c r="J115" s="30">
        <v>113612391</v>
      </c>
      <c r="K115" s="30">
        <v>112964408</v>
      </c>
      <c r="L115" s="30">
        <v>2.3504170569563713E-5</v>
      </c>
      <c r="M115" s="30">
        <v>1.8714397588732053E-5</v>
      </c>
      <c r="N115" s="30">
        <v>1.4575939838758149E-5</v>
      </c>
      <c r="O115" s="30">
        <v>1.8747955053599744E-5</v>
      </c>
      <c r="P115" s="30">
        <v>2.1112844675820371E-5</v>
      </c>
      <c r="Q115" s="30">
        <v>0.28972393611345848</v>
      </c>
      <c r="R115" s="30">
        <v>0.29006129245763668</v>
      </c>
      <c r="S115" s="30">
        <v>0.32698876233203172</v>
      </c>
      <c r="T115" s="30">
        <v>0.33879561417265786</v>
      </c>
      <c r="U115" s="30">
        <v>0.33253539655009978</v>
      </c>
      <c r="V115" s="30">
        <v>-0.55071945553475232</v>
      </c>
      <c r="W115" s="30">
        <v>-0.55031393600678591</v>
      </c>
      <c r="X115" s="30">
        <v>-0.507171768723367</v>
      </c>
      <c r="Y115" s="30">
        <v>-0.49388000590063924</v>
      </c>
      <c r="Z115" s="30">
        <v>-0.50089821642107901</v>
      </c>
    </row>
    <row r="116" spans="1:26" x14ac:dyDescent="0.25">
      <c r="A116" s="32" t="s">
        <v>123</v>
      </c>
      <c r="B116" s="30"/>
      <c r="C116" s="30"/>
      <c r="D116" s="30"/>
      <c r="E116" s="30">
        <v>10</v>
      </c>
      <c r="F116" s="30">
        <v>3</v>
      </c>
      <c r="G116" s="30">
        <v>67951</v>
      </c>
      <c r="H116" s="30">
        <v>127531</v>
      </c>
      <c r="I116" s="30">
        <v>166727</v>
      </c>
      <c r="J116" s="30">
        <v>133241</v>
      </c>
      <c r="K116" s="30">
        <v>142575</v>
      </c>
      <c r="L116" s="30">
        <v>0</v>
      </c>
      <c r="M116" s="30">
        <v>0</v>
      </c>
      <c r="N116" s="30">
        <v>0</v>
      </c>
      <c r="O116" s="30">
        <v>7.5051973491642966E-5</v>
      </c>
      <c r="P116" s="30">
        <v>2.1041557075223567E-5</v>
      </c>
      <c r="Q116" s="30">
        <v>0</v>
      </c>
      <c r="R116" s="30">
        <v>0</v>
      </c>
      <c r="S116" s="30">
        <v>0</v>
      </c>
      <c r="T116" s="30">
        <v>1.3562694907938235</v>
      </c>
      <c r="U116" s="30">
        <v>0.33141258951497238</v>
      </c>
      <c r="V116" s="30">
        <v>-1</v>
      </c>
      <c r="W116" s="30">
        <v>-1</v>
      </c>
      <c r="X116" s="30">
        <v>-1</v>
      </c>
      <c r="Y116" s="30">
        <v>0.1512006551821867</v>
      </c>
      <c r="Z116" s="30">
        <v>-0.50216395409674697</v>
      </c>
    </row>
    <row r="117" spans="1:26" x14ac:dyDescent="0.25">
      <c r="A117" s="32" t="s">
        <v>119</v>
      </c>
      <c r="B117" s="30">
        <v>44</v>
      </c>
      <c r="C117" s="30">
        <v>52</v>
      </c>
      <c r="D117" s="30">
        <v>17</v>
      </c>
      <c r="E117" s="30">
        <v>14</v>
      </c>
      <c r="F117" s="30">
        <v>133</v>
      </c>
      <c r="G117" s="30">
        <v>5643095</v>
      </c>
      <c r="H117" s="30">
        <v>7577619</v>
      </c>
      <c r="I117" s="30">
        <v>8603710</v>
      </c>
      <c r="J117" s="30">
        <v>9201594</v>
      </c>
      <c r="K117" s="30">
        <v>6530844</v>
      </c>
      <c r="L117" s="30">
        <v>7.7971396901877432E-6</v>
      </c>
      <c r="M117" s="30">
        <v>6.8623138745825042E-6</v>
      </c>
      <c r="N117" s="30">
        <v>1.9758917955161205E-6</v>
      </c>
      <c r="O117" s="30">
        <v>1.5214755182634661E-6</v>
      </c>
      <c r="P117" s="30">
        <v>2.0364902300529611E-5</v>
      </c>
      <c r="Q117" s="30">
        <v>9.6111368609319847E-2</v>
      </c>
      <c r="R117" s="30">
        <v>0.10636151242772834</v>
      </c>
      <c r="S117" s="30">
        <v>4.4326089423052842E-2</v>
      </c>
      <c r="T117" s="30">
        <v>2.7494691084175609E-2</v>
      </c>
      <c r="U117" s="30">
        <v>0.32075501744046792</v>
      </c>
      <c r="V117" s="30">
        <v>-0.82463211063806385</v>
      </c>
      <c r="W117" s="30">
        <v>-0.80772738163254509</v>
      </c>
      <c r="X117" s="30">
        <v>-0.91511063474907317</v>
      </c>
      <c r="Y117" s="30">
        <v>-0.94648207660291817</v>
      </c>
      <c r="Z117" s="30">
        <v>-0.51428536979996642</v>
      </c>
    </row>
    <row r="118" spans="1:26" x14ac:dyDescent="0.25">
      <c r="A118" s="32" t="s">
        <v>85</v>
      </c>
      <c r="B118" s="30">
        <v>3108</v>
      </c>
      <c r="C118" s="30">
        <v>2040</v>
      </c>
      <c r="D118" s="30">
        <v>1641</v>
      </c>
      <c r="E118" s="30">
        <v>2193</v>
      </c>
      <c r="F118" s="30">
        <v>1087</v>
      </c>
      <c r="G118" s="30">
        <v>34978940</v>
      </c>
      <c r="H118" s="30">
        <v>46309122</v>
      </c>
      <c r="I118" s="30">
        <v>58148475</v>
      </c>
      <c r="J118" s="30">
        <v>53657409</v>
      </c>
      <c r="K118" s="30">
        <v>53813484</v>
      </c>
      <c r="L118" s="30">
        <v>8.8853464398864007E-5</v>
      </c>
      <c r="M118" s="30">
        <v>4.4051796101856565E-5</v>
      </c>
      <c r="N118" s="30">
        <v>2.8220860478284255E-5</v>
      </c>
      <c r="O118" s="30">
        <v>4.0870404308937092E-5</v>
      </c>
      <c r="P118" s="30">
        <v>2.0199398351535834E-5</v>
      </c>
      <c r="Q118" s="30">
        <v>1.0952513881213626</v>
      </c>
      <c r="R118" s="30">
        <v>0.68277489840646899</v>
      </c>
      <c r="S118" s="30">
        <v>0.63309154276293467</v>
      </c>
      <c r="T118" s="30">
        <v>0.73857195036706225</v>
      </c>
      <c r="U118" s="30">
        <v>0.31814826680338854</v>
      </c>
      <c r="V118" s="30">
        <v>4.546060136810913E-2</v>
      </c>
      <c r="W118" s="30">
        <v>-0.1885130933994395</v>
      </c>
      <c r="X118" s="30">
        <v>-0.22467109015598341</v>
      </c>
      <c r="Y118" s="30">
        <v>-0.15036941644994492</v>
      </c>
      <c r="Z118" s="30">
        <v>-0.5172799982889289</v>
      </c>
    </row>
    <row r="119" spans="1:26" x14ac:dyDescent="0.25">
      <c r="A119" s="32" t="s">
        <v>83</v>
      </c>
      <c r="B119" s="30">
        <v>2370</v>
      </c>
      <c r="C119" s="30">
        <v>3109</v>
      </c>
      <c r="D119" s="30">
        <v>2248</v>
      </c>
      <c r="E119" s="30">
        <v>3572</v>
      </c>
      <c r="F119" s="30">
        <v>2813</v>
      </c>
      <c r="G119" s="30">
        <v>99441600</v>
      </c>
      <c r="H119" s="30">
        <v>122740451</v>
      </c>
      <c r="I119" s="30">
        <v>148503449</v>
      </c>
      <c r="J119" s="30">
        <v>150611380</v>
      </c>
      <c r="K119" s="30">
        <v>144552207</v>
      </c>
      <c r="L119" s="30">
        <v>2.3833083940725007E-5</v>
      </c>
      <c r="M119" s="30">
        <v>2.5329872708386904E-5</v>
      </c>
      <c r="N119" s="30">
        <v>1.5137695556148328E-5</v>
      </c>
      <c r="O119" s="30">
        <v>2.3716667359398738E-5</v>
      </c>
      <c r="P119" s="30">
        <v>1.9460097209031199E-5</v>
      </c>
      <c r="Q119" s="30">
        <v>0.29377828367067865</v>
      </c>
      <c r="R119" s="30">
        <v>0.39259696074886669</v>
      </c>
      <c r="S119" s="30">
        <v>0.33959088670921406</v>
      </c>
      <c r="T119" s="30">
        <v>0.42858556366195921</v>
      </c>
      <c r="U119" s="30">
        <v>0.30650399042246695</v>
      </c>
      <c r="V119" s="30">
        <v>-0.54585992456578036</v>
      </c>
      <c r="W119" s="30">
        <v>-0.43616570793354553</v>
      </c>
      <c r="X119" s="30">
        <v>-0.49299313681740603</v>
      </c>
      <c r="Y119" s="30">
        <v>-0.3999861477483419</v>
      </c>
      <c r="Z119" s="30">
        <v>-0.5308028254496846</v>
      </c>
    </row>
    <row r="120" spans="1:26" x14ac:dyDescent="0.25">
      <c r="A120" s="32" t="s">
        <v>37</v>
      </c>
      <c r="B120" s="30">
        <v>6736</v>
      </c>
      <c r="C120" s="30">
        <v>5493</v>
      </c>
      <c r="D120" s="30">
        <v>4718</v>
      </c>
      <c r="E120" s="30">
        <v>3963</v>
      </c>
      <c r="F120" s="30">
        <v>6623</v>
      </c>
      <c r="G120" s="30">
        <v>219514373</v>
      </c>
      <c r="H120" s="30">
        <v>271422758</v>
      </c>
      <c r="I120" s="30">
        <v>363710987</v>
      </c>
      <c r="J120" s="30">
        <v>361966913</v>
      </c>
      <c r="K120" s="30">
        <v>344017272</v>
      </c>
      <c r="L120" s="30">
        <v>3.0685917773593805E-5</v>
      </c>
      <c r="M120" s="30">
        <v>2.0237801872162833E-5</v>
      </c>
      <c r="N120" s="30">
        <v>1.297183799399494E-5</v>
      </c>
      <c r="O120" s="30">
        <v>1.0948514512430036E-5</v>
      </c>
      <c r="P120" s="30">
        <v>1.9251940350250787E-5</v>
      </c>
      <c r="Q120" s="30">
        <v>0.37824967506541363</v>
      </c>
      <c r="R120" s="30">
        <v>0.31367309258597681</v>
      </c>
      <c r="S120" s="30">
        <v>0.29100320787200867</v>
      </c>
      <c r="T120" s="30">
        <v>0.19785137567869182</v>
      </c>
      <c r="U120" s="30">
        <v>0.30322544010667546</v>
      </c>
      <c r="V120" s="30">
        <v>-0.45111588718863821</v>
      </c>
      <c r="W120" s="30">
        <v>-0.52244878218749446</v>
      </c>
      <c r="X120" s="30">
        <v>-0.54918282759083747</v>
      </c>
      <c r="Y120" s="30">
        <v>-0.66965621996870694</v>
      </c>
      <c r="Z120" s="30">
        <v>-0.53465389674735797</v>
      </c>
    </row>
    <row r="121" spans="1:26" x14ac:dyDescent="0.25">
      <c r="A121" s="32" t="s">
        <v>34</v>
      </c>
      <c r="B121" s="30">
        <v>7621</v>
      </c>
      <c r="C121" s="30">
        <v>8269</v>
      </c>
      <c r="D121" s="30">
        <v>5655</v>
      </c>
      <c r="E121" s="30">
        <v>9625</v>
      </c>
      <c r="F121" s="30">
        <v>9813</v>
      </c>
      <c r="G121" s="30">
        <v>395854450</v>
      </c>
      <c r="H121" s="30">
        <v>532547499</v>
      </c>
      <c r="I121" s="30">
        <v>624289390</v>
      </c>
      <c r="J121" s="30">
        <v>550854780</v>
      </c>
      <c r="K121" s="30">
        <v>519085769</v>
      </c>
      <c r="L121" s="30">
        <v>1.9252025586677123E-5</v>
      </c>
      <c r="M121" s="30">
        <v>1.5527253466643357E-5</v>
      </c>
      <c r="N121" s="30">
        <v>9.0582990686418678E-6</v>
      </c>
      <c r="O121" s="30">
        <v>1.7472844657896951E-5</v>
      </c>
      <c r="P121" s="30">
        <v>1.890439034555771E-5</v>
      </c>
      <c r="Q121" s="30">
        <v>0.23730991121856237</v>
      </c>
      <c r="R121" s="30">
        <v>0.24066258010696881</v>
      </c>
      <c r="S121" s="30">
        <v>0.20320898920099792</v>
      </c>
      <c r="T121" s="30">
        <v>0.31575300454323479</v>
      </c>
      <c r="U121" s="30">
        <v>0.29775139431103897</v>
      </c>
      <c r="V121" s="30">
        <v>-0.6164099081937392</v>
      </c>
      <c r="W121" s="30">
        <v>-0.6120418493056845</v>
      </c>
      <c r="X121" s="30">
        <v>-0.66222162396585693</v>
      </c>
      <c r="Y121" s="30">
        <v>-0.52004213031936208</v>
      </c>
      <c r="Z121" s="30">
        <v>-0.54112722110522293</v>
      </c>
    </row>
    <row r="122" spans="1:26" x14ac:dyDescent="0.25">
      <c r="A122" s="32" t="s">
        <v>126</v>
      </c>
      <c r="B122" s="30">
        <v>324</v>
      </c>
      <c r="C122" s="30">
        <v>120</v>
      </c>
      <c r="D122" s="30">
        <v>144</v>
      </c>
      <c r="E122" s="30">
        <v>95</v>
      </c>
      <c r="F122" s="30">
        <v>126</v>
      </c>
      <c r="G122" s="30">
        <v>4241133</v>
      </c>
      <c r="H122" s="30">
        <v>5179825</v>
      </c>
      <c r="I122" s="30">
        <v>6610753</v>
      </c>
      <c r="J122" s="30">
        <v>6304368</v>
      </c>
      <c r="K122" s="30">
        <v>6801692</v>
      </c>
      <c r="L122" s="30">
        <v>7.6394680383755942E-5</v>
      </c>
      <c r="M122" s="30">
        <v>2.3166805828382234E-5</v>
      </c>
      <c r="N122" s="30">
        <v>2.1782692531395439E-5</v>
      </c>
      <c r="O122" s="30">
        <v>1.506891729670603E-5</v>
      </c>
      <c r="P122" s="30">
        <v>1.8524802358001509E-5</v>
      </c>
      <c r="Q122" s="30">
        <v>0.94167830485252602</v>
      </c>
      <c r="R122" s="30">
        <v>0.3590707960988096</v>
      </c>
      <c r="S122" s="30">
        <v>0.48866116009621441</v>
      </c>
      <c r="T122" s="30">
        <v>0.27231146414948626</v>
      </c>
      <c r="U122" s="30">
        <v>0.2917727380046144</v>
      </c>
      <c r="V122" s="30">
        <v>-3.0036744501764225E-2</v>
      </c>
      <c r="W122" s="30">
        <v>-0.47159368425910353</v>
      </c>
      <c r="X122" s="30">
        <v>-0.34348907166405612</v>
      </c>
      <c r="Y122" s="30">
        <v>-0.57194213551864714</v>
      </c>
      <c r="Z122" s="30">
        <v>-0.54825995406078587</v>
      </c>
    </row>
    <row r="123" spans="1:26" x14ac:dyDescent="0.25">
      <c r="A123" s="32" t="s">
        <v>212</v>
      </c>
      <c r="B123" s="30">
        <v>8</v>
      </c>
      <c r="C123" s="30">
        <v>17</v>
      </c>
      <c r="D123" s="30">
        <v>9</v>
      </c>
      <c r="E123" s="30">
        <v>18</v>
      </c>
      <c r="F123" s="30">
        <v>18</v>
      </c>
      <c r="G123" s="30">
        <v>496896</v>
      </c>
      <c r="H123" s="30">
        <v>542320</v>
      </c>
      <c r="I123" s="30">
        <v>933462</v>
      </c>
      <c r="J123" s="30">
        <v>909825</v>
      </c>
      <c r="K123" s="30">
        <v>1056247</v>
      </c>
      <c r="L123" s="30">
        <v>1.6099948480164864E-5</v>
      </c>
      <c r="M123" s="30">
        <v>3.1346806313615574E-5</v>
      </c>
      <c r="N123" s="30">
        <v>9.6415279893557527E-6</v>
      </c>
      <c r="O123" s="30">
        <v>1.9784024400296761E-5</v>
      </c>
      <c r="P123" s="30">
        <v>1.7041468520147275E-5</v>
      </c>
      <c r="Q123" s="30">
        <v>0.19845586259221237</v>
      </c>
      <c r="R123" s="30">
        <v>0.48585561520939013</v>
      </c>
      <c r="S123" s="30">
        <v>0.21629283182453662</v>
      </c>
      <c r="T123" s="30">
        <v>0.35751849619558457</v>
      </c>
      <c r="U123" s="30">
        <v>0.26840966147177986</v>
      </c>
      <c r="V123" s="30">
        <v>-0.66881406518724817</v>
      </c>
      <c r="W123" s="30">
        <v>-0.34602580461235161</v>
      </c>
      <c r="X123" s="30">
        <v>-0.64434085910038619</v>
      </c>
      <c r="Y123" s="30">
        <v>-0.47327642724939328</v>
      </c>
      <c r="Z123" s="30">
        <v>-0.57677764585877589</v>
      </c>
    </row>
    <row r="124" spans="1:26" x14ac:dyDescent="0.25">
      <c r="A124" s="32" t="s">
        <v>191</v>
      </c>
      <c r="B124" s="30">
        <v>556</v>
      </c>
      <c r="C124" s="30">
        <v>1946</v>
      </c>
      <c r="D124" s="30">
        <v>1562</v>
      </c>
      <c r="E124" s="30">
        <v>1186</v>
      </c>
      <c r="F124" s="30">
        <v>8</v>
      </c>
      <c r="G124" s="30">
        <v>1035422</v>
      </c>
      <c r="H124" s="30">
        <v>1260753</v>
      </c>
      <c r="I124" s="30">
        <v>1492691</v>
      </c>
      <c r="J124" s="30">
        <v>1467602</v>
      </c>
      <c r="K124" s="30">
        <v>471273</v>
      </c>
      <c r="L124" s="30">
        <v>5.369791254193942E-4</v>
      </c>
      <c r="M124" s="30">
        <v>1.5435220062930645E-3</v>
      </c>
      <c r="N124" s="30">
        <v>1.0464322488713336E-3</v>
      </c>
      <c r="O124" s="30">
        <v>8.0812100283319318E-4</v>
      </c>
      <c r="P124" s="30">
        <v>1.6975298818307012E-5</v>
      </c>
      <c r="Q124" s="30">
        <v>6.6190681082245568</v>
      </c>
      <c r="R124" s="30">
        <v>23.923612072436715</v>
      </c>
      <c r="S124" s="30">
        <v>23.475095925746807</v>
      </c>
      <c r="T124" s="30">
        <v>14.603611471114904</v>
      </c>
      <c r="U124" s="30">
        <v>0.26736746330384403</v>
      </c>
      <c r="V124" s="30">
        <v>0.73750070591427586</v>
      </c>
      <c r="W124" s="30">
        <v>0.91975480944787213</v>
      </c>
      <c r="X124" s="30">
        <v>0.91828428349912694</v>
      </c>
      <c r="Y124" s="30">
        <v>0.87182454499701179</v>
      </c>
      <c r="Z124" s="30">
        <v>-0.57807428224982882</v>
      </c>
    </row>
    <row r="125" spans="1:26" x14ac:dyDescent="0.25">
      <c r="A125" s="32" t="s">
        <v>35</v>
      </c>
      <c r="B125" s="30">
        <v>26</v>
      </c>
      <c r="C125" s="30">
        <v>1578</v>
      </c>
      <c r="D125" s="30">
        <v>302</v>
      </c>
      <c r="E125" s="30">
        <v>3457</v>
      </c>
      <c r="F125" s="30">
        <v>151</v>
      </c>
      <c r="G125" s="30">
        <v>5023261</v>
      </c>
      <c r="H125" s="30">
        <v>5871286</v>
      </c>
      <c r="I125" s="30">
        <v>8284932</v>
      </c>
      <c r="J125" s="30">
        <v>9155771</v>
      </c>
      <c r="K125" s="30">
        <v>9241694</v>
      </c>
      <c r="L125" s="30">
        <v>5.1759205822671764E-6</v>
      </c>
      <c r="M125" s="30">
        <v>2.6876565031919755E-4</v>
      </c>
      <c r="N125" s="30">
        <v>3.6451717406974491E-5</v>
      </c>
      <c r="O125" s="30">
        <v>3.7757606650493987E-4</v>
      </c>
      <c r="P125" s="30">
        <v>1.6338995859417115E-5</v>
      </c>
      <c r="Q125" s="30">
        <v>6.3800936079274964E-2</v>
      </c>
      <c r="R125" s="30">
        <v>4.1656971072765137</v>
      </c>
      <c r="S125" s="30">
        <v>0.81773814187196003</v>
      </c>
      <c r="T125" s="30">
        <v>6.8232036498228981</v>
      </c>
      <c r="U125" s="30">
        <v>0.25734544779577839</v>
      </c>
      <c r="V125" s="30">
        <v>-0.88005098714348096</v>
      </c>
      <c r="W125" s="30">
        <v>0.61283057088601722</v>
      </c>
      <c r="X125" s="30">
        <v>-0.10026848968484611</v>
      </c>
      <c r="Y125" s="30">
        <v>0.74435025732133719</v>
      </c>
      <c r="Z125" s="30">
        <v>-0.59065275458399369</v>
      </c>
    </row>
    <row r="126" spans="1:26" x14ac:dyDescent="0.25">
      <c r="A126" s="32" t="s">
        <v>54</v>
      </c>
      <c r="B126" s="30">
        <v>42</v>
      </c>
      <c r="C126" s="30">
        <v>75</v>
      </c>
      <c r="D126" s="30">
        <v>26</v>
      </c>
      <c r="E126" s="30">
        <v>52</v>
      </c>
      <c r="F126" s="30">
        <v>149</v>
      </c>
      <c r="G126" s="30">
        <v>6437597</v>
      </c>
      <c r="H126" s="30">
        <v>8622697</v>
      </c>
      <c r="I126" s="30">
        <v>14512194</v>
      </c>
      <c r="J126" s="30">
        <v>10069934</v>
      </c>
      <c r="K126" s="30">
        <v>9212662</v>
      </c>
      <c r="L126" s="30">
        <v>6.5241735386666798E-6</v>
      </c>
      <c r="M126" s="30">
        <v>8.6979746592046542E-6</v>
      </c>
      <c r="N126" s="30">
        <v>1.7915967771654651E-6</v>
      </c>
      <c r="O126" s="30">
        <v>5.1638868735385952E-6</v>
      </c>
      <c r="P126" s="30">
        <v>1.6173392663271485E-5</v>
      </c>
      <c r="Q126" s="30">
        <v>8.0420163388257263E-2</v>
      </c>
      <c r="R126" s="30">
        <v>0.13481309026648769</v>
      </c>
      <c r="S126" s="30">
        <v>4.0191714513367831E-2</v>
      </c>
      <c r="T126" s="30">
        <v>9.3316962828045469E-2</v>
      </c>
      <c r="U126" s="30">
        <v>0.25473713397801417</v>
      </c>
      <c r="V126" s="30">
        <v>-0.85113168725756616</v>
      </c>
      <c r="W126" s="30">
        <v>-0.76240476705317251</v>
      </c>
      <c r="X126" s="30">
        <v>-0.92272248672511159</v>
      </c>
      <c r="Y126" s="30">
        <v>-0.82929568276949495</v>
      </c>
      <c r="Z126" s="30">
        <v>-0.59395936076204825</v>
      </c>
    </row>
    <row r="127" spans="1:26" x14ac:dyDescent="0.25">
      <c r="A127" s="32" t="s">
        <v>87</v>
      </c>
      <c r="B127" s="30">
        <v>363</v>
      </c>
      <c r="C127" s="30">
        <v>210</v>
      </c>
      <c r="D127" s="30">
        <v>171</v>
      </c>
      <c r="E127" s="30">
        <v>282</v>
      </c>
      <c r="F127" s="30">
        <v>267</v>
      </c>
      <c r="G127" s="30">
        <v>4547329</v>
      </c>
      <c r="H127" s="30">
        <v>5324762</v>
      </c>
      <c r="I127" s="30">
        <v>8635543</v>
      </c>
      <c r="J127" s="30">
        <v>12021705</v>
      </c>
      <c r="K127" s="30">
        <v>16807771</v>
      </c>
      <c r="L127" s="30">
        <v>7.9827080908375004E-5</v>
      </c>
      <c r="M127" s="30">
        <v>3.9438382410331202E-5</v>
      </c>
      <c r="N127" s="30">
        <v>1.9801881595633303E-5</v>
      </c>
      <c r="O127" s="30">
        <v>2.3457571118239885E-5</v>
      </c>
      <c r="P127" s="30">
        <v>1.5885509149309567E-5</v>
      </c>
      <c r="Q127" s="30">
        <v>0.9839877574395608</v>
      </c>
      <c r="R127" s="30">
        <v>0.61126991238376538</v>
      </c>
      <c r="S127" s="30">
        <v>0.44422471733755675</v>
      </c>
      <c r="T127" s="30">
        <v>0.42390341726773761</v>
      </c>
      <c r="U127" s="30">
        <v>0.25020285828255573</v>
      </c>
      <c r="V127" s="30">
        <v>-8.0707365760683096E-3</v>
      </c>
      <c r="W127" s="30">
        <v>-0.24125696422962098</v>
      </c>
      <c r="X127" s="30">
        <v>-0.38482604264454134</v>
      </c>
      <c r="Y127" s="30">
        <v>-0.40458964824855009</v>
      </c>
      <c r="Z127" s="30">
        <v>-0.59974038353060954</v>
      </c>
    </row>
    <row r="128" spans="1:26" x14ac:dyDescent="0.25">
      <c r="A128" s="32" t="s">
        <v>202</v>
      </c>
      <c r="B128" s="30">
        <v>294</v>
      </c>
      <c r="C128" s="30">
        <v>29</v>
      </c>
      <c r="D128" s="30">
        <v>16</v>
      </c>
      <c r="E128" s="30">
        <v>35</v>
      </c>
      <c r="F128" s="30">
        <v>41</v>
      </c>
      <c r="G128" s="30">
        <v>1003430</v>
      </c>
      <c r="H128" s="30">
        <v>1715157</v>
      </c>
      <c r="I128" s="30">
        <v>2343768</v>
      </c>
      <c r="J128" s="30">
        <v>2293825</v>
      </c>
      <c r="K128" s="30">
        <v>2707963</v>
      </c>
      <c r="L128" s="30">
        <v>2.9299502705719383E-4</v>
      </c>
      <c r="M128" s="30">
        <v>1.6908073138494028E-5</v>
      </c>
      <c r="N128" s="30">
        <v>6.8266142382693169E-6</v>
      </c>
      <c r="O128" s="30">
        <v>1.5258356674986104E-5</v>
      </c>
      <c r="P128" s="30">
        <v>1.5140531831491051E-5</v>
      </c>
      <c r="Q128" s="30">
        <v>3.6116004285045129</v>
      </c>
      <c r="R128" s="30">
        <v>0.26206440919438173</v>
      </c>
      <c r="S128" s="30">
        <v>0.15314457697981909</v>
      </c>
      <c r="T128" s="30">
        <v>0.27573483647619562</v>
      </c>
      <c r="U128" s="30">
        <v>0.23846917996466774</v>
      </c>
      <c r="V128" s="30">
        <v>0.56631108201874802</v>
      </c>
      <c r="W128" s="30">
        <v>-0.58470517465639282</v>
      </c>
      <c r="X128" s="30">
        <v>-0.73438789890350531</v>
      </c>
      <c r="Y128" s="30">
        <v>-0.56772390532530448</v>
      </c>
      <c r="Z128" s="30">
        <v>-0.61489686812961952</v>
      </c>
    </row>
    <row r="129" spans="1:26" x14ac:dyDescent="0.25">
      <c r="A129" s="32" t="s">
        <v>220</v>
      </c>
      <c r="B129" s="30">
        <v>5</v>
      </c>
      <c r="C129" s="30">
        <v>0</v>
      </c>
      <c r="D129" s="30">
        <v>0</v>
      </c>
      <c r="E129" s="30">
        <v>1</v>
      </c>
      <c r="F129" s="30">
        <v>8</v>
      </c>
      <c r="G129" s="30">
        <v>311893</v>
      </c>
      <c r="H129" s="30">
        <v>370236</v>
      </c>
      <c r="I129" s="30">
        <v>447050</v>
      </c>
      <c r="J129" s="30">
        <v>473580</v>
      </c>
      <c r="K129" s="30">
        <v>530853</v>
      </c>
      <c r="L129" s="30">
        <v>1.603113888416861E-5</v>
      </c>
      <c r="M129" s="30">
        <v>0</v>
      </c>
      <c r="N129" s="30">
        <v>0</v>
      </c>
      <c r="O129" s="30">
        <v>2.1115756577558176E-6</v>
      </c>
      <c r="P129" s="30">
        <v>1.5070085315520492E-5</v>
      </c>
      <c r="Q129" s="30">
        <v>0.19760768175828722</v>
      </c>
      <c r="R129" s="30">
        <v>0</v>
      </c>
      <c r="S129" s="30">
        <v>0</v>
      </c>
      <c r="T129" s="30">
        <v>3.8158432202132664E-2</v>
      </c>
      <c r="U129" s="30">
        <v>0.23735962033480545</v>
      </c>
      <c r="V129" s="30">
        <v>-0.66999596818189022</v>
      </c>
      <c r="W129" s="30">
        <v>-1</v>
      </c>
      <c r="X129" s="30">
        <v>-1</v>
      </c>
      <c r="Y129" s="30">
        <v>-0.92648822950618182</v>
      </c>
      <c r="Z129" s="30">
        <v>-0.6163449712855823</v>
      </c>
    </row>
    <row r="130" spans="1:26" x14ac:dyDescent="0.25">
      <c r="A130" s="32" t="s">
        <v>118</v>
      </c>
      <c r="B130" s="30">
        <v>10883</v>
      </c>
      <c r="C130" s="30">
        <v>9323</v>
      </c>
      <c r="D130" s="30">
        <v>6615</v>
      </c>
      <c r="E130" s="30">
        <v>8927</v>
      </c>
      <c r="F130" s="30">
        <v>9280</v>
      </c>
      <c r="G130" s="30">
        <v>467540264</v>
      </c>
      <c r="H130" s="30">
        <v>615034495</v>
      </c>
      <c r="I130" s="30">
        <v>731366344</v>
      </c>
      <c r="J130" s="30">
        <v>642571069</v>
      </c>
      <c r="K130" s="30">
        <v>632098015</v>
      </c>
      <c r="L130" s="30">
        <v>2.3277139613370284E-5</v>
      </c>
      <c r="M130" s="30">
        <v>1.5158499361893515E-5</v>
      </c>
      <c r="N130" s="30">
        <v>9.0447148057444651E-6</v>
      </c>
      <c r="O130" s="30">
        <v>1.3892626715816238E-5</v>
      </c>
      <c r="P130" s="30">
        <v>1.468126742970392E-5</v>
      </c>
      <c r="Q130" s="30">
        <v>0.28692544118025975</v>
      </c>
      <c r="R130" s="30">
        <v>0.2349471253766921</v>
      </c>
      <c r="S130" s="30">
        <v>0.20290424718359445</v>
      </c>
      <c r="T130" s="30">
        <v>0.25105463434278424</v>
      </c>
      <c r="U130" s="30">
        <v>0.23123558959280593</v>
      </c>
      <c r="V130" s="30">
        <v>-0.55409158604073305</v>
      </c>
      <c r="W130" s="30">
        <v>-0.61950253488783669</v>
      </c>
      <c r="X130" s="30">
        <v>-0.66264272878134411</v>
      </c>
      <c r="Y130" s="30">
        <v>-0.59865120602879096</v>
      </c>
      <c r="Z130" s="30">
        <v>-0.62438449384121497</v>
      </c>
    </row>
    <row r="131" spans="1:26" x14ac:dyDescent="0.25">
      <c r="A131" s="32" t="s">
        <v>140</v>
      </c>
      <c r="B131" s="30">
        <v>0</v>
      </c>
      <c r="C131" s="30">
        <v>5</v>
      </c>
      <c r="D131" s="30">
        <v>5</v>
      </c>
      <c r="E131" s="30">
        <v>11</v>
      </c>
      <c r="F131" s="30">
        <v>5</v>
      </c>
      <c r="G131" s="30">
        <v>210872</v>
      </c>
      <c r="H131" s="30">
        <v>327702</v>
      </c>
      <c r="I131" s="30">
        <v>228797</v>
      </c>
      <c r="J131" s="30">
        <v>273142</v>
      </c>
      <c r="K131" s="30">
        <v>347297</v>
      </c>
      <c r="L131" s="30">
        <v>0</v>
      </c>
      <c r="M131" s="30">
        <v>1.5257764676443842E-5</v>
      </c>
      <c r="N131" s="30">
        <v>2.1853433392920363E-5</v>
      </c>
      <c r="O131" s="30">
        <v>4.0272092904057233E-5</v>
      </c>
      <c r="P131" s="30">
        <v>1.4396899483727184E-5</v>
      </c>
      <c r="Q131" s="30">
        <v>0</v>
      </c>
      <c r="R131" s="30">
        <v>0.23648567479022053</v>
      </c>
      <c r="S131" s="30">
        <v>0.49024812237873078</v>
      </c>
      <c r="T131" s="30">
        <v>0.72775982289485264</v>
      </c>
      <c r="U131" s="30">
        <v>0.22675668544068997</v>
      </c>
      <c r="V131" s="30">
        <v>-1</v>
      </c>
      <c r="W131" s="30">
        <v>-0.61748740060358209</v>
      </c>
      <c r="X131" s="30">
        <v>-0.34205839280481998</v>
      </c>
      <c r="Y131" s="30">
        <v>-0.15756829942312836</v>
      </c>
      <c r="Z131" s="30">
        <v>-0.63031514214372231</v>
      </c>
    </row>
    <row r="132" spans="1:26" x14ac:dyDescent="0.25">
      <c r="A132" s="32" t="s">
        <v>124</v>
      </c>
      <c r="B132" s="30">
        <v>190</v>
      </c>
      <c r="C132" s="30">
        <v>80</v>
      </c>
      <c r="D132" s="30">
        <v>108</v>
      </c>
      <c r="E132" s="30">
        <v>69</v>
      </c>
      <c r="F132" s="30">
        <v>23</v>
      </c>
      <c r="G132" s="30">
        <v>532953</v>
      </c>
      <c r="H132" s="30">
        <v>1513366</v>
      </c>
      <c r="I132" s="30">
        <v>1346174</v>
      </c>
      <c r="J132" s="30">
        <v>1132883</v>
      </c>
      <c r="K132" s="30">
        <v>1632543</v>
      </c>
      <c r="L132" s="30">
        <v>3.5650423208050239E-4</v>
      </c>
      <c r="M132" s="30">
        <v>5.2862295042970439E-5</v>
      </c>
      <c r="N132" s="30">
        <v>8.022737031022735E-5</v>
      </c>
      <c r="O132" s="30">
        <v>6.0906554339680268E-5</v>
      </c>
      <c r="P132" s="30">
        <v>1.4088449737617937E-5</v>
      </c>
      <c r="Q132" s="30">
        <v>4.3944460432575179</v>
      </c>
      <c r="R132" s="30">
        <v>0.81933204367065049</v>
      </c>
      <c r="S132" s="30">
        <v>1.7997774972382079</v>
      </c>
      <c r="T132" s="30">
        <v>1.1006466265604946</v>
      </c>
      <c r="U132" s="30">
        <v>0.22189848370553081</v>
      </c>
      <c r="V132" s="30">
        <v>0.62924830761820549</v>
      </c>
      <c r="W132" s="30">
        <v>-9.9304553535393802E-2</v>
      </c>
      <c r="X132" s="30">
        <v>0.2856575202947858</v>
      </c>
      <c r="Y132" s="30">
        <v>4.7912212024584511E-2</v>
      </c>
      <c r="Z132" s="30">
        <v>-0.63679718623988923</v>
      </c>
    </row>
    <row r="133" spans="1:26" x14ac:dyDescent="0.25">
      <c r="A133" s="32" t="s">
        <v>230</v>
      </c>
      <c r="B133" s="30"/>
      <c r="C133" s="30">
        <v>1</v>
      </c>
      <c r="D133" s="30">
        <v>1</v>
      </c>
      <c r="E133" s="30">
        <v>2</v>
      </c>
      <c r="F133" s="30">
        <v>1</v>
      </c>
      <c r="G133" s="30">
        <v>74541</v>
      </c>
      <c r="H133" s="30">
        <v>76445</v>
      </c>
      <c r="I133" s="30">
        <v>70634</v>
      </c>
      <c r="J133" s="30">
        <v>63729</v>
      </c>
      <c r="K133" s="30">
        <v>72469</v>
      </c>
      <c r="L133" s="30">
        <v>0</v>
      </c>
      <c r="M133" s="30">
        <v>1.3081300281247955E-5</v>
      </c>
      <c r="N133" s="30">
        <v>1.415748789534785E-5</v>
      </c>
      <c r="O133" s="30">
        <v>3.1382886911767016E-5</v>
      </c>
      <c r="P133" s="30">
        <v>1.3799003711931998E-5</v>
      </c>
      <c r="Q133" s="30">
        <v>0</v>
      </c>
      <c r="R133" s="30">
        <v>0.20275185715247523</v>
      </c>
      <c r="S133" s="30">
        <v>0.3176014374264135</v>
      </c>
      <c r="T133" s="30">
        <v>0.56712235629889018</v>
      </c>
      <c r="U133" s="30">
        <v>0.21733959785148216</v>
      </c>
      <c r="V133" s="30">
        <v>-1</v>
      </c>
      <c r="W133" s="30">
        <v>-0.66285338751005229</v>
      </c>
      <c r="X133" s="30">
        <v>-0.51790969802406395</v>
      </c>
      <c r="Y133" s="30">
        <v>-0.27622453470924063</v>
      </c>
      <c r="Z133" s="30">
        <v>-0.64292692321013611</v>
      </c>
    </row>
    <row r="134" spans="1:26" x14ac:dyDescent="0.25">
      <c r="A134" s="32" t="s">
        <v>67</v>
      </c>
      <c r="B134" s="30">
        <v>5</v>
      </c>
      <c r="C134" s="30">
        <v>4</v>
      </c>
      <c r="D134" s="30">
        <v>5</v>
      </c>
      <c r="E134" s="30">
        <v>11</v>
      </c>
      <c r="F134" s="30">
        <v>20</v>
      </c>
      <c r="G134" s="30">
        <v>891869</v>
      </c>
      <c r="H134" s="30">
        <v>1221291</v>
      </c>
      <c r="I134" s="30">
        <v>1568916</v>
      </c>
      <c r="J134" s="30">
        <v>1289872</v>
      </c>
      <c r="K134" s="30">
        <v>1461529</v>
      </c>
      <c r="L134" s="30">
        <v>5.6062044986427377E-6</v>
      </c>
      <c r="M134" s="30">
        <v>3.2752226946730959E-6</v>
      </c>
      <c r="N134" s="30">
        <v>3.1869137672125214E-6</v>
      </c>
      <c r="O134" s="30">
        <v>8.5279779699070913E-6</v>
      </c>
      <c r="P134" s="30">
        <v>1.3684299114146896E-5</v>
      </c>
      <c r="Q134" s="30">
        <v>6.9104826702842542E-2</v>
      </c>
      <c r="R134" s="30">
        <v>5.0763874359250893E-2</v>
      </c>
      <c r="S134" s="30">
        <v>7.1493502300879377E-2</v>
      </c>
      <c r="T134" s="30">
        <v>0.15410968960109672</v>
      </c>
      <c r="U134" s="30">
        <v>0.21553295646817902</v>
      </c>
      <c r="V134" s="30">
        <v>-0.8707239459090943</v>
      </c>
      <c r="W134" s="30">
        <v>-0.90337719901113578</v>
      </c>
      <c r="X134" s="30">
        <v>-0.86655354951316588</v>
      </c>
      <c r="Y134" s="30">
        <v>-0.73293753446544108</v>
      </c>
      <c r="Z134" s="30">
        <v>-0.64536879840029027</v>
      </c>
    </row>
    <row r="135" spans="1:26" x14ac:dyDescent="0.25">
      <c r="A135" s="32" t="s">
        <v>120</v>
      </c>
      <c r="B135" s="30">
        <v>51</v>
      </c>
      <c r="C135" s="30">
        <v>92</v>
      </c>
      <c r="D135" s="30">
        <v>110</v>
      </c>
      <c r="E135" s="30">
        <v>66</v>
      </c>
      <c r="F135" s="30">
        <v>153</v>
      </c>
      <c r="G135" s="30">
        <v>5378310</v>
      </c>
      <c r="H135" s="30">
        <v>7111525</v>
      </c>
      <c r="I135" s="30">
        <v>9048377</v>
      </c>
      <c r="J135" s="30">
        <v>10226926</v>
      </c>
      <c r="K135" s="30">
        <v>11268015</v>
      </c>
      <c r="L135" s="30">
        <v>9.4825326171232233E-6</v>
      </c>
      <c r="M135" s="30">
        <v>1.2936747040894886E-5</v>
      </c>
      <c r="N135" s="30">
        <v>1.215687631052508E-5</v>
      </c>
      <c r="O135" s="30">
        <v>6.4535521230915333E-6</v>
      </c>
      <c r="P135" s="30">
        <v>1.3578256684961815E-5</v>
      </c>
      <c r="Q135" s="30">
        <v>0.11688634857486874</v>
      </c>
      <c r="R135" s="30">
        <v>0.20051137361422891</v>
      </c>
      <c r="S135" s="30">
        <v>0.27272079760044282</v>
      </c>
      <c r="T135" s="30">
        <v>0.11662259424492512</v>
      </c>
      <c r="U135" s="30">
        <v>0.21386274756068008</v>
      </c>
      <c r="V135" s="30">
        <v>-0.7906924930651823</v>
      </c>
      <c r="W135" s="30">
        <v>-0.66595672807234718</v>
      </c>
      <c r="X135" s="30">
        <v>-0.57143656626869921</v>
      </c>
      <c r="Y135" s="30">
        <v>-0.79111546757875373</v>
      </c>
      <c r="Z135" s="30">
        <v>-0.64763273608907057</v>
      </c>
    </row>
    <row r="136" spans="1:26" x14ac:dyDescent="0.25">
      <c r="A136" s="32" t="s">
        <v>74</v>
      </c>
      <c r="B136" s="30">
        <v>1542</v>
      </c>
      <c r="C136" s="30">
        <v>1230</v>
      </c>
      <c r="D136" s="30">
        <v>812</v>
      </c>
      <c r="E136" s="30">
        <v>1096</v>
      </c>
      <c r="F136" s="30">
        <v>1138</v>
      </c>
      <c r="G136" s="30">
        <v>42128767</v>
      </c>
      <c r="H136" s="30">
        <v>57733941</v>
      </c>
      <c r="I136" s="30">
        <v>69930680</v>
      </c>
      <c r="J136" s="30">
        <v>71694473</v>
      </c>
      <c r="K136" s="30">
        <v>84328690</v>
      </c>
      <c r="L136" s="30">
        <v>3.6602068130785789E-5</v>
      </c>
      <c r="M136" s="30">
        <v>2.1304625644731235E-5</v>
      </c>
      <c r="N136" s="30">
        <v>1.161149870128533E-5</v>
      </c>
      <c r="O136" s="30">
        <v>1.5287091935245832E-5</v>
      </c>
      <c r="P136" s="30">
        <v>1.3494814161111716E-5</v>
      </c>
      <c r="Q136" s="30">
        <v>0.4511750464607473</v>
      </c>
      <c r="R136" s="30">
        <v>0.33020818439582694</v>
      </c>
      <c r="S136" s="30">
        <v>0.26048609085620161</v>
      </c>
      <c r="T136" s="30">
        <v>0.27625411338507838</v>
      </c>
      <c r="U136" s="30">
        <v>0.21254849582512822</v>
      </c>
      <c r="V136" s="30">
        <v>-0.37819348870267233</v>
      </c>
      <c r="W136" s="30">
        <v>-0.50352405244626341</v>
      </c>
      <c r="X136" s="30">
        <v>-0.58668946409513634</v>
      </c>
      <c r="Y136" s="30">
        <v>-0.56708603641267874</v>
      </c>
      <c r="Z136" s="30">
        <v>-0.64941856501914019</v>
      </c>
    </row>
    <row r="137" spans="1:26" x14ac:dyDescent="0.25">
      <c r="A137" s="32" t="s">
        <v>53</v>
      </c>
      <c r="B137" s="30">
        <v>3814</v>
      </c>
      <c r="C137" s="30">
        <v>6344</v>
      </c>
      <c r="D137" s="30">
        <v>5175</v>
      </c>
      <c r="E137" s="30">
        <v>2729</v>
      </c>
      <c r="F137" s="30">
        <v>3550</v>
      </c>
      <c r="G137" s="30">
        <v>202277035</v>
      </c>
      <c r="H137" s="30">
        <v>248893435</v>
      </c>
      <c r="I137" s="30">
        <v>290113770</v>
      </c>
      <c r="J137" s="30">
        <v>276027533</v>
      </c>
      <c r="K137" s="30">
        <v>284464732</v>
      </c>
      <c r="L137" s="30">
        <v>1.8855328782132882E-5</v>
      </c>
      <c r="M137" s="30">
        <v>2.5488820145055253E-5</v>
      </c>
      <c r="N137" s="30">
        <v>1.7837829621117259E-5</v>
      </c>
      <c r="O137" s="30">
        <v>9.8866948899622999E-6</v>
      </c>
      <c r="P137" s="30">
        <v>1.2479578663551164E-5</v>
      </c>
      <c r="Q137" s="30">
        <v>0.23242003181115972</v>
      </c>
      <c r="R137" s="30">
        <v>0.3950605452000493</v>
      </c>
      <c r="S137" s="30">
        <v>0.40016423606450141</v>
      </c>
      <c r="T137" s="30">
        <v>0.1786631586114942</v>
      </c>
      <c r="U137" s="30">
        <v>0.19655814758182982</v>
      </c>
      <c r="V137" s="30">
        <v>-0.62282334624243951</v>
      </c>
      <c r="W137" s="30">
        <v>-0.43362953448963282</v>
      </c>
      <c r="X137" s="30">
        <v>-0.42840386040817702</v>
      </c>
      <c r="Y137" s="30">
        <v>-0.69683762946834527</v>
      </c>
      <c r="Z137" s="30">
        <v>-0.6714607677377622</v>
      </c>
    </row>
    <row r="138" spans="1:26" x14ac:dyDescent="0.25">
      <c r="A138" s="32" t="s">
        <v>189</v>
      </c>
      <c r="B138" s="30">
        <v>5</v>
      </c>
      <c r="C138" s="30">
        <v>29</v>
      </c>
      <c r="D138" s="30">
        <v>6</v>
      </c>
      <c r="E138" s="30">
        <v>11</v>
      </c>
      <c r="F138" s="30">
        <v>4</v>
      </c>
      <c r="G138" s="30">
        <v>309997</v>
      </c>
      <c r="H138" s="30">
        <v>343768</v>
      </c>
      <c r="I138" s="30">
        <v>451845</v>
      </c>
      <c r="J138" s="30">
        <v>444145</v>
      </c>
      <c r="K138" s="30">
        <v>345988</v>
      </c>
      <c r="L138" s="30">
        <v>1.6129188346984003E-5</v>
      </c>
      <c r="M138" s="30">
        <v>8.43592190081683E-5</v>
      </c>
      <c r="N138" s="30">
        <v>1.327888988480563E-5</v>
      </c>
      <c r="O138" s="30">
        <v>2.4766686555066477E-5</v>
      </c>
      <c r="P138" s="30">
        <v>1.1561094604437148E-5</v>
      </c>
      <c r="Q138" s="30">
        <v>0.19881628753387121</v>
      </c>
      <c r="R138" s="30">
        <v>1.3075143872629451</v>
      </c>
      <c r="S138" s="30">
        <v>0.29789144416130253</v>
      </c>
      <c r="T138" s="30">
        <v>0.44756053438662108</v>
      </c>
      <c r="U138" s="30">
        <v>0.1820916715805064</v>
      </c>
      <c r="V138" s="30">
        <v>-0.66831233509036903</v>
      </c>
      <c r="W138" s="30">
        <v>0.13326650917557348</v>
      </c>
      <c r="X138" s="30">
        <v>-0.54096092473465685</v>
      </c>
      <c r="Y138" s="30">
        <v>-0.38163479349584895</v>
      </c>
      <c r="Z138" s="30">
        <v>-0.69191615852086641</v>
      </c>
    </row>
    <row r="139" spans="1:26" x14ac:dyDescent="0.25">
      <c r="A139" s="32" t="s">
        <v>14</v>
      </c>
      <c r="B139" s="30">
        <v>8408</v>
      </c>
      <c r="C139" s="30">
        <v>9558</v>
      </c>
      <c r="D139" s="30">
        <v>17560</v>
      </c>
      <c r="E139" s="30">
        <v>10071</v>
      </c>
      <c r="F139" s="30">
        <v>3529</v>
      </c>
      <c r="G139" s="30">
        <v>208615061</v>
      </c>
      <c r="H139" s="30">
        <v>269102030</v>
      </c>
      <c r="I139" s="30">
        <v>306260910</v>
      </c>
      <c r="J139" s="30">
        <v>292053342</v>
      </c>
      <c r="K139" s="30">
        <v>310155165</v>
      </c>
      <c r="L139" s="30">
        <v>4.0303897329828935E-5</v>
      </c>
      <c r="M139" s="30">
        <v>3.5518126712013286E-5</v>
      </c>
      <c r="N139" s="30">
        <v>5.7336732918347298E-5</v>
      </c>
      <c r="O139" s="30">
        <v>3.44834266611474E-5</v>
      </c>
      <c r="P139" s="30">
        <v>1.1378175823704242E-5</v>
      </c>
      <c r="Q139" s="30">
        <v>0.49680560905355525</v>
      </c>
      <c r="R139" s="30">
        <v>0.55050843559953988</v>
      </c>
      <c r="S139" s="30">
        <v>1.2862613005083581</v>
      </c>
      <c r="T139" s="30">
        <v>0.62315242814698601</v>
      </c>
      <c r="U139" s="30">
        <v>0.17921063066813991</v>
      </c>
      <c r="V139" s="30">
        <v>-0.33617885175124335</v>
      </c>
      <c r="W139" s="30">
        <v>-0.28989946399527577</v>
      </c>
      <c r="X139" s="30">
        <v>0.12520935399847202</v>
      </c>
      <c r="Y139" s="30">
        <v>-0.23217016795103376</v>
      </c>
      <c r="Z139" s="30">
        <v>-0.69604983875255733</v>
      </c>
    </row>
    <row r="140" spans="1:26" x14ac:dyDescent="0.25">
      <c r="A140" s="32" t="s">
        <v>44</v>
      </c>
      <c r="B140" s="30">
        <v>32</v>
      </c>
      <c r="C140" s="30">
        <v>29</v>
      </c>
      <c r="D140" s="30">
        <v>17</v>
      </c>
      <c r="E140" s="30">
        <v>16</v>
      </c>
      <c r="F140" s="30">
        <v>94</v>
      </c>
      <c r="G140" s="30">
        <v>6545027</v>
      </c>
      <c r="H140" s="30">
        <v>10163198</v>
      </c>
      <c r="I140" s="30">
        <v>11246827</v>
      </c>
      <c r="J140" s="30">
        <v>10916351</v>
      </c>
      <c r="K140" s="30">
        <v>8949467</v>
      </c>
      <c r="L140" s="30">
        <v>4.8892082492555036E-6</v>
      </c>
      <c r="M140" s="30">
        <v>2.8534325514468968E-6</v>
      </c>
      <c r="N140" s="30">
        <v>1.5115374318463333E-6</v>
      </c>
      <c r="O140" s="30">
        <v>1.4656912369343931E-6</v>
      </c>
      <c r="P140" s="30">
        <v>1.0503418806952415E-5</v>
      </c>
      <c r="Q140" s="30">
        <v>6.0266779219471489E-2</v>
      </c>
      <c r="R140" s="30">
        <v>4.4226394672288005E-2</v>
      </c>
      <c r="S140" s="30">
        <v>3.3909014411799346E-2</v>
      </c>
      <c r="T140" s="30">
        <v>2.6486609413399746E-2</v>
      </c>
      <c r="U140" s="30">
        <v>0.16543287234532647</v>
      </c>
      <c r="V140" s="30">
        <v>-0.88631770720226155</v>
      </c>
      <c r="W140" s="30">
        <v>-0.91529347486726242</v>
      </c>
      <c r="X140" s="30">
        <v>-0.93440619253892376</v>
      </c>
      <c r="Y140" s="30">
        <v>-0.94839365819192534</v>
      </c>
      <c r="Z140" s="30">
        <v>-0.7161005558176714</v>
      </c>
    </row>
    <row r="141" spans="1:26" x14ac:dyDescent="0.25">
      <c r="A141" s="32" t="s">
        <v>133</v>
      </c>
      <c r="B141" s="30">
        <v>43</v>
      </c>
      <c r="C141" s="30">
        <v>28</v>
      </c>
      <c r="D141" s="30">
        <v>31</v>
      </c>
      <c r="E141" s="30">
        <v>28</v>
      </c>
      <c r="F141" s="30">
        <v>5</v>
      </c>
      <c r="G141" s="30">
        <v>394552</v>
      </c>
      <c r="H141" s="30">
        <v>446676</v>
      </c>
      <c r="I141" s="30">
        <v>589270</v>
      </c>
      <c r="J141" s="30">
        <v>608759</v>
      </c>
      <c r="K141" s="30">
        <v>512167</v>
      </c>
      <c r="L141" s="30">
        <v>1.0898436707962448E-4</v>
      </c>
      <c r="M141" s="30">
        <v>6.268525732298131E-5</v>
      </c>
      <c r="N141" s="30">
        <v>5.2607463471753183E-5</v>
      </c>
      <c r="O141" s="30">
        <v>4.5995213212453534E-5</v>
      </c>
      <c r="P141" s="30">
        <v>9.7624407663906497E-6</v>
      </c>
      <c r="Q141" s="30">
        <v>1.3433947695236172</v>
      </c>
      <c r="R141" s="30">
        <v>0.97158172850251001</v>
      </c>
      <c r="S141" s="30">
        <v>1.180167423874448</v>
      </c>
      <c r="T141" s="30">
        <v>0.83118273245078522</v>
      </c>
      <c r="U141" s="30">
        <v>0.15376218417722209</v>
      </c>
      <c r="V141" s="30">
        <v>0.14653731159151862</v>
      </c>
      <c r="W141" s="30">
        <v>-1.4413945456410133E-2</v>
      </c>
      <c r="X141" s="30">
        <v>8.2639260591402849E-2</v>
      </c>
      <c r="Y141" s="30">
        <v>-9.2190290219303334E-2</v>
      </c>
      <c r="Z141" s="30">
        <v>-0.73345948361641977</v>
      </c>
    </row>
    <row r="142" spans="1:26" x14ac:dyDescent="0.25">
      <c r="A142" s="32" t="s">
        <v>127</v>
      </c>
      <c r="B142" s="30">
        <v>220</v>
      </c>
      <c r="C142" s="30">
        <v>188</v>
      </c>
      <c r="D142" s="30">
        <v>270</v>
      </c>
      <c r="E142" s="30">
        <v>377</v>
      </c>
      <c r="F142" s="30">
        <v>542</v>
      </c>
      <c r="G142" s="30">
        <v>19955151</v>
      </c>
      <c r="H142" s="30">
        <v>23724275</v>
      </c>
      <c r="I142" s="30">
        <v>28264000</v>
      </c>
      <c r="J142" s="30">
        <v>36660334</v>
      </c>
      <c r="K142" s="30">
        <v>55524325</v>
      </c>
      <c r="L142" s="30">
        <v>1.1024722388720587E-5</v>
      </c>
      <c r="M142" s="30">
        <v>7.9243728206657535E-6</v>
      </c>
      <c r="N142" s="30">
        <v>9.5527879988678184E-6</v>
      </c>
      <c r="O142" s="30">
        <v>1.0283594252032729E-5</v>
      </c>
      <c r="P142" s="30">
        <v>9.7614874201532386E-6</v>
      </c>
      <c r="Q142" s="30">
        <v>0.1358961362012269</v>
      </c>
      <c r="R142" s="30">
        <v>0.12282275244929265</v>
      </c>
      <c r="S142" s="30">
        <v>0.2143020868036325</v>
      </c>
      <c r="T142" s="30">
        <v>0.18583555489433937</v>
      </c>
      <c r="U142" s="30">
        <v>0.15374716860854934</v>
      </c>
      <c r="V142" s="30">
        <v>-0.76072436225427464</v>
      </c>
      <c r="W142" s="30">
        <v>-0.7812250380901693</v>
      </c>
      <c r="X142" s="30">
        <v>-0.64703661612287455</v>
      </c>
      <c r="Y142" s="30">
        <v>-0.68657449318780506</v>
      </c>
      <c r="Z142" s="30">
        <v>-0.73348204391439997</v>
      </c>
    </row>
    <row r="143" spans="1:26" x14ac:dyDescent="0.25">
      <c r="A143" s="32" t="s">
        <v>211</v>
      </c>
      <c r="B143" s="30">
        <v>1</v>
      </c>
      <c r="C143" s="30"/>
      <c r="D143" s="30"/>
      <c r="E143" s="30">
        <v>7</v>
      </c>
      <c r="F143" s="30">
        <v>14</v>
      </c>
      <c r="G143" s="30">
        <v>1582024</v>
      </c>
      <c r="H143" s="30">
        <v>1094076</v>
      </c>
      <c r="I143" s="30">
        <v>2151796</v>
      </c>
      <c r="J143" s="30">
        <v>2476840</v>
      </c>
      <c r="K143" s="30">
        <v>1521030</v>
      </c>
      <c r="L143" s="30">
        <v>6.3210166217453087E-7</v>
      </c>
      <c r="M143" s="30">
        <v>0</v>
      </c>
      <c r="N143" s="30">
        <v>0</v>
      </c>
      <c r="O143" s="30">
        <v>2.8261817477107929E-6</v>
      </c>
      <c r="P143" s="30">
        <v>9.2042891987666259E-6</v>
      </c>
      <c r="Q143" s="30">
        <v>7.7915951574233358E-3</v>
      </c>
      <c r="R143" s="30">
        <v>0</v>
      </c>
      <c r="S143" s="30">
        <v>0</v>
      </c>
      <c r="T143" s="30">
        <v>5.1072129106442841E-2</v>
      </c>
      <c r="U143" s="30">
        <v>0.14497108303832723</v>
      </c>
      <c r="V143" s="30">
        <v>-0.98453728887031211</v>
      </c>
      <c r="W143" s="30">
        <v>-1</v>
      </c>
      <c r="X143" s="30">
        <v>-1</v>
      </c>
      <c r="Y143" s="30">
        <v>-0.90281898322266185</v>
      </c>
      <c r="Z143" s="30">
        <v>-0.74676900546059566</v>
      </c>
    </row>
    <row r="144" spans="1:26" x14ac:dyDescent="0.25">
      <c r="A144" s="32" t="s">
        <v>97</v>
      </c>
      <c r="B144" s="30">
        <v>1380</v>
      </c>
      <c r="C144" s="30">
        <v>658</v>
      </c>
      <c r="D144" s="30">
        <v>495</v>
      </c>
      <c r="E144" s="30">
        <v>382</v>
      </c>
      <c r="F144" s="30">
        <v>570</v>
      </c>
      <c r="G144" s="30">
        <v>43488662</v>
      </c>
      <c r="H144" s="30">
        <v>61101362</v>
      </c>
      <c r="I144" s="30">
        <v>77413351</v>
      </c>
      <c r="J144" s="30">
        <v>62796636</v>
      </c>
      <c r="K144" s="30">
        <v>64104684</v>
      </c>
      <c r="L144" s="30">
        <v>3.173240878277653E-5</v>
      </c>
      <c r="M144" s="30">
        <v>1.0768990714151348E-5</v>
      </c>
      <c r="N144" s="30">
        <v>6.3942458711030345E-6</v>
      </c>
      <c r="O144" s="30">
        <v>6.0831284019736341E-6</v>
      </c>
      <c r="P144" s="30">
        <v>8.8917059477276263E-6</v>
      </c>
      <c r="Q144" s="30">
        <v>0.39114923658750278</v>
      </c>
      <c r="R144" s="30">
        <v>0.16691252551414154</v>
      </c>
      <c r="S144" s="30">
        <v>0.14344505853948575</v>
      </c>
      <c r="T144" s="30">
        <v>0.1099286411315607</v>
      </c>
      <c r="U144" s="30">
        <v>0.14004777701608301</v>
      </c>
      <c r="V144" s="30">
        <v>-0.43766027928535667</v>
      </c>
      <c r="W144" s="30">
        <v>-0.71392452842067167</v>
      </c>
      <c r="X144" s="30">
        <v>-0.74910021698339035</v>
      </c>
      <c r="Y144" s="30">
        <v>-0.8019176421657348</v>
      </c>
      <c r="Z144" s="30">
        <v>-0.75431244226862371</v>
      </c>
    </row>
    <row r="145" spans="1:26" x14ac:dyDescent="0.25">
      <c r="A145" s="32" t="s">
        <v>209</v>
      </c>
      <c r="B145" s="30">
        <v>147</v>
      </c>
      <c r="C145" s="30">
        <v>106</v>
      </c>
      <c r="D145" s="30">
        <v>115</v>
      </c>
      <c r="E145" s="30">
        <v>134</v>
      </c>
      <c r="F145" s="30">
        <v>12</v>
      </c>
      <c r="G145" s="30">
        <v>939715</v>
      </c>
      <c r="H145" s="30">
        <v>1169779</v>
      </c>
      <c r="I145" s="30">
        <v>1474134</v>
      </c>
      <c r="J145" s="30">
        <v>1536520</v>
      </c>
      <c r="K145" s="30">
        <v>1410705</v>
      </c>
      <c r="L145" s="30">
        <v>1.5643040709151178E-4</v>
      </c>
      <c r="M145" s="30">
        <v>9.0615406841805158E-5</v>
      </c>
      <c r="N145" s="30">
        <v>7.8011903938176585E-5</v>
      </c>
      <c r="O145" s="30">
        <v>8.7210059094577363E-5</v>
      </c>
      <c r="P145" s="30">
        <v>8.5063851053196813E-6</v>
      </c>
      <c r="Q145" s="30">
        <v>1.9282379327638077</v>
      </c>
      <c r="R145" s="30">
        <v>1.4044813305096284</v>
      </c>
      <c r="S145" s="30">
        <v>1.7500769211519362</v>
      </c>
      <c r="T145" s="30">
        <v>1.5759791107088239</v>
      </c>
      <c r="U145" s="30">
        <v>0.13397882604824449</v>
      </c>
      <c r="V145" s="30">
        <v>0.31699539247744579</v>
      </c>
      <c r="W145" s="30">
        <v>0.16821978419100425</v>
      </c>
      <c r="X145" s="30">
        <v>0.27274761494225713</v>
      </c>
      <c r="Y145" s="30">
        <v>0.22359618846067958</v>
      </c>
      <c r="Z145" s="30">
        <v>-0.76370136201724037</v>
      </c>
    </row>
    <row r="146" spans="1:26" x14ac:dyDescent="0.25">
      <c r="A146" s="32" t="s">
        <v>39</v>
      </c>
      <c r="B146" s="30">
        <v>4</v>
      </c>
      <c r="C146" s="30">
        <v>25</v>
      </c>
      <c r="D146" s="30">
        <v>4</v>
      </c>
      <c r="E146" s="30">
        <v>9</v>
      </c>
      <c r="F146" s="30">
        <v>163</v>
      </c>
      <c r="G146" s="30">
        <v>8477673</v>
      </c>
      <c r="H146" s="30">
        <v>10873264</v>
      </c>
      <c r="I146" s="30">
        <v>15654447</v>
      </c>
      <c r="J146" s="30">
        <v>15117482</v>
      </c>
      <c r="K146" s="30">
        <v>19382446</v>
      </c>
      <c r="L146" s="30">
        <v>4.7182758759390694E-7</v>
      </c>
      <c r="M146" s="30">
        <v>2.2992176038400245E-6</v>
      </c>
      <c r="N146" s="30">
        <v>2.555184478889609E-7</v>
      </c>
      <c r="O146" s="30">
        <v>5.9533723936301029E-7</v>
      </c>
      <c r="P146" s="30">
        <v>8.4096713077389714E-6</v>
      </c>
      <c r="Q146" s="30">
        <v>5.8159782937263534E-3</v>
      </c>
      <c r="R146" s="30">
        <v>3.5636414511826829E-2</v>
      </c>
      <c r="S146" s="30">
        <v>5.7321628623936173E-3</v>
      </c>
      <c r="T146" s="30">
        <v>1.0758381118004562E-2</v>
      </c>
      <c r="U146" s="30">
        <v>0.13245554666433468</v>
      </c>
      <c r="V146" s="30">
        <v>-0.98843530343673269</v>
      </c>
      <c r="W146" s="30">
        <v>-0.93117968041201993</v>
      </c>
      <c r="X146" s="30">
        <v>-0.98860101511305065</v>
      </c>
      <c r="Y146" s="30">
        <v>-0.97871225939060802</v>
      </c>
      <c r="Z146" s="30">
        <v>-0.76607373763237852</v>
      </c>
    </row>
    <row r="147" spans="1:26" x14ac:dyDescent="0.25">
      <c r="A147" s="32" t="s">
        <v>166</v>
      </c>
      <c r="B147" s="30">
        <v>100</v>
      </c>
      <c r="C147" s="30">
        <v>97</v>
      </c>
      <c r="D147" s="30">
        <v>86</v>
      </c>
      <c r="E147" s="30">
        <v>100</v>
      </c>
      <c r="F147" s="30">
        <v>133</v>
      </c>
      <c r="G147" s="30">
        <v>9887885</v>
      </c>
      <c r="H147" s="30">
        <v>14617423</v>
      </c>
      <c r="I147" s="30">
        <v>17108010</v>
      </c>
      <c r="J147" s="30">
        <v>15648327</v>
      </c>
      <c r="K147" s="30">
        <v>15972638</v>
      </c>
      <c r="L147" s="30">
        <v>1.0113386229714443E-5</v>
      </c>
      <c r="M147" s="30">
        <v>6.6359166044520979E-6</v>
      </c>
      <c r="N147" s="30">
        <v>5.0268850672871944E-6</v>
      </c>
      <c r="O147" s="30">
        <v>6.3904595040735027E-6</v>
      </c>
      <c r="P147" s="30">
        <v>8.3267397658420604E-6</v>
      </c>
      <c r="Q147" s="30">
        <v>0.12466255966091326</v>
      </c>
      <c r="R147" s="30">
        <v>0.10285249833996279</v>
      </c>
      <c r="S147" s="30">
        <v>0.11277042473562074</v>
      </c>
      <c r="T147" s="30">
        <v>0.11548244308983308</v>
      </c>
      <c r="U147" s="30">
        <v>0.13114934309041343</v>
      </c>
      <c r="V147" s="30">
        <v>-0.77831117682356366</v>
      </c>
      <c r="W147" s="30">
        <v>-0.81347913978564024</v>
      </c>
      <c r="X147" s="30">
        <v>-0.79731592028533027</v>
      </c>
      <c r="Y147" s="30">
        <v>-0.79294619327229876</v>
      </c>
      <c r="Z147" s="30">
        <v>-0.76811312512970176</v>
      </c>
    </row>
    <row r="148" spans="1:26" x14ac:dyDescent="0.25">
      <c r="A148" s="32" t="s">
        <v>106</v>
      </c>
      <c r="B148" s="30">
        <v>716</v>
      </c>
      <c r="C148" s="30">
        <v>742</v>
      </c>
      <c r="D148" s="30">
        <v>490</v>
      </c>
      <c r="E148" s="30">
        <v>360</v>
      </c>
      <c r="F148" s="30">
        <v>642</v>
      </c>
      <c r="G148" s="30">
        <v>61395860</v>
      </c>
      <c r="H148" s="30">
        <v>95168654</v>
      </c>
      <c r="I148" s="30">
        <v>109265861</v>
      </c>
      <c r="J148" s="30">
        <v>80492407</v>
      </c>
      <c r="K148" s="30">
        <v>79688269</v>
      </c>
      <c r="L148" s="30">
        <v>1.1662024116935572E-5</v>
      </c>
      <c r="M148" s="30">
        <v>7.7966848201930014E-6</v>
      </c>
      <c r="N148" s="30">
        <v>4.4844747985832468E-6</v>
      </c>
      <c r="O148" s="30">
        <v>4.4724715462913165E-6</v>
      </c>
      <c r="P148" s="30">
        <v>8.0563928424646795E-6</v>
      </c>
      <c r="Q148" s="30">
        <v>0.14375182992349136</v>
      </c>
      <c r="R148" s="30">
        <v>0.12084366943190726</v>
      </c>
      <c r="S148" s="30">
        <v>0.10060228570639163</v>
      </c>
      <c r="T148" s="30">
        <v>8.0822347827453511E-2</v>
      </c>
      <c r="U148" s="30">
        <v>0.12689127541872941</v>
      </c>
      <c r="V148" s="30">
        <v>-0.74863108208866025</v>
      </c>
      <c r="W148" s="30">
        <v>-0.78437016199920884</v>
      </c>
      <c r="X148" s="30">
        <v>-0.81718684939524211</v>
      </c>
      <c r="Y148" s="30">
        <v>-0.85044286326996588</v>
      </c>
      <c r="Z148" s="30">
        <v>-0.77479411157641753</v>
      </c>
    </row>
    <row r="149" spans="1:26" x14ac:dyDescent="0.25">
      <c r="A149" s="32" t="s">
        <v>65</v>
      </c>
      <c r="B149" s="30">
        <v>14</v>
      </c>
      <c r="C149" s="30">
        <v>25</v>
      </c>
      <c r="D149" s="30">
        <v>10</v>
      </c>
      <c r="E149" s="30">
        <v>14</v>
      </c>
      <c r="F149" s="30">
        <v>49</v>
      </c>
      <c r="G149" s="30">
        <v>4185567</v>
      </c>
      <c r="H149" s="30">
        <v>4713617</v>
      </c>
      <c r="I149" s="30">
        <v>5631816</v>
      </c>
      <c r="J149" s="30">
        <v>5892915</v>
      </c>
      <c r="K149" s="30">
        <v>6430178</v>
      </c>
      <c r="L149" s="30">
        <v>3.3448275944453882E-6</v>
      </c>
      <c r="M149" s="30">
        <v>5.3037826365612653E-6</v>
      </c>
      <c r="N149" s="30">
        <v>1.7756261923329881E-6</v>
      </c>
      <c r="O149" s="30">
        <v>2.3757342503667542E-6</v>
      </c>
      <c r="P149" s="30">
        <v>7.620317820128774E-6</v>
      </c>
      <c r="Q149" s="30">
        <v>4.1229985691922967E-2</v>
      </c>
      <c r="R149" s="30">
        <v>8.2205266783560119E-2</v>
      </c>
      <c r="S149" s="30">
        <v>3.9833439038450991E-2</v>
      </c>
      <c r="T149" s="30">
        <v>4.2932060705440991E-2</v>
      </c>
      <c r="U149" s="30">
        <v>0.12002292666210081</v>
      </c>
      <c r="V149" s="30">
        <v>-0.92080522793525854</v>
      </c>
      <c r="W149" s="30">
        <v>-0.84807823560518469</v>
      </c>
      <c r="X149" s="30">
        <v>-0.92338496235457579</v>
      </c>
      <c r="Y149" s="30">
        <v>-0.91767045558767901</v>
      </c>
      <c r="Z149" s="30">
        <v>-0.78567773247322015</v>
      </c>
    </row>
    <row r="150" spans="1:26" x14ac:dyDescent="0.25">
      <c r="A150" s="32" t="s">
        <v>152</v>
      </c>
      <c r="B150" s="30">
        <v>2247</v>
      </c>
      <c r="C150" s="30">
        <v>3860</v>
      </c>
      <c r="D150" s="30">
        <v>3447</v>
      </c>
      <c r="E150" s="30">
        <v>3312</v>
      </c>
      <c r="F150" s="30">
        <v>12</v>
      </c>
      <c r="G150" s="30">
        <v>3706645</v>
      </c>
      <c r="H150" s="30">
        <v>3736702</v>
      </c>
      <c r="I150" s="30">
        <v>3367604</v>
      </c>
      <c r="J150" s="30">
        <v>2289622</v>
      </c>
      <c r="K150" s="30">
        <v>1616708</v>
      </c>
      <c r="L150" s="30">
        <v>6.0620857945662451E-4</v>
      </c>
      <c r="M150" s="30">
        <v>1.0329964765721216E-3</v>
      </c>
      <c r="N150" s="30">
        <v>1.0235764062520416E-3</v>
      </c>
      <c r="O150" s="30">
        <v>1.4465269813095786E-3</v>
      </c>
      <c r="P150" s="30">
        <v>7.4224906414763831E-6</v>
      </c>
      <c r="Q150" s="30">
        <v>7.4724243183188248</v>
      </c>
      <c r="R150" s="30">
        <v>16.010790177884385</v>
      </c>
      <c r="S150" s="30">
        <v>22.962360296153623</v>
      </c>
      <c r="T150" s="30">
        <v>26.140290802329456</v>
      </c>
      <c r="U150" s="30">
        <v>0.11690707276786454</v>
      </c>
      <c r="V150" s="30">
        <v>0.76394005719523983</v>
      </c>
      <c r="W150" s="30">
        <v>0.88242756632198149</v>
      </c>
      <c r="X150" s="30">
        <v>0.91653576795934266</v>
      </c>
      <c r="Y150" s="30">
        <v>0.9263088220179152</v>
      </c>
      <c r="Z150" s="30">
        <v>-0.79065926679441445</v>
      </c>
    </row>
    <row r="151" spans="1:26" x14ac:dyDescent="0.25">
      <c r="A151" s="32" t="s">
        <v>200</v>
      </c>
      <c r="B151" s="30">
        <v>18</v>
      </c>
      <c r="C151" s="30">
        <v>22</v>
      </c>
      <c r="D151" s="30">
        <v>14</v>
      </c>
      <c r="E151" s="30">
        <v>24</v>
      </c>
      <c r="F151" s="30">
        <v>8</v>
      </c>
      <c r="G151" s="30">
        <v>1123416</v>
      </c>
      <c r="H151" s="30">
        <v>2175265</v>
      </c>
      <c r="I151" s="30">
        <v>1242294</v>
      </c>
      <c r="J151" s="30">
        <v>1057030</v>
      </c>
      <c r="K151" s="30">
        <v>1110249</v>
      </c>
      <c r="L151" s="30">
        <v>1.602255976414792E-5</v>
      </c>
      <c r="M151" s="30">
        <v>1.0113710283574645E-5</v>
      </c>
      <c r="N151" s="30">
        <v>1.1269474053645917E-5</v>
      </c>
      <c r="O151" s="30">
        <v>2.2705126628383299E-5</v>
      </c>
      <c r="P151" s="30">
        <v>7.2055908179156207E-6</v>
      </c>
      <c r="Q151" s="30">
        <v>0.1975019313165336</v>
      </c>
      <c r="R151" s="30">
        <v>0.15675609447146041</v>
      </c>
      <c r="S151" s="30">
        <v>0.2528132946279078</v>
      </c>
      <c r="T151" s="30">
        <v>0.41030593997792264</v>
      </c>
      <c r="U151" s="30">
        <v>0.11349081740545813</v>
      </c>
      <c r="V151" s="30">
        <v>-0.67014344419570171</v>
      </c>
      <c r="W151" s="30">
        <v>-0.72897295251669336</v>
      </c>
      <c r="X151" s="30">
        <v>-0.59640706925448983</v>
      </c>
      <c r="Y151" s="30">
        <v>-0.41813201186070914</v>
      </c>
      <c r="Z151" s="30">
        <v>-0.7961531148143588</v>
      </c>
    </row>
    <row r="152" spans="1:26" x14ac:dyDescent="0.25">
      <c r="A152" s="32" t="s">
        <v>25</v>
      </c>
      <c r="B152" s="30">
        <v>176</v>
      </c>
      <c r="C152" s="30">
        <v>214</v>
      </c>
      <c r="D152" s="30">
        <v>92</v>
      </c>
      <c r="E152" s="30">
        <v>79</v>
      </c>
      <c r="F152" s="30">
        <v>168</v>
      </c>
      <c r="G152" s="30">
        <v>14456986</v>
      </c>
      <c r="H152" s="30">
        <v>18430776</v>
      </c>
      <c r="I152" s="30">
        <v>21143801</v>
      </c>
      <c r="J152" s="30">
        <v>22515896</v>
      </c>
      <c r="K152" s="30">
        <v>23683764</v>
      </c>
      <c r="L152" s="30">
        <v>1.2174045129461978E-5</v>
      </c>
      <c r="M152" s="30">
        <v>1.1611014099460599E-5</v>
      </c>
      <c r="N152" s="30">
        <v>4.3511571074661556E-6</v>
      </c>
      <c r="O152" s="30">
        <v>3.5086323013749928E-6</v>
      </c>
      <c r="P152" s="30">
        <v>7.0934670688324711E-6</v>
      </c>
      <c r="Q152" s="30">
        <v>0.15006325208931096</v>
      </c>
      <c r="R152" s="30">
        <v>0.17996335390785975</v>
      </c>
      <c r="S152" s="30">
        <v>9.7611508624599289E-2</v>
      </c>
      <c r="T152" s="30">
        <v>6.3404741053191604E-2</v>
      </c>
      <c r="U152" s="30">
        <v>0.11172482537849314</v>
      </c>
      <c r="V152" s="30">
        <v>-0.73903478470998485</v>
      </c>
      <c r="W152" s="30">
        <v>-0.69496789317761698</v>
      </c>
      <c r="X152" s="30">
        <v>-0.82213832880284787</v>
      </c>
      <c r="Y152" s="30">
        <v>-0.88075144184443688</v>
      </c>
      <c r="Z152" s="30">
        <v>-0.79900633173239477</v>
      </c>
    </row>
    <row r="153" spans="1:26" x14ac:dyDescent="0.25">
      <c r="A153" s="32" t="s">
        <v>136</v>
      </c>
      <c r="B153" s="30">
        <v>125</v>
      </c>
      <c r="C153" s="30">
        <v>94</v>
      </c>
      <c r="D153" s="30">
        <v>125</v>
      </c>
      <c r="E153" s="30">
        <v>113</v>
      </c>
      <c r="F153" s="30">
        <v>81</v>
      </c>
      <c r="G153" s="30">
        <v>9340310</v>
      </c>
      <c r="H153" s="30">
        <v>11359681</v>
      </c>
      <c r="I153" s="30">
        <v>17710712</v>
      </c>
      <c r="J153" s="30">
        <v>15749426</v>
      </c>
      <c r="K153" s="30">
        <v>11908935</v>
      </c>
      <c r="L153" s="30">
        <v>1.3382853459895871E-5</v>
      </c>
      <c r="M153" s="30">
        <v>8.2748802541198127E-6</v>
      </c>
      <c r="N153" s="30">
        <v>7.0578754823634419E-6</v>
      </c>
      <c r="O153" s="30">
        <v>7.1748646585596203E-6</v>
      </c>
      <c r="P153" s="30">
        <v>6.8016157616109252E-6</v>
      </c>
      <c r="Q153" s="30">
        <v>0.16496361653584699</v>
      </c>
      <c r="R153" s="30">
        <v>0.12825539534798303</v>
      </c>
      <c r="S153" s="30">
        <v>0.15833256683283886</v>
      </c>
      <c r="T153" s="30">
        <v>0.1296574837977153</v>
      </c>
      <c r="U153" s="30">
        <v>0.1071280554182741</v>
      </c>
      <c r="V153" s="30">
        <v>-0.71679181359090804</v>
      </c>
      <c r="W153" s="30">
        <v>-0.7726482924401602</v>
      </c>
      <c r="X153" s="30">
        <v>-0.72661984758702192</v>
      </c>
      <c r="Y153" s="30">
        <v>-0.77044814794334104</v>
      </c>
      <c r="Z153" s="30">
        <v>-0.80647576421898004</v>
      </c>
    </row>
    <row r="154" spans="1:26" x14ac:dyDescent="0.25">
      <c r="A154" s="32" t="s">
        <v>80</v>
      </c>
      <c r="B154" s="30">
        <v>220</v>
      </c>
      <c r="C154" s="30">
        <v>426</v>
      </c>
      <c r="D154" s="30">
        <v>365</v>
      </c>
      <c r="E154" s="30">
        <v>239</v>
      </c>
      <c r="F154" s="30">
        <v>214</v>
      </c>
      <c r="G154" s="30">
        <v>18206520</v>
      </c>
      <c r="H154" s="30">
        <v>26605961</v>
      </c>
      <c r="I154" s="30">
        <v>32123685</v>
      </c>
      <c r="J154" s="30">
        <v>30318004</v>
      </c>
      <c r="K154" s="30">
        <v>32488859</v>
      </c>
      <c r="L154" s="30">
        <v>1.2083583243804967E-5</v>
      </c>
      <c r="M154" s="30">
        <v>1.601144946427607E-5</v>
      </c>
      <c r="N154" s="30">
        <v>1.1362332808331297E-5</v>
      </c>
      <c r="O154" s="30">
        <v>7.8831047057055611E-6</v>
      </c>
      <c r="P154" s="30">
        <v>6.5868733648048396E-6</v>
      </c>
      <c r="Q154" s="30">
        <v>0.148948174511771</v>
      </c>
      <c r="R154" s="30">
        <v>0.24816731095444863</v>
      </c>
      <c r="S154" s="30">
        <v>0.25489643778040133</v>
      </c>
      <c r="T154" s="30">
        <v>0.14245613949474875</v>
      </c>
      <c r="U154" s="30">
        <v>0.10374578035423156</v>
      </c>
      <c r="V154" s="30">
        <v>-0.74072255334743109</v>
      </c>
      <c r="W154" s="30">
        <v>-0.60234928638744745</v>
      </c>
      <c r="X154" s="30">
        <v>-0.5937570143537112</v>
      </c>
      <c r="Y154" s="30">
        <v>-0.75061425192611775</v>
      </c>
      <c r="Z154" s="30">
        <v>-0.81201145734675273</v>
      </c>
    </row>
    <row r="155" spans="1:26" x14ac:dyDescent="0.25">
      <c r="A155" s="32" t="s">
        <v>16</v>
      </c>
      <c r="B155" s="30">
        <v>1664</v>
      </c>
      <c r="C155" s="30">
        <v>1042</v>
      </c>
      <c r="D155" s="30">
        <v>956</v>
      </c>
      <c r="E155" s="30">
        <v>824</v>
      </c>
      <c r="F155" s="30">
        <v>1709</v>
      </c>
      <c r="G155" s="30">
        <v>158786825</v>
      </c>
      <c r="H155" s="30">
        <v>219408049</v>
      </c>
      <c r="I155" s="30">
        <v>272701734</v>
      </c>
      <c r="J155" s="30">
        <v>240792839</v>
      </c>
      <c r="K155" s="30">
        <v>262869606</v>
      </c>
      <c r="L155" s="30">
        <v>1.0479458859385846E-5</v>
      </c>
      <c r="M155" s="30">
        <v>4.74914208821938E-6</v>
      </c>
      <c r="N155" s="30">
        <v>3.5056616104978635E-6</v>
      </c>
      <c r="O155" s="30">
        <v>3.4220286758610793E-6</v>
      </c>
      <c r="P155" s="30">
        <v>6.5013221802447564E-6</v>
      </c>
      <c r="Q155" s="30">
        <v>0.12917495046653241</v>
      </c>
      <c r="R155" s="30">
        <v>7.3608690081656269E-2</v>
      </c>
      <c r="S155" s="30">
        <v>7.8644119271370272E-2</v>
      </c>
      <c r="T155" s="30">
        <v>6.183972084636475E-2</v>
      </c>
      <c r="U155" s="30">
        <v>0.10239831640421258</v>
      </c>
      <c r="V155" s="30">
        <v>-0.77120471825351378</v>
      </c>
      <c r="W155" s="30">
        <v>-0.86287612840380823</v>
      </c>
      <c r="X155" s="30">
        <v>-0.85417967267184514</v>
      </c>
      <c r="Y155" s="30">
        <v>-0.8835234364804625</v>
      </c>
      <c r="Z155" s="30">
        <v>-0.81422628304039146</v>
      </c>
    </row>
    <row r="156" spans="1:26" x14ac:dyDescent="0.25">
      <c r="A156" s="32" t="s">
        <v>208</v>
      </c>
      <c r="B156" s="30">
        <v>31</v>
      </c>
      <c r="C156" s="30">
        <v>30</v>
      </c>
      <c r="D156" s="30">
        <v>16</v>
      </c>
      <c r="E156" s="30">
        <v>47</v>
      </c>
      <c r="F156" s="30">
        <v>49</v>
      </c>
      <c r="G156" s="30">
        <v>5823207</v>
      </c>
      <c r="H156" s="30">
        <v>6875818</v>
      </c>
      <c r="I156" s="30">
        <v>10326257</v>
      </c>
      <c r="J156" s="30">
        <v>9331838</v>
      </c>
      <c r="K156" s="30">
        <v>8076312</v>
      </c>
      <c r="L156" s="30">
        <v>5.3235270530482603E-6</v>
      </c>
      <c r="M156" s="30">
        <v>4.3631172320151581E-6</v>
      </c>
      <c r="N156" s="30">
        <v>1.5494481688766801E-6</v>
      </c>
      <c r="O156" s="30">
        <v>5.0365212083621682E-6</v>
      </c>
      <c r="P156" s="30">
        <v>6.0671256880615809E-6</v>
      </c>
      <c r="Q156" s="30">
        <v>6.5620405844606308E-2</v>
      </c>
      <c r="R156" s="30">
        <v>6.7625549658328524E-2</v>
      </c>
      <c r="S156" s="30">
        <v>3.4759483411931025E-2</v>
      </c>
      <c r="T156" s="30">
        <v>9.1015328935997522E-2</v>
      </c>
      <c r="U156" s="30">
        <v>9.5559555217561432E-2</v>
      </c>
      <c r="V156" s="30">
        <v>-0.87684093606935787</v>
      </c>
      <c r="W156" s="30">
        <v>-0.87331597734810551</v>
      </c>
      <c r="X156" s="30">
        <v>-0.93281630375144187</v>
      </c>
      <c r="Y156" s="30">
        <v>-0.83315481181229711</v>
      </c>
      <c r="Z156" s="30">
        <v>-0.82555114459554002</v>
      </c>
    </row>
    <row r="157" spans="1:26" x14ac:dyDescent="0.25">
      <c r="A157" s="32" t="s">
        <v>185</v>
      </c>
      <c r="B157" s="30">
        <v>21</v>
      </c>
      <c r="C157" s="30">
        <v>29</v>
      </c>
      <c r="D157" s="30">
        <v>35</v>
      </c>
      <c r="E157" s="30">
        <v>26</v>
      </c>
      <c r="F157" s="30">
        <v>20</v>
      </c>
      <c r="G157" s="30">
        <v>2652177</v>
      </c>
      <c r="H157" s="30">
        <v>3460378</v>
      </c>
      <c r="I157" s="30">
        <v>3925598</v>
      </c>
      <c r="J157" s="30">
        <v>4211327</v>
      </c>
      <c r="K157" s="30">
        <v>3366575</v>
      </c>
      <c r="L157" s="30">
        <v>7.9180235708250245E-6</v>
      </c>
      <c r="M157" s="30">
        <v>8.3805873231190358E-6</v>
      </c>
      <c r="N157" s="30">
        <v>8.9158390645195959E-6</v>
      </c>
      <c r="O157" s="30">
        <v>6.1738259698190145E-6</v>
      </c>
      <c r="P157" s="30">
        <v>5.940755812658265E-6</v>
      </c>
      <c r="Q157" s="30">
        <v>9.7601442620110723E-2</v>
      </c>
      <c r="R157" s="30">
        <v>0.12989378786959349</v>
      </c>
      <c r="S157" s="30">
        <v>0.20001311840672559</v>
      </c>
      <c r="T157" s="30">
        <v>0.11156764325815488</v>
      </c>
      <c r="U157" s="30">
        <v>9.3569181240275717E-2</v>
      </c>
      <c r="V157" s="30">
        <v>-0.8221550394702033</v>
      </c>
      <c r="W157" s="30">
        <v>-0.77007787941819328</v>
      </c>
      <c r="X157" s="30">
        <v>-0.66664844685650471</v>
      </c>
      <c r="Y157" s="30">
        <v>-0.79926072167567763</v>
      </c>
      <c r="Z157" s="30">
        <v>-0.82887377800066775</v>
      </c>
    </row>
    <row r="158" spans="1:26" x14ac:dyDescent="0.25">
      <c r="A158" s="32" t="s">
        <v>101</v>
      </c>
      <c r="B158" s="30">
        <v>940</v>
      </c>
      <c r="C158" s="30">
        <v>776</v>
      </c>
      <c r="D158" s="30">
        <v>470</v>
      </c>
      <c r="E158" s="30">
        <v>622</v>
      </c>
      <c r="F158" s="30">
        <v>35</v>
      </c>
      <c r="G158" s="30">
        <v>8795009</v>
      </c>
      <c r="H158" s="30">
        <v>7325522</v>
      </c>
      <c r="I158" s="30">
        <v>7501550</v>
      </c>
      <c r="J158" s="30">
        <v>8711906</v>
      </c>
      <c r="K158" s="30">
        <v>6159337</v>
      </c>
      <c r="L158" s="30">
        <v>1.0687879910071724E-4</v>
      </c>
      <c r="M158" s="30">
        <v>1.0593101761212375E-4</v>
      </c>
      <c r="N158" s="30">
        <v>6.2653718231565474E-5</v>
      </c>
      <c r="O158" s="30">
        <v>7.1396546289640862E-5</v>
      </c>
      <c r="P158" s="30">
        <v>5.682429780997533E-6</v>
      </c>
      <c r="Q158" s="30">
        <v>1.3174405057559173</v>
      </c>
      <c r="R158" s="30">
        <v>1.6418635830642885</v>
      </c>
      <c r="S158" s="30">
        <v>1.4055396774870961</v>
      </c>
      <c r="T158" s="30">
        <v>1.2902120087684465</v>
      </c>
      <c r="U158" s="30">
        <v>8.9500447220937446E-2</v>
      </c>
      <c r="V158" s="30">
        <v>0.13697892350093904</v>
      </c>
      <c r="W158" s="30">
        <v>0.24295863994604641</v>
      </c>
      <c r="X158" s="30">
        <v>0.16858573619984346</v>
      </c>
      <c r="Y158" s="30">
        <v>0.12671840321215808</v>
      </c>
      <c r="Z158" s="30">
        <v>-0.83570369805862432</v>
      </c>
    </row>
    <row r="159" spans="1:26" x14ac:dyDescent="0.25">
      <c r="A159" s="32" t="s">
        <v>156</v>
      </c>
      <c r="B159" s="30">
        <v>40</v>
      </c>
      <c r="C159" s="30">
        <v>80</v>
      </c>
      <c r="D159" s="30">
        <v>85</v>
      </c>
      <c r="E159" s="30">
        <v>63</v>
      </c>
      <c r="F159" s="30">
        <v>63</v>
      </c>
      <c r="G159" s="30">
        <v>5298771</v>
      </c>
      <c r="H159" s="30">
        <v>6848642</v>
      </c>
      <c r="I159" s="30">
        <v>8746855</v>
      </c>
      <c r="J159" s="30">
        <v>9252491</v>
      </c>
      <c r="K159" s="30">
        <v>11608376</v>
      </c>
      <c r="L159" s="30">
        <v>7.5489203062370502E-6</v>
      </c>
      <c r="M159" s="30">
        <v>1.1681147883040171E-5</v>
      </c>
      <c r="N159" s="30">
        <v>9.7177785615515514E-6</v>
      </c>
      <c r="O159" s="30">
        <v>6.8089771716611234E-6</v>
      </c>
      <c r="P159" s="30">
        <v>5.4271157309170548E-6</v>
      </c>
      <c r="Q159" s="30">
        <v>9.3051694721870373E-2</v>
      </c>
      <c r="R159" s="30">
        <v>0.18105038306888835</v>
      </c>
      <c r="S159" s="30">
        <v>0.21800339598062041</v>
      </c>
      <c r="T159" s="30">
        <v>0.12304550529192808</v>
      </c>
      <c r="U159" s="30">
        <v>8.5479153066031016E-2</v>
      </c>
      <c r="V159" s="30">
        <v>-0.82973962682424163</v>
      </c>
      <c r="W159" s="30">
        <v>-0.69340785852261477</v>
      </c>
      <c r="X159" s="30">
        <v>-0.64203154654572225</v>
      </c>
      <c r="Y159" s="30">
        <v>-0.78087173723215564</v>
      </c>
      <c r="Z159" s="30">
        <v>-0.84250429347337041</v>
      </c>
    </row>
    <row r="160" spans="1:26" x14ac:dyDescent="0.25">
      <c r="A160" s="32" t="s">
        <v>174</v>
      </c>
      <c r="B160" s="30">
        <v>370</v>
      </c>
      <c r="C160" s="30">
        <v>1004</v>
      </c>
      <c r="D160" s="30">
        <v>413</v>
      </c>
      <c r="E160" s="30">
        <v>385</v>
      </c>
      <c r="F160" s="30">
        <v>47</v>
      </c>
      <c r="G160" s="30">
        <v>2205287</v>
      </c>
      <c r="H160" s="30">
        <v>3482606</v>
      </c>
      <c r="I160" s="30">
        <v>3757894</v>
      </c>
      <c r="J160" s="30">
        <v>4187519</v>
      </c>
      <c r="K160" s="30">
        <v>9931781</v>
      </c>
      <c r="L160" s="30">
        <v>1.6777861566317671E-4</v>
      </c>
      <c r="M160" s="30">
        <v>2.8828986109826952E-4</v>
      </c>
      <c r="N160" s="30">
        <v>1.0990198233372202E-4</v>
      </c>
      <c r="O160" s="30">
        <v>9.1939881347404036E-5</v>
      </c>
      <c r="P160" s="30">
        <v>4.7322831625063013E-6</v>
      </c>
      <c r="Q160" s="30">
        <v>2.0681215183380544</v>
      </c>
      <c r="R160" s="30">
        <v>4.4683099905361257</v>
      </c>
      <c r="S160" s="30">
        <v>2.4654817170405074</v>
      </c>
      <c r="T160" s="30">
        <v>1.6614520612515677</v>
      </c>
      <c r="U160" s="30">
        <v>7.4535273772635122E-2</v>
      </c>
      <c r="V160" s="30">
        <v>0.34813533686782927</v>
      </c>
      <c r="W160" s="30">
        <v>0.63425628695861203</v>
      </c>
      <c r="X160" s="30">
        <v>0.42287965619164097</v>
      </c>
      <c r="Y160" s="30">
        <v>0.24853051869005482</v>
      </c>
      <c r="Z160" s="30">
        <v>-0.86126974964545222</v>
      </c>
    </row>
    <row r="161" spans="1:26" x14ac:dyDescent="0.25">
      <c r="A161" s="32" t="s">
        <v>169</v>
      </c>
      <c r="B161" s="30">
        <v>13</v>
      </c>
      <c r="C161" s="30">
        <v>4</v>
      </c>
      <c r="D161" s="30">
        <v>6</v>
      </c>
      <c r="E161" s="30">
        <v>6</v>
      </c>
      <c r="F161" s="30">
        <v>4</v>
      </c>
      <c r="G161" s="30">
        <v>1280190</v>
      </c>
      <c r="H161" s="30">
        <v>1015295</v>
      </c>
      <c r="I161" s="30">
        <v>1734017</v>
      </c>
      <c r="J161" s="30">
        <v>1037187</v>
      </c>
      <c r="K161" s="30">
        <v>860779</v>
      </c>
      <c r="L161" s="30">
        <v>1.015474265538709E-5</v>
      </c>
      <c r="M161" s="30">
        <v>3.9397416514412069E-6</v>
      </c>
      <c r="N161" s="30">
        <v>3.4601736891852847E-6</v>
      </c>
      <c r="O161" s="30">
        <v>5.7848777510709252E-6</v>
      </c>
      <c r="P161" s="30">
        <v>4.6469535153622478E-6</v>
      </c>
      <c r="Q161" s="30">
        <v>0.12517233925062485</v>
      </c>
      <c r="R161" s="30">
        <v>6.1063496698086646E-2</v>
      </c>
      <c r="S161" s="30">
        <v>7.762366781125199E-2</v>
      </c>
      <c r="T161" s="30">
        <v>0.10453893264543028</v>
      </c>
      <c r="U161" s="30">
        <v>7.3191299121837597E-2</v>
      </c>
      <c r="V161" s="30">
        <v>-0.77750548092216565</v>
      </c>
      <c r="W161" s="30">
        <v>-0.88490133363722412</v>
      </c>
      <c r="X161" s="30">
        <v>-0.85593548076219883</v>
      </c>
      <c r="Y161" s="30">
        <v>-0.81071027999881573</v>
      </c>
      <c r="Z161" s="30">
        <v>-0.86360064756073218</v>
      </c>
    </row>
    <row r="162" spans="1:26" x14ac:dyDescent="0.25">
      <c r="A162" s="32" t="s">
        <v>27</v>
      </c>
      <c r="B162" s="30">
        <v>1082</v>
      </c>
      <c r="C162" s="30">
        <v>1479</v>
      </c>
      <c r="D162" s="30">
        <v>1444</v>
      </c>
      <c r="E162" s="30">
        <v>2504</v>
      </c>
      <c r="F162" s="30">
        <v>1758</v>
      </c>
      <c r="G162" s="30">
        <v>287160021</v>
      </c>
      <c r="H162" s="30">
        <v>382921158</v>
      </c>
      <c r="I162" s="30">
        <v>427241617</v>
      </c>
      <c r="J162" s="30">
        <v>351666960</v>
      </c>
      <c r="K162" s="30">
        <v>394062784</v>
      </c>
      <c r="L162" s="30">
        <v>3.7679339771325618E-6</v>
      </c>
      <c r="M162" s="30">
        <v>3.8624138914778902E-6</v>
      </c>
      <c r="N162" s="30">
        <v>3.3798205571345361E-6</v>
      </c>
      <c r="O162" s="30">
        <v>7.1203732076507843E-6</v>
      </c>
      <c r="P162" s="30">
        <v>4.4612180377835426E-6</v>
      </c>
      <c r="Q162" s="30">
        <v>4.6445402514399277E-2</v>
      </c>
      <c r="R162" s="30">
        <v>5.9864965466105202E-2</v>
      </c>
      <c r="S162" s="30">
        <v>7.5821069043046918E-2</v>
      </c>
      <c r="T162" s="30">
        <v>0.12867276495637833</v>
      </c>
      <c r="U162" s="30">
        <v>7.0265894154462827E-2</v>
      </c>
      <c r="V162" s="30">
        <v>-0.91123205777807381</v>
      </c>
      <c r="W162" s="30">
        <v>-0.88703284396276294</v>
      </c>
      <c r="X162" s="30">
        <v>-0.85904520514644589</v>
      </c>
      <c r="Y162" s="30">
        <v>-0.77199278842995489</v>
      </c>
      <c r="Z162" s="30">
        <v>-0.86869450939577086</v>
      </c>
    </row>
    <row r="163" spans="1:26" x14ac:dyDescent="0.25">
      <c r="A163" s="32" t="s">
        <v>91</v>
      </c>
      <c r="B163" s="30">
        <v>199</v>
      </c>
      <c r="C163" s="30">
        <v>223</v>
      </c>
      <c r="D163" s="30">
        <v>96</v>
      </c>
      <c r="E163" s="30">
        <v>116</v>
      </c>
      <c r="F163" s="30">
        <v>118</v>
      </c>
      <c r="G163" s="30">
        <v>14739520</v>
      </c>
      <c r="H163" s="30">
        <v>20595840</v>
      </c>
      <c r="I163" s="30">
        <v>29249346</v>
      </c>
      <c r="J163" s="30">
        <v>34284541</v>
      </c>
      <c r="K163" s="30">
        <v>26686634</v>
      </c>
      <c r="L163" s="30">
        <v>1.3501118082542715E-5</v>
      </c>
      <c r="M163" s="30">
        <v>1.0827429228426712E-5</v>
      </c>
      <c r="N163" s="30">
        <v>3.2821246669925543E-6</v>
      </c>
      <c r="O163" s="30">
        <v>3.3834491177816846E-6</v>
      </c>
      <c r="P163" s="30">
        <v>4.4216891497069285E-6</v>
      </c>
      <c r="Q163" s="30">
        <v>0.16642140428780389</v>
      </c>
      <c r="R163" s="30">
        <v>0.16781828541903007</v>
      </c>
      <c r="S163" s="30">
        <v>7.3629412206106082E-2</v>
      </c>
      <c r="T163" s="30">
        <v>6.1142546939309296E-2</v>
      </c>
      <c r="U163" s="30">
        <v>6.9643299015173271E-2</v>
      </c>
      <c r="V163" s="30">
        <v>-0.71464617559994492</v>
      </c>
      <c r="W163" s="30">
        <v>-0.71259520849373503</v>
      </c>
      <c r="X163" s="30">
        <v>-0.86284017302616267</v>
      </c>
      <c r="Y163" s="30">
        <v>-0.88476091715356275</v>
      </c>
      <c r="Z163" s="30">
        <v>-0.869782199207354</v>
      </c>
    </row>
    <row r="164" spans="1:26" x14ac:dyDescent="0.25">
      <c r="A164" s="32" t="s">
        <v>233</v>
      </c>
      <c r="B164" s="30">
        <v>16</v>
      </c>
      <c r="C164" s="30">
        <v>9</v>
      </c>
      <c r="D164" s="30">
        <v>4</v>
      </c>
      <c r="E164" s="30">
        <v>8</v>
      </c>
      <c r="F164" s="30">
        <v>1</v>
      </c>
      <c r="G164" s="30">
        <v>129000</v>
      </c>
      <c r="H164" s="30">
        <v>147927</v>
      </c>
      <c r="I164" s="30">
        <v>165778</v>
      </c>
      <c r="J164" s="30">
        <v>197383</v>
      </c>
      <c r="K164" s="30">
        <v>231466</v>
      </c>
      <c r="L164" s="30">
        <v>1.2403100775193799E-4</v>
      </c>
      <c r="M164" s="30">
        <v>6.084082013425541E-5</v>
      </c>
      <c r="N164" s="30">
        <v>2.4128653983037558E-5</v>
      </c>
      <c r="O164" s="30">
        <v>4.0530339492256173E-5</v>
      </c>
      <c r="P164" s="30">
        <v>4.3202889409243688E-6</v>
      </c>
      <c r="Q164" s="30">
        <v>1.5288670433894567</v>
      </c>
      <c r="R164" s="30">
        <v>0.94299412196683996</v>
      </c>
      <c r="S164" s="30">
        <v>0.54128919232171435</v>
      </c>
      <c r="T164" s="30">
        <v>0.73242661515068608</v>
      </c>
      <c r="U164" s="30">
        <v>6.8046206858454639E-2</v>
      </c>
      <c r="V164" s="30">
        <v>0.20913200825323455</v>
      </c>
      <c r="W164" s="30">
        <v>-2.9339192223316945E-2</v>
      </c>
      <c r="X164" s="30">
        <v>-0.29761501602908702</v>
      </c>
      <c r="Y164" s="30">
        <v>-0.15445005433955447</v>
      </c>
      <c r="Z164" s="30">
        <v>-0.8725781592191495</v>
      </c>
    </row>
    <row r="165" spans="1:26" x14ac:dyDescent="0.25">
      <c r="A165" s="32" t="s">
        <v>157</v>
      </c>
      <c r="B165" s="30">
        <v>25</v>
      </c>
      <c r="C165" s="30">
        <v>16</v>
      </c>
      <c r="D165" s="30">
        <v>23</v>
      </c>
      <c r="E165" s="30">
        <v>62</v>
      </c>
      <c r="F165" s="30">
        <v>22</v>
      </c>
      <c r="G165" s="30">
        <v>4087226</v>
      </c>
      <c r="H165" s="30">
        <v>4502304</v>
      </c>
      <c r="I165" s="30">
        <v>5820621</v>
      </c>
      <c r="J165" s="30">
        <v>6175200</v>
      </c>
      <c r="K165" s="30">
        <v>5634228</v>
      </c>
      <c r="L165" s="30">
        <v>6.1166179702321334E-6</v>
      </c>
      <c r="M165" s="30">
        <v>3.5537360427016923E-6</v>
      </c>
      <c r="N165" s="30">
        <v>3.9514684086113832E-6</v>
      </c>
      <c r="O165" s="30">
        <v>1.0040160642570281E-5</v>
      </c>
      <c r="P165" s="30">
        <v>3.9047053118901117E-6</v>
      </c>
      <c r="Q165" s="30">
        <v>7.5396433530513701E-2</v>
      </c>
      <c r="R165" s="30">
        <v>5.5080654598253585E-2</v>
      </c>
      <c r="S165" s="30">
        <v>8.8645108213896359E-2</v>
      </c>
      <c r="T165" s="30">
        <v>0.18143644901893557</v>
      </c>
      <c r="U165" s="30">
        <v>6.1500605401020224E-2</v>
      </c>
      <c r="V165" s="30">
        <v>-0.85977927547520661</v>
      </c>
      <c r="W165" s="30">
        <v>-0.89558967959804581</v>
      </c>
      <c r="X165" s="30">
        <v>-0.83714599451177718</v>
      </c>
      <c r="Y165" s="30">
        <v>-0.69285449222495155</v>
      </c>
      <c r="Z165" s="30">
        <v>-0.88412516189232659</v>
      </c>
    </row>
    <row r="166" spans="1:26" x14ac:dyDescent="0.25">
      <c r="A166" s="32" t="s">
        <v>138</v>
      </c>
      <c r="B166" s="30">
        <v>5</v>
      </c>
      <c r="C166" s="30">
        <v>3</v>
      </c>
      <c r="D166" s="30">
        <v>19</v>
      </c>
      <c r="E166" s="30">
        <v>29</v>
      </c>
      <c r="F166" s="30">
        <v>16</v>
      </c>
      <c r="G166" s="30">
        <v>7230346</v>
      </c>
      <c r="H166" s="30">
        <v>8431207</v>
      </c>
      <c r="I166" s="30">
        <v>9833120</v>
      </c>
      <c r="J166" s="30">
        <v>4671629</v>
      </c>
      <c r="K166" s="30">
        <v>4251894</v>
      </c>
      <c r="L166" s="30">
        <v>6.9152983826776754E-7</v>
      </c>
      <c r="M166" s="30">
        <v>3.5582093999115432E-7</v>
      </c>
      <c r="N166" s="30">
        <v>1.9322453097287535E-6</v>
      </c>
      <c r="O166" s="30">
        <v>6.2076847283891764E-6</v>
      </c>
      <c r="P166" s="30">
        <v>3.7630288995915701E-6</v>
      </c>
      <c r="Q166" s="30">
        <v>8.52413600768725E-3</v>
      </c>
      <c r="R166" s="30">
        <v>5.5149988797645356E-3</v>
      </c>
      <c r="S166" s="30">
        <v>4.3346947733005244E-2</v>
      </c>
      <c r="T166" s="30">
        <v>0.11217950726530157</v>
      </c>
      <c r="U166" s="30">
        <v>5.9269147600383494E-2</v>
      </c>
      <c r="V166" s="30">
        <v>-0.98309582150124708</v>
      </c>
      <c r="W166" s="30">
        <v>-0.98903049902605378</v>
      </c>
      <c r="X166" s="30">
        <v>-0.91690789372185355</v>
      </c>
      <c r="Y166" s="30">
        <v>-0.79827086089522414</v>
      </c>
      <c r="Z166" s="30">
        <v>-0.88809426247399181</v>
      </c>
    </row>
    <row r="167" spans="1:26" x14ac:dyDescent="0.25">
      <c r="A167" s="32" t="s">
        <v>116</v>
      </c>
      <c r="B167" s="30">
        <v>32</v>
      </c>
      <c r="C167" s="30">
        <v>3</v>
      </c>
      <c r="D167" s="30">
        <v>1</v>
      </c>
      <c r="E167" s="30">
        <v>48</v>
      </c>
      <c r="F167" s="30">
        <v>107</v>
      </c>
      <c r="G167" s="30">
        <v>19296193</v>
      </c>
      <c r="H167" s="30">
        <v>28702890</v>
      </c>
      <c r="I167" s="30">
        <v>29941602</v>
      </c>
      <c r="J167" s="30">
        <v>24407102</v>
      </c>
      <c r="K167" s="30">
        <v>28710505</v>
      </c>
      <c r="L167" s="30">
        <v>1.6583582056833699E-6</v>
      </c>
      <c r="M167" s="30">
        <v>1.0451909197993652E-7</v>
      </c>
      <c r="N167" s="30">
        <v>3.3398346554736783E-8</v>
      </c>
      <c r="O167" s="30">
        <v>1.9666406933522874E-6</v>
      </c>
      <c r="P167" s="30">
        <v>3.7268588622875146E-6</v>
      </c>
      <c r="Q167" s="30">
        <v>2.0441736729855463E-2</v>
      </c>
      <c r="R167" s="30">
        <v>1.6199796313215466E-3</v>
      </c>
      <c r="S167" s="30">
        <v>7.4924046920326075E-4</v>
      </c>
      <c r="T167" s="30">
        <v>3.5539302268238454E-2</v>
      </c>
      <c r="U167" s="30">
        <v>5.8699455648265314E-2</v>
      </c>
      <c r="V167" s="30">
        <v>-0.95993551421100465</v>
      </c>
      <c r="W167" s="30">
        <v>-0.99676528091638528</v>
      </c>
      <c r="X167" s="30">
        <v>-0.99850264094359542</v>
      </c>
      <c r="Y167" s="30">
        <v>-0.93136078526349819</v>
      </c>
      <c r="Z167" s="30">
        <v>-0.88911025629587703</v>
      </c>
    </row>
    <row r="168" spans="1:26" x14ac:dyDescent="0.25">
      <c r="A168" s="32" t="s">
        <v>224</v>
      </c>
      <c r="B168" s="30">
        <v>28</v>
      </c>
      <c r="C168" s="30">
        <v>2</v>
      </c>
      <c r="D168" s="30">
        <v>5</v>
      </c>
      <c r="E168" s="30">
        <v>1</v>
      </c>
      <c r="F168" s="30">
        <v>3</v>
      </c>
      <c r="G168" s="30">
        <v>319053</v>
      </c>
      <c r="H168" s="30">
        <v>464154</v>
      </c>
      <c r="I168" s="30">
        <v>684058</v>
      </c>
      <c r="J168" s="30">
        <v>732046</v>
      </c>
      <c r="K168" s="30">
        <v>892018</v>
      </c>
      <c r="L168" s="30">
        <v>8.7759713903332674E-5</v>
      </c>
      <c r="M168" s="30">
        <v>4.3089147136510726E-6</v>
      </c>
      <c r="N168" s="30">
        <v>7.3093217241812829E-6</v>
      </c>
      <c r="O168" s="30">
        <v>1.3660343748890097E-6</v>
      </c>
      <c r="P168" s="30">
        <v>3.3631608330773595E-6</v>
      </c>
      <c r="Q168" s="30">
        <v>1.0817692829879983</v>
      </c>
      <c r="R168" s="30">
        <v>6.6785445003257407E-2</v>
      </c>
      <c r="S168" s="30">
        <v>0.16397337602350451</v>
      </c>
      <c r="T168" s="30">
        <v>2.4685703251279268E-2</v>
      </c>
      <c r="U168" s="30">
        <v>5.2971072276677363E-2</v>
      </c>
      <c r="V168" s="30">
        <v>3.9278744122227378E-2</v>
      </c>
      <c r="W168" s="30">
        <v>-0.87479123320237362</v>
      </c>
      <c r="X168" s="30">
        <v>-0.71825235971687151</v>
      </c>
      <c r="Y168" s="30">
        <v>-0.95181800005025408</v>
      </c>
      <c r="Z168" s="30">
        <v>-0.89938741211162387</v>
      </c>
    </row>
    <row r="169" spans="1:26" x14ac:dyDescent="0.25">
      <c r="A169" s="32" t="s">
        <v>197</v>
      </c>
      <c r="B169" s="30">
        <v>0</v>
      </c>
      <c r="C169" s="30">
        <v>0</v>
      </c>
      <c r="D169" s="30">
        <v>0</v>
      </c>
      <c r="E169" s="30">
        <v>0</v>
      </c>
      <c r="F169" s="30">
        <v>4</v>
      </c>
      <c r="G169" s="30">
        <v>422167</v>
      </c>
      <c r="H169" s="30">
        <v>479796</v>
      </c>
      <c r="I169" s="30">
        <v>622972</v>
      </c>
      <c r="J169" s="30">
        <v>672522</v>
      </c>
      <c r="K169" s="30">
        <v>1227389</v>
      </c>
      <c r="L169" s="30">
        <v>0</v>
      </c>
      <c r="M169" s="30">
        <v>0</v>
      </c>
      <c r="N169" s="30">
        <v>0</v>
      </c>
      <c r="O169" s="30">
        <v>0</v>
      </c>
      <c r="P169" s="30">
        <v>3.2589505038744846E-6</v>
      </c>
      <c r="Q169" s="30">
        <v>0</v>
      </c>
      <c r="R169" s="30">
        <v>0</v>
      </c>
      <c r="S169" s="30">
        <v>0</v>
      </c>
      <c r="T169" s="30">
        <v>0</v>
      </c>
      <c r="U169" s="30">
        <v>5.1329719646172681E-2</v>
      </c>
      <c r="V169" s="30">
        <v>-1</v>
      </c>
      <c r="W169" s="30">
        <v>-1</v>
      </c>
      <c r="X169" s="30">
        <v>-1</v>
      </c>
      <c r="Y169" s="30">
        <v>-1</v>
      </c>
      <c r="Z169" s="30">
        <v>-0.90235276586027113</v>
      </c>
    </row>
    <row r="170" spans="1:26" x14ac:dyDescent="0.25">
      <c r="A170" s="32" t="s">
        <v>142</v>
      </c>
      <c r="B170" s="30">
        <v>12</v>
      </c>
      <c r="C170" s="30">
        <v>20</v>
      </c>
      <c r="D170" s="30">
        <v>22</v>
      </c>
      <c r="E170" s="30">
        <v>20</v>
      </c>
      <c r="F170" s="30">
        <v>45</v>
      </c>
      <c r="G170" s="30">
        <v>6990079</v>
      </c>
      <c r="H170" s="30">
        <v>8405066</v>
      </c>
      <c r="I170" s="30">
        <v>11203420</v>
      </c>
      <c r="J170" s="30">
        <v>11598278</v>
      </c>
      <c r="K170" s="30">
        <v>15068273</v>
      </c>
      <c r="L170" s="30">
        <v>1.7167187953097526E-6</v>
      </c>
      <c r="M170" s="30">
        <v>2.3795173053965311E-6</v>
      </c>
      <c r="N170" s="30">
        <v>1.9636860887121966E-6</v>
      </c>
      <c r="O170" s="30">
        <v>1.7243939143379732E-6</v>
      </c>
      <c r="P170" s="30">
        <v>2.9864072677738185E-6</v>
      </c>
      <c r="Q170" s="30">
        <v>2.1161117985637922E-2</v>
      </c>
      <c r="R170" s="30">
        <v>3.6881008953459665E-2</v>
      </c>
      <c r="S170" s="30">
        <v>4.4052273188535315E-2</v>
      </c>
      <c r="T170" s="30">
        <v>3.1161643689323507E-2</v>
      </c>
      <c r="U170" s="30">
        <v>4.7037059207213579E-2</v>
      </c>
      <c r="V170" s="30">
        <v>-0.95855479098659624</v>
      </c>
      <c r="W170" s="30">
        <v>-0.92886163670663757</v>
      </c>
      <c r="X170" s="30">
        <v>-0.91561289732361828</v>
      </c>
      <c r="Y170" s="30">
        <v>-0.93956011866804434</v>
      </c>
      <c r="Z170" s="30">
        <v>-0.91015206425868311</v>
      </c>
    </row>
    <row r="171" spans="1:26" x14ac:dyDescent="0.25">
      <c r="A171" s="32" t="s">
        <v>203</v>
      </c>
      <c r="B171" s="30"/>
      <c r="C171" s="30">
        <v>1</v>
      </c>
      <c r="D171" s="30">
        <v>1</v>
      </c>
      <c r="E171" s="30">
        <v>1</v>
      </c>
      <c r="F171" s="30">
        <v>1</v>
      </c>
      <c r="G171" s="30">
        <v>331753</v>
      </c>
      <c r="H171" s="30">
        <v>411016</v>
      </c>
      <c r="I171" s="30">
        <v>423353</v>
      </c>
      <c r="J171" s="30">
        <v>577313</v>
      </c>
      <c r="K171" s="30">
        <v>425102</v>
      </c>
      <c r="L171" s="30">
        <v>0</v>
      </c>
      <c r="M171" s="30">
        <v>2.4329953091850437E-6</v>
      </c>
      <c r="N171" s="30">
        <v>2.362094989287899E-6</v>
      </c>
      <c r="O171" s="30">
        <v>1.7321626223556372E-6</v>
      </c>
      <c r="P171" s="30">
        <v>2.3523766060851278E-6</v>
      </c>
      <c r="Q171" s="30">
        <v>0</v>
      </c>
      <c r="R171" s="30">
        <v>3.7709884092154485E-2</v>
      </c>
      <c r="S171" s="30">
        <v>5.2989963295824734E-2</v>
      </c>
      <c r="T171" s="30">
        <v>3.1302032558224023E-2</v>
      </c>
      <c r="U171" s="30">
        <v>3.7050833251076359E-2</v>
      </c>
      <c r="V171" s="30">
        <v>-1</v>
      </c>
      <c r="W171" s="30">
        <v>-0.92732095035377793</v>
      </c>
      <c r="X171" s="30">
        <v>-0.89935333641743764</v>
      </c>
      <c r="Y171" s="30">
        <v>-0.93929609063103081</v>
      </c>
      <c r="Z171" s="30">
        <v>-0.92854577217796586</v>
      </c>
    </row>
    <row r="172" spans="1:26" x14ac:dyDescent="0.25">
      <c r="A172" s="32" t="s">
        <v>161</v>
      </c>
      <c r="B172" s="30">
        <v>65</v>
      </c>
      <c r="C172" s="30">
        <v>60</v>
      </c>
      <c r="D172" s="30">
        <v>53</v>
      </c>
      <c r="E172" s="30">
        <v>94</v>
      </c>
      <c r="F172" s="30">
        <v>109</v>
      </c>
      <c r="G172" s="30">
        <v>19663868</v>
      </c>
      <c r="H172" s="30">
        <v>23839731</v>
      </c>
      <c r="I172" s="30">
        <v>51612558</v>
      </c>
      <c r="J172" s="30">
        <v>50655550</v>
      </c>
      <c r="K172" s="30">
        <v>50326161</v>
      </c>
      <c r="L172" s="30">
        <v>3.3055551430674778E-6</v>
      </c>
      <c r="M172" s="30">
        <v>2.5168069220244137E-6</v>
      </c>
      <c r="N172" s="30">
        <v>1.0268818685560982E-6</v>
      </c>
      <c r="O172" s="30">
        <v>1.8556703066100358E-6</v>
      </c>
      <c r="P172" s="30">
        <v>2.1658715434304635E-6</v>
      </c>
      <c r="Q172" s="30">
        <v>4.0745894191635497E-2</v>
      </c>
      <c r="R172" s="30">
        <v>3.9008910931136689E-2</v>
      </c>
      <c r="S172" s="30">
        <v>2.3036513252305695E-2</v>
      </c>
      <c r="T172" s="30">
        <v>3.3533948605727948E-2</v>
      </c>
      <c r="U172" s="30">
        <v>3.411330702376042E-2</v>
      </c>
      <c r="V172" s="30">
        <v>-0.9216986693504402</v>
      </c>
      <c r="W172" s="30">
        <v>-0.92491130630212259</v>
      </c>
      <c r="X172" s="30">
        <v>-0.95496443586540047</v>
      </c>
      <c r="Y172" s="30">
        <v>-0.93510818168872645</v>
      </c>
      <c r="Z172" s="30">
        <v>-0.93402404399583527</v>
      </c>
    </row>
    <row r="173" spans="1:26" x14ac:dyDescent="0.25">
      <c r="A173" s="32" t="s">
        <v>92</v>
      </c>
      <c r="B173" s="30">
        <v>1481</v>
      </c>
      <c r="C173" s="30">
        <v>2197</v>
      </c>
      <c r="D173" s="30">
        <v>2735</v>
      </c>
      <c r="E173" s="30">
        <v>2249</v>
      </c>
      <c r="F173" s="30">
        <v>1477</v>
      </c>
      <c r="G173" s="30">
        <v>573061310</v>
      </c>
      <c r="H173" s="30">
        <v>713969246</v>
      </c>
      <c r="I173" s="30">
        <v>669093235</v>
      </c>
      <c r="J173" s="30">
        <v>655539567</v>
      </c>
      <c r="K173" s="30">
        <v>698906913</v>
      </c>
      <c r="L173" s="30">
        <v>2.5843657112360283E-6</v>
      </c>
      <c r="M173" s="30">
        <v>3.0771633544563066E-6</v>
      </c>
      <c r="N173" s="30">
        <v>4.087621660081498E-6</v>
      </c>
      <c r="O173" s="30">
        <v>3.4307616400521556E-6</v>
      </c>
      <c r="P173" s="30">
        <v>2.1133000296993771E-6</v>
      </c>
      <c r="Q173" s="30">
        <v>3.1856159484544545E-2</v>
      </c>
      <c r="R173" s="30">
        <v>4.7694080210964815E-2</v>
      </c>
      <c r="S173" s="30">
        <v>9.1699496725250684E-2</v>
      </c>
      <c r="T173" s="30">
        <v>6.19975348563837E-2</v>
      </c>
      <c r="U173" s="30">
        <v>3.32852855309567E-2</v>
      </c>
      <c r="V173" s="30">
        <v>-0.93825465072484904</v>
      </c>
      <c r="W173" s="30">
        <v>-0.90895418593686983</v>
      </c>
      <c r="X173" s="30">
        <v>-0.83200597417087785</v>
      </c>
      <c r="Y173" s="30">
        <v>-0.88324354281148543</v>
      </c>
      <c r="Z173" s="30">
        <v>-0.93557387103629774</v>
      </c>
    </row>
    <row r="174" spans="1:26" x14ac:dyDescent="0.25">
      <c r="A174" s="32" t="s">
        <v>149</v>
      </c>
      <c r="B174" s="30">
        <v>25</v>
      </c>
      <c r="C174" s="30">
        <v>24</v>
      </c>
      <c r="D174" s="30">
        <v>39</v>
      </c>
      <c r="E174" s="30">
        <v>70</v>
      </c>
      <c r="F174" s="30">
        <v>3</v>
      </c>
      <c r="G174" s="30">
        <v>2730273</v>
      </c>
      <c r="H174" s="30">
        <v>3308449</v>
      </c>
      <c r="I174" s="30">
        <v>3095448</v>
      </c>
      <c r="J174" s="30">
        <v>3329919</v>
      </c>
      <c r="K174" s="30">
        <v>1423048</v>
      </c>
      <c r="L174" s="30">
        <v>9.1565934981593418E-6</v>
      </c>
      <c r="M174" s="30">
        <v>7.2541544391344702E-6</v>
      </c>
      <c r="N174" s="30">
        <v>1.2599145584096389E-5</v>
      </c>
      <c r="O174" s="30">
        <v>2.1021532355591834E-5</v>
      </c>
      <c r="P174" s="30">
        <v>2.1081509548518392E-6</v>
      </c>
      <c r="Q174" s="30">
        <v>0.11286866310921559</v>
      </c>
      <c r="R174" s="30">
        <v>0.11243479264165875</v>
      </c>
      <c r="S174" s="30">
        <v>0.28264242762789565</v>
      </c>
      <c r="T174" s="30">
        <v>0.37988158948011014</v>
      </c>
      <c r="U174" s="30">
        <v>3.3204185628381601E-2</v>
      </c>
      <c r="V174" s="30">
        <v>-0.79715726239631068</v>
      </c>
      <c r="W174" s="30">
        <v>-0.7978581874904076</v>
      </c>
      <c r="X174" s="30">
        <v>-0.55928102557684556</v>
      </c>
      <c r="Y174" s="30">
        <v>-0.44939972766324693</v>
      </c>
      <c r="Z174" s="30">
        <v>-0.9357258011722297</v>
      </c>
    </row>
    <row r="175" spans="1:26" x14ac:dyDescent="0.25">
      <c r="A175" s="32" t="s">
        <v>69</v>
      </c>
      <c r="B175" s="30">
        <v>0</v>
      </c>
      <c r="C175" s="30">
        <v>0</v>
      </c>
      <c r="D175" s="30">
        <v>0</v>
      </c>
      <c r="E175" s="30">
        <v>55</v>
      </c>
      <c r="F175" s="30">
        <v>1</v>
      </c>
      <c r="G175" s="30">
        <v>321194</v>
      </c>
      <c r="H175" s="30">
        <v>372388</v>
      </c>
      <c r="I175" s="30">
        <v>437951</v>
      </c>
      <c r="J175" s="30">
        <v>456433</v>
      </c>
      <c r="K175" s="30">
        <v>490724</v>
      </c>
      <c r="L175" s="30">
        <v>0</v>
      </c>
      <c r="M175" s="30">
        <v>0</v>
      </c>
      <c r="N175" s="30">
        <v>0</v>
      </c>
      <c r="O175" s="30">
        <v>1.2049961330578639E-4</v>
      </c>
      <c r="P175" s="30">
        <v>2.0378053651339651E-6</v>
      </c>
      <c r="Q175" s="30">
        <v>0</v>
      </c>
      <c r="R175" s="30">
        <v>0</v>
      </c>
      <c r="S175" s="30">
        <v>0</v>
      </c>
      <c r="T175" s="30">
        <v>2.1775569858571338</v>
      </c>
      <c r="U175" s="30">
        <v>3.2096215625685841E-2</v>
      </c>
      <c r="V175" s="30">
        <v>-1</v>
      </c>
      <c r="W175" s="30">
        <v>-1</v>
      </c>
      <c r="X175" s="30">
        <v>-1</v>
      </c>
      <c r="Y175" s="30">
        <v>0.37058563893528168</v>
      </c>
      <c r="Z175" s="30">
        <v>-0.93780383041860449</v>
      </c>
    </row>
    <row r="176" spans="1:26" x14ac:dyDescent="0.25">
      <c r="A176" s="32" t="s">
        <v>216</v>
      </c>
      <c r="B176" s="30">
        <v>0</v>
      </c>
      <c r="C176" s="30">
        <v>0</v>
      </c>
      <c r="D176" s="30">
        <v>2</v>
      </c>
      <c r="E176" s="30">
        <v>0</v>
      </c>
      <c r="F176" s="30">
        <v>2</v>
      </c>
      <c r="G176" s="30">
        <v>674761</v>
      </c>
      <c r="H176" s="30">
        <v>708977</v>
      </c>
      <c r="I176" s="30">
        <v>920565</v>
      </c>
      <c r="J176" s="30">
        <v>2383632</v>
      </c>
      <c r="K176" s="30">
        <v>988450</v>
      </c>
      <c r="L176" s="30">
        <v>0</v>
      </c>
      <c r="M176" s="30">
        <v>0</v>
      </c>
      <c r="N176" s="30">
        <v>2.1725787967172335E-6</v>
      </c>
      <c r="O176" s="30">
        <v>0</v>
      </c>
      <c r="P176" s="30">
        <v>2.0233699226061003E-6</v>
      </c>
      <c r="Q176" s="30">
        <v>0</v>
      </c>
      <c r="R176" s="30">
        <v>0</v>
      </c>
      <c r="S176" s="30">
        <v>4.8738459383481432E-2</v>
      </c>
      <c r="T176" s="30">
        <v>0</v>
      </c>
      <c r="U176" s="30">
        <v>3.1868851872525791E-2</v>
      </c>
      <c r="V176" s="30">
        <v>-1</v>
      </c>
      <c r="W176" s="30">
        <v>-1</v>
      </c>
      <c r="X176" s="30">
        <v>-0.90705316669299385</v>
      </c>
      <c r="Y176" s="30">
        <v>-1</v>
      </c>
      <c r="Z176" s="30">
        <v>-0.93823080943921588</v>
      </c>
    </row>
    <row r="177" spans="1:26" x14ac:dyDescent="0.25">
      <c r="A177" s="32" t="s">
        <v>13</v>
      </c>
      <c r="B177" s="30">
        <v>68</v>
      </c>
      <c r="C177" s="30">
        <v>94</v>
      </c>
      <c r="D177" s="30">
        <v>196</v>
      </c>
      <c r="E177" s="30">
        <v>122</v>
      </c>
      <c r="F177" s="30">
        <v>110</v>
      </c>
      <c r="G177" s="30">
        <v>36064092</v>
      </c>
      <c r="H177" s="30">
        <v>51177743</v>
      </c>
      <c r="I177" s="30">
        <v>60318941</v>
      </c>
      <c r="J177" s="30">
        <v>52273093</v>
      </c>
      <c r="K177" s="30">
        <v>55026567</v>
      </c>
      <c r="L177" s="30">
        <v>1.8855320133943758E-6</v>
      </c>
      <c r="M177" s="30">
        <v>1.8367359420285493E-6</v>
      </c>
      <c r="N177" s="30">
        <v>3.2493939175755754E-6</v>
      </c>
      <c r="O177" s="30">
        <v>2.3338967143191624E-6</v>
      </c>
      <c r="P177" s="30">
        <v>1.9990343936956851E-6</v>
      </c>
      <c r="Q177" s="30">
        <v>2.324199252093383E-2</v>
      </c>
      <c r="R177" s="30">
        <v>2.846824209660772E-2</v>
      </c>
      <c r="S177" s="30">
        <v>7.2895148250542871E-2</v>
      </c>
      <c r="T177" s="30">
        <v>4.2176011649413786E-2</v>
      </c>
      <c r="U177" s="30">
        <v>3.1485557963972143E-2</v>
      </c>
      <c r="V177" s="30">
        <v>-0.95457185555164104</v>
      </c>
      <c r="W177" s="30">
        <v>-0.94463953103972731</v>
      </c>
      <c r="X177" s="30">
        <v>-0.86411505659354448</v>
      </c>
      <c r="Y177" s="30">
        <v>-0.91906163416165498</v>
      </c>
      <c r="Z177" s="30">
        <v>-0.9389510444991187</v>
      </c>
    </row>
    <row r="178" spans="1:26" x14ac:dyDescent="0.25">
      <c r="A178" s="32" t="s">
        <v>72</v>
      </c>
      <c r="B178" s="30">
        <v>39</v>
      </c>
      <c r="C178" s="30">
        <v>45</v>
      </c>
      <c r="D178" s="30">
        <v>27</v>
      </c>
      <c r="E178" s="30">
        <v>32</v>
      </c>
      <c r="F178" s="30">
        <v>58</v>
      </c>
      <c r="G178" s="30">
        <v>17803362</v>
      </c>
      <c r="H178" s="30">
        <v>25719892</v>
      </c>
      <c r="I178" s="30">
        <v>33048924</v>
      </c>
      <c r="J178" s="30">
        <v>30895681</v>
      </c>
      <c r="K178" s="30">
        <v>29489612</v>
      </c>
      <c r="L178" s="30">
        <v>2.1905974837786258E-6</v>
      </c>
      <c r="M178" s="30">
        <v>1.7496185442769356E-6</v>
      </c>
      <c r="N178" s="30">
        <v>8.1697062209952735E-7</v>
      </c>
      <c r="O178" s="30">
        <v>1.0357434749536674E-6</v>
      </c>
      <c r="P178" s="30">
        <v>1.9667942731833842E-6</v>
      </c>
      <c r="Q178" s="30">
        <v>2.7002379154890652E-2</v>
      </c>
      <c r="R178" s="30">
        <v>2.7117977688278928E-2</v>
      </c>
      <c r="S178" s="30">
        <v>1.8327477715818732E-2</v>
      </c>
      <c r="T178" s="30">
        <v>1.8716993171736578E-2</v>
      </c>
      <c r="U178" s="30">
        <v>3.097776370772683E-2</v>
      </c>
      <c r="V178" s="30">
        <v>-0.9474151575440154</v>
      </c>
      <c r="W178" s="30">
        <v>-0.94719598278415307</v>
      </c>
      <c r="X178" s="30">
        <v>-0.96400474676981407</v>
      </c>
      <c r="Y178" s="30">
        <v>-0.96325379217742912</v>
      </c>
      <c r="Z178" s="30">
        <v>-0.93990604880493078</v>
      </c>
    </row>
    <row r="179" spans="1:26" x14ac:dyDescent="0.25">
      <c r="A179" s="32" t="s">
        <v>23</v>
      </c>
      <c r="B179" s="30">
        <v>346</v>
      </c>
      <c r="C179" s="30">
        <v>110</v>
      </c>
      <c r="D179" s="30">
        <v>491</v>
      </c>
      <c r="E179" s="30">
        <v>651</v>
      </c>
      <c r="F179" s="30">
        <v>89</v>
      </c>
      <c r="G179" s="30">
        <v>53010001</v>
      </c>
      <c r="H179" s="30">
        <v>52441679</v>
      </c>
      <c r="I179" s="30">
        <v>60487524</v>
      </c>
      <c r="J179" s="30">
        <v>60575070</v>
      </c>
      <c r="K179" s="30">
        <v>47195990</v>
      </c>
      <c r="L179" s="30">
        <v>6.5270702409532121E-6</v>
      </c>
      <c r="M179" s="30">
        <v>2.0975682338469752E-6</v>
      </c>
      <c r="N179" s="30">
        <v>8.1173764031075237E-6</v>
      </c>
      <c r="O179" s="30">
        <v>1.0746995422374253E-5</v>
      </c>
      <c r="P179" s="30">
        <v>1.8857534294756822E-6</v>
      </c>
      <c r="Q179" s="30">
        <v>8.0455869561581655E-2</v>
      </c>
      <c r="R179" s="30">
        <v>3.2510977179092737E-2</v>
      </c>
      <c r="S179" s="30">
        <v>0.18210083828539667</v>
      </c>
      <c r="T179" s="30">
        <v>0.1942097100310107</v>
      </c>
      <c r="U179" s="30">
        <v>2.9701339355021825E-2</v>
      </c>
      <c r="V179" s="30">
        <v>-0.85107051231212549</v>
      </c>
      <c r="W179" s="30">
        <v>-0.93702541106552584</v>
      </c>
      <c r="X179" s="30">
        <v>-0.69190303840824829</v>
      </c>
      <c r="Y179" s="30">
        <v>-0.67474772914722392</v>
      </c>
      <c r="Z179" s="30">
        <v>-0.94231076872518005</v>
      </c>
    </row>
    <row r="180" spans="1:26" x14ac:dyDescent="0.25">
      <c r="A180" s="32" t="s">
        <v>154</v>
      </c>
      <c r="B180" s="30">
        <v>5</v>
      </c>
      <c r="C180" s="30">
        <v>8</v>
      </c>
      <c r="D180" s="30">
        <v>20</v>
      </c>
      <c r="E180" s="30">
        <v>2</v>
      </c>
      <c r="F180" s="30">
        <v>20</v>
      </c>
      <c r="G180" s="30">
        <v>6938042</v>
      </c>
      <c r="H180" s="30">
        <v>11971835</v>
      </c>
      <c r="I180" s="30">
        <v>26858595</v>
      </c>
      <c r="J180" s="30">
        <v>25675561</v>
      </c>
      <c r="K180" s="30">
        <v>10747193</v>
      </c>
      <c r="L180" s="30">
        <v>7.2066441800150532E-7</v>
      </c>
      <c r="M180" s="30">
        <v>6.6823507006235885E-7</v>
      </c>
      <c r="N180" s="30">
        <v>7.4464058898092026E-7</v>
      </c>
      <c r="O180" s="30">
        <v>7.7895084746152181E-8</v>
      </c>
      <c r="P180" s="30">
        <v>1.860951040890398E-6</v>
      </c>
      <c r="Q180" s="30">
        <v>8.8832631290841815E-3</v>
      </c>
      <c r="R180" s="30">
        <v>1.0357219737840335E-2</v>
      </c>
      <c r="S180" s="30">
        <v>1.6704864816031732E-2</v>
      </c>
      <c r="T180" s="30">
        <v>1.4076475542081424E-3</v>
      </c>
      <c r="U180" s="30">
        <v>2.9310692227633876E-2</v>
      </c>
      <c r="V180" s="30">
        <v>-0.98238990881555022</v>
      </c>
      <c r="W180" s="30">
        <v>-0.97949790522499014</v>
      </c>
      <c r="X180" s="30">
        <v>-0.96713920549784249</v>
      </c>
      <c r="Y180" s="30">
        <v>-0.99718866226427139</v>
      </c>
      <c r="Z180" s="30">
        <v>-0.94304792042099628</v>
      </c>
    </row>
    <row r="181" spans="1:26" x14ac:dyDescent="0.25">
      <c r="A181" s="32" t="s">
        <v>179</v>
      </c>
      <c r="B181" s="30">
        <v>61</v>
      </c>
      <c r="C181" s="30">
        <v>35</v>
      </c>
      <c r="D181" s="30">
        <v>7</v>
      </c>
      <c r="E181" s="30">
        <v>14</v>
      </c>
      <c r="F181" s="30">
        <v>11</v>
      </c>
      <c r="G181" s="30">
        <v>3139016</v>
      </c>
      <c r="H181" s="30">
        <v>4217793</v>
      </c>
      <c r="I181" s="30">
        <v>5182866</v>
      </c>
      <c r="J181" s="30">
        <v>5704363</v>
      </c>
      <c r="K181" s="30">
        <v>6465425</v>
      </c>
      <c r="L181" s="30">
        <v>1.9432841374494428E-5</v>
      </c>
      <c r="M181" s="30">
        <v>8.2981786920315907E-6</v>
      </c>
      <c r="N181" s="30">
        <v>1.3506040866192565E-6</v>
      </c>
      <c r="O181" s="30">
        <v>2.454261764196984E-6</v>
      </c>
      <c r="P181" s="30">
        <v>1.7013576060351795E-6</v>
      </c>
      <c r="Q181" s="30">
        <v>0.23953873531609179</v>
      </c>
      <c r="R181" s="30">
        <v>0.12861650635788288</v>
      </c>
      <c r="S181" s="30">
        <v>3.0298722660057394E-2</v>
      </c>
      <c r="T181" s="30">
        <v>4.4351136930101356E-2</v>
      </c>
      <c r="U181" s="30">
        <v>2.6797034453835546E-2</v>
      </c>
      <c r="V181" s="30">
        <v>-0.61350342915260714</v>
      </c>
      <c r="W181" s="30">
        <v>-0.77208111766336562</v>
      </c>
      <c r="X181" s="30">
        <v>-0.94118458657925697</v>
      </c>
      <c r="Y181" s="30">
        <v>-0.91506470312183941</v>
      </c>
      <c r="Z181" s="30">
        <v>-0.94780461268455229</v>
      </c>
    </row>
    <row r="182" spans="1:26" x14ac:dyDescent="0.25">
      <c r="A182" s="32" t="s">
        <v>162</v>
      </c>
      <c r="B182" s="30">
        <v>16</v>
      </c>
      <c r="C182" s="30">
        <v>18</v>
      </c>
      <c r="D182" s="30">
        <v>14</v>
      </c>
      <c r="E182" s="30">
        <v>11</v>
      </c>
      <c r="F182" s="30">
        <v>16</v>
      </c>
      <c r="G182" s="30">
        <v>7079997</v>
      </c>
      <c r="H182" s="30">
        <v>9559086</v>
      </c>
      <c r="I182" s="30">
        <v>13049406</v>
      </c>
      <c r="J182" s="30">
        <v>11495579</v>
      </c>
      <c r="K182" s="30">
        <v>9904187</v>
      </c>
      <c r="L182" s="30">
        <v>2.2598879632293628E-6</v>
      </c>
      <c r="M182" s="30">
        <v>1.8830252181013958E-6</v>
      </c>
      <c r="N182" s="30">
        <v>1.0728457678456781E-6</v>
      </c>
      <c r="O182" s="30">
        <v>9.5688960077608956E-7</v>
      </c>
      <c r="P182" s="30">
        <v>1.6154783830313382E-6</v>
      </c>
      <c r="Q182" s="30">
        <v>2.7856487594167045E-2</v>
      </c>
      <c r="R182" s="30">
        <v>2.9185696515375784E-2</v>
      </c>
      <c r="S182" s="30">
        <v>2.4067642545299153E-2</v>
      </c>
      <c r="T182" s="30">
        <v>1.7292019266288875E-2</v>
      </c>
      <c r="U182" s="30">
        <v>2.5444403772584764E-2</v>
      </c>
      <c r="V182" s="30">
        <v>-0.94579693190560321</v>
      </c>
      <c r="W182" s="30">
        <v>-0.94328390568545017</v>
      </c>
      <c r="X182" s="30">
        <v>-0.95299599060569951</v>
      </c>
      <c r="Y182" s="30">
        <v>-0.96600382399783191</v>
      </c>
      <c r="Z182" s="30">
        <v>-0.95037389900617641</v>
      </c>
    </row>
    <row r="183" spans="1:26" x14ac:dyDescent="0.25">
      <c r="A183" s="32" t="s">
        <v>178</v>
      </c>
      <c r="B183" s="30">
        <v>13</v>
      </c>
      <c r="C183" s="30">
        <v>16</v>
      </c>
      <c r="D183" s="30">
        <v>20</v>
      </c>
      <c r="E183" s="30">
        <v>22</v>
      </c>
      <c r="F183" s="30">
        <v>28</v>
      </c>
      <c r="G183" s="30">
        <v>14956197</v>
      </c>
      <c r="H183" s="30">
        <v>14244579</v>
      </c>
      <c r="I183" s="30">
        <v>16626738</v>
      </c>
      <c r="J183" s="30">
        <v>18202725</v>
      </c>
      <c r="K183" s="30">
        <v>17389904</v>
      </c>
      <c r="L183" s="30">
        <v>8.6920491887075307E-7</v>
      </c>
      <c r="M183" s="30">
        <v>1.1232343195260458E-6</v>
      </c>
      <c r="N183" s="30">
        <v>1.202881767909015E-6</v>
      </c>
      <c r="O183" s="30">
        <v>1.2086102492895982E-6</v>
      </c>
      <c r="P183" s="30">
        <v>1.6101296476392279E-6</v>
      </c>
      <c r="Q183" s="30">
        <v>1.0714246207458851E-2</v>
      </c>
      <c r="R183" s="30">
        <v>1.7409419507613075E-2</v>
      </c>
      <c r="S183" s="30">
        <v>2.6984799942330589E-2</v>
      </c>
      <c r="T183" s="30">
        <v>2.1840880807147921E-2</v>
      </c>
      <c r="U183" s="30">
        <v>2.5360159139899432E-2</v>
      </c>
      <c r="V183" s="30">
        <v>-0.97879866391977299</v>
      </c>
      <c r="W183" s="30">
        <v>-0.96577696417232195</v>
      </c>
      <c r="X183" s="30">
        <v>-0.94744849204419412</v>
      </c>
      <c r="Y183" s="30">
        <v>-0.95725189465918425</v>
      </c>
      <c r="Z183" s="30">
        <v>-0.95053414370776357</v>
      </c>
    </row>
    <row r="184" spans="1:26" x14ac:dyDescent="0.25">
      <c r="A184" s="32" t="s">
        <v>40</v>
      </c>
      <c r="B184" s="30">
        <v>24</v>
      </c>
      <c r="C184" s="30">
        <v>28</v>
      </c>
      <c r="D184" s="30">
        <v>14</v>
      </c>
      <c r="E184" s="30">
        <v>19</v>
      </c>
      <c r="F184" s="30">
        <v>22</v>
      </c>
      <c r="G184" s="30">
        <v>7971839</v>
      </c>
      <c r="H184" s="30">
        <v>11631003</v>
      </c>
      <c r="I184" s="30">
        <v>13826669</v>
      </c>
      <c r="J184" s="30">
        <v>14380540</v>
      </c>
      <c r="K184" s="30">
        <v>14508560</v>
      </c>
      <c r="L184" s="30">
        <v>3.0105976801588692E-6</v>
      </c>
      <c r="M184" s="30">
        <v>2.4073590214016795E-6</v>
      </c>
      <c r="N184" s="30">
        <v>1.0125359911342349E-6</v>
      </c>
      <c r="O184" s="30">
        <v>1.3212299399048993E-6</v>
      </c>
      <c r="P184" s="30">
        <v>1.5163462121671621E-6</v>
      </c>
      <c r="Q184" s="30">
        <v>3.7110103816178408E-2</v>
      </c>
      <c r="R184" s="30">
        <v>3.7312537892096417E-2</v>
      </c>
      <c r="S184" s="30">
        <v>2.2714685585984742E-2</v>
      </c>
      <c r="T184" s="30">
        <v>2.387603915593112E-2</v>
      </c>
      <c r="U184" s="30">
        <v>2.3883034082457486E-2</v>
      </c>
      <c r="V184" s="30">
        <v>-0.92843555630279351</v>
      </c>
      <c r="W184" s="30">
        <v>-0.92805921739282449</v>
      </c>
      <c r="X184" s="30">
        <v>-0.95557962370908966</v>
      </c>
      <c r="Y184" s="30">
        <v>-0.95336146517186937</v>
      </c>
      <c r="Z184" s="30">
        <v>-0.95334812026871796</v>
      </c>
    </row>
    <row r="185" spans="1:26" x14ac:dyDescent="0.25">
      <c r="A185" s="32" t="s">
        <v>28</v>
      </c>
      <c r="B185" s="30">
        <v>1002</v>
      </c>
      <c r="C185" s="30">
        <v>1128</v>
      </c>
      <c r="D185" s="30">
        <v>484</v>
      </c>
      <c r="E185" s="30">
        <v>180</v>
      </c>
      <c r="F185" s="30">
        <v>855</v>
      </c>
      <c r="G185" s="30">
        <v>382979896</v>
      </c>
      <c r="H185" s="30">
        <v>505715616</v>
      </c>
      <c r="I185" s="30">
        <v>604614616</v>
      </c>
      <c r="J185" s="30">
        <v>598475395</v>
      </c>
      <c r="K185" s="30">
        <v>571784647</v>
      </c>
      <c r="L185" s="30">
        <v>2.616325322726601E-6</v>
      </c>
      <c r="M185" s="30">
        <v>2.2305026072202602E-6</v>
      </c>
      <c r="N185" s="30">
        <v>8.0050992349811138E-7</v>
      </c>
      <c r="O185" s="30">
        <v>3.0076424445152001E-7</v>
      </c>
      <c r="P185" s="30">
        <v>1.4953182189937324E-6</v>
      </c>
      <c r="Q185" s="30">
        <v>3.2250109333159749E-2</v>
      </c>
      <c r="R185" s="30">
        <v>3.4571375648767097E-2</v>
      </c>
      <c r="S185" s="30">
        <v>1.7958207293304679E-2</v>
      </c>
      <c r="T185" s="30">
        <v>5.4351318119126302E-3</v>
      </c>
      <c r="U185" s="30">
        <v>2.3551835129595036E-2</v>
      </c>
      <c r="V185" s="30">
        <v>-0.93751493162060595</v>
      </c>
      <c r="W185" s="30">
        <v>-0.93316773214010906</v>
      </c>
      <c r="X185" s="30">
        <v>-0.96471720122763283</v>
      </c>
      <c r="Y185" s="30">
        <v>-0.98918849831292877</v>
      </c>
      <c r="Z185" s="30">
        <v>-0.95398018093218873</v>
      </c>
    </row>
    <row r="186" spans="1:26" x14ac:dyDescent="0.25">
      <c r="A186" s="32" t="s">
        <v>198</v>
      </c>
      <c r="B186" s="30">
        <v>4</v>
      </c>
      <c r="C186" s="30">
        <v>2</v>
      </c>
      <c r="D186" s="30">
        <v>1</v>
      </c>
      <c r="E186" s="30">
        <v>5</v>
      </c>
      <c r="F186" s="30">
        <v>2</v>
      </c>
      <c r="G186" s="30">
        <v>787099</v>
      </c>
      <c r="H186" s="30">
        <v>1057442</v>
      </c>
      <c r="I186" s="30">
        <v>1378182</v>
      </c>
      <c r="J186" s="30">
        <v>1337483</v>
      </c>
      <c r="K186" s="30">
        <v>1440307</v>
      </c>
      <c r="L186" s="30">
        <v>5.0819528420186022E-6</v>
      </c>
      <c r="M186" s="30">
        <v>1.8913566890666343E-6</v>
      </c>
      <c r="N186" s="30">
        <v>7.2559357182142848E-7</v>
      </c>
      <c r="O186" s="30">
        <v>3.7383652726801013E-6</v>
      </c>
      <c r="P186" s="30">
        <v>1.3885928486079704E-6</v>
      </c>
      <c r="Q186" s="30">
        <v>6.2642643618286864E-2</v>
      </c>
      <c r="R186" s="30">
        <v>2.9314829030851752E-2</v>
      </c>
      <c r="S186" s="30">
        <v>1.6277574319775827E-2</v>
      </c>
      <c r="T186" s="30">
        <v>6.7556261732993922E-2</v>
      </c>
      <c r="U186" s="30">
        <v>2.1870869636402602E-2</v>
      </c>
      <c r="V186" s="30">
        <v>-0.88210026391376617</v>
      </c>
      <c r="W186" s="30">
        <v>-0.94304011133609511</v>
      </c>
      <c r="X186" s="30">
        <v>-0.96796628257654727</v>
      </c>
      <c r="Y186" s="30">
        <v>-0.87343756173875475</v>
      </c>
      <c r="Z186" s="30">
        <v>-0.95719445521686208</v>
      </c>
    </row>
    <row r="187" spans="1:26" x14ac:dyDescent="0.25">
      <c r="A187" s="32" t="s">
        <v>147</v>
      </c>
      <c r="B187" s="30">
        <v>8</v>
      </c>
      <c r="C187" s="30">
        <v>8</v>
      </c>
      <c r="D187" s="30">
        <v>6</v>
      </c>
      <c r="E187" s="30">
        <v>6</v>
      </c>
      <c r="F187" s="30">
        <v>37</v>
      </c>
      <c r="G187" s="30">
        <v>1186080</v>
      </c>
      <c r="H187" s="30">
        <v>1701154</v>
      </c>
      <c r="I187" s="30">
        <v>1920653</v>
      </c>
      <c r="J187" s="30">
        <v>2166707</v>
      </c>
      <c r="K187" s="30">
        <v>29130140</v>
      </c>
      <c r="L187" s="30">
        <v>6.7449075947659514E-6</v>
      </c>
      <c r="M187" s="30">
        <v>4.7026900562794432E-6</v>
      </c>
      <c r="N187" s="30">
        <v>3.1239375358276585E-6</v>
      </c>
      <c r="O187" s="30">
        <v>2.7691792198945221E-6</v>
      </c>
      <c r="P187" s="30">
        <v>1.2701621070135606E-6</v>
      </c>
      <c r="Q187" s="30">
        <v>8.3141039642030845E-2</v>
      </c>
      <c r="R187" s="30">
        <v>7.2888713050181089E-2</v>
      </c>
      <c r="S187" s="30">
        <v>7.0080727537490506E-2</v>
      </c>
      <c r="T187" s="30">
        <v>5.004203241772695E-2</v>
      </c>
      <c r="U187" s="30">
        <v>2.0005540059809711E-2</v>
      </c>
      <c r="V187" s="30">
        <v>-0.84648160008874129</v>
      </c>
      <c r="W187" s="30">
        <v>-0.86412623757973683</v>
      </c>
      <c r="X187" s="30">
        <v>-0.86901786802802639</v>
      </c>
      <c r="Y187" s="30">
        <v>-0.90468565853024974</v>
      </c>
      <c r="Z187" s="30">
        <v>-0.96077366391826324</v>
      </c>
    </row>
    <row r="188" spans="1:26" x14ac:dyDescent="0.25">
      <c r="A188" s="32" t="s">
        <v>71</v>
      </c>
      <c r="B188" s="30">
        <v>16</v>
      </c>
      <c r="C188" s="30">
        <v>39</v>
      </c>
      <c r="D188" s="30">
        <v>40</v>
      </c>
      <c r="E188" s="30">
        <v>28</v>
      </c>
      <c r="F188" s="30">
        <v>1</v>
      </c>
      <c r="G188" s="30">
        <v>3026110</v>
      </c>
      <c r="H188" s="30">
        <v>2784744</v>
      </c>
      <c r="I188" s="30">
        <v>3787226</v>
      </c>
      <c r="J188" s="30">
        <v>3136148</v>
      </c>
      <c r="K188" s="30">
        <v>875787</v>
      </c>
      <c r="L188" s="30">
        <v>5.2873160592311579E-6</v>
      </c>
      <c r="M188" s="30">
        <v>1.4004878006739579E-5</v>
      </c>
      <c r="N188" s="30">
        <v>1.0561820181842858E-5</v>
      </c>
      <c r="O188" s="30">
        <v>8.9281500745500533E-6</v>
      </c>
      <c r="P188" s="30">
        <v>1.1418301481981349E-6</v>
      </c>
      <c r="Q188" s="30">
        <v>6.5174051371972561E-2</v>
      </c>
      <c r="R188" s="30">
        <v>0.21706672609073505</v>
      </c>
      <c r="S188" s="30">
        <v>0.23693816984967142</v>
      </c>
      <c r="T188" s="30">
        <v>0.16134122784511687</v>
      </c>
      <c r="U188" s="30">
        <v>1.7984262516683922E-2</v>
      </c>
      <c r="V188" s="30">
        <v>-0.87762741443423897</v>
      </c>
      <c r="W188" s="30">
        <v>-0.64329527471684034</v>
      </c>
      <c r="X188" s="30">
        <v>-0.61689569353580997</v>
      </c>
      <c r="Y188" s="30">
        <v>-0.72214673176722133</v>
      </c>
      <c r="Z188" s="30">
        <v>-0.9646669144526403</v>
      </c>
    </row>
    <row r="189" spans="1:26" x14ac:dyDescent="0.25">
      <c r="A189" s="32" t="s">
        <v>52</v>
      </c>
      <c r="B189" s="30">
        <v>0</v>
      </c>
      <c r="C189" s="30">
        <v>7</v>
      </c>
      <c r="D189" s="30">
        <v>3</v>
      </c>
      <c r="E189" s="30">
        <v>4</v>
      </c>
      <c r="F189" s="30">
        <v>5</v>
      </c>
      <c r="G189" s="30">
        <v>3227340</v>
      </c>
      <c r="H189" s="30">
        <v>4380344</v>
      </c>
      <c r="I189" s="30">
        <v>5478191</v>
      </c>
      <c r="J189" s="30">
        <v>4809848</v>
      </c>
      <c r="K189" s="30">
        <v>4803725</v>
      </c>
      <c r="L189" s="30">
        <v>0</v>
      </c>
      <c r="M189" s="30">
        <v>1.5980480071884764E-6</v>
      </c>
      <c r="N189" s="30">
        <v>5.4762603202407505E-7</v>
      </c>
      <c r="O189" s="30">
        <v>8.3162711170914339E-7</v>
      </c>
      <c r="P189" s="30">
        <v>1.0408589167781252E-6</v>
      </c>
      <c r="Q189" s="30">
        <v>0</v>
      </c>
      <c r="R189" s="30">
        <v>2.4768730501564896E-2</v>
      </c>
      <c r="S189" s="30">
        <v>1.22851466466817E-2</v>
      </c>
      <c r="T189" s="30">
        <v>1.5028392017615511E-2</v>
      </c>
      <c r="U189" s="30">
        <v>1.6393926917859642E-2</v>
      </c>
      <c r="V189" s="30">
        <v>-1</v>
      </c>
      <c r="W189" s="30">
        <v>-0.95165986282691895</v>
      </c>
      <c r="X189" s="30">
        <v>-0.97572789309933516</v>
      </c>
      <c r="Y189" s="30">
        <v>-0.97038823320450585</v>
      </c>
      <c r="Z189" s="30">
        <v>-0.96774099788735835</v>
      </c>
    </row>
    <row r="190" spans="1:26" x14ac:dyDescent="0.25">
      <c r="A190" s="32" t="s">
        <v>11</v>
      </c>
      <c r="B190" s="30">
        <v>3471</v>
      </c>
      <c r="C190" s="30">
        <v>12054</v>
      </c>
      <c r="D190" s="30">
        <v>1536</v>
      </c>
      <c r="E190" s="30">
        <v>10623</v>
      </c>
      <c r="F190" s="30">
        <v>2642</v>
      </c>
      <c r="G190" s="30">
        <v>2057021048</v>
      </c>
      <c r="H190" s="30">
        <v>2675680064</v>
      </c>
      <c r="I190" s="30">
        <v>2715998754</v>
      </c>
      <c r="J190" s="30">
        <v>2559319988</v>
      </c>
      <c r="K190" s="30">
        <v>2587295232</v>
      </c>
      <c r="L190" s="30">
        <v>1.6873915818094245E-6</v>
      </c>
      <c r="M190" s="30">
        <v>4.5050229144286808E-6</v>
      </c>
      <c r="N190" s="30">
        <v>5.655378146760372E-7</v>
      </c>
      <c r="O190" s="30">
        <v>4.1507119273121542E-6</v>
      </c>
      <c r="P190" s="30">
        <v>1.0211436125740133E-6</v>
      </c>
      <c r="Q190" s="30">
        <v>2.0799616365939945E-2</v>
      </c>
      <c r="R190" s="30">
        <v>6.9824997727804858E-2</v>
      </c>
      <c r="S190" s="30">
        <v>1.2686969905100449E-2</v>
      </c>
      <c r="T190" s="30">
        <v>7.5007807126009129E-2</v>
      </c>
      <c r="U190" s="30">
        <v>1.6083403319439551E-2</v>
      </c>
      <c r="V190" s="30">
        <v>-0.95924838522179934</v>
      </c>
      <c r="W190" s="30">
        <v>-0.86946463603653723</v>
      </c>
      <c r="X190" s="30">
        <v>-0.97494394559793862</v>
      </c>
      <c r="Y190" s="30">
        <v>-0.86045160485570871</v>
      </c>
      <c r="Z190" s="30">
        <v>-0.96834235601743579</v>
      </c>
    </row>
    <row r="191" spans="1:26" x14ac:dyDescent="0.25">
      <c r="A191" s="32" t="s">
        <v>139</v>
      </c>
      <c r="B191" s="30">
        <v>5</v>
      </c>
      <c r="C191" s="30"/>
      <c r="D191" s="30"/>
      <c r="E191" s="30"/>
      <c r="F191" s="30">
        <v>1</v>
      </c>
      <c r="G191" s="30">
        <v>1154594</v>
      </c>
      <c r="H191" s="30">
        <v>1294307</v>
      </c>
      <c r="I191" s="30">
        <v>1139354</v>
      </c>
      <c r="J191" s="30">
        <v>1416151</v>
      </c>
      <c r="K191" s="30">
        <v>1087189</v>
      </c>
      <c r="L191" s="30">
        <v>4.3305265747093786E-6</v>
      </c>
      <c r="M191" s="30">
        <v>0</v>
      </c>
      <c r="N191" s="30">
        <v>0</v>
      </c>
      <c r="O191" s="30">
        <v>0</v>
      </c>
      <c r="P191" s="30">
        <v>9.1980327247608278E-7</v>
      </c>
      <c r="Q191" s="30">
        <v>5.3380194844800402E-2</v>
      </c>
      <c r="R191" s="30">
        <v>0</v>
      </c>
      <c r="S191" s="30">
        <v>0</v>
      </c>
      <c r="T191" s="30">
        <v>0</v>
      </c>
      <c r="U191" s="30">
        <v>1.4487254117452495E-2</v>
      </c>
      <c r="V191" s="30">
        <v>-0.89864970861225424</v>
      </c>
      <c r="W191" s="30">
        <v>-1</v>
      </c>
      <c r="X191" s="30">
        <v>-1</v>
      </c>
      <c r="Y191" s="30">
        <v>-1</v>
      </c>
      <c r="Z191" s="30">
        <v>-0.97143925848520274</v>
      </c>
    </row>
    <row r="192" spans="1:26" x14ac:dyDescent="0.25">
      <c r="A192" s="32" t="s">
        <v>164</v>
      </c>
      <c r="B192" s="30">
        <v>12</v>
      </c>
      <c r="C192" s="30">
        <v>8</v>
      </c>
      <c r="D192" s="30">
        <v>37</v>
      </c>
      <c r="E192" s="30">
        <v>21</v>
      </c>
      <c r="F192" s="30">
        <v>2</v>
      </c>
      <c r="G192" s="30">
        <v>3477811</v>
      </c>
      <c r="H192" s="30">
        <v>3650384</v>
      </c>
      <c r="I192" s="30">
        <v>4096472</v>
      </c>
      <c r="J192" s="30">
        <v>4226842</v>
      </c>
      <c r="K192" s="30">
        <v>2715565</v>
      </c>
      <c r="L192" s="30">
        <v>3.4504462720947171E-6</v>
      </c>
      <c r="M192" s="30">
        <v>2.1915502588220854E-6</v>
      </c>
      <c r="N192" s="30">
        <v>9.0321623094213752E-6</v>
      </c>
      <c r="O192" s="30">
        <v>4.9682481625762214E-6</v>
      </c>
      <c r="P192" s="30">
        <v>7.3649498354854327E-7</v>
      </c>
      <c r="Q192" s="30">
        <v>4.253189332253246E-2</v>
      </c>
      <c r="R192" s="30">
        <v>3.3967638955290112E-2</v>
      </c>
      <c r="S192" s="30">
        <v>0.20262265126029416</v>
      </c>
      <c r="T192" s="30">
        <v>8.9781561924483028E-2</v>
      </c>
      <c r="U192" s="30">
        <v>1.1600078301715526E-2</v>
      </c>
      <c r="V192" s="30">
        <v>-0.91840653778565173</v>
      </c>
      <c r="W192" s="30">
        <v>-0.93429651436748906</v>
      </c>
      <c r="X192" s="30">
        <v>-0.66303203910560837</v>
      </c>
      <c r="Y192" s="30">
        <v>-0.83523016894149926</v>
      </c>
      <c r="Z192" s="30">
        <v>-0.97706588097306224</v>
      </c>
    </row>
    <row r="193" spans="1:26" x14ac:dyDescent="0.25">
      <c r="A193" s="32" t="s">
        <v>103</v>
      </c>
      <c r="B193" s="30">
        <v>0</v>
      </c>
      <c r="C193" s="30">
        <v>7</v>
      </c>
      <c r="D193" s="30">
        <v>5</v>
      </c>
      <c r="E193" s="30">
        <v>2</v>
      </c>
      <c r="F193" s="30">
        <v>2</v>
      </c>
      <c r="G193" s="30">
        <v>2160154</v>
      </c>
      <c r="H193" s="30">
        <v>2493138</v>
      </c>
      <c r="I193" s="30">
        <v>2797558</v>
      </c>
      <c r="J193" s="30">
        <v>3049774</v>
      </c>
      <c r="K193" s="30">
        <v>3221584</v>
      </c>
      <c r="L193" s="30">
        <v>0</v>
      </c>
      <c r="M193" s="30">
        <v>2.8077065930566219E-6</v>
      </c>
      <c r="N193" s="30">
        <v>1.7872730431326178E-6</v>
      </c>
      <c r="O193" s="30">
        <v>6.5578629760762606E-7</v>
      </c>
      <c r="P193" s="30">
        <v>6.2081261888561655E-7</v>
      </c>
      <c r="Q193" s="30">
        <v>0</v>
      </c>
      <c r="R193" s="30">
        <v>4.351767132029867E-2</v>
      </c>
      <c r="S193" s="30">
        <v>4.0094718199188882E-2</v>
      </c>
      <c r="T193" s="30">
        <v>1.1850760300458976E-2</v>
      </c>
      <c r="U193" s="30">
        <v>9.7780367152922668E-3</v>
      </c>
      <c r="V193" s="30">
        <v>-1</v>
      </c>
      <c r="W193" s="30">
        <v>-0.91659428006573485</v>
      </c>
      <c r="X193" s="30">
        <v>-0.92290179442770648</v>
      </c>
      <c r="Y193" s="30">
        <v>-0.97657607076968544</v>
      </c>
      <c r="Z193" s="30">
        <v>-0.98063329492271545</v>
      </c>
    </row>
    <row r="194" spans="1:26" x14ac:dyDescent="0.25">
      <c r="A194" s="32" t="s">
        <v>38</v>
      </c>
      <c r="B194" s="30">
        <v>49</v>
      </c>
      <c r="C194" s="30">
        <v>11</v>
      </c>
      <c r="D194" s="30">
        <v>12</v>
      </c>
      <c r="E194" s="30">
        <v>14</v>
      </c>
      <c r="F194" s="30">
        <v>10</v>
      </c>
      <c r="G194" s="30">
        <v>10532202</v>
      </c>
      <c r="H194" s="30">
        <v>13998346</v>
      </c>
      <c r="I194" s="30">
        <v>17972135</v>
      </c>
      <c r="J194" s="30">
        <v>18834793</v>
      </c>
      <c r="K194" s="30">
        <v>17219303</v>
      </c>
      <c r="L194" s="30">
        <v>4.6523984253245426E-6</v>
      </c>
      <c r="M194" s="30">
        <v>7.8580712321298534E-7</v>
      </c>
      <c r="N194" s="30">
        <v>6.677003038314591E-7</v>
      </c>
      <c r="O194" s="30">
        <v>7.4330522241470874E-7</v>
      </c>
      <c r="P194" s="30">
        <v>5.8074359920375407E-7</v>
      </c>
      <c r="Q194" s="30">
        <v>5.7347745165640313E-2</v>
      </c>
      <c r="R194" s="30">
        <v>1.2179511988075639E-2</v>
      </c>
      <c r="S194" s="30">
        <v>1.4978828012037941E-2</v>
      </c>
      <c r="T194" s="30">
        <v>1.3432320945178626E-2</v>
      </c>
      <c r="U194" s="30">
        <v>9.1469342961785736E-3</v>
      </c>
      <c r="V194" s="30">
        <v>-0.89152528971127387</v>
      </c>
      <c r="W194" s="30">
        <v>-0.97593408709853602</v>
      </c>
      <c r="X194" s="30">
        <v>-0.97048445228877167</v>
      </c>
      <c r="Y194" s="30">
        <v>-0.97349142973326341</v>
      </c>
      <c r="Z194" s="30">
        <v>-0.98187194751266227</v>
      </c>
    </row>
    <row r="195" spans="1:26" x14ac:dyDescent="0.25">
      <c r="A195" s="32" t="s">
        <v>107</v>
      </c>
      <c r="B195" s="30">
        <v>1</v>
      </c>
      <c r="C195" s="30">
        <v>2</v>
      </c>
      <c r="D195" s="30">
        <v>2</v>
      </c>
      <c r="E195" s="30">
        <v>9</v>
      </c>
      <c r="F195" s="30">
        <v>1</v>
      </c>
      <c r="G195" s="30">
        <v>1494812</v>
      </c>
      <c r="H195" s="30">
        <v>1563492</v>
      </c>
      <c r="I195" s="30">
        <v>1864441</v>
      </c>
      <c r="J195" s="30">
        <v>1994798</v>
      </c>
      <c r="K195" s="30">
        <v>1877488</v>
      </c>
      <c r="L195" s="30">
        <v>6.6898044703949395E-7</v>
      </c>
      <c r="M195" s="30">
        <v>1.2791878692055987E-6</v>
      </c>
      <c r="N195" s="30">
        <v>1.0727075836671689E-6</v>
      </c>
      <c r="O195" s="30">
        <v>4.5117350227942879E-6</v>
      </c>
      <c r="P195" s="30">
        <v>5.3262657337889778E-7</v>
      </c>
      <c r="Q195" s="30">
        <v>8.2461811500894391E-3</v>
      </c>
      <c r="R195" s="30">
        <v>1.9826600609431925E-2</v>
      </c>
      <c r="S195" s="30">
        <v>2.4064542596067443E-2</v>
      </c>
      <c r="T195" s="30">
        <v>8.1531880872436138E-2</v>
      </c>
      <c r="U195" s="30">
        <v>8.3890726953775793E-3</v>
      </c>
      <c r="V195" s="30">
        <v>-0.98364252440672151</v>
      </c>
      <c r="W195" s="30">
        <v>-0.96111770256319284</v>
      </c>
      <c r="X195" s="30">
        <v>-0.95300190252645134</v>
      </c>
      <c r="Y195" s="30">
        <v>-0.84922889040188621</v>
      </c>
      <c r="Z195" s="30">
        <v>-0.98336143672609633</v>
      </c>
    </row>
    <row r="196" spans="1:26" x14ac:dyDescent="0.25">
      <c r="A196" s="32" t="s">
        <v>95</v>
      </c>
      <c r="B196" s="30">
        <v>18</v>
      </c>
      <c r="C196" s="30">
        <v>15</v>
      </c>
      <c r="D196" s="30">
        <v>24</v>
      </c>
      <c r="E196" s="30">
        <v>5</v>
      </c>
      <c r="F196" s="30">
        <v>2</v>
      </c>
      <c r="G196" s="30">
        <v>4948620</v>
      </c>
      <c r="H196" s="30">
        <v>5489697</v>
      </c>
      <c r="I196" s="30">
        <v>6432321</v>
      </c>
      <c r="J196" s="30">
        <v>6989461</v>
      </c>
      <c r="K196" s="30">
        <v>7449895</v>
      </c>
      <c r="L196" s="30">
        <v>3.6373776931750669E-6</v>
      </c>
      <c r="M196" s="30">
        <v>2.7323912412652282E-6</v>
      </c>
      <c r="N196" s="30">
        <v>3.7311570737840975E-6</v>
      </c>
      <c r="O196" s="30">
        <v>7.1536274399413633E-7</v>
      </c>
      <c r="P196" s="30">
        <v>2.6846015950560376E-7</v>
      </c>
      <c r="Q196" s="30">
        <v>4.4836101715608569E-2</v>
      </c>
      <c r="R196" s="30">
        <v>4.2350331138551828E-2</v>
      </c>
      <c r="S196" s="30">
        <v>8.3702762711664269E-2</v>
      </c>
      <c r="T196" s="30">
        <v>1.2927370452661503E-2</v>
      </c>
      <c r="U196" s="30">
        <v>4.2283504174754306E-3</v>
      </c>
      <c r="V196" s="30">
        <v>-0.91417581830875061</v>
      </c>
      <c r="W196" s="30">
        <v>-0.91874069614907139</v>
      </c>
      <c r="X196" s="30">
        <v>-0.84552450064403017</v>
      </c>
      <c r="Y196" s="30">
        <v>-0.97447522728725466</v>
      </c>
      <c r="Z196" s="30">
        <v>-0.99157890649926861</v>
      </c>
    </row>
    <row r="197" spans="1:26" x14ac:dyDescent="0.25">
      <c r="A197" s="32" t="s">
        <v>204</v>
      </c>
      <c r="B197" s="30"/>
      <c r="C197" s="30">
        <v>0</v>
      </c>
      <c r="D197" s="30">
        <v>0</v>
      </c>
      <c r="E197" s="30">
        <v>0</v>
      </c>
      <c r="F197" s="30">
        <v>2</v>
      </c>
      <c r="G197" s="30">
        <v>0</v>
      </c>
      <c r="H197" s="30">
        <v>3971928</v>
      </c>
      <c r="I197" s="30">
        <v>5091386</v>
      </c>
      <c r="J197" s="30">
        <v>5294944</v>
      </c>
      <c r="K197" s="30">
        <v>7535658</v>
      </c>
      <c r="L197" s="30" t="e">
        <v>#DIV/0!</v>
      </c>
      <c r="M197" s="30">
        <v>0</v>
      </c>
      <c r="N197" s="30">
        <v>0</v>
      </c>
      <c r="O197" s="30">
        <v>0</v>
      </c>
      <c r="P197" s="30">
        <v>2.6540482596211239E-7</v>
      </c>
      <c r="Q197" s="30" t="e">
        <v>#DIV/0!</v>
      </c>
      <c r="R197" s="30">
        <v>0</v>
      </c>
      <c r="S197" s="30">
        <v>0</v>
      </c>
      <c r="T197" s="30">
        <v>0</v>
      </c>
      <c r="U197" s="30">
        <v>4.1802277430050732E-3</v>
      </c>
      <c r="V197" s="30" t="e">
        <v>#DIV/0!</v>
      </c>
      <c r="W197" s="30">
        <v>-1</v>
      </c>
      <c r="X197" s="30">
        <v>-1</v>
      </c>
      <c r="Y197" s="30">
        <v>-1</v>
      </c>
      <c r="Z197" s="30">
        <v>-0.99167434763697648</v>
      </c>
    </row>
    <row r="198" spans="1:26" x14ac:dyDescent="0.25">
      <c r="A198" s="32" t="s">
        <v>160</v>
      </c>
      <c r="B198" s="30">
        <v>11</v>
      </c>
      <c r="C198" s="30">
        <v>31</v>
      </c>
      <c r="D198" s="30">
        <v>5</v>
      </c>
      <c r="E198" s="30">
        <v>6</v>
      </c>
      <c r="F198" s="30">
        <v>2</v>
      </c>
      <c r="G198" s="30">
        <v>10217078</v>
      </c>
      <c r="H198" s="30">
        <v>13559729</v>
      </c>
      <c r="I198" s="30">
        <v>15879593</v>
      </c>
      <c r="J198" s="30">
        <v>16134396</v>
      </c>
      <c r="K198" s="30">
        <v>16563002</v>
      </c>
      <c r="L198" s="30">
        <v>1.0766287582418378E-6</v>
      </c>
      <c r="M198" s="30">
        <v>2.2861813831235124E-6</v>
      </c>
      <c r="N198" s="30">
        <v>3.1486953097601431E-7</v>
      </c>
      <c r="O198" s="30">
        <v>3.7187633178211322E-7</v>
      </c>
      <c r="P198" s="30">
        <v>1.2075105708494149E-7</v>
      </c>
      <c r="Q198" s="30">
        <v>1.3271054200682664E-2</v>
      </c>
      <c r="R198" s="30">
        <v>3.5434361359334691E-2</v>
      </c>
      <c r="S198" s="30">
        <v>7.063613006699004E-3</v>
      </c>
      <c r="T198" s="30">
        <v>6.7202033428283223E-3</v>
      </c>
      <c r="U198" s="30">
        <v>1.9018754349844384E-3</v>
      </c>
      <c r="V198" s="30">
        <v>-0.97380551996296494</v>
      </c>
      <c r="W198" s="30">
        <v>-0.93155652800083655</v>
      </c>
      <c r="X198" s="30">
        <v>-0.98597186331534747</v>
      </c>
      <c r="Y198" s="30">
        <v>-0.98664931264811451</v>
      </c>
      <c r="Z198" s="30">
        <v>-0.99620346965782713</v>
      </c>
    </row>
    <row r="199" spans="1:26" x14ac:dyDescent="0.25">
      <c r="A199" s="32" t="s">
        <v>170</v>
      </c>
      <c r="B199" s="30">
        <v>0</v>
      </c>
      <c r="C199" s="30">
        <v>0</v>
      </c>
      <c r="D199" s="30">
        <v>4</v>
      </c>
      <c r="E199" s="30">
        <v>24</v>
      </c>
      <c r="F199" s="30">
        <v>0</v>
      </c>
      <c r="G199" s="30">
        <v>2859115</v>
      </c>
      <c r="H199" s="30">
        <v>3860465</v>
      </c>
      <c r="I199" s="30">
        <v>5119811</v>
      </c>
      <c r="J199" s="30">
        <v>4816929</v>
      </c>
      <c r="K199" s="30">
        <v>4817890</v>
      </c>
      <c r="L199" s="30">
        <v>0</v>
      </c>
      <c r="M199" s="30">
        <v>0</v>
      </c>
      <c r="N199" s="30">
        <v>7.812788401759362E-7</v>
      </c>
      <c r="O199" s="30">
        <v>4.9824276006559365E-6</v>
      </c>
      <c r="P199" s="30">
        <v>0</v>
      </c>
      <c r="Q199" s="30">
        <v>0</v>
      </c>
      <c r="R199" s="30">
        <v>0</v>
      </c>
      <c r="S199" s="30">
        <v>1.752678755616353E-2</v>
      </c>
      <c r="T199" s="30">
        <v>9.0037799547152061E-2</v>
      </c>
      <c r="U199" s="30">
        <v>0</v>
      </c>
      <c r="V199" s="30">
        <v>-1</v>
      </c>
      <c r="W199" s="30">
        <v>-1</v>
      </c>
      <c r="X199" s="30">
        <v>-0.96555021888267267</v>
      </c>
      <c r="Y199" s="30">
        <v>-0.83479875728244002</v>
      </c>
      <c r="Z199" s="30">
        <v>-1</v>
      </c>
    </row>
    <row r="200" spans="1:26" x14ac:dyDescent="0.25">
      <c r="A200" s="32" t="s">
        <v>57</v>
      </c>
      <c r="B200" s="30">
        <v>676</v>
      </c>
      <c r="C200" s="30">
        <v>2</v>
      </c>
      <c r="D200" s="30">
        <v>2</v>
      </c>
      <c r="E200" s="30">
        <v>3</v>
      </c>
      <c r="F200" s="30">
        <v>0</v>
      </c>
      <c r="G200" s="30">
        <v>15607090</v>
      </c>
      <c r="H200" s="30">
        <v>21501894</v>
      </c>
      <c r="I200" s="30">
        <v>17300557</v>
      </c>
      <c r="J200" s="30">
        <v>16298240</v>
      </c>
      <c r="K200" s="30">
        <v>18604913</v>
      </c>
      <c r="L200" s="30">
        <v>4.3313647835695188E-5</v>
      </c>
      <c r="M200" s="30">
        <v>9.3015061835948038E-8</v>
      </c>
      <c r="N200" s="30">
        <v>1.156032143936175E-7</v>
      </c>
      <c r="O200" s="30">
        <v>1.8406895468467761E-7</v>
      </c>
      <c r="P200" s="30">
        <v>0</v>
      </c>
      <c r="Q200" s="30">
        <v>0.53390527018383227</v>
      </c>
      <c r="R200" s="30">
        <v>1.4416744608657238E-3</v>
      </c>
      <c r="S200" s="30">
        <v>2.593380078014516E-3</v>
      </c>
      <c r="T200" s="30">
        <v>3.3263230242564813E-3</v>
      </c>
      <c r="U200" s="30">
        <v>0</v>
      </c>
      <c r="V200" s="30">
        <v>-0.30386148276308367</v>
      </c>
      <c r="W200" s="30">
        <v>-0.99712080194457287</v>
      </c>
      <c r="X200" s="30">
        <v>-0.99482665629048406</v>
      </c>
      <c r="Y200" s="30">
        <v>-0.99336940943753937</v>
      </c>
      <c r="Z200" s="30">
        <v>-1</v>
      </c>
    </row>
    <row r="201" spans="1:26" x14ac:dyDescent="0.25">
      <c r="A201" s="32" t="s">
        <v>17</v>
      </c>
      <c r="B201" s="30">
        <v>0</v>
      </c>
      <c r="C201" s="30">
        <v>0</v>
      </c>
      <c r="D201" s="30">
        <v>883</v>
      </c>
      <c r="E201" s="30">
        <v>644</v>
      </c>
      <c r="F201" s="30">
        <v>0</v>
      </c>
      <c r="G201" s="30">
        <v>17968641</v>
      </c>
      <c r="H201" s="30">
        <v>14326568</v>
      </c>
      <c r="I201" s="30">
        <v>17403359</v>
      </c>
      <c r="J201" s="30">
        <v>16440463</v>
      </c>
      <c r="K201" s="30">
        <v>12452129</v>
      </c>
      <c r="L201" s="30">
        <v>0</v>
      </c>
      <c r="M201" s="30">
        <v>0</v>
      </c>
      <c r="N201" s="30">
        <v>5.0737331798993519E-5</v>
      </c>
      <c r="O201" s="30">
        <v>3.9171646199988404E-5</v>
      </c>
      <c r="P201" s="30">
        <v>0</v>
      </c>
      <c r="Q201" s="30">
        <v>0</v>
      </c>
      <c r="R201" s="30">
        <v>0</v>
      </c>
      <c r="S201" s="30">
        <v>1.1382138999275686</v>
      </c>
      <c r="T201" s="30">
        <v>0.70787357311969701</v>
      </c>
      <c r="U201" s="30">
        <v>0</v>
      </c>
      <c r="V201" s="30">
        <v>-1</v>
      </c>
      <c r="W201" s="30">
        <v>-1</v>
      </c>
      <c r="X201" s="30">
        <v>6.4639884687051452E-2</v>
      </c>
      <c r="Y201" s="30">
        <v>-0.17104686873671135</v>
      </c>
      <c r="Z201" s="30">
        <v>-1</v>
      </c>
    </row>
    <row r="202" spans="1:26" x14ac:dyDescent="0.25">
      <c r="A202" s="32" t="s">
        <v>59</v>
      </c>
      <c r="B202" s="30">
        <v>4</v>
      </c>
      <c r="C202" s="30">
        <v>7</v>
      </c>
      <c r="D202" s="30"/>
      <c r="E202" s="30">
        <v>3</v>
      </c>
      <c r="F202" s="30"/>
      <c r="G202" s="30">
        <v>5605920</v>
      </c>
      <c r="H202" s="30">
        <v>6984923</v>
      </c>
      <c r="I202" s="30">
        <v>8635104</v>
      </c>
      <c r="J202" s="30">
        <v>9019715</v>
      </c>
      <c r="K202" s="30">
        <v>8122516</v>
      </c>
      <c r="L202" s="30">
        <v>7.135314096526529E-7</v>
      </c>
      <c r="M202" s="30">
        <v>1.0021585062569766E-6</v>
      </c>
      <c r="N202" s="30">
        <v>0</v>
      </c>
      <c r="O202" s="30">
        <v>3.326047441632025E-7</v>
      </c>
      <c r="P202" s="30">
        <v>0</v>
      </c>
      <c r="Q202" s="30">
        <v>8.7953381691693745E-3</v>
      </c>
      <c r="R202" s="30">
        <v>1.5532821197906804E-2</v>
      </c>
      <c r="S202" s="30">
        <v>0</v>
      </c>
      <c r="T202" s="30">
        <v>6.0105237212991708E-3</v>
      </c>
      <c r="U202" s="30">
        <v>0</v>
      </c>
      <c r="V202" s="30">
        <v>-0.98256269069376989</v>
      </c>
      <c r="W202" s="30">
        <v>-0.96940951415123233</v>
      </c>
      <c r="X202" s="30">
        <v>-1</v>
      </c>
      <c r="Y202" s="30">
        <v>-0.98805077366573502</v>
      </c>
      <c r="Z202" s="30">
        <v>-1</v>
      </c>
    </row>
    <row r="203" spans="1:26" x14ac:dyDescent="0.25">
      <c r="A203" s="32" t="s">
        <v>186</v>
      </c>
      <c r="B203" s="30"/>
      <c r="C203" s="30"/>
      <c r="D203" s="30">
        <v>3</v>
      </c>
      <c r="E203" s="30"/>
      <c r="F203" s="30"/>
      <c r="G203" s="30">
        <v>369488</v>
      </c>
      <c r="H203" s="30">
        <v>490173</v>
      </c>
      <c r="I203" s="30">
        <v>552231</v>
      </c>
      <c r="J203" s="30">
        <v>595939</v>
      </c>
      <c r="K203" s="30">
        <v>557376</v>
      </c>
      <c r="L203" s="30">
        <v>0</v>
      </c>
      <c r="M203" s="30">
        <v>0</v>
      </c>
      <c r="N203" s="30">
        <v>5.4325092216844039E-6</v>
      </c>
      <c r="O203" s="30">
        <v>0</v>
      </c>
      <c r="P203" s="30">
        <v>0</v>
      </c>
      <c r="Q203" s="30">
        <v>0</v>
      </c>
      <c r="R203" s="30">
        <v>0</v>
      </c>
      <c r="S203" s="30">
        <v>0.1218699779504082</v>
      </c>
      <c r="T203" s="30">
        <v>0</v>
      </c>
      <c r="U203" s="30">
        <v>0</v>
      </c>
      <c r="V203" s="30">
        <v>-1</v>
      </c>
      <c r="W203" s="30">
        <v>-1</v>
      </c>
      <c r="X203" s="30">
        <v>-0.78273778540173145</v>
      </c>
      <c r="Y203" s="30">
        <v>-1</v>
      </c>
      <c r="Z203" s="30">
        <v>-1</v>
      </c>
    </row>
    <row r="204" spans="1:26" x14ac:dyDescent="0.25">
      <c r="A204" s="32" t="s">
        <v>201</v>
      </c>
      <c r="B204" s="30">
        <v>185</v>
      </c>
      <c r="C204" s="30">
        <v>185</v>
      </c>
      <c r="D204" s="30">
        <v>149</v>
      </c>
      <c r="E204" s="30">
        <v>186</v>
      </c>
      <c r="F204" s="30"/>
      <c r="G204" s="30">
        <v>903957</v>
      </c>
      <c r="H204" s="30">
        <v>1055227</v>
      </c>
      <c r="I204" s="30">
        <v>1192258</v>
      </c>
      <c r="J204" s="30">
        <v>1180035</v>
      </c>
      <c r="K204" s="30">
        <v>3161567</v>
      </c>
      <c r="L204" s="30">
        <v>2.046557524307019E-4</v>
      </c>
      <c r="M204" s="30">
        <v>1.753177278443406E-4</v>
      </c>
      <c r="N204" s="30">
        <v>1.2497295048554926E-4</v>
      </c>
      <c r="O204" s="30">
        <v>1.5762244340210247E-4</v>
      </c>
      <c r="P204" s="30">
        <v>0</v>
      </c>
      <c r="Q204" s="30">
        <v>2.5226871957466854</v>
      </c>
      <c r="R204" s="30">
        <v>2.7173135810625384</v>
      </c>
      <c r="S204" s="30">
        <v>2.8035756771985727</v>
      </c>
      <c r="T204" s="30">
        <v>2.8484062590899364</v>
      </c>
      <c r="U204" s="30">
        <v>0</v>
      </c>
      <c r="V204" s="30">
        <v>0.43225160541792851</v>
      </c>
      <c r="W204" s="30">
        <v>0.46197705510000853</v>
      </c>
      <c r="X204" s="30">
        <v>0.47417899110316919</v>
      </c>
      <c r="Y204" s="30">
        <v>0.48030434799444588</v>
      </c>
      <c r="Z204" s="30">
        <v>-1</v>
      </c>
    </row>
    <row r="205" spans="1:26" x14ac:dyDescent="0.25">
      <c r="A205" s="32" t="s">
        <v>235</v>
      </c>
      <c r="B205" s="30"/>
      <c r="C205" s="30"/>
      <c r="D205" s="30"/>
      <c r="E205" s="30">
        <v>1</v>
      </c>
      <c r="F205" s="30"/>
      <c r="G205" s="30">
        <v>6966</v>
      </c>
      <c r="H205" s="30">
        <v>14582</v>
      </c>
      <c r="I205" s="30">
        <v>13127</v>
      </c>
      <c r="J205" s="30">
        <v>16666</v>
      </c>
      <c r="K205" s="30">
        <v>16172</v>
      </c>
      <c r="L205" s="30">
        <v>0</v>
      </c>
      <c r="M205" s="30">
        <v>0</v>
      </c>
      <c r="N205" s="30">
        <v>0</v>
      </c>
      <c r="O205" s="30">
        <v>6.0002400096003839E-5</v>
      </c>
      <c r="P205" s="30">
        <v>0</v>
      </c>
      <c r="Q205" s="30">
        <v>0</v>
      </c>
      <c r="R205" s="30">
        <v>0</v>
      </c>
      <c r="S205" s="30">
        <v>0</v>
      </c>
      <c r="T205" s="30">
        <v>1.0843075916408247</v>
      </c>
      <c r="U205" s="30">
        <v>0</v>
      </c>
      <c r="V205" s="30">
        <v>-1</v>
      </c>
      <c r="W205" s="30">
        <v>-1</v>
      </c>
      <c r="X205" s="30">
        <v>-1</v>
      </c>
      <c r="Y205" s="30">
        <v>4.0448728382961659E-2</v>
      </c>
      <c r="Z205" s="30">
        <v>-1</v>
      </c>
    </row>
    <row r="206" spans="1:26" x14ac:dyDescent="0.25">
      <c r="A206" s="32" t="s">
        <v>141</v>
      </c>
      <c r="B206" s="30">
        <v>11</v>
      </c>
      <c r="C206" s="30">
        <v>4</v>
      </c>
      <c r="D206" s="30">
        <v>6</v>
      </c>
      <c r="E206" s="30">
        <v>2</v>
      </c>
      <c r="F206" s="30"/>
      <c r="G206" s="30">
        <v>1912607</v>
      </c>
      <c r="H206" s="30">
        <v>2351503</v>
      </c>
      <c r="I206" s="30">
        <v>3631494</v>
      </c>
      <c r="J206" s="30">
        <v>6336973</v>
      </c>
      <c r="K206" s="30">
        <v>4378398</v>
      </c>
      <c r="L206" s="30">
        <v>5.7513122141663182E-6</v>
      </c>
      <c r="M206" s="30">
        <v>1.7010397180016356E-6</v>
      </c>
      <c r="N206" s="30">
        <v>1.652212560450327E-6</v>
      </c>
      <c r="O206" s="30">
        <v>3.1560809869317734E-7</v>
      </c>
      <c r="P206" s="30">
        <v>0</v>
      </c>
      <c r="Q206" s="30">
        <v>7.0893495585137162E-2</v>
      </c>
      <c r="R206" s="30">
        <v>2.6365036693588688E-2</v>
      </c>
      <c r="S206" s="30">
        <v>3.7064844272650249E-2</v>
      </c>
      <c r="T206" s="30">
        <v>5.703376145767383E-3</v>
      </c>
      <c r="U206" s="30">
        <v>0</v>
      </c>
      <c r="V206" s="30">
        <v>-0.8675993534793095</v>
      </c>
      <c r="W206" s="30">
        <v>-0.94862444500540866</v>
      </c>
      <c r="X206" s="30">
        <v>-0.92851971701220704</v>
      </c>
      <c r="Y206" s="30">
        <v>-0.98865793576705507</v>
      </c>
      <c r="Z206" s="30">
        <v>-1</v>
      </c>
    </row>
    <row r="207" spans="1:26" x14ac:dyDescent="0.25">
      <c r="A207" s="32" t="s">
        <v>75</v>
      </c>
      <c r="B207" s="30">
        <v>0</v>
      </c>
      <c r="C207" s="30">
        <v>0</v>
      </c>
      <c r="D207" s="30">
        <v>0</v>
      </c>
      <c r="E207" s="30">
        <v>2</v>
      </c>
      <c r="F207" s="30"/>
      <c r="G207" s="30">
        <v>179967</v>
      </c>
      <c r="H207" s="30">
        <v>190371</v>
      </c>
      <c r="I207" s="30">
        <v>216719</v>
      </c>
      <c r="J207" s="30">
        <v>301309</v>
      </c>
      <c r="K207" s="30">
        <v>287257</v>
      </c>
      <c r="L207" s="30">
        <v>0</v>
      </c>
      <c r="M207" s="30">
        <v>0</v>
      </c>
      <c r="N207" s="30">
        <v>0</v>
      </c>
      <c r="O207" s="30">
        <v>6.6377041508882911E-6</v>
      </c>
      <c r="P207" s="30">
        <v>0</v>
      </c>
      <c r="Q207" s="30">
        <v>0</v>
      </c>
      <c r="R207" s="30">
        <v>0</v>
      </c>
      <c r="S207" s="30">
        <v>0</v>
      </c>
      <c r="T207" s="30">
        <v>0.11995041848923188</v>
      </c>
      <c r="U207" s="30">
        <v>0</v>
      </c>
      <c r="V207" s="30">
        <v>-1</v>
      </c>
      <c r="W207" s="30">
        <v>-1</v>
      </c>
      <c r="X207" s="30">
        <v>-1</v>
      </c>
      <c r="Y207" s="30">
        <v>-0.78579334136766477</v>
      </c>
      <c r="Z207" s="30">
        <v>-1</v>
      </c>
    </row>
    <row r="208" spans="1:26" x14ac:dyDescent="0.25">
      <c r="A208" s="32" t="s">
        <v>132</v>
      </c>
      <c r="B208" s="30">
        <v>301</v>
      </c>
      <c r="C208" s="30">
        <v>432</v>
      </c>
      <c r="D208" s="30">
        <v>0</v>
      </c>
      <c r="E208" s="30">
        <v>276</v>
      </c>
      <c r="F208" s="30"/>
      <c r="G208" s="30">
        <v>6063062</v>
      </c>
      <c r="H208" s="30">
        <v>7829705</v>
      </c>
      <c r="I208" s="30">
        <v>9088634</v>
      </c>
      <c r="J208" s="30">
        <v>8270534</v>
      </c>
      <c r="K208" s="30">
        <v>1496150</v>
      </c>
      <c r="L208" s="30">
        <v>4.9644882404303307E-5</v>
      </c>
      <c r="M208" s="30">
        <v>5.5174492525580464E-5</v>
      </c>
      <c r="N208" s="30">
        <v>0</v>
      </c>
      <c r="O208" s="30">
        <v>3.3371484840035723E-5</v>
      </c>
      <c r="P208" s="30">
        <v>0</v>
      </c>
      <c r="Q208" s="30">
        <v>0.61194717318338099</v>
      </c>
      <c r="R208" s="30">
        <v>0.85516963807053503</v>
      </c>
      <c r="S208" s="30">
        <v>0</v>
      </c>
      <c r="T208" s="30">
        <v>0.60305844930338615</v>
      </c>
      <c r="U208" s="30">
        <v>0</v>
      </c>
      <c r="V208" s="30">
        <v>-0.24073544919605919</v>
      </c>
      <c r="W208" s="30">
        <v>-7.8068527512176966E-2</v>
      </c>
      <c r="X208" s="30">
        <v>-1</v>
      </c>
      <c r="Y208" s="30">
        <v>-0.24761514520515829</v>
      </c>
      <c r="Z208" s="30">
        <v>-1</v>
      </c>
    </row>
    <row r="209" spans="1:26" x14ac:dyDescent="0.25">
      <c r="A209" s="32" t="s">
        <v>48</v>
      </c>
      <c r="B209" s="30">
        <v>242</v>
      </c>
      <c r="C209" s="30">
        <v>238</v>
      </c>
      <c r="D209" s="30">
        <v>158</v>
      </c>
      <c r="E209" s="30">
        <v>0</v>
      </c>
      <c r="F209" s="30"/>
      <c r="G209" s="30">
        <v>14134431</v>
      </c>
      <c r="H209" s="30">
        <v>15289980</v>
      </c>
      <c r="I209" s="30">
        <v>16544493</v>
      </c>
      <c r="J209" s="30">
        <v>17036379</v>
      </c>
      <c r="K209" s="30">
        <v>7849656</v>
      </c>
      <c r="L209" s="30">
        <v>1.7121311781139261E-5</v>
      </c>
      <c r="M209" s="30">
        <v>1.5565749595486716E-5</v>
      </c>
      <c r="N209" s="30">
        <v>9.5500055516962657E-6</v>
      </c>
      <c r="O209" s="30">
        <v>0</v>
      </c>
      <c r="P209" s="30">
        <v>0</v>
      </c>
      <c r="Q209" s="30">
        <v>0.21104568765684684</v>
      </c>
      <c r="R209" s="30">
        <v>0.24125924568671708</v>
      </c>
      <c r="S209" s="30">
        <v>0.21423966688649884</v>
      </c>
      <c r="T209" s="30">
        <v>0</v>
      </c>
      <c r="U209" s="30">
        <v>0</v>
      </c>
      <c r="V209" s="30">
        <v>-0.65146535790044069</v>
      </c>
      <c r="W209" s="30">
        <v>-0.61126695084032623</v>
      </c>
      <c r="X209" s="30">
        <v>-0.64712128465405361</v>
      </c>
      <c r="Y209" s="30">
        <v>-1</v>
      </c>
      <c r="Z209" s="30">
        <v>-1</v>
      </c>
    </row>
    <row r="210" spans="1:26" x14ac:dyDescent="0.25">
      <c r="A210" s="32" t="s">
        <v>195</v>
      </c>
      <c r="B210" s="30">
        <v>1</v>
      </c>
      <c r="C210" s="30"/>
      <c r="D210" s="30"/>
      <c r="E210" s="30"/>
      <c r="F210" s="30"/>
      <c r="G210" s="30">
        <v>115168</v>
      </c>
      <c r="H210" s="30">
        <v>140831</v>
      </c>
      <c r="I210" s="30">
        <v>113047</v>
      </c>
      <c r="J210" s="30">
        <v>177832</v>
      </c>
      <c r="K210" s="30">
        <v>243045</v>
      </c>
      <c r="L210" s="30">
        <v>8.6829674909697131E-6</v>
      </c>
      <c r="M210" s="30">
        <v>0</v>
      </c>
      <c r="N210" s="30">
        <v>0</v>
      </c>
      <c r="O210" s="30">
        <v>0</v>
      </c>
      <c r="P210" s="30">
        <v>0</v>
      </c>
      <c r="Q210" s="30">
        <v>0.10703051661336042</v>
      </c>
      <c r="R210" s="30">
        <v>0</v>
      </c>
      <c r="S210" s="30">
        <v>0</v>
      </c>
      <c r="T210" s="30">
        <v>0</v>
      </c>
      <c r="U210" s="30">
        <v>0</v>
      </c>
      <c r="V210" s="30">
        <v>-0.80663493009968812</v>
      </c>
      <c r="W210" s="30">
        <v>-1</v>
      </c>
      <c r="X210" s="30">
        <v>-1</v>
      </c>
      <c r="Y210" s="30">
        <v>-1</v>
      </c>
      <c r="Z210" s="30">
        <v>-1</v>
      </c>
    </row>
    <row r="211" spans="1:26" x14ac:dyDescent="0.25">
      <c r="A211" s="32" t="s">
        <v>213</v>
      </c>
      <c r="B211" s="30">
        <v>0</v>
      </c>
      <c r="C211" s="30">
        <v>2</v>
      </c>
      <c r="D211" s="30">
        <v>5</v>
      </c>
      <c r="E211" s="30">
        <v>4</v>
      </c>
      <c r="F211" s="30"/>
      <c r="G211" s="30">
        <v>30657</v>
      </c>
      <c r="H211" s="30">
        <v>36493</v>
      </c>
      <c r="I211" s="30">
        <v>39237</v>
      </c>
      <c r="J211" s="30">
        <v>47525</v>
      </c>
      <c r="K211" s="30">
        <v>24948</v>
      </c>
      <c r="L211" s="30">
        <v>0</v>
      </c>
      <c r="M211" s="30">
        <v>5.4805031101855149E-5</v>
      </c>
      <c r="N211" s="30">
        <v>1.2743074139205343E-4</v>
      </c>
      <c r="O211" s="30">
        <v>8.4166228300894269E-5</v>
      </c>
      <c r="P211" s="30">
        <v>0</v>
      </c>
      <c r="Q211" s="30">
        <v>0</v>
      </c>
      <c r="R211" s="30">
        <v>0.84944322034477682</v>
      </c>
      <c r="S211" s="30">
        <v>2.8587124310188461</v>
      </c>
      <c r="T211" s="30">
        <v>1.520973830387037</v>
      </c>
      <c r="U211" s="30">
        <v>0</v>
      </c>
      <c r="V211" s="30">
        <v>-1</v>
      </c>
      <c r="W211" s="30">
        <v>-8.1406543331001044E-2</v>
      </c>
      <c r="X211" s="30">
        <v>0.4816923946125925</v>
      </c>
      <c r="Y211" s="30">
        <v>0.20665578678659016</v>
      </c>
      <c r="Z211" s="30">
        <v>-1</v>
      </c>
    </row>
    <row r="212" spans="1:26" x14ac:dyDescent="0.25">
      <c r="A212" s="32" t="s">
        <v>196</v>
      </c>
      <c r="B212" s="30"/>
      <c r="C212" s="30"/>
      <c r="D212" s="30"/>
      <c r="E212" s="30">
        <v>1</v>
      </c>
      <c r="F212" s="30"/>
      <c r="G212" s="30">
        <v>253761</v>
      </c>
      <c r="H212" s="30">
        <v>341944</v>
      </c>
      <c r="I212" s="30">
        <v>427909</v>
      </c>
      <c r="J212" s="30">
        <v>492381</v>
      </c>
      <c r="K212" s="30">
        <v>525871</v>
      </c>
      <c r="L212" s="30">
        <v>0</v>
      </c>
      <c r="M212" s="30">
        <v>0</v>
      </c>
      <c r="N212" s="30">
        <v>0</v>
      </c>
      <c r="O212" s="30">
        <v>2.0309475792120329E-6</v>
      </c>
      <c r="P212" s="30">
        <v>0</v>
      </c>
      <c r="Q212" s="30">
        <v>0</v>
      </c>
      <c r="R212" s="30">
        <v>0</v>
      </c>
      <c r="S212" s="30">
        <v>0</v>
      </c>
      <c r="T212" s="30">
        <v>3.6701396524817131E-2</v>
      </c>
      <c r="U212" s="30">
        <v>0</v>
      </c>
      <c r="V212" s="30">
        <v>-1</v>
      </c>
      <c r="W212" s="30">
        <v>-1</v>
      </c>
      <c r="X212" s="30">
        <v>-1</v>
      </c>
      <c r="Y212" s="30">
        <v>-0.92919581926320194</v>
      </c>
      <c r="Z212" s="30">
        <v>-1</v>
      </c>
    </row>
    <row r="213" spans="1:26" x14ac:dyDescent="0.25">
      <c r="A213" s="32" t="s">
        <v>226</v>
      </c>
      <c r="B213" s="30"/>
      <c r="C213" s="30">
        <v>2</v>
      </c>
      <c r="D213" s="30"/>
      <c r="E213" s="30">
        <v>1</v>
      </c>
      <c r="F213" s="30"/>
      <c r="G213" s="30">
        <v>96711</v>
      </c>
      <c r="H213" s="30">
        <v>128443</v>
      </c>
      <c r="I213" s="30">
        <v>183235</v>
      </c>
      <c r="J213" s="30">
        <v>211712</v>
      </c>
      <c r="K213" s="30">
        <v>203205</v>
      </c>
      <c r="L213" s="30">
        <v>0</v>
      </c>
      <c r="M213" s="30">
        <v>1.5571109363686615E-5</v>
      </c>
      <c r="N213" s="30">
        <v>0</v>
      </c>
      <c r="O213" s="30">
        <v>4.7233978234582827E-6</v>
      </c>
      <c r="P213" s="30">
        <v>0</v>
      </c>
      <c r="Q213" s="30">
        <v>0</v>
      </c>
      <c r="R213" s="30">
        <v>0.24134231869422185</v>
      </c>
      <c r="S213" s="30">
        <v>0</v>
      </c>
      <c r="T213" s="30">
        <v>8.5356854227847181E-2</v>
      </c>
      <c r="U213" s="30">
        <v>0</v>
      </c>
      <c r="V213" s="30">
        <v>-1</v>
      </c>
      <c r="W213" s="30">
        <v>-0.61115912176732712</v>
      </c>
      <c r="X213" s="30">
        <v>-1</v>
      </c>
      <c r="Y213" s="30">
        <v>-0.84271190826251818</v>
      </c>
      <c r="Z213" s="30">
        <v>-1</v>
      </c>
    </row>
    <row r="214" spans="1:26" x14ac:dyDescent="0.25">
      <c r="A214" s="32" t="s">
        <v>219</v>
      </c>
      <c r="B214" s="30"/>
      <c r="C214" s="30">
        <v>1</v>
      </c>
      <c r="D214" s="30"/>
      <c r="E214" s="30"/>
      <c r="F214" s="30"/>
      <c r="G214" s="30">
        <v>312123</v>
      </c>
      <c r="H214" s="30">
        <v>572318</v>
      </c>
      <c r="I214" s="30">
        <v>839897</v>
      </c>
      <c r="J214" s="30">
        <v>697784</v>
      </c>
      <c r="K214" s="30">
        <v>662898</v>
      </c>
      <c r="L214" s="30">
        <v>0</v>
      </c>
      <c r="M214" s="30">
        <v>1.7472803581225823E-6</v>
      </c>
      <c r="N214" s="30">
        <v>0</v>
      </c>
      <c r="O214" s="30">
        <v>0</v>
      </c>
      <c r="P214" s="30">
        <v>0</v>
      </c>
      <c r="Q214" s="30">
        <v>0</v>
      </c>
      <c r="R214" s="30">
        <v>2.7081737285951115E-2</v>
      </c>
      <c r="S214" s="30">
        <v>0</v>
      </c>
      <c r="T214" s="30">
        <v>0</v>
      </c>
      <c r="U214" s="30">
        <v>0</v>
      </c>
      <c r="V214" s="30">
        <v>-1</v>
      </c>
      <c r="W214" s="30">
        <v>-0.94726468925927121</v>
      </c>
      <c r="X214" s="30">
        <v>-1</v>
      </c>
      <c r="Y214" s="30">
        <v>-1</v>
      </c>
      <c r="Z214" s="30">
        <v>-1</v>
      </c>
    </row>
    <row r="215" spans="1:26" x14ac:dyDescent="0.25">
      <c r="A215" s="32" t="s">
        <v>134</v>
      </c>
      <c r="B215" s="30">
        <v>1</v>
      </c>
      <c r="C215" s="30">
        <v>1</v>
      </c>
      <c r="D215" s="30">
        <v>20</v>
      </c>
      <c r="E215" s="30"/>
      <c r="F215" s="30"/>
      <c r="G215" s="30">
        <v>4238119</v>
      </c>
      <c r="H215" s="30">
        <v>4598229</v>
      </c>
      <c r="I215" s="30">
        <v>4326183</v>
      </c>
      <c r="J215" s="30">
        <v>3962129</v>
      </c>
      <c r="K215" s="30">
        <v>3520958</v>
      </c>
      <c r="L215" s="30">
        <v>2.3595373324816976E-7</v>
      </c>
      <c r="M215" s="30">
        <v>2.1747503223523666E-7</v>
      </c>
      <c r="N215" s="30">
        <v>4.6230129423558828E-6</v>
      </c>
      <c r="O215" s="30">
        <v>0</v>
      </c>
      <c r="P215" s="30">
        <v>0</v>
      </c>
      <c r="Q215" s="30">
        <v>2.9084814601306602E-3</v>
      </c>
      <c r="R215" s="30">
        <v>3.3707250595872824E-3</v>
      </c>
      <c r="S215" s="30">
        <v>0.10371017560365473</v>
      </c>
      <c r="T215" s="30">
        <v>0</v>
      </c>
      <c r="U215" s="30">
        <v>0</v>
      </c>
      <c r="V215" s="30">
        <v>-0.99419990654402246</v>
      </c>
      <c r="W215" s="30">
        <v>-0.99328119711806995</v>
      </c>
      <c r="X215" s="30">
        <v>-0.81206991129363781</v>
      </c>
      <c r="Y215" s="30">
        <v>-1</v>
      </c>
      <c r="Z215" s="30">
        <v>-1</v>
      </c>
    </row>
    <row r="216" spans="1:26" x14ac:dyDescent="0.25">
      <c r="A216" s="32" t="s">
        <v>193</v>
      </c>
      <c r="B216" s="30"/>
      <c r="C216" s="30"/>
      <c r="D216" s="30">
        <v>298</v>
      </c>
      <c r="E216" s="30"/>
      <c r="F216" s="30"/>
      <c r="G216" s="30">
        <v>569503</v>
      </c>
      <c r="H216" s="30">
        <v>295048</v>
      </c>
      <c r="I216" s="30">
        <v>1300849</v>
      </c>
      <c r="J216" s="30">
        <v>2083553</v>
      </c>
      <c r="K216" s="30">
        <v>1966746</v>
      </c>
      <c r="L216" s="30">
        <v>0</v>
      </c>
      <c r="M216" s="30">
        <v>0</v>
      </c>
      <c r="N216" s="30">
        <v>2.290811616106097E-4</v>
      </c>
      <c r="O216" s="30">
        <v>0</v>
      </c>
      <c r="P216" s="30">
        <v>0</v>
      </c>
      <c r="Q216" s="30">
        <v>0</v>
      </c>
      <c r="R216" s="30">
        <v>0</v>
      </c>
      <c r="S216" s="30">
        <v>5.1390830599791624</v>
      </c>
      <c r="T216" s="30">
        <v>0</v>
      </c>
      <c r="U216" s="30">
        <v>0</v>
      </c>
      <c r="V216" s="30">
        <v>-1</v>
      </c>
      <c r="W216" s="30">
        <v>-1</v>
      </c>
      <c r="X216" s="30">
        <v>0.67421844916253848</v>
      </c>
      <c r="Y216" s="30">
        <v>-1</v>
      </c>
      <c r="Z216" s="30">
        <v>-1</v>
      </c>
    </row>
    <row r="217" spans="1:26" x14ac:dyDescent="0.25">
      <c r="A217" s="32" t="s">
        <v>167</v>
      </c>
      <c r="B217" s="30">
        <v>59</v>
      </c>
      <c r="C217" s="30">
        <v>161</v>
      </c>
      <c r="D217" s="30">
        <v>186</v>
      </c>
      <c r="E217" s="30">
        <v>285</v>
      </c>
      <c r="F217" s="30"/>
      <c r="G217" s="30">
        <v>2242357</v>
      </c>
      <c r="H217" s="30">
        <v>2938864</v>
      </c>
      <c r="I217" s="30">
        <v>3985448</v>
      </c>
      <c r="J217" s="30">
        <v>5065977</v>
      </c>
      <c r="K217" s="30">
        <v>2956110</v>
      </c>
      <c r="L217" s="30">
        <v>2.6311599803242748E-5</v>
      </c>
      <c r="M217" s="30">
        <v>5.4783072643034858E-5</v>
      </c>
      <c r="N217" s="30">
        <v>4.6669784676653667E-5</v>
      </c>
      <c r="O217" s="30">
        <v>5.6257657703538726E-5</v>
      </c>
      <c r="P217" s="30">
        <v>0</v>
      </c>
      <c r="Q217" s="30">
        <v>0.32432968599661971</v>
      </c>
      <c r="R217" s="30">
        <v>0.84910287816087304</v>
      </c>
      <c r="S217" s="30">
        <v>1.046964744540382</v>
      </c>
      <c r="T217" s="30">
        <v>1.0166360885277421</v>
      </c>
      <c r="U217" s="30">
        <v>0</v>
      </c>
      <c r="V217" s="30">
        <v>-0.5101979674305247</v>
      </c>
      <c r="W217" s="30">
        <v>-8.1605584860270169E-2</v>
      </c>
      <c r="X217" s="30">
        <v>2.2943602065275095E-2</v>
      </c>
      <c r="Y217" s="30">
        <v>8.2494251800717313E-3</v>
      </c>
      <c r="Z217" s="30">
        <v>-1</v>
      </c>
    </row>
    <row r="218" spans="1:26" x14ac:dyDescent="0.25">
      <c r="A218" s="32" t="s">
        <v>214</v>
      </c>
      <c r="B218" s="30"/>
      <c r="C218" s="30"/>
      <c r="D218" s="30"/>
      <c r="E218" s="30">
        <v>18</v>
      </c>
      <c r="F218" s="30"/>
      <c r="G218" s="30">
        <v>109465</v>
      </c>
      <c r="H218" s="30">
        <v>168645</v>
      </c>
      <c r="I218" s="30">
        <v>153908</v>
      </c>
      <c r="J218" s="30">
        <v>144059</v>
      </c>
      <c r="K218" s="30">
        <v>86300</v>
      </c>
      <c r="L218" s="30">
        <v>0</v>
      </c>
      <c r="M218" s="30">
        <v>0</v>
      </c>
      <c r="N218" s="30">
        <v>0</v>
      </c>
      <c r="O218" s="30">
        <v>1.2494880569766554E-4</v>
      </c>
      <c r="P218" s="30">
        <v>0</v>
      </c>
      <c r="Q218" s="30">
        <v>0</v>
      </c>
      <c r="R218" s="30">
        <v>0</v>
      </c>
      <c r="S218" s="30">
        <v>0</v>
      </c>
      <c r="T218" s="30">
        <v>2.2579586544481614</v>
      </c>
      <c r="U218" s="30">
        <v>0</v>
      </c>
      <c r="V218" s="30">
        <v>-1</v>
      </c>
      <c r="W218" s="30">
        <v>-1</v>
      </c>
      <c r="X218" s="30">
        <v>-1</v>
      </c>
      <c r="Y218" s="30">
        <v>0.38611866750691975</v>
      </c>
      <c r="Z218" s="30">
        <v>-1</v>
      </c>
    </row>
    <row r="219" spans="1:26" x14ac:dyDescent="0.25">
      <c r="A219" s="32" t="s">
        <v>158</v>
      </c>
      <c r="B219" s="30">
        <v>24</v>
      </c>
      <c r="C219" s="30">
        <v>35</v>
      </c>
      <c r="D219" s="30"/>
      <c r="E219" s="30"/>
      <c r="F219" s="30"/>
      <c r="G219" s="30">
        <v>3376044</v>
      </c>
      <c r="H219" s="30">
        <v>4541758</v>
      </c>
      <c r="I219" s="30">
        <v>4939758</v>
      </c>
      <c r="J219" s="30">
        <v>5265519</v>
      </c>
      <c r="K219" s="30">
        <v>3947850</v>
      </c>
      <c r="L219" s="30">
        <v>7.1089120876386681E-6</v>
      </c>
      <c r="M219" s="30">
        <v>7.7062670446113593E-6</v>
      </c>
      <c r="N219" s="30">
        <v>0</v>
      </c>
      <c r="O219" s="30">
        <v>0</v>
      </c>
      <c r="P219" s="30">
        <v>0</v>
      </c>
      <c r="Q219" s="30">
        <v>8.7627937578971082E-2</v>
      </c>
      <c r="R219" s="30">
        <v>0.11944225126057662</v>
      </c>
      <c r="S219" s="30">
        <v>0</v>
      </c>
      <c r="T219" s="30">
        <v>0</v>
      </c>
      <c r="U219" s="30">
        <v>0</v>
      </c>
      <c r="V219" s="30">
        <v>-0.83886412889682049</v>
      </c>
      <c r="W219" s="30">
        <v>-0.78660399654189284</v>
      </c>
      <c r="X219" s="30">
        <v>-1</v>
      </c>
      <c r="Y219" s="30">
        <v>-1</v>
      </c>
      <c r="Z219" s="30">
        <v>-1</v>
      </c>
    </row>
    <row r="220" spans="1:26" x14ac:dyDescent="0.25">
      <c r="A220" s="32" t="s">
        <v>10</v>
      </c>
      <c r="B220" s="30">
        <v>1439234</v>
      </c>
      <c r="C220" s="30">
        <v>1449680</v>
      </c>
      <c r="D220" s="30">
        <v>1129569</v>
      </c>
      <c r="E220" s="30">
        <v>1326834</v>
      </c>
      <c r="F220" s="30">
        <v>1522960</v>
      </c>
      <c r="G220" s="30">
        <v>17740704282</v>
      </c>
      <c r="H220" s="30">
        <v>22469120497</v>
      </c>
      <c r="I220" s="30">
        <v>25340140901</v>
      </c>
      <c r="J220" s="30">
        <v>23977310520</v>
      </c>
      <c r="K220" s="30">
        <v>23987203776</v>
      </c>
      <c r="L220" s="30">
        <v>8.1126091564485956E-5</v>
      </c>
      <c r="M220" s="30">
        <v>6.4518769223457427E-5</v>
      </c>
      <c r="N220" s="30">
        <v>4.4576271474300432E-5</v>
      </c>
      <c r="O220" s="30">
        <v>5.5337065384929583E-5</v>
      </c>
      <c r="P220" s="30">
        <v>6.349051828724498E-5</v>
      </c>
      <c r="Q220" s="30"/>
      <c r="R220" s="30"/>
      <c r="S220" s="30"/>
      <c r="T220" s="30"/>
      <c r="U220" s="30"/>
      <c r="V220" s="30"/>
      <c r="W220" s="30"/>
      <c r="X220" s="30"/>
      <c r="Y220" s="30"/>
      <c r="Z220" s="30"/>
    </row>
  </sheetData>
  <sortState xmlns:xlrd2="http://schemas.microsoft.com/office/spreadsheetml/2017/richdata2" ref="A2:Z220">
    <sortCondition descending="1" ref="Z2:Z220"/>
  </sortState>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E4F2F-F08E-47FD-B989-2854E5D4656B}">
  <dimension ref="C2:C13"/>
  <sheetViews>
    <sheetView workbookViewId="0">
      <selection activeCell="C14" sqref="C14"/>
    </sheetView>
  </sheetViews>
  <sheetFormatPr baseColWidth="10" defaultRowHeight="15" x14ac:dyDescent="0.25"/>
  <sheetData>
    <row r="2" spans="3:3" x14ac:dyDescent="0.25">
      <c r="C2" t="s">
        <v>289</v>
      </c>
    </row>
    <row r="5" spans="3:3" x14ac:dyDescent="0.25">
      <c r="C5" t="s">
        <v>290</v>
      </c>
    </row>
    <row r="8" spans="3:3" x14ac:dyDescent="0.25">
      <c r="C8" t="s">
        <v>291</v>
      </c>
    </row>
    <row r="9" spans="3:3" x14ac:dyDescent="0.25">
      <c r="C9" t="s">
        <v>292</v>
      </c>
    </row>
    <row r="13" spans="3:3" x14ac:dyDescent="0.25">
      <c r="C13" t="s">
        <v>293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2</vt:i4>
      </vt:variant>
    </vt:vector>
  </HeadingPairs>
  <TitlesOfParts>
    <vt:vector size="11" baseType="lpstr">
      <vt:lpstr>EXPORTACIONES JENGIBRE</vt:lpstr>
      <vt:lpstr>EXPORTACIONES TOTALES</vt:lpstr>
      <vt:lpstr>EXPO ANALISIS</vt:lpstr>
      <vt:lpstr>INTERPRETACION X</vt:lpstr>
      <vt:lpstr>IMPORTACIONES JENGIBRE</vt:lpstr>
      <vt:lpstr>IMPORTACIONES TOTALES</vt:lpstr>
      <vt:lpstr>IMPO ANALISIS</vt:lpstr>
      <vt:lpstr>INTERPRETACION M</vt:lpstr>
      <vt:lpstr>Hoja1</vt:lpstr>
      <vt:lpstr>EXPOTOTAL</vt:lpstr>
      <vt:lpstr>IMPOTOTAL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lastModifiedBy>Alumno</cp:lastModifiedBy>
  <dcterms:created xsi:type="dcterms:W3CDTF">2025-05-08T22:22:46Z</dcterms:created>
  <dcterms:modified xsi:type="dcterms:W3CDTF">2025-05-08T23:01:55Z</dcterms:modified>
</cp:coreProperties>
</file>