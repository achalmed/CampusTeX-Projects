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paldo\Promperu\Ayacucho 91688\Grupos\Joyas Andinas - Grupo 4\"/>
    </mc:Choice>
  </mc:AlternateContent>
  <xr:revisionPtr revIDLastSave="0" documentId="8_{15EE1224-52A4-4758-9645-D52A1208A6A6}" xr6:coauthVersionLast="47" xr6:coauthVersionMax="47" xr10:uidLastSave="{00000000-0000-0000-0000-000000000000}"/>
  <bookViews>
    <workbookView xWindow="-108" yWindow="-108" windowWidth="23256" windowHeight="12456"/>
  </bookViews>
  <sheets>
    <sheet name="Trade_Map_-_Lista_de_los_import" sheetId="1" r:id="rId1"/>
  </sheets>
  <definedNames>
    <definedName name="_xlnm._FilterDatabase" localSheetId="0" hidden="1">'Trade_Map_-_Lista_de_los_import'!$A$2:$P$146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1" l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3" i="1"/>
  <c r="M141" i="1"/>
  <c r="M6" i="1"/>
  <c r="G7" i="1"/>
  <c r="H7" i="1"/>
  <c r="I7" i="1"/>
  <c r="J7" i="1"/>
  <c r="K7" i="1"/>
  <c r="G8" i="1"/>
  <c r="H8" i="1"/>
  <c r="I8" i="1"/>
  <c r="J8" i="1"/>
  <c r="K8" i="1"/>
  <c r="G9" i="1"/>
  <c r="H9" i="1"/>
  <c r="I9" i="1"/>
  <c r="J9" i="1"/>
  <c r="K9" i="1"/>
  <c r="G10" i="1"/>
  <c r="H10" i="1"/>
  <c r="I10" i="1"/>
  <c r="J10" i="1"/>
  <c r="K10" i="1"/>
  <c r="G11" i="1"/>
  <c r="H11" i="1"/>
  <c r="I11" i="1"/>
  <c r="J11" i="1"/>
  <c r="K11" i="1"/>
  <c r="G12" i="1"/>
  <c r="H12" i="1"/>
  <c r="I12" i="1"/>
  <c r="J12" i="1"/>
  <c r="K12" i="1"/>
  <c r="G13" i="1"/>
  <c r="H13" i="1"/>
  <c r="I13" i="1"/>
  <c r="J13" i="1"/>
  <c r="K13" i="1"/>
  <c r="G14" i="1"/>
  <c r="H14" i="1"/>
  <c r="I14" i="1"/>
  <c r="J14" i="1"/>
  <c r="K14" i="1"/>
  <c r="G15" i="1"/>
  <c r="H15" i="1"/>
  <c r="I15" i="1"/>
  <c r="J15" i="1"/>
  <c r="K15" i="1"/>
  <c r="G16" i="1"/>
  <c r="H16" i="1"/>
  <c r="I16" i="1"/>
  <c r="J16" i="1"/>
  <c r="K16" i="1"/>
  <c r="G17" i="1"/>
  <c r="H17" i="1"/>
  <c r="I17" i="1"/>
  <c r="J17" i="1"/>
  <c r="K17" i="1"/>
  <c r="G18" i="1"/>
  <c r="H18" i="1"/>
  <c r="I18" i="1"/>
  <c r="J18" i="1"/>
  <c r="K18" i="1"/>
  <c r="G19" i="1"/>
  <c r="H19" i="1"/>
  <c r="I19" i="1"/>
  <c r="J19" i="1"/>
  <c r="K19" i="1"/>
  <c r="G20" i="1"/>
  <c r="H20" i="1"/>
  <c r="I20" i="1"/>
  <c r="J20" i="1"/>
  <c r="K20" i="1"/>
  <c r="G21" i="1"/>
  <c r="H21" i="1"/>
  <c r="I21" i="1"/>
  <c r="J21" i="1"/>
  <c r="K21" i="1"/>
  <c r="G22" i="1"/>
  <c r="H22" i="1"/>
  <c r="I22" i="1"/>
  <c r="J22" i="1"/>
  <c r="K22" i="1"/>
  <c r="G23" i="1"/>
  <c r="H23" i="1"/>
  <c r="I23" i="1"/>
  <c r="J23" i="1"/>
  <c r="K23" i="1"/>
  <c r="G24" i="1"/>
  <c r="H24" i="1"/>
  <c r="I24" i="1"/>
  <c r="J24" i="1"/>
  <c r="K24" i="1"/>
  <c r="G25" i="1"/>
  <c r="H25" i="1"/>
  <c r="I25" i="1"/>
  <c r="J25" i="1"/>
  <c r="K25" i="1"/>
  <c r="G26" i="1"/>
  <c r="H26" i="1"/>
  <c r="I26" i="1"/>
  <c r="J26" i="1"/>
  <c r="K26" i="1"/>
  <c r="G27" i="1"/>
  <c r="H27" i="1"/>
  <c r="I27" i="1"/>
  <c r="J27" i="1"/>
  <c r="K27" i="1"/>
  <c r="G28" i="1"/>
  <c r="H28" i="1"/>
  <c r="I28" i="1"/>
  <c r="J28" i="1"/>
  <c r="K28" i="1"/>
  <c r="G29" i="1"/>
  <c r="H29" i="1"/>
  <c r="I29" i="1"/>
  <c r="J29" i="1"/>
  <c r="K29" i="1"/>
  <c r="G30" i="1"/>
  <c r="H30" i="1"/>
  <c r="I30" i="1"/>
  <c r="J30" i="1"/>
  <c r="K30" i="1"/>
  <c r="G31" i="1"/>
  <c r="H31" i="1"/>
  <c r="I31" i="1"/>
  <c r="J31" i="1"/>
  <c r="K31" i="1"/>
  <c r="G32" i="1"/>
  <c r="H32" i="1"/>
  <c r="I32" i="1"/>
  <c r="J32" i="1"/>
  <c r="K32" i="1"/>
  <c r="G33" i="1"/>
  <c r="H33" i="1"/>
  <c r="I33" i="1"/>
  <c r="J33" i="1"/>
  <c r="K33" i="1"/>
  <c r="G34" i="1"/>
  <c r="H34" i="1"/>
  <c r="I34" i="1"/>
  <c r="J34" i="1"/>
  <c r="K34" i="1"/>
  <c r="G35" i="1"/>
  <c r="H35" i="1"/>
  <c r="I35" i="1"/>
  <c r="J35" i="1"/>
  <c r="K35" i="1"/>
  <c r="G36" i="1"/>
  <c r="H36" i="1"/>
  <c r="I36" i="1"/>
  <c r="J36" i="1"/>
  <c r="K36" i="1"/>
  <c r="G37" i="1"/>
  <c r="H37" i="1"/>
  <c r="I37" i="1"/>
  <c r="J37" i="1"/>
  <c r="K37" i="1"/>
  <c r="G38" i="1"/>
  <c r="H38" i="1"/>
  <c r="I38" i="1"/>
  <c r="J38" i="1"/>
  <c r="K38" i="1"/>
  <c r="G39" i="1"/>
  <c r="H39" i="1"/>
  <c r="I39" i="1"/>
  <c r="J39" i="1"/>
  <c r="K39" i="1"/>
  <c r="G40" i="1"/>
  <c r="H40" i="1"/>
  <c r="I40" i="1"/>
  <c r="J40" i="1"/>
  <c r="K40" i="1"/>
  <c r="G41" i="1"/>
  <c r="H41" i="1"/>
  <c r="I41" i="1"/>
  <c r="J41" i="1"/>
  <c r="K41" i="1"/>
  <c r="G42" i="1"/>
  <c r="H42" i="1"/>
  <c r="I42" i="1"/>
  <c r="J42" i="1"/>
  <c r="K42" i="1"/>
  <c r="H43" i="1"/>
  <c r="I43" i="1"/>
  <c r="J43" i="1"/>
  <c r="K43" i="1"/>
  <c r="G44" i="1"/>
  <c r="H44" i="1"/>
  <c r="I44" i="1"/>
  <c r="J44" i="1"/>
  <c r="K44" i="1"/>
  <c r="G45" i="1"/>
  <c r="H45" i="1"/>
  <c r="I45" i="1"/>
  <c r="J45" i="1"/>
  <c r="K45" i="1"/>
  <c r="G46" i="1"/>
  <c r="H46" i="1"/>
  <c r="I46" i="1"/>
  <c r="J46" i="1"/>
  <c r="K46" i="1"/>
  <c r="G47" i="1"/>
  <c r="H47" i="1"/>
  <c r="I47" i="1"/>
  <c r="J47" i="1"/>
  <c r="K47" i="1"/>
  <c r="G48" i="1"/>
  <c r="H48" i="1"/>
  <c r="I48" i="1"/>
  <c r="J48" i="1"/>
  <c r="K48" i="1"/>
  <c r="G49" i="1"/>
  <c r="H49" i="1"/>
  <c r="I49" i="1"/>
  <c r="J49" i="1"/>
  <c r="K49" i="1"/>
  <c r="G50" i="1"/>
  <c r="H50" i="1"/>
  <c r="I50" i="1"/>
  <c r="J50" i="1"/>
  <c r="K50" i="1"/>
  <c r="G51" i="1"/>
  <c r="H51" i="1"/>
  <c r="I51" i="1"/>
  <c r="J51" i="1"/>
  <c r="K51" i="1"/>
  <c r="G52" i="1"/>
  <c r="H52" i="1"/>
  <c r="I52" i="1"/>
  <c r="J52" i="1"/>
  <c r="K52" i="1"/>
  <c r="G53" i="1"/>
  <c r="H53" i="1"/>
  <c r="I53" i="1"/>
  <c r="J53" i="1"/>
  <c r="K53" i="1"/>
  <c r="G54" i="1"/>
  <c r="H54" i="1"/>
  <c r="I54" i="1"/>
  <c r="J54" i="1"/>
  <c r="K54" i="1"/>
  <c r="G55" i="1"/>
  <c r="H55" i="1"/>
  <c r="I55" i="1"/>
  <c r="J55" i="1"/>
  <c r="K55" i="1"/>
  <c r="G56" i="1"/>
  <c r="H56" i="1"/>
  <c r="I56" i="1"/>
  <c r="J56" i="1"/>
  <c r="K56" i="1"/>
  <c r="G57" i="1"/>
  <c r="H57" i="1"/>
  <c r="I57" i="1"/>
  <c r="J57" i="1"/>
  <c r="K57" i="1"/>
  <c r="G58" i="1"/>
  <c r="H58" i="1"/>
  <c r="I58" i="1"/>
  <c r="J58" i="1"/>
  <c r="K58" i="1"/>
  <c r="G59" i="1"/>
  <c r="H59" i="1"/>
  <c r="I59" i="1"/>
  <c r="J59" i="1"/>
  <c r="K59" i="1"/>
  <c r="G60" i="1"/>
  <c r="H60" i="1"/>
  <c r="I60" i="1"/>
  <c r="J60" i="1"/>
  <c r="K60" i="1"/>
  <c r="G61" i="1"/>
  <c r="H61" i="1"/>
  <c r="I61" i="1"/>
  <c r="J61" i="1"/>
  <c r="K61" i="1"/>
  <c r="G62" i="1"/>
  <c r="H62" i="1"/>
  <c r="I62" i="1"/>
  <c r="J62" i="1"/>
  <c r="K62" i="1"/>
  <c r="G63" i="1"/>
  <c r="H63" i="1"/>
  <c r="I63" i="1"/>
  <c r="J63" i="1"/>
  <c r="K63" i="1"/>
  <c r="G64" i="1"/>
  <c r="H64" i="1"/>
  <c r="I64" i="1"/>
  <c r="J64" i="1"/>
  <c r="K64" i="1"/>
  <c r="G65" i="1"/>
  <c r="H65" i="1"/>
  <c r="I65" i="1"/>
  <c r="J65" i="1"/>
  <c r="K65" i="1"/>
  <c r="G66" i="1"/>
  <c r="H66" i="1"/>
  <c r="I66" i="1"/>
  <c r="J66" i="1"/>
  <c r="K66" i="1"/>
  <c r="G67" i="1"/>
  <c r="H67" i="1"/>
  <c r="I67" i="1"/>
  <c r="J67" i="1"/>
  <c r="K67" i="1"/>
  <c r="G68" i="1"/>
  <c r="H68" i="1"/>
  <c r="I68" i="1"/>
  <c r="J68" i="1"/>
  <c r="K68" i="1"/>
  <c r="G69" i="1"/>
  <c r="H69" i="1"/>
  <c r="I69" i="1"/>
  <c r="J69" i="1"/>
  <c r="K69" i="1"/>
  <c r="G70" i="1"/>
  <c r="H70" i="1"/>
  <c r="I70" i="1"/>
  <c r="J70" i="1"/>
  <c r="K70" i="1"/>
  <c r="G71" i="1"/>
  <c r="H71" i="1"/>
  <c r="I71" i="1"/>
  <c r="J71" i="1"/>
  <c r="K71" i="1"/>
  <c r="G72" i="1"/>
  <c r="H72" i="1"/>
  <c r="I72" i="1"/>
  <c r="J72" i="1"/>
  <c r="K72" i="1"/>
  <c r="G73" i="1"/>
  <c r="H73" i="1"/>
  <c r="I73" i="1"/>
  <c r="J73" i="1"/>
  <c r="K73" i="1"/>
  <c r="G74" i="1"/>
  <c r="H74" i="1"/>
  <c r="I74" i="1"/>
  <c r="J74" i="1"/>
  <c r="K74" i="1"/>
  <c r="G75" i="1"/>
  <c r="H75" i="1"/>
  <c r="I75" i="1"/>
  <c r="J75" i="1"/>
  <c r="K75" i="1"/>
  <c r="G76" i="1"/>
  <c r="H76" i="1"/>
  <c r="I76" i="1"/>
  <c r="J76" i="1"/>
  <c r="K76" i="1"/>
  <c r="G77" i="1"/>
  <c r="H77" i="1"/>
  <c r="I77" i="1"/>
  <c r="J77" i="1"/>
  <c r="K77" i="1"/>
  <c r="G78" i="1"/>
  <c r="H78" i="1"/>
  <c r="I78" i="1"/>
  <c r="J78" i="1"/>
  <c r="K78" i="1"/>
  <c r="G79" i="1"/>
  <c r="H79" i="1"/>
  <c r="I79" i="1"/>
  <c r="J79" i="1"/>
  <c r="K79" i="1"/>
  <c r="G80" i="1"/>
  <c r="H80" i="1"/>
  <c r="I80" i="1"/>
  <c r="J80" i="1"/>
  <c r="K80" i="1"/>
  <c r="G81" i="1"/>
  <c r="H81" i="1"/>
  <c r="I81" i="1"/>
  <c r="J81" i="1"/>
  <c r="K81" i="1"/>
  <c r="G82" i="1"/>
  <c r="H82" i="1"/>
  <c r="I82" i="1"/>
  <c r="J82" i="1"/>
  <c r="K82" i="1"/>
  <c r="G83" i="1"/>
  <c r="H83" i="1"/>
  <c r="I83" i="1"/>
  <c r="J83" i="1"/>
  <c r="K83" i="1"/>
  <c r="G84" i="1"/>
  <c r="H84" i="1"/>
  <c r="I84" i="1"/>
  <c r="J84" i="1"/>
  <c r="K84" i="1"/>
  <c r="G85" i="1"/>
  <c r="H85" i="1"/>
  <c r="I85" i="1"/>
  <c r="J85" i="1"/>
  <c r="K85" i="1"/>
  <c r="G86" i="1"/>
  <c r="H86" i="1"/>
  <c r="I86" i="1"/>
  <c r="J86" i="1"/>
  <c r="K86" i="1"/>
  <c r="G87" i="1"/>
  <c r="H87" i="1"/>
  <c r="I87" i="1"/>
  <c r="J87" i="1"/>
  <c r="K87" i="1"/>
  <c r="G88" i="1"/>
  <c r="H88" i="1"/>
  <c r="I88" i="1"/>
  <c r="J88" i="1"/>
  <c r="K88" i="1"/>
  <c r="G89" i="1"/>
  <c r="H89" i="1"/>
  <c r="I89" i="1"/>
  <c r="J89" i="1"/>
  <c r="K89" i="1"/>
  <c r="G90" i="1"/>
  <c r="H90" i="1"/>
  <c r="I90" i="1"/>
  <c r="J90" i="1"/>
  <c r="K90" i="1"/>
  <c r="G91" i="1"/>
  <c r="H91" i="1"/>
  <c r="I91" i="1"/>
  <c r="J91" i="1"/>
  <c r="K91" i="1"/>
  <c r="G92" i="1"/>
  <c r="H92" i="1"/>
  <c r="I92" i="1"/>
  <c r="J92" i="1"/>
  <c r="K92" i="1"/>
  <c r="H93" i="1"/>
  <c r="I93" i="1"/>
  <c r="J93" i="1"/>
  <c r="K93" i="1"/>
  <c r="G94" i="1"/>
  <c r="H94" i="1"/>
  <c r="I94" i="1"/>
  <c r="J94" i="1"/>
  <c r="K94" i="1"/>
  <c r="G95" i="1"/>
  <c r="I95" i="1"/>
  <c r="J95" i="1"/>
  <c r="K95" i="1"/>
  <c r="G96" i="1"/>
  <c r="H96" i="1"/>
  <c r="I96" i="1"/>
  <c r="J96" i="1"/>
  <c r="K96" i="1"/>
  <c r="G97" i="1"/>
  <c r="H97" i="1"/>
  <c r="I97" i="1"/>
  <c r="J97" i="1"/>
  <c r="K97" i="1"/>
  <c r="G98" i="1"/>
  <c r="H98" i="1"/>
  <c r="I98" i="1"/>
  <c r="J98" i="1"/>
  <c r="K98" i="1"/>
  <c r="G99" i="1"/>
  <c r="H99" i="1"/>
  <c r="I99" i="1"/>
  <c r="J99" i="1"/>
  <c r="K99" i="1"/>
  <c r="G100" i="1"/>
  <c r="H100" i="1"/>
  <c r="I100" i="1"/>
  <c r="J100" i="1"/>
  <c r="K100" i="1"/>
  <c r="G101" i="1"/>
  <c r="H101" i="1"/>
  <c r="I101" i="1"/>
  <c r="J101" i="1"/>
  <c r="K101" i="1"/>
  <c r="G102" i="1"/>
  <c r="H102" i="1"/>
  <c r="I102" i="1"/>
  <c r="J102" i="1"/>
  <c r="K102" i="1"/>
  <c r="G103" i="1"/>
  <c r="H103" i="1"/>
  <c r="I103" i="1"/>
  <c r="J103" i="1"/>
  <c r="K103" i="1"/>
  <c r="G104" i="1"/>
  <c r="H104" i="1"/>
  <c r="I104" i="1"/>
  <c r="J104" i="1"/>
  <c r="K104" i="1"/>
  <c r="G105" i="1"/>
  <c r="H105" i="1"/>
  <c r="I105" i="1"/>
  <c r="J105" i="1"/>
  <c r="K105" i="1"/>
  <c r="G106" i="1"/>
  <c r="H106" i="1"/>
  <c r="I106" i="1"/>
  <c r="J106" i="1"/>
  <c r="K106" i="1"/>
  <c r="G107" i="1"/>
  <c r="H107" i="1"/>
  <c r="I107" i="1"/>
  <c r="J107" i="1"/>
  <c r="K107" i="1"/>
  <c r="H108" i="1"/>
  <c r="I108" i="1"/>
  <c r="J108" i="1"/>
  <c r="K108" i="1"/>
  <c r="G109" i="1"/>
  <c r="H109" i="1"/>
  <c r="I109" i="1"/>
  <c r="J109" i="1"/>
  <c r="K109" i="1"/>
  <c r="G110" i="1"/>
  <c r="H110" i="1"/>
  <c r="I110" i="1"/>
  <c r="J110" i="1"/>
  <c r="K110" i="1"/>
  <c r="G111" i="1"/>
  <c r="H111" i="1"/>
  <c r="I111" i="1"/>
  <c r="J111" i="1"/>
  <c r="K111" i="1"/>
  <c r="G112" i="1"/>
  <c r="H112" i="1"/>
  <c r="I112" i="1"/>
  <c r="J112" i="1"/>
  <c r="K112" i="1"/>
  <c r="G113" i="1"/>
  <c r="H113" i="1"/>
  <c r="I113" i="1"/>
  <c r="J113" i="1"/>
  <c r="K113" i="1"/>
  <c r="G114" i="1"/>
  <c r="H114" i="1"/>
  <c r="I114" i="1"/>
  <c r="J114" i="1"/>
  <c r="K114" i="1"/>
  <c r="G115" i="1"/>
  <c r="H115" i="1"/>
  <c r="I115" i="1"/>
  <c r="J115" i="1"/>
  <c r="K115" i="1"/>
  <c r="G116" i="1"/>
  <c r="H116" i="1"/>
  <c r="I116" i="1"/>
  <c r="J116" i="1"/>
  <c r="K116" i="1"/>
  <c r="G117" i="1"/>
  <c r="H117" i="1"/>
  <c r="I117" i="1"/>
  <c r="J117" i="1"/>
  <c r="K117" i="1"/>
  <c r="G118" i="1"/>
  <c r="H118" i="1"/>
  <c r="I118" i="1"/>
  <c r="J118" i="1"/>
  <c r="K118" i="1"/>
  <c r="G119" i="1"/>
  <c r="H119" i="1"/>
  <c r="I119" i="1"/>
  <c r="J119" i="1"/>
  <c r="K119" i="1"/>
  <c r="G120" i="1"/>
  <c r="H120" i="1"/>
  <c r="I120" i="1"/>
  <c r="J120" i="1"/>
  <c r="K120" i="1"/>
  <c r="G121" i="1"/>
  <c r="H121" i="1"/>
  <c r="I121" i="1"/>
  <c r="J121" i="1"/>
  <c r="K121" i="1"/>
  <c r="G122" i="1"/>
  <c r="H122" i="1"/>
  <c r="I122" i="1"/>
  <c r="J122" i="1"/>
  <c r="K122" i="1"/>
  <c r="G123" i="1"/>
  <c r="H123" i="1"/>
  <c r="I123" i="1"/>
  <c r="J123" i="1"/>
  <c r="K123" i="1"/>
  <c r="G124" i="1"/>
  <c r="H124" i="1"/>
  <c r="I124" i="1"/>
  <c r="J124" i="1"/>
  <c r="K124" i="1"/>
  <c r="G125" i="1"/>
  <c r="H125" i="1"/>
  <c r="I125" i="1"/>
  <c r="J125" i="1"/>
  <c r="K125" i="1"/>
  <c r="G126" i="1"/>
  <c r="H126" i="1"/>
  <c r="I126" i="1"/>
  <c r="J126" i="1"/>
  <c r="K126" i="1"/>
  <c r="G127" i="1"/>
  <c r="H127" i="1"/>
  <c r="I127" i="1"/>
  <c r="J127" i="1"/>
  <c r="K127" i="1"/>
  <c r="G128" i="1"/>
  <c r="H128" i="1"/>
  <c r="I128" i="1"/>
  <c r="J128" i="1"/>
  <c r="K128" i="1"/>
  <c r="G129" i="1"/>
  <c r="H129" i="1"/>
  <c r="I129" i="1"/>
  <c r="J129" i="1"/>
  <c r="K129" i="1"/>
  <c r="G130" i="1"/>
  <c r="H130" i="1"/>
  <c r="I130" i="1"/>
  <c r="J130" i="1"/>
  <c r="G131" i="1"/>
  <c r="H131" i="1"/>
  <c r="I131" i="1"/>
  <c r="J131" i="1"/>
  <c r="G132" i="1"/>
  <c r="H132" i="1"/>
  <c r="I132" i="1"/>
  <c r="J132" i="1"/>
  <c r="G133" i="1"/>
  <c r="H133" i="1"/>
  <c r="I133" i="1"/>
  <c r="J133" i="1"/>
  <c r="G134" i="1"/>
  <c r="H134" i="1"/>
  <c r="I134" i="1"/>
  <c r="J134" i="1"/>
  <c r="G135" i="1"/>
  <c r="H135" i="1"/>
  <c r="I135" i="1"/>
  <c r="J135" i="1"/>
  <c r="H136" i="1"/>
  <c r="I136" i="1"/>
  <c r="J136" i="1"/>
  <c r="H137" i="1"/>
  <c r="I137" i="1"/>
  <c r="J137" i="1"/>
  <c r="G138" i="1"/>
  <c r="H138" i="1"/>
  <c r="I138" i="1"/>
  <c r="J138" i="1"/>
  <c r="G139" i="1"/>
  <c r="H139" i="1"/>
  <c r="I139" i="1"/>
  <c r="J139" i="1"/>
  <c r="K139" i="1"/>
  <c r="G140" i="1"/>
  <c r="H140" i="1"/>
  <c r="I140" i="1"/>
  <c r="J140" i="1"/>
  <c r="G141" i="1"/>
  <c r="H141" i="1"/>
  <c r="I141" i="1"/>
  <c r="G142" i="1"/>
  <c r="H142" i="1"/>
  <c r="I142" i="1"/>
  <c r="J142" i="1"/>
  <c r="G143" i="1"/>
  <c r="H143" i="1"/>
  <c r="I143" i="1"/>
  <c r="J143" i="1"/>
  <c r="G144" i="1"/>
  <c r="H144" i="1"/>
  <c r="I144" i="1"/>
  <c r="J144" i="1"/>
  <c r="G145" i="1"/>
  <c r="H145" i="1"/>
  <c r="I145" i="1"/>
  <c r="J145" i="1"/>
  <c r="G146" i="1"/>
  <c r="I146" i="1"/>
  <c r="J146" i="1"/>
  <c r="K6" i="1"/>
  <c r="H6" i="1"/>
  <c r="I6" i="1"/>
  <c r="J6" i="1"/>
  <c r="G6" i="1"/>
  <c r="B108" i="1"/>
  <c r="B43" i="1"/>
  <c r="B93" i="1"/>
  <c r="B137" i="1"/>
  <c r="G137" i="1" s="1"/>
  <c r="C95" i="1"/>
  <c r="H95" i="1" s="1"/>
  <c r="C146" i="1"/>
  <c r="H146" i="1" s="1"/>
  <c r="B136" i="1"/>
  <c r="G136" i="1" s="1"/>
  <c r="K141" i="1"/>
  <c r="F146" i="1"/>
  <c r="F145" i="1"/>
  <c r="F144" i="1"/>
  <c r="F143" i="1"/>
  <c r="K143" i="1" s="1"/>
  <c r="F142" i="1"/>
  <c r="K142" i="1" s="1"/>
  <c r="F140" i="1"/>
  <c r="K140" i="1" s="1"/>
  <c r="F139" i="1"/>
  <c r="M139" i="1" s="1"/>
  <c r="F138" i="1"/>
  <c r="F137" i="1"/>
  <c r="F136" i="1"/>
  <c r="F135" i="1"/>
  <c r="K135" i="1" s="1"/>
  <c r="F134" i="1"/>
  <c r="K134" i="1" s="1"/>
  <c r="K133" i="1"/>
  <c r="F132" i="1"/>
  <c r="K132" i="1" s="1"/>
  <c r="F131" i="1"/>
  <c r="K131" i="1" s="1"/>
  <c r="F130" i="1"/>
  <c r="M140" i="1" l="1"/>
  <c r="M134" i="1"/>
  <c r="M132" i="1"/>
  <c r="M142" i="1"/>
  <c r="M143" i="1"/>
  <c r="G93" i="1"/>
  <c r="L93" i="1" s="1"/>
  <c r="M93" i="1"/>
  <c r="G43" i="1"/>
  <c r="L43" i="1" s="1"/>
  <c r="M43" i="1"/>
  <c r="K137" i="1"/>
  <c r="M137" i="1"/>
  <c r="G108" i="1"/>
  <c r="M108" i="1"/>
  <c r="K144" i="1"/>
  <c r="L144" i="1" s="1"/>
  <c r="M144" i="1"/>
  <c r="K136" i="1"/>
  <c r="L136" i="1" s="1"/>
  <c r="M136" i="1"/>
  <c r="K145" i="1"/>
  <c r="L145" i="1" s="1"/>
  <c r="M145" i="1"/>
  <c r="K146" i="1"/>
  <c r="L146" i="1" s="1"/>
  <c r="M146" i="1"/>
  <c r="M135" i="1"/>
  <c r="K130" i="1"/>
  <c r="L130" i="1" s="1"/>
  <c r="M130" i="1"/>
  <c r="K138" i="1"/>
  <c r="L138" i="1" s="1"/>
  <c r="M138" i="1"/>
  <c r="M131" i="1"/>
  <c r="L90" i="1"/>
  <c r="L83" i="1"/>
  <c r="L82" i="1"/>
  <c r="L75" i="1"/>
  <c r="L74" i="1"/>
  <c r="L67" i="1"/>
  <c r="L66" i="1"/>
  <c r="L59" i="1"/>
  <c r="L58" i="1"/>
  <c r="L51" i="1"/>
  <c r="L50" i="1"/>
  <c r="L91" i="1"/>
  <c r="L137" i="1"/>
  <c r="L103" i="1"/>
  <c r="L117" i="1"/>
  <c r="L124" i="1"/>
  <c r="L116" i="1"/>
  <c r="L109" i="1"/>
  <c r="L108" i="1"/>
  <c r="J141" i="1"/>
  <c r="L141" i="1" s="1"/>
  <c r="L125" i="1"/>
  <c r="L95" i="1"/>
  <c r="L134" i="1"/>
  <c r="L111" i="1"/>
  <c r="L98" i="1"/>
  <c r="L122" i="1"/>
  <c r="L88" i="1"/>
  <c r="L56" i="1"/>
  <c r="L104" i="1"/>
  <c r="L96" i="1"/>
  <c r="L38" i="1"/>
  <c r="L30" i="1"/>
  <c r="L22" i="1"/>
  <c r="L14" i="1"/>
  <c r="L142" i="1"/>
  <c r="L107" i="1"/>
  <c r="L24" i="1"/>
  <c r="L128" i="1"/>
  <c r="L120" i="1"/>
  <c r="L112" i="1"/>
  <c r="L86" i="1"/>
  <c r="L78" i="1"/>
  <c r="L70" i="1"/>
  <c r="L62" i="1"/>
  <c r="L54" i="1"/>
  <c r="L46" i="1"/>
  <c r="L41" i="1"/>
  <c r="L33" i="1"/>
  <c r="L25" i="1"/>
  <c r="L17" i="1"/>
  <c r="L9" i="1"/>
  <c r="L127" i="1"/>
  <c r="L40" i="1"/>
  <c r="L115" i="1"/>
  <c r="L80" i="1"/>
  <c r="L64" i="1"/>
  <c r="L102" i="1"/>
  <c r="L94" i="1"/>
  <c r="L89" i="1"/>
  <c r="L81" i="1"/>
  <c r="L73" i="1"/>
  <c r="L65" i="1"/>
  <c r="L57" i="1"/>
  <c r="L49" i="1"/>
  <c r="L37" i="1"/>
  <c r="L36" i="1"/>
  <c r="L29" i="1"/>
  <c r="L28" i="1"/>
  <c r="L21" i="1"/>
  <c r="L20" i="1"/>
  <c r="L13" i="1"/>
  <c r="L12" i="1"/>
  <c r="L119" i="1"/>
  <c r="L99" i="1"/>
  <c r="L16" i="1"/>
  <c r="L139" i="1"/>
  <c r="L123" i="1"/>
  <c r="L114" i="1"/>
  <c r="L72" i="1"/>
  <c r="L6" i="1"/>
  <c r="L126" i="1"/>
  <c r="L118" i="1"/>
  <c r="L110" i="1"/>
  <c r="L105" i="1"/>
  <c r="L97" i="1"/>
  <c r="L92" i="1"/>
  <c r="L85" i="1"/>
  <c r="L84" i="1"/>
  <c r="L77" i="1"/>
  <c r="L76" i="1"/>
  <c r="L69" i="1"/>
  <c r="L68" i="1"/>
  <c r="L61" i="1"/>
  <c r="L60" i="1"/>
  <c r="L53" i="1"/>
  <c r="L52" i="1"/>
  <c r="L45" i="1"/>
  <c r="L44" i="1"/>
  <c r="L39" i="1"/>
  <c r="L31" i="1"/>
  <c r="L23" i="1"/>
  <c r="L15" i="1"/>
  <c r="L7" i="1"/>
  <c r="L106" i="1"/>
  <c r="L32" i="1"/>
  <c r="L8" i="1"/>
  <c r="L48" i="1"/>
  <c r="L131" i="1"/>
  <c r="L129" i="1"/>
  <c r="L121" i="1"/>
  <c r="L113" i="1"/>
  <c r="L101" i="1"/>
  <c r="L100" i="1"/>
  <c r="L87" i="1"/>
  <c r="L79" i="1"/>
  <c r="L71" i="1"/>
  <c r="L63" i="1"/>
  <c r="L55" i="1"/>
  <c r="L47" i="1"/>
  <c r="L42" i="1"/>
  <c r="L35" i="1"/>
  <c r="L34" i="1"/>
  <c r="L27" i="1"/>
  <c r="L26" i="1"/>
  <c r="L19" i="1"/>
  <c r="L18" i="1"/>
  <c r="L11" i="1"/>
  <c r="L10" i="1"/>
  <c r="L132" i="1"/>
  <c r="L140" i="1"/>
  <c r="L133" i="1"/>
  <c r="L143" i="1"/>
  <c r="L135" i="1"/>
  <c r="M2" i="1" l="1"/>
  <c r="M3" i="1"/>
  <c r="O144" i="1" s="1"/>
  <c r="L3" i="1"/>
  <c r="L2" i="1"/>
  <c r="N11" i="1" s="1"/>
  <c r="O93" i="1" l="1"/>
  <c r="O137" i="1"/>
  <c r="N98" i="1"/>
  <c r="N74" i="1"/>
  <c r="N124" i="1"/>
  <c r="P124" i="1" s="1"/>
  <c r="N79" i="1"/>
  <c r="N32" i="1"/>
  <c r="P32" i="1" s="1"/>
  <c r="N128" i="1"/>
  <c r="N123" i="1"/>
  <c r="N8" i="1"/>
  <c r="N115" i="1"/>
  <c r="N97" i="1"/>
  <c r="N84" i="1"/>
  <c r="P84" i="1" s="1"/>
  <c r="N143" i="1"/>
  <c r="N116" i="1"/>
  <c r="P116" i="1" s="1"/>
  <c r="N146" i="1"/>
  <c r="N38" i="1"/>
  <c r="O136" i="1"/>
  <c r="N102" i="1"/>
  <c r="N22" i="1"/>
  <c r="N37" i="1"/>
  <c r="N110" i="1"/>
  <c r="P110" i="1" s="1"/>
  <c r="N105" i="1"/>
  <c r="P105" i="1" s="1"/>
  <c r="N91" i="1"/>
  <c r="P91" i="1" s="1"/>
  <c r="N119" i="1"/>
  <c r="N126" i="1"/>
  <c r="N69" i="1"/>
  <c r="N52" i="1"/>
  <c r="N12" i="1"/>
  <c r="N117" i="1"/>
  <c r="N71" i="1"/>
  <c r="N55" i="1"/>
  <c r="N134" i="1"/>
  <c r="N68" i="1"/>
  <c r="N136" i="1"/>
  <c r="N77" i="1"/>
  <c r="N75" i="1"/>
  <c r="N78" i="1"/>
  <c r="N31" i="1"/>
  <c r="P31" i="1" s="1"/>
  <c r="N27" i="1"/>
  <c r="N51" i="1"/>
  <c r="N7" i="1"/>
  <c r="N17" i="1"/>
  <c r="P22" i="1"/>
  <c r="P17" i="1"/>
  <c r="O10" i="1"/>
  <c r="O18" i="1"/>
  <c r="O42" i="1"/>
  <c r="O66" i="1"/>
  <c r="O90" i="1"/>
  <c r="O106" i="1"/>
  <c r="O34" i="1"/>
  <c r="O58" i="1"/>
  <c r="O82" i="1"/>
  <c r="O114" i="1"/>
  <c r="O26" i="1"/>
  <c r="O50" i="1"/>
  <c r="O74" i="1"/>
  <c r="O98" i="1"/>
  <c r="P98" i="1" s="1"/>
  <c r="O122" i="1"/>
  <c r="O8" i="1"/>
  <c r="O16" i="1"/>
  <c r="O24" i="1"/>
  <c r="O32" i="1"/>
  <c r="O40" i="1"/>
  <c r="O48" i="1"/>
  <c r="O56" i="1"/>
  <c r="O64" i="1"/>
  <c r="O72" i="1"/>
  <c r="O80" i="1"/>
  <c r="O88" i="1"/>
  <c r="O96" i="1"/>
  <c r="O104" i="1"/>
  <c r="O112" i="1"/>
  <c r="O120" i="1"/>
  <c r="O128" i="1"/>
  <c r="O11" i="1"/>
  <c r="P11" i="1" s="1"/>
  <c r="O35" i="1"/>
  <c r="O51" i="1"/>
  <c r="O67" i="1"/>
  <c r="O83" i="1"/>
  <c r="O99" i="1"/>
  <c r="O115" i="1"/>
  <c r="P115" i="1" s="1"/>
  <c r="O20" i="1"/>
  <c r="O36" i="1"/>
  <c r="O52" i="1"/>
  <c r="P52" i="1" s="1"/>
  <c r="O68" i="1"/>
  <c r="O84" i="1"/>
  <c r="O100" i="1"/>
  <c r="O116" i="1"/>
  <c r="O132" i="1"/>
  <c r="O19" i="1"/>
  <c r="O27" i="1"/>
  <c r="O59" i="1"/>
  <c r="O75" i="1"/>
  <c r="O91" i="1"/>
  <c r="O107" i="1"/>
  <c r="O123" i="1"/>
  <c r="O12" i="1"/>
  <c r="O28" i="1"/>
  <c r="O44" i="1"/>
  <c r="O60" i="1"/>
  <c r="O76" i="1"/>
  <c r="O92" i="1"/>
  <c r="O124" i="1"/>
  <c r="O143" i="1"/>
  <c r="O127" i="1"/>
  <c r="O87" i="1"/>
  <c r="O95" i="1"/>
  <c r="O119" i="1"/>
  <c r="P119" i="1" s="1"/>
  <c r="O113" i="1"/>
  <c r="O126" i="1"/>
  <c r="O25" i="1"/>
  <c r="O140" i="1"/>
  <c r="O49" i="1"/>
  <c r="O109" i="1"/>
  <c r="O46" i="1"/>
  <c r="O85" i="1"/>
  <c r="O71" i="1"/>
  <c r="O9" i="1"/>
  <c r="O54" i="1"/>
  <c r="O61" i="1"/>
  <c r="O53" i="1"/>
  <c r="O31" i="1"/>
  <c r="O97" i="1"/>
  <c r="P97" i="1" s="1"/>
  <c r="O37" i="1"/>
  <c r="P37" i="1" s="1"/>
  <c r="O23" i="1"/>
  <c r="O94" i="1"/>
  <c r="O121" i="1"/>
  <c r="O81" i="1"/>
  <c r="O29" i="1"/>
  <c r="O21" i="1"/>
  <c r="O47" i="1"/>
  <c r="O86" i="1"/>
  <c r="O13" i="1"/>
  <c r="O105" i="1"/>
  <c r="O41" i="1"/>
  <c r="O65" i="1"/>
  <c r="O78" i="1"/>
  <c r="O117" i="1"/>
  <c r="O142" i="1"/>
  <c r="O111" i="1"/>
  <c r="O79" i="1"/>
  <c r="O141" i="1"/>
  <c r="O110" i="1"/>
  <c r="O17" i="1"/>
  <c r="O102" i="1"/>
  <c r="P102" i="1" s="1"/>
  <c r="O70" i="1"/>
  <c r="O77" i="1"/>
  <c r="P77" i="1" s="1"/>
  <c r="O30" i="1"/>
  <c r="O69" i="1"/>
  <c r="P69" i="1" s="1"/>
  <c r="O39" i="1"/>
  <c r="O6" i="1"/>
  <c r="O14" i="1"/>
  <c r="O63" i="1"/>
  <c r="O89" i="1"/>
  <c r="O38" i="1"/>
  <c r="O45" i="1"/>
  <c r="O55" i="1"/>
  <c r="O22" i="1"/>
  <c r="O15" i="1"/>
  <c r="O73" i="1"/>
  <c r="O134" i="1"/>
  <c r="O133" i="1"/>
  <c r="O7" i="1"/>
  <c r="O118" i="1"/>
  <c r="O103" i="1"/>
  <c r="O125" i="1"/>
  <c r="O101" i="1"/>
  <c r="O129" i="1"/>
  <c r="O62" i="1"/>
  <c r="O33" i="1"/>
  <c r="O57" i="1"/>
  <c r="O139" i="1"/>
  <c r="N111" i="1"/>
  <c r="N61" i="1"/>
  <c r="N46" i="1"/>
  <c r="N109" i="1"/>
  <c r="N133" i="1"/>
  <c r="N138" i="1"/>
  <c r="N45" i="1"/>
  <c r="N94" i="1"/>
  <c r="N93" i="1"/>
  <c r="P93" i="1" s="1"/>
  <c r="N47" i="1"/>
  <c r="N39" i="1"/>
  <c r="P39" i="1" s="1"/>
  <c r="O131" i="1"/>
  <c r="N62" i="1"/>
  <c r="P62" i="1" s="1"/>
  <c r="N101" i="1"/>
  <c r="P101" i="1" s="1"/>
  <c r="N20" i="1"/>
  <c r="N122" i="1"/>
  <c r="N108" i="1"/>
  <c r="O145" i="1"/>
  <c r="N106" i="1"/>
  <c r="N30" i="1"/>
  <c r="N23" i="1"/>
  <c r="N65" i="1"/>
  <c r="P65" i="1" s="1"/>
  <c r="N14" i="1"/>
  <c r="O138" i="1"/>
  <c r="N26" i="1"/>
  <c r="P26" i="1" s="1"/>
  <c r="N129" i="1"/>
  <c r="N36" i="1"/>
  <c r="N104" i="1"/>
  <c r="P104" i="1" s="1"/>
  <c r="N70" i="1"/>
  <c r="N125" i="1"/>
  <c r="P125" i="1" s="1"/>
  <c r="N130" i="1"/>
  <c r="N118" i="1"/>
  <c r="N89" i="1"/>
  <c r="N18" i="1"/>
  <c r="N28" i="1"/>
  <c r="N131" i="1"/>
  <c r="P131" i="1" s="1"/>
  <c r="N49" i="1"/>
  <c r="P49" i="1" s="1"/>
  <c r="O135" i="1"/>
  <c r="N35" i="1"/>
  <c r="N87" i="1"/>
  <c r="N112" i="1"/>
  <c r="P112" i="1" s="1"/>
  <c r="N107" i="1"/>
  <c r="P107" i="1" s="1"/>
  <c r="O130" i="1"/>
  <c r="N76" i="1"/>
  <c r="N43" i="1"/>
  <c r="P43" i="1" s="1"/>
  <c r="N29" i="1"/>
  <c r="P29" i="1" s="1"/>
  <c r="N145" i="1"/>
  <c r="N113" i="1"/>
  <c r="P75" i="1"/>
  <c r="P126" i="1"/>
  <c r="N127" i="1"/>
  <c r="N42" i="1"/>
  <c r="P42" i="1" s="1"/>
  <c r="N114" i="1"/>
  <c r="N120" i="1"/>
  <c r="P120" i="1" s="1"/>
  <c r="N142" i="1"/>
  <c r="P142" i="1" s="1"/>
  <c r="N67" i="1"/>
  <c r="N63" i="1"/>
  <c r="N54" i="1"/>
  <c r="P54" i="1" s="1"/>
  <c r="N48" i="1"/>
  <c r="P48" i="1" s="1"/>
  <c r="N92" i="1"/>
  <c r="P92" i="1" s="1"/>
  <c r="N41" i="1"/>
  <c r="P41" i="1" s="1"/>
  <c r="N137" i="1"/>
  <c r="P137" i="1" s="1"/>
  <c r="O108" i="1"/>
  <c r="N19" i="1"/>
  <c r="N99" i="1"/>
  <c r="N103" i="1"/>
  <c r="N9" i="1"/>
  <c r="P9" i="1" s="1"/>
  <c r="N24" i="1"/>
  <c r="N121" i="1"/>
  <c r="P121" i="1" s="1"/>
  <c r="O146" i="1"/>
  <c r="N81" i="1"/>
  <c r="P81" i="1" s="1"/>
  <c r="N10" i="1"/>
  <c r="N60" i="1"/>
  <c r="N80" i="1"/>
  <c r="N33" i="1"/>
  <c r="N141" i="1"/>
  <c r="P141" i="1" s="1"/>
  <c r="N135" i="1"/>
  <c r="N40" i="1"/>
  <c r="P40" i="1" s="1"/>
  <c r="N100" i="1"/>
  <c r="P100" i="1" s="1"/>
  <c r="N15" i="1"/>
  <c r="P15" i="1" s="1"/>
  <c r="N57" i="1"/>
  <c r="N88" i="1"/>
  <c r="O43" i="1"/>
  <c r="N96" i="1"/>
  <c r="P96" i="1" s="1"/>
  <c r="N95" i="1"/>
  <c r="N90" i="1"/>
  <c r="P90" i="1" s="1"/>
  <c r="N132" i="1"/>
  <c r="P132" i="1" s="1"/>
  <c r="N13" i="1"/>
  <c r="N56" i="1"/>
  <c r="N73" i="1"/>
  <c r="N72" i="1"/>
  <c r="N58" i="1"/>
  <c r="N139" i="1"/>
  <c r="N50" i="1"/>
  <c r="P50" i="1" s="1"/>
  <c r="N34" i="1"/>
  <c r="P34" i="1" s="1"/>
  <c r="N85" i="1"/>
  <c r="N6" i="1"/>
  <c r="P6" i="1" s="1"/>
  <c r="N86" i="1"/>
  <c r="N83" i="1"/>
  <c r="P83" i="1" s="1"/>
  <c r="N21" i="1"/>
  <c r="N82" i="1"/>
  <c r="N140" i="1"/>
  <c r="P140" i="1" s="1"/>
  <c r="N53" i="1"/>
  <c r="P53" i="1" s="1"/>
  <c r="N64" i="1"/>
  <c r="N25" i="1"/>
  <c r="P25" i="1" s="1"/>
  <c r="N66" i="1"/>
  <c r="P66" i="1" s="1"/>
  <c r="N44" i="1"/>
  <c r="N59" i="1"/>
  <c r="N16" i="1"/>
  <c r="N144" i="1"/>
  <c r="P144" i="1" s="1"/>
  <c r="P138" i="1" l="1"/>
  <c r="P117" i="1"/>
  <c r="P146" i="1"/>
  <c r="P27" i="1"/>
  <c r="P128" i="1"/>
  <c r="P70" i="1"/>
  <c r="P133" i="1"/>
  <c r="P78" i="1"/>
  <c r="P12" i="1"/>
  <c r="P143" i="1"/>
  <c r="P74" i="1"/>
  <c r="P99" i="1"/>
  <c r="P134" i="1"/>
  <c r="P38" i="1"/>
  <c r="P7" i="1"/>
  <c r="P8" i="1"/>
  <c r="P28" i="1"/>
  <c r="P106" i="1"/>
  <c r="P123" i="1"/>
  <c r="P129" i="1"/>
  <c r="P61" i="1"/>
  <c r="P109" i="1"/>
  <c r="P56" i="1"/>
  <c r="P57" i="1"/>
  <c r="P60" i="1"/>
  <c r="P63" i="1"/>
  <c r="P64" i="1"/>
  <c r="P85" i="1"/>
  <c r="P10" i="1"/>
  <c r="P19" i="1"/>
  <c r="P67" i="1"/>
  <c r="P94" i="1"/>
  <c r="P55" i="1"/>
  <c r="P79" i="1"/>
  <c r="P71" i="1"/>
  <c r="P68" i="1"/>
  <c r="P51" i="1"/>
  <c r="P136" i="1"/>
  <c r="P16" i="1"/>
  <c r="P95" i="1"/>
  <c r="P135" i="1"/>
  <c r="P114" i="1"/>
  <c r="P58" i="1"/>
  <c r="P24" i="1"/>
  <c r="P89" i="1"/>
  <c r="P108" i="1"/>
  <c r="P111" i="1"/>
  <c r="P76" i="1"/>
  <c r="P30" i="1"/>
  <c r="P139" i="1"/>
  <c r="P47" i="1"/>
  <c r="P59" i="1"/>
  <c r="P44" i="1"/>
  <c r="P72" i="1"/>
  <c r="P33" i="1"/>
  <c r="P127" i="1"/>
  <c r="P113" i="1"/>
  <c r="P87" i="1"/>
  <c r="P118" i="1"/>
  <c r="P122" i="1"/>
  <c r="P13" i="1"/>
  <c r="P23" i="1"/>
  <c r="P36" i="1"/>
  <c r="P46" i="1"/>
  <c r="P82" i="1"/>
  <c r="P18" i="1"/>
  <c r="P21" i="1"/>
  <c r="P86" i="1"/>
  <c r="P73" i="1"/>
  <c r="P88" i="1"/>
  <c r="P80" i="1"/>
  <c r="P103" i="1"/>
  <c r="P145" i="1"/>
  <c r="P35" i="1"/>
  <c r="P130" i="1"/>
  <c r="P14" i="1"/>
  <c r="P20" i="1"/>
  <c r="P45" i="1"/>
</calcChain>
</file>

<file path=xl/sharedStrings.xml><?xml version="1.0" encoding="utf-8"?>
<sst xmlns="http://schemas.openxmlformats.org/spreadsheetml/2006/main" count="155" uniqueCount="155">
  <si>
    <t>Importadores</t>
  </si>
  <si>
    <t>Mundo</t>
  </si>
  <si>
    <t>China</t>
  </si>
  <si>
    <t>Pakistán</t>
  </si>
  <si>
    <t>Bangladesh</t>
  </si>
  <si>
    <t>Arabia Saudita</t>
  </si>
  <si>
    <t>Estados Unidos de América</t>
  </si>
  <si>
    <t>Países Bajos</t>
  </si>
  <si>
    <t>Emiratos Árabes Unidos</t>
  </si>
  <si>
    <t>Malasia</t>
  </si>
  <si>
    <t>Canadá</t>
  </si>
  <si>
    <t>Italia</t>
  </si>
  <si>
    <t>Viet Nam</t>
  </si>
  <si>
    <t>Alemania</t>
  </si>
  <si>
    <t>Mauricio</t>
  </si>
  <si>
    <t>Reino Unido</t>
  </si>
  <si>
    <t>Singapur</t>
  </si>
  <si>
    <t>India</t>
  </si>
  <si>
    <t>Malawi</t>
  </si>
  <si>
    <t>España</t>
  </si>
  <si>
    <t>Francia</t>
  </si>
  <si>
    <t>Sudáfrica</t>
  </si>
  <si>
    <t>Corea, República de</t>
  </si>
  <si>
    <t>Australia</t>
  </si>
  <si>
    <t>Qatar</t>
  </si>
  <si>
    <t>Comoras</t>
  </si>
  <si>
    <t>Ecuador</t>
  </si>
  <si>
    <t>Bélgica</t>
  </si>
  <si>
    <t>Nepal</t>
  </si>
  <si>
    <t>Sudán</t>
  </si>
  <si>
    <t>Madagascar</t>
  </si>
  <si>
    <t>Somalia</t>
  </si>
  <si>
    <t>Iraq</t>
  </si>
  <si>
    <t>Rusia, Federación de</t>
  </si>
  <si>
    <t>Brunei Darussalam</t>
  </si>
  <si>
    <t>Suecia</t>
  </si>
  <si>
    <t>Sri Lanka</t>
  </si>
  <si>
    <t>Fiji</t>
  </si>
  <si>
    <t>Hong Kong, China</t>
  </si>
  <si>
    <t>Djibouti</t>
  </si>
  <si>
    <t>Botsuana</t>
  </si>
  <si>
    <t>Indonesia</t>
  </si>
  <si>
    <t>Tailandia</t>
  </si>
  <si>
    <t>Guinea Ecuatorial</t>
  </si>
  <si>
    <t>Irlanda</t>
  </si>
  <si>
    <t>Austria</t>
  </si>
  <si>
    <t>Seychelles</t>
  </si>
  <si>
    <t>Polonia</t>
  </si>
  <si>
    <t>Chipre</t>
  </si>
  <si>
    <t>Kenya</t>
  </si>
  <si>
    <t>Grecia</t>
  </si>
  <si>
    <t>Congo</t>
  </si>
  <si>
    <t>Nigeria</t>
  </si>
  <si>
    <t>Eswatini</t>
  </si>
  <si>
    <t>Eslovaquia</t>
  </si>
  <si>
    <t>Lesoto</t>
  </si>
  <si>
    <t>Nueva Zelandia</t>
  </si>
  <si>
    <t>Taipei Chino</t>
  </si>
  <si>
    <t>Omán</t>
  </si>
  <si>
    <t>Croacia</t>
  </si>
  <si>
    <t>Dinamarca</t>
  </si>
  <si>
    <t>Israel</t>
  </si>
  <si>
    <t>Kazajstán</t>
  </si>
  <si>
    <t>Rumania</t>
  </si>
  <si>
    <t>Santa Lucía</t>
  </si>
  <si>
    <t>Filipinas</t>
  </si>
  <si>
    <t>Mongolia</t>
  </si>
  <si>
    <t>Cuba</t>
  </si>
  <si>
    <t>Luxemburgo</t>
  </si>
  <si>
    <t>Belice</t>
  </si>
  <si>
    <t>Tanzanía, República Unida de</t>
  </si>
  <si>
    <t>Suiza</t>
  </si>
  <si>
    <t>Camboya</t>
  </si>
  <si>
    <t>Guyana</t>
  </si>
  <si>
    <t>Côte d'Ivoire</t>
  </si>
  <si>
    <t>Angola</t>
  </si>
  <si>
    <t>Senegal</t>
  </si>
  <si>
    <t>Serbia</t>
  </si>
  <si>
    <t>Namibia</t>
  </si>
  <si>
    <t>Noruega</t>
  </si>
  <si>
    <t>Zambia</t>
  </si>
  <si>
    <t>Ghana</t>
  </si>
  <si>
    <t>Mozambique</t>
  </si>
  <si>
    <t>Trinidad y Tobago</t>
  </si>
  <si>
    <t>Azerbaiyán</t>
  </si>
  <si>
    <t>Panamá</t>
  </si>
  <si>
    <t>Malta</t>
  </si>
  <si>
    <t>Jamaica</t>
  </si>
  <si>
    <t>Kuwait</t>
  </si>
  <si>
    <t>Armenia</t>
  </si>
  <si>
    <t>Congo, República Democrática del</t>
  </si>
  <si>
    <t>República Checa</t>
  </si>
  <si>
    <t>Mauritania</t>
  </si>
  <si>
    <t>Macedonia del Norte</t>
  </si>
  <si>
    <t>Aruba</t>
  </si>
  <si>
    <t>Japón</t>
  </si>
  <si>
    <t>Rancho de naves y aeronaves</t>
  </si>
  <si>
    <t>Eslovenia</t>
  </si>
  <si>
    <t>Islandia</t>
  </si>
  <si>
    <t>Bhután</t>
  </si>
  <si>
    <t>Finlandia</t>
  </si>
  <si>
    <t>Maldivas</t>
  </si>
  <si>
    <t>República Dominicana</t>
  </si>
  <si>
    <t>Bahamas</t>
  </si>
  <si>
    <t>Papua Nueva Guinea</t>
  </si>
  <si>
    <t>Barbados</t>
  </si>
  <si>
    <t>Guinea</t>
  </si>
  <si>
    <t>Montenegro</t>
  </si>
  <si>
    <t>Bahrein</t>
  </si>
  <si>
    <t>Vanuatu</t>
  </si>
  <si>
    <t>Letonia</t>
  </si>
  <si>
    <t>Sudán del Sur</t>
  </si>
  <si>
    <t>Uganda</t>
  </si>
  <si>
    <t>Ucrania</t>
  </si>
  <si>
    <t>Curaçao</t>
  </si>
  <si>
    <t>Lituania</t>
  </si>
  <si>
    <t>Liberia</t>
  </si>
  <si>
    <t>Estonia</t>
  </si>
  <si>
    <t>Gibraltar</t>
  </si>
  <si>
    <t>Gabón</t>
  </si>
  <si>
    <t>Andorra</t>
  </si>
  <si>
    <t>Colombia</t>
  </si>
  <si>
    <t>Tayikistán</t>
  </si>
  <si>
    <t>Suriname</t>
  </si>
  <si>
    <t>Timor-Leste</t>
  </si>
  <si>
    <t>Ruanda</t>
  </si>
  <si>
    <t>Portugal</t>
  </si>
  <si>
    <t>Hungría</t>
  </si>
  <si>
    <t>Chile</t>
  </si>
  <si>
    <t>Bulgaria</t>
  </si>
  <si>
    <t>Argentina</t>
  </si>
  <si>
    <t>Antigua y Barbuda</t>
  </si>
  <si>
    <t>Argelia</t>
  </si>
  <si>
    <t>Afganistán</t>
  </si>
  <si>
    <t>Bermudas</t>
  </si>
  <si>
    <t>Islas Caimanes</t>
  </si>
  <si>
    <t>Palestina, Estado de</t>
  </si>
  <si>
    <t>Haití</t>
  </si>
  <si>
    <t>Libia Estado de</t>
  </si>
  <si>
    <t>Lao, República Democrática Popular</t>
  </si>
  <si>
    <t>Líbano</t>
  </si>
  <si>
    <t>Jordania</t>
  </si>
  <si>
    <t>Venezuela, República Bolivariana de</t>
  </si>
  <si>
    <t>Part 2020</t>
  </si>
  <si>
    <t>Part 2021</t>
  </si>
  <si>
    <t>Part 2022</t>
  </si>
  <si>
    <t>Part 2023</t>
  </si>
  <si>
    <t>Part 2024</t>
  </si>
  <si>
    <t>PromPart</t>
  </si>
  <si>
    <t>TCP</t>
  </si>
  <si>
    <t>Media</t>
  </si>
  <si>
    <t>DESVEST</t>
  </si>
  <si>
    <t>INDICE DE PART PROM</t>
  </si>
  <si>
    <t>ITCP</t>
  </si>
  <si>
    <t>SEGMENTOS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</si>
</sst>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rgb="FF002B54"/>
      <name val="Calibri"/>
      <family val="2"/>
      <scheme val="minor"/>
    </font>
    <font>
      <sz val="8"/>
      <color rgb="FF8A2BE2"/>
      <name val="Calibri"/>
      <family val="2"/>
      <scheme val="minor"/>
    </font>
    <font>
      <sz val="8"/>
      <color rgb="FF008000"/>
      <name val="Calibri"/>
      <family val="2"/>
      <scheme val="minor"/>
    </font>
    <font>
      <sz val="8"/>
      <color rgb="FFDAA520"/>
      <name val="Calibri"/>
      <family val="2"/>
      <scheme val="minor"/>
    </font>
    <font>
      <sz val="8"/>
      <color rgb="FF3CB37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D7B9D"/>
        <bgColor indexed="64"/>
      </patternFill>
    </fill>
    <fill>
      <patternFill patternType="solid">
        <fgColor rgb="FFF7F6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2B54"/>
      </left>
      <right style="thin">
        <color rgb="FF002B54"/>
      </right>
      <top style="thin">
        <color rgb="FF002B54"/>
      </top>
      <bottom style="thin">
        <color rgb="FF002B54"/>
      </bottom>
      <diagonal/>
    </border>
    <border>
      <left style="thin">
        <color rgb="FF002B54"/>
      </left>
      <right style="thin">
        <color rgb="FF000000"/>
      </right>
      <top style="thin">
        <color rgb="FF002B54"/>
      </top>
      <bottom/>
      <diagonal/>
    </border>
    <border>
      <left style="thin">
        <color rgb="FF000000"/>
      </left>
      <right/>
      <top style="thin">
        <color rgb="FF002B5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2B54"/>
      </top>
      <bottom style="thin">
        <color rgb="FF000000"/>
      </bottom>
      <diagonal/>
    </border>
    <border>
      <left style="thin">
        <color rgb="FF002B5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5">
    <xf numFmtId="0" fontId="0" fillId="0" borderId="0" xfId="0"/>
    <xf numFmtId="0" fontId="20" fillId="34" borderId="11" xfId="0" applyFont="1" applyFill="1" applyBorder="1" applyAlignment="1">
      <alignment horizontal="right" wrapText="1"/>
    </xf>
    <xf numFmtId="0" fontId="19" fillId="35" borderId="10" xfId="0" applyFont="1" applyFill="1" applyBorder="1" applyAlignment="1">
      <alignment horizontal="right" wrapText="1"/>
    </xf>
    <xf numFmtId="0" fontId="21" fillId="35" borderId="11" xfId="0" applyFont="1" applyFill="1" applyBorder="1" applyAlignment="1">
      <alignment horizontal="right" wrapText="1"/>
    </xf>
    <xf numFmtId="0" fontId="19" fillId="34" borderId="10" xfId="0" applyFont="1" applyFill="1" applyBorder="1" applyAlignment="1">
      <alignment horizontal="right" wrapText="1"/>
    </xf>
    <xf numFmtId="0" fontId="22" fillId="35" borderId="11" xfId="0" applyFont="1" applyFill="1" applyBorder="1" applyAlignment="1">
      <alignment horizontal="right" wrapText="1"/>
    </xf>
    <xf numFmtId="0" fontId="23" fillId="34" borderId="11" xfId="0" applyFont="1" applyFill="1" applyBorder="1" applyAlignment="1">
      <alignment horizontal="right" wrapText="1"/>
    </xf>
    <xf numFmtId="0" fontId="21" fillId="34" borderId="11" xfId="0" applyFont="1" applyFill="1" applyBorder="1" applyAlignment="1">
      <alignment horizontal="right" wrapText="1"/>
    </xf>
    <xf numFmtId="0" fontId="23" fillId="35" borderId="11" xfId="0" applyFont="1" applyFill="1" applyBorder="1" applyAlignment="1">
      <alignment horizontal="right" wrapText="1"/>
    </xf>
    <xf numFmtId="0" fontId="22" fillId="34" borderId="11" xfId="0" applyFont="1" applyFill="1" applyBorder="1" applyAlignment="1">
      <alignment horizontal="right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wrapText="1"/>
    </xf>
    <xf numFmtId="0" fontId="18" fillId="33" borderId="14" xfId="0" applyFont="1" applyFill="1" applyBorder="1" applyAlignment="1">
      <alignment horizontal="center" wrapText="1"/>
    </xf>
    <xf numFmtId="0" fontId="19" fillId="34" borderId="15" xfId="0" applyFont="1" applyFill="1" applyBorder="1" applyAlignment="1">
      <alignment horizontal="left" wrapText="1"/>
    </xf>
    <xf numFmtId="0" fontId="19" fillId="35" borderId="15" xfId="0" applyFont="1" applyFill="1" applyBorder="1" applyAlignment="1">
      <alignment horizontal="left" wrapText="1"/>
    </xf>
    <xf numFmtId="172" fontId="19" fillId="34" borderId="10" xfId="0" applyNumberFormat="1" applyFont="1" applyFill="1" applyBorder="1" applyAlignment="1">
      <alignment horizontal="right" wrapText="1"/>
    </xf>
    <xf numFmtId="172" fontId="0" fillId="0" borderId="0" xfId="0" applyNumberFormat="1"/>
    <xf numFmtId="1" fontId="0" fillId="0" borderId="0" xfId="0" applyNumberFormat="1"/>
    <xf numFmtId="2" fontId="0" fillId="0" borderId="16" xfId="0" applyNumberFormat="1" applyBorder="1"/>
    <xf numFmtId="172" fontId="0" fillId="0" borderId="16" xfId="0" applyNumberFormat="1" applyBorder="1"/>
    <xf numFmtId="0" fontId="25" fillId="0" borderId="16" xfId="0" applyFont="1" applyBorder="1"/>
    <xf numFmtId="0" fontId="13" fillId="36" borderId="16" xfId="0" applyFont="1" applyFill="1" applyBorder="1"/>
    <xf numFmtId="0" fontId="13" fillId="37" borderId="16" xfId="0" applyFont="1" applyFill="1" applyBorder="1"/>
    <xf numFmtId="0" fontId="19" fillId="38" borderId="15" xfId="0" applyFont="1" applyFill="1" applyBorder="1" applyAlignment="1">
      <alignment horizontal="left" wrapText="1"/>
    </xf>
    <xf numFmtId="0" fontId="19" fillId="38" borderId="10" xfId="0" applyFont="1" applyFill="1" applyBorder="1" applyAlignment="1">
      <alignment horizontal="right" wrapText="1"/>
    </xf>
    <xf numFmtId="172" fontId="0" fillId="38" borderId="0" xfId="0" applyNumberFormat="1" applyFill="1"/>
    <xf numFmtId="172" fontId="0" fillId="38" borderId="16" xfId="0" applyNumberFormat="1" applyFill="1" applyBorder="1"/>
    <xf numFmtId="2" fontId="0" fillId="38" borderId="16" xfId="0" applyNumberFormat="1" applyFill="1" applyBorder="1"/>
    <xf numFmtId="0" fontId="13" fillId="38" borderId="16" xfId="0" applyFont="1" applyFill="1" applyBorder="1"/>
    <xf numFmtId="0" fontId="0" fillId="38" borderId="0" xfId="0" applyFill="1"/>
    <xf numFmtId="0" fontId="19" fillId="39" borderId="15" xfId="0" applyFont="1" applyFill="1" applyBorder="1" applyAlignment="1">
      <alignment horizontal="left" wrapText="1"/>
    </xf>
    <xf numFmtId="0" fontId="21" fillId="39" borderId="11" xfId="0" applyFont="1" applyFill="1" applyBorder="1" applyAlignment="1">
      <alignment horizontal="right" wrapText="1"/>
    </xf>
    <xf numFmtId="0" fontId="19" fillId="39" borderId="10" xfId="0" applyFont="1" applyFill="1" applyBorder="1" applyAlignment="1">
      <alignment horizontal="right" wrapText="1"/>
    </xf>
    <xf numFmtId="172" fontId="0" fillId="39" borderId="0" xfId="0" applyNumberFormat="1" applyFill="1"/>
    <xf numFmtId="172" fontId="0" fillId="39" borderId="16" xfId="0" applyNumberFormat="1" applyFill="1" applyBorder="1"/>
    <xf numFmtId="2" fontId="0" fillId="39" borderId="16" xfId="0" applyNumberFormat="1" applyFill="1" applyBorder="1"/>
    <xf numFmtId="0" fontId="13" fillId="39" borderId="16" xfId="0" applyFont="1" applyFill="1" applyBorder="1"/>
    <xf numFmtId="0" fontId="0" fillId="39" borderId="0" xfId="0" applyFill="1"/>
    <xf numFmtId="0" fontId="19" fillId="40" borderId="15" xfId="0" applyFont="1" applyFill="1" applyBorder="1" applyAlignment="1">
      <alignment horizontal="left" wrapText="1"/>
    </xf>
    <xf numFmtId="0" fontId="19" fillId="40" borderId="10" xfId="0" applyFont="1" applyFill="1" applyBorder="1" applyAlignment="1">
      <alignment horizontal="right" wrapText="1"/>
    </xf>
    <xf numFmtId="172" fontId="0" fillId="40" borderId="0" xfId="0" applyNumberFormat="1" applyFill="1"/>
    <xf numFmtId="172" fontId="0" fillId="40" borderId="16" xfId="0" applyNumberFormat="1" applyFill="1" applyBorder="1"/>
    <xf numFmtId="2" fontId="0" fillId="40" borderId="16" xfId="0" applyNumberFormat="1" applyFill="1" applyBorder="1"/>
    <xf numFmtId="0" fontId="13" fillId="40" borderId="16" xfId="0" applyFont="1" applyFill="1" applyBorder="1"/>
    <xf numFmtId="0" fontId="0" fillId="40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46"/>
  <sheetViews>
    <sheetView showGridLines="0" tabSelected="1" workbookViewId="0">
      <selection activeCell="A31" sqref="A31:XFD31"/>
    </sheetView>
  </sheetViews>
  <sheetFormatPr baseColWidth="10" defaultRowHeight="14.4" x14ac:dyDescent="0.3"/>
  <cols>
    <col min="1" max="1" width="46.21875" bestFit="1" customWidth="1"/>
    <col min="2" max="2" width="12.77734375" bestFit="1" customWidth="1"/>
    <col min="3" max="5" width="19.5546875" bestFit="1" customWidth="1"/>
    <col min="6" max="6" width="12.77734375" bestFit="1" customWidth="1"/>
  </cols>
  <sheetData>
    <row r="2" spans="1:16" x14ac:dyDescent="0.3">
      <c r="K2" t="s">
        <v>150</v>
      </c>
      <c r="L2" s="17">
        <f>AVERAGE(L6:L146)</f>
        <v>0.70481953370854888</v>
      </c>
      <c r="M2" s="17">
        <f>AVERAGE(M6:M146)</f>
        <v>16.863766519754446</v>
      </c>
    </row>
    <row r="3" spans="1:16" x14ac:dyDescent="0.3">
      <c r="K3" t="s">
        <v>151</v>
      </c>
      <c r="L3" s="16">
        <f>STDEV(L6:L146)</f>
        <v>3.3377231601802713</v>
      </c>
      <c r="M3" s="16">
        <f>STDEV(M6:M146)</f>
        <v>84.50108619355133</v>
      </c>
    </row>
    <row r="4" spans="1:16" x14ac:dyDescent="0.3">
      <c r="A4" s="10" t="s">
        <v>0</v>
      </c>
      <c r="B4" s="11">
        <v>2020</v>
      </c>
      <c r="C4" s="12">
        <v>2021</v>
      </c>
      <c r="D4" s="12">
        <v>2022</v>
      </c>
      <c r="E4" s="12">
        <v>2023</v>
      </c>
      <c r="F4" s="11">
        <v>2024</v>
      </c>
      <c r="G4" t="s">
        <v>143</v>
      </c>
      <c r="H4" t="s">
        <v>144</v>
      </c>
      <c r="I4" t="s">
        <v>145</v>
      </c>
      <c r="J4" t="s">
        <v>146</v>
      </c>
      <c r="K4" t="s">
        <v>147</v>
      </c>
      <c r="L4" t="s">
        <v>148</v>
      </c>
      <c r="M4" t="s">
        <v>149</v>
      </c>
      <c r="N4" s="20" t="s">
        <v>152</v>
      </c>
      <c r="O4" s="20" t="s">
        <v>153</v>
      </c>
      <c r="P4" s="21" t="s">
        <v>154</v>
      </c>
    </row>
    <row r="5" spans="1:16" x14ac:dyDescent="0.3">
      <c r="A5" s="13" t="s">
        <v>1</v>
      </c>
      <c r="B5" s="1">
        <v>326696</v>
      </c>
      <c r="C5" s="1">
        <v>356872</v>
      </c>
      <c r="D5" s="1">
        <v>399881</v>
      </c>
      <c r="E5" s="1">
        <v>343078</v>
      </c>
      <c r="F5" s="1">
        <v>413561</v>
      </c>
    </row>
    <row r="6" spans="1:16" x14ac:dyDescent="0.3">
      <c r="A6" s="14" t="s">
        <v>2</v>
      </c>
      <c r="B6" s="2">
        <v>42364</v>
      </c>
      <c r="C6" s="2">
        <v>67199</v>
      </c>
      <c r="D6" s="2">
        <v>165332</v>
      </c>
      <c r="E6" s="3">
        <v>103004</v>
      </c>
      <c r="F6" s="3">
        <v>162495</v>
      </c>
      <c r="G6" s="16">
        <f>(B6/B$5)*100</f>
        <v>12.967407008350271</v>
      </c>
      <c r="H6" s="16">
        <f>(C6/C$5)*100</f>
        <v>18.830000672510032</v>
      </c>
      <c r="I6" s="16">
        <f>(D6/D$5)*100</f>
        <v>41.345300226817479</v>
      </c>
      <c r="J6" s="16">
        <f>(E6/E$5)*100</f>
        <v>30.02349319979713</v>
      </c>
      <c r="K6" s="16">
        <f>(F6/F$5)*100</f>
        <v>39.291664349394651</v>
      </c>
      <c r="L6" s="16">
        <f>AVERAGE(G6:K6)</f>
        <v>28.491573091373915</v>
      </c>
      <c r="M6" s="19">
        <f t="shared" ref="M6:M69" si="0">((F6/B6)^(1/4)-1)*100</f>
        <v>39.946087304281996</v>
      </c>
      <c r="N6" s="18">
        <f>(L6-$L$2)/$L$3</f>
        <v>8.325062392581593</v>
      </c>
      <c r="O6" s="18">
        <f>(M6-$M$2)/$M$3</f>
        <v>0.27316004828218493</v>
      </c>
      <c r="P6" s="22" t="str">
        <f>IF(AND(N6&gt;0,O6&gt;0), "ESTRELLA",
IF(AND(N6&gt;0,O6&lt;0), "Consolidado",
IF(AND(N6&lt;0,O6&lt;0), "estancado", "prometedor")))</f>
        <v>ESTRELLA</v>
      </c>
    </row>
    <row r="7" spans="1:16" x14ac:dyDescent="0.3">
      <c r="A7" s="13" t="s">
        <v>3</v>
      </c>
      <c r="B7" s="4">
        <v>102710</v>
      </c>
      <c r="C7" s="4">
        <v>104829</v>
      </c>
      <c r="D7" s="4">
        <v>82135</v>
      </c>
      <c r="E7" s="4">
        <v>54779</v>
      </c>
      <c r="F7" s="4">
        <v>97248</v>
      </c>
      <c r="G7" s="16">
        <f t="shared" ref="G7:G70" si="1">(B7/B$5)*100</f>
        <v>31.439013639591547</v>
      </c>
      <c r="H7" s="16">
        <f t="shared" ref="H7:H70" si="2">(C7/C$5)*100</f>
        <v>29.374397543096688</v>
      </c>
      <c r="I7" s="16">
        <f t="shared" ref="I7:I70" si="3">(D7/D$5)*100</f>
        <v>20.53986060853104</v>
      </c>
      <c r="J7" s="16">
        <f t="shared" ref="J7:J70" si="4">(E7/E$5)*100</f>
        <v>15.966922973784387</v>
      </c>
      <c r="K7" s="16">
        <f t="shared" ref="K7:K70" si="5">(F7/F$5)*100</f>
        <v>23.514789837533037</v>
      </c>
      <c r="L7" s="16">
        <f t="shared" ref="L7:L70" si="6">AVERAGE(G7:K7)</f>
        <v>24.166996920507341</v>
      </c>
      <c r="M7" s="19">
        <f t="shared" si="0"/>
        <v>-1.3568374994963661</v>
      </c>
      <c r="N7" s="18">
        <f t="shared" ref="N7:N70" si="7">(L7-$L$2)/$L$3</f>
        <v>7.0293958668314467</v>
      </c>
      <c r="O7" s="18">
        <f t="shared" ref="O7:O70" si="8">(M7-$M$2)/$M$3</f>
        <v>-0.21562567820153428</v>
      </c>
      <c r="P7" s="22" t="str">
        <f t="shared" ref="P7:P70" si="9">IF(AND(N7&gt;0,O7&gt;0), "ESTRELLA",
IF(AND(N7&gt;0,O7&lt;0), "Consolidado",
IF(AND(N7&lt;0,O7&lt;0), "estancado", "prometedor")))</f>
        <v>Consolidado</v>
      </c>
    </row>
    <row r="8" spans="1:16" x14ac:dyDescent="0.3">
      <c r="A8" s="14" t="s">
        <v>4</v>
      </c>
      <c r="B8" s="5">
        <v>4160</v>
      </c>
      <c r="C8" s="5">
        <v>4071</v>
      </c>
      <c r="D8" s="5">
        <v>4388</v>
      </c>
      <c r="E8" s="5">
        <v>9994</v>
      </c>
      <c r="F8" s="5">
        <v>28739</v>
      </c>
      <c r="G8" s="16">
        <f t="shared" si="1"/>
        <v>1.2733550456693685</v>
      </c>
      <c r="H8" s="16">
        <f t="shared" si="2"/>
        <v>1.1407451411150218</v>
      </c>
      <c r="I8" s="16">
        <f t="shared" si="3"/>
        <v>1.0973264546202495</v>
      </c>
      <c r="J8" s="16">
        <f t="shared" si="4"/>
        <v>2.9130401832819359</v>
      </c>
      <c r="K8" s="16">
        <f t="shared" si="5"/>
        <v>6.9491562308825054</v>
      </c>
      <c r="L8" s="16">
        <f t="shared" si="6"/>
        <v>2.6747246111138159</v>
      </c>
      <c r="M8" s="19">
        <f t="shared" si="0"/>
        <v>62.122980926754281</v>
      </c>
      <c r="N8" s="18">
        <f t="shared" si="7"/>
        <v>0.59019426802876962</v>
      </c>
      <c r="O8" s="18">
        <f t="shared" si="8"/>
        <v>0.53560511995470383</v>
      </c>
      <c r="P8" s="22" t="str">
        <f t="shared" si="9"/>
        <v>ESTRELLA</v>
      </c>
    </row>
    <row r="9" spans="1:16" x14ac:dyDescent="0.3">
      <c r="A9" s="13" t="s">
        <v>5</v>
      </c>
      <c r="B9" s="4">
        <v>12751</v>
      </c>
      <c r="C9" s="4">
        <v>10968</v>
      </c>
      <c r="D9" s="4">
        <v>13034</v>
      </c>
      <c r="E9" s="4">
        <v>16150</v>
      </c>
      <c r="F9" s="4">
        <v>16954</v>
      </c>
      <c r="G9" s="16">
        <f t="shared" si="1"/>
        <v>3.9030168719543554</v>
      </c>
      <c r="H9" s="16">
        <f t="shared" si="2"/>
        <v>3.07337084444843</v>
      </c>
      <c r="I9" s="16">
        <f t="shared" si="3"/>
        <v>3.2594696922334396</v>
      </c>
      <c r="J9" s="16">
        <f t="shared" si="4"/>
        <v>4.7073843265962836</v>
      </c>
      <c r="K9" s="16">
        <f t="shared" si="5"/>
        <v>4.0995161536024911</v>
      </c>
      <c r="L9" s="16">
        <f t="shared" si="6"/>
        <v>3.8085515777669996</v>
      </c>
      <c r="M9" s="19">
        <f t="shared" si="0"/>
        <v>7.3821223399492597</v>
      </c>
      <c r="N9" s="18">
        <f t="shared" si="7"/>
        <v>0.92989498982019148</v>
      </c>
      <c r="O9" s="18">
        <f t="shared" si="8"/>
        <v>-0.11220736450756742</v>
      </c>
      <c r="P9" s="22" t="str">
        <f t="shared" si="9"/>
        <v>Consolidado</v>
      </c>
    </row>
    <row r="10" spans="1:16" s="29" customFormat="1" x14ac:dyDescent="0.3">
      <c r="A10" s="23" t="s">
        <v>6</v>
      </c>
      <c r="B10" s="24">
        <v>5994</v>
      </c>
      <c r="C10" s="24">
        <v>4660</v>
      </c>
      <c r="D10" s="24">
        <v>5399</v>
      </c>
      <c r="E10" s="24">
        <v>8710</v>
      </c>
      <c r="F10" s="24">
        <v>12797</v>
      </c>
      <c r="G10" s="25">
        <f t="shared" si="1"/>
        <v>1.8347332076303353</v>
      </c>
      <c r="H10" s="25">
        <f t="shared" si="2"/>
        <v>1.3057903113721447</v>
      </c>
      <c r="I10" s="25">
        <f t="shared" si="3"/>
        <v>1.3501516701218612</v>
      </c>
      <c r="J10" s="25">
        <f t="shared" si="4"/>
        <v>2.5387812683996058</v>
      </c>
      <c r="K10" s="25">
        <f t="shared" si="5"/>
        <v>3.0943440024567117</v>
      </c>
      <c r="L10" s="25">
        <f t="shared" si="6"/>
        <v>2.0247600919961317</v>
      </c>
      <c r="M10" s="26">
        <f t="shared" si="0"/>
        <v>20.87816480335778</v>
      </c>
      <c r="N10" s="27">
        <f t="shared" si="7"/>
        <v>0.39546136541063293</v>
      </c>
      <c r="O10" s="27">
        <f t="shared" si="8"/>
        <v>4.7507061322363119E-2</v>
      </c>
      <c r="P10" s="28" t="str">
        <f t="shared" si="9"/>
        <v>ESTRELLA</v>
      </c>
    </row>
    <row r="11" spans="1:16" x14ac:dyDescent="0.3">
      <c r="A11" s="13" t="s">
        <v>7</v>
      </c>
      <c r="B11" s="4">
        <v>2017</v>
      </c>
      <c r="C11" s="4">
        <v>3922</v>
      </c>
      <c r="D11" s="6">
        <v>339</v>
      </c>
      <c r="E11" s="6">
        <v>27893</v>
      </c>
      <c r="F11" s="7">
        <v>11475</v>
      </c>
      <c r="G11" s="16">
        <f t="shared" si="1"/>
        <v>0.61739354017190284</v>
      </c>
      <c r="H11" s="16">
        <f t="shared" si="2"/>
        <v>1.0989934766526934</v>
      </c>
      <c r="I11" s="16">
        <f t="shared" si="3"/>
        <v>8.4775220628136874E-2</v>
      </c>
      <c r="J11" s="16">
        <f t="shared" si="4"/>
        <v>8.130221115897843</v>
      </c>
      <c r="K11" s="16">
        <f t="shared" si="5"/>
        <v>2.7746813650223303</v>
      </c>
      <c r="L11" s="16">
        <f t="shared" si="6"/>
        <v>2.5412129436745809</v>
      </c>
      <c r="M11" s="19">
        <f t="shared" si="0"/>
        <v>54.440677813271265</v>
      </c>
      <c r="N11" s="18">
        <f t="shared" si="7"/>
        <v>0.55019344680067706</v>
      </c>
      <c r="O11" s="18">
        <f t="shared" si="8"/>
        <v>0.44469145884641281</v>
      </c>
      <c r="P11" s="22" t="str">
        <f t="shared" si="9"/>
        <v>ESTRELLA</v>
      </c>
    </row>
    <row r="12" spans="1:16" x14ac:dyDescent="0.3">
      <c r="A12" s="14" t="s">
        <v>8</v>
      </c>
      <c r="B12" s="2">
        <v>59225</v>
      </c>
      <c r="C12" s="2">
        <v>87094</v>
      </c>
      <c r="D12" s="2">
        <v>43848</v>
      </c>
      <c r="E12" s="8">
        <v>36453</v>
      </c>
      <c r="F12" s="5">
        <v>9395</v>
      </c>
      <c r="G12" s="16">
        <f t="shared" si="1"/>
        <v>18.128474177828931</v>
      </c>
      <c r="H12" s="16">
        <f t="shared" si="2"/>
        <v>24.404828622026944</v>
      </c>
      <c r="I12" s="16">
        <f t="shared" si="3"/>
        <v>10.965262165494234</v>
      </c>
      <c r="J12" s="16">
        <f t="shared" si="4"/>
        <v>10.625280548446709</v>
      </c>
      <c r="K12" s="16">
        <f t="shared" si="5"/>
        <v>2.271732586003032</v>
      </c>
      <c r="L12" s="16">
        <f t="shared" si="6"/>
        <v>13.27911561995997</v>
      </c>
      <c r="M12" s="19">
        <f t="shared" si="0"/>
        <v>-36.890036534552195</v>
      </c>
      <c r="N12" s="18">
        <f t="shared" si="7"/>
        <v>3.7673274513193244</v>
      </c>
      <c r="O12" s="18">
        <f t="shared" si="8"/>
        <v>-0.63613150405170582</v>
      </c>
      <c r="P12" s="22" t="str">
        <f t="shared" si="9"/>
        <v>Consolidado</v>
      </c>
    </row>
    <row r="13" spans="1:16" x14ac:dyDescent="0.3">
      <c r="A13" s="14" t="s">
        <v>9</v>
      </c>
      <c r="B13" s="2">
        <v>4856</v>
      </c>
      <c r="C13" s="2">
        <v>4490</v>
      </c>
      <c r="D13" s="2">
        <v>5686</v>
      </c>
      <c r="E13" s="2">
        <v>6192</v>
      </c>
      <c r="F13" s="2">
        <v>6863</v>
      </c>
      <c r="G13" s="16">
        <f t="shared" si="1"/>
        <v>1.4863971398486666</v>
      </c>
      <c r="H13" s="16">
        <f t="shared" si="2"/>
        <v>1.2581541841332466</v>
      </c>
      <c r="I13" s="16">
        <f t="shared" si="3"/>
        <v>1.4219230220990744</v>
      </c>
      <c r="J13" s="16">
        <f t="shared" si="4"/>
        <v>1.8048373839185259</v>
      </c>
      <c r="K13" s="16">
        <f t="shared" si="5"/>
        <v>1.6594891684660786</v>
      </c>
      <c r="L13" s="16">
        <f t="shared" si="6"/>
        <v>1.5261601796931186</v>
      </c>
      <c r="M13" s="19">
        <f t="shared" si="0"/>
        <v>9.0332180474559145</v>
      </c>
      <c r="N13" s="18">
        <f t="shared" si="7"/>
        <v>0.2460781216918568</v>
      </c>
      <c r="O13" s="18">
        <f t="shared" si="8"/>
        <v>-9.2668021501670556E-2</v>
      </c>
      <c r="P13" s="22" t="str">
        <f t="shared" si="9"/>
        <v>Consolidado</v>
      </c>
    </row>
    <row r="14" spans="1:16" s="44" customFormat="1" x14ac:dyDescent="0.3">
      <c r="A14" s="38" t="s">
        <v>10</v>
      </c>
      <c r="B14" s="39">
        <v>5396</v>
      </c>
      <c r="C14" s="39">
        <v>4184</v>
      </c>
      <c r="D14" s="39">
        <v>5650</v>
      </c>
      <c r="E14" s="39">
        <v>5203</v>
      </c>
      <c r="F14" s="39">
        <v>6566</v>
      </c>
      <c r="G14" s="40">
        <f t="shared" si="1"/>
        <v>1.6516884198153634</v>
      </c>
      <c r="H14" s="40">
        <f t="shared" si="2"/>
        <v>1.1724091551032303</v>
      </c>
      <c r="I14" s="40">
        <f t="shared" si="3"/>
        <v>1.4129203438022813</v>
      </c>
      <c r="J14" s="40">
        <f t="shared" si="4"/>
        <v>1.5165647462093168</v>
      </c>
      <c r="K14" s="40">
        <f t="shared" si="5"/>
        <v>1.5876738860772657</v>
      </c>
      <c r="L14" s="40">
        <f t="shared" si="6"/>
        <v>1.4682513102014916</v>
      </c>
      <c r="M14" s="41">
        <f t="shared" si="0"/>
        <v>5.028517253314857</v>
      </c>
      <c r="N14" s="42">
        <f t="shared" si="7"/>
        <v>0.22872830964558175</v>
      </c>
      <c r="O14" s="42">
        <f t="shared" si="8"/>
        <v>-0.14006032111031955</v>
      </c>
      <c r="P14" s="43" t="str">
        <f t="shared" si="9"/>
        <v>Consolidado</v>
      </c>
    </row>
    <row r="15" spans="1:16" x14ac:dyDescent="0.3">
      <c r="A15" s="14" t="s">
        <v>11</v>
      </c>
      <c r="B15" s="2">
        <v>12932</v>
      </c>
      <c r="C15" s="2">
        <v>186</v>
      </c>
      <c r="D15" s="3">
        <v>94</v>
      </c>
      <c r="E15" s="2">
        <v>505</v>
      </c>
      <c r="F15" s="2">
        <v>4828</v>
      </c>
      <c r="G15" s="16">
        <f t="shared" si="1"/>
        <v>3.9584200602394883</v>
      </c>
      <c r="H15" s="16">
        <f t="shared" si="2"/>
        <v>5.2119527449617786E-2</v>
      </c>
      <c r="I15" s="16">
        <f t="shared" si="3"/>
        <v>2.3506993330515827E-2</v>
      </c>
      <c r="J15" s="16">
        <f t="shared" si="4"/>
        <v>0.14719684736415625</v>
      </c>
      <c r="K15" s="16">
        <f t="shared" si="5"/>
        <v>1.167421492839025</v>
      </c>
      <c r="L15" s="16">
        <f t="shared" si="6"/>
        <v>1.0697329842445604</v>
      </c>
      <c r="M15" s="19">
        <f t="shared" si="0"/>
        <v>-21.832649558601613</v>
      </c>
      <c r="N15" s="18">
        <f t="shared" si="7"/>
        <v>0.10933005316004173</v>
      </c>
      <c r="O15" s="18">
        <f t="shared" si="8"/>
        <v>-0.45793986588197444</v>
      </c>
      <c r="P15" s="22" t="str">
        <f t="shared" si="9"/>
        <v>Consolidado</v>
      </c>
    </row>
    <row r="16" spans="1:16" x14ac:dyDescent="0.3">
      <c r="A16" s="13" t="s">
        <v>12</v>
      </c>
      <c r="B16" s="6">
        <v>200</v>
      </c>
      <c r="C16" s="6">
        <v>132</v>
      </c>
      <c r="D16" s="4">
        <v>223</v>
      </c>
      <c r="E16" s="4">
        <v>316</v>
      </c>
      <c r="F16" s="9">
        <v>4562</v>
      </c>
      <c r="G16" s="16">
        <f t="shared" si="1"/>
        <v>6.1218992580258105E-2</v>
      </c>
      <c r="H16" s="16">
        <f t="shared" si="2"/>
        <v>3.6988051738438429E-2</v>
      </c>
      <c r="I16" s="16">
        <f t="shared" si="3"/>
        <v>5.5766590560691803E-2</v>
      </c>
      <c r="J16" s="16">
        <f t="shared" si="4"/>
        <v>9.2107334192224513E-2</v>
      </c>
      <c r="K16" s="16">
        <f t="shared" si="5"/>
        <v>1.10310208167598</v>
      </c>
      <c r="L16" s="16">
        <f t="shared" si="6"/>
        <v>0.26983661014951854</v>
      </c>
      <c r="M16" s="19">
        <f t="shared" si="0"/>
        <v>118.5401925162468</v>
      </c>
      <c r="N16" s="18">
        <f t="shared" si="7"/>
        <v>-0.13032324811969631</v>
      </c>
      <c r="O16" s="18">
        <f t="shared" si="8"/>
        <v>1.203255846482264</v>
      </c>
      <c r="P16" s="22" t="str">
        <f t="shared" si="9"/>
        <v>prometedor</v>
      </c>
    </row>
    <row r="17" spans="1:16" x14ac:dyDescent="0.3">
      <c r="A17" s="13" t="s">
        <v>13</v>
      </c>
      <c r="B17" s="4">
        <v>2796</v>
      </c>
      <c r="C17" s="4">
        <v>3792</v>
      </c>
      <c r="D17" s="4">
        <v>3538</v>
      </c>
      <c r="E17" s="7">
        <v>3504</v>
      </c>
      <c r="F17" s="4">
        <v>4011</v>
      </c>
      <c r="G17" s="16">
        <f t="shared" si="1"/>
        <v>0.85584151627200822</v>
      </c>
      <c r="H17" s="16">
        <f t="shared" si="2"/>
        <v>1.062565849940595</v>
      </c>
      <c r="I17" s="16">
        <f t="shared" si="3"/>
        <v>0.88476321705707439</v>
      </c>
      <c r="J17" s="16">
        <f t="shared" si="4"/>
        <v>1.0213420854732744</v>
      </c>
      <c r="K17" s="16">
        <f t="shared" si="5"/>
        <v>0.96986901569538708</v>
      </c>
      <c r="L17" s="16">
        <f t="shared" si="6"/>
        <v>0.95887633688766782</v>
      </c>
      <c r="M17" s="19">
        <f t="shared" si="0"/>
        <v>9.4407029045085125</v>
      </c>
      <c r="N17" s="18">
        <f t="shared" si="7"/>
        <v>7.6116799083300032E-2</v>
      </c>
      <c r="O17" s="18">
        <f t="shared" si="8"/>
        <v>-8.7845777487916152E-2</v>
      </c>
      <c r="P17" s="22" t="str">
        <f t="shared" si="9"/>
        <v>Consolidado</v>
      </c>
    </row>
    <row r="18" spans="1:16" x14ac:dyDescent="0.3">
      <c r="A18" s="13" t="s">
        <v>14</v>
      </c>
      <c r="B18" s="4">
        <v>1954</v>
      </c>
      <c r="C18" s="4">
        <v>1905</v>
      </c>
      <c r="D18" s="4">
        <v>2425</v>
      </c>
      <c r="E18" s="4">
        <v>2438</v>
      </c>
      <c r="F18" s="4">
        <v>3603</v>
      </c>
      <c r="G18" s="16">
        <f t="shared" si="1"/>
        <v>0.59810955750912165</v>
      </c>
      <c r="H18" s="16">
        <f t="shared" si="2"/>
        <v>0.53380483758882735</v>
      </c>
      <c r="I18" s="16">
        <f t="shared" si="3"/>
        <v>0.6064304130478817</v>
      </c>
      <c r="J18" s="16">
        <f t="shared" si="4"/>
        <v>0.71062557202735233</v>
      </c>
      <c r="K18" s="16">
        <f t="shared" si="5"/>
        <v>0.87121367827237095</v>
      </c>
      <c r="L18" s="16">
        <f t="shared" si="6"/>
        <v>0.66403681168911088</v>
      </c>
      <c r="M18" s="19">
        <f t="shared" si="0"/>
        <v>16.529243133029993</v>
      </c>
      <c r="N18" s="18">
        <f t="shared" si="7"/>
        <v>-1.2218725179482925E-2</v>
      </c>
      <c r="O18" s="18">
        <f t="shared" si="8"/>
        <v>-3.9588057597060968E-3</v>
      </c>
      <c r="P18" s="22" t="str">
        <f t="shared" si="9"/>
        <v>estancado</v>
      </c>
    </row>
    <row r="19" spans="1:16" x14ac:dyDescent="0.3">
      <c r="A19" s="14" t="s">
        <v>15</v>
      </c>
      <c r="B19" s="2">
        <v>1472</v>
      </c>
      <c r="C19" s="2">
        <v>1225</v>
      </c>
      <c r="D19" s="3">
        <v>811</v>
      </c>
      <c r="E19" s="3">
        <v>1721</v>
      </c>
      <c r="F19" s="2">
        <v>3523</v>
      </c>
      <c r="G19" s="16">
        <f t="shared" si="1"/>
        <v>0.45057178539069959</v>
      </c>
      <c r="H19" s="16">
        <f t="shared" si="2"/>
        <v>0.34326032863323541</v>
      </c>
      <c r="I19" s="16">
        <f t="shared" si="3"/>
        <v>0.20281033607498231</v>
      </c>
      <c r="J19" s="16">
        <f t="shared" si="4"/>
        <v>0.50163519666081768</v>
      </c>
      <c r="K19" s="16">
        <f t="shared" si="5"/>
        <v>0.85186949446393634</v>
      </c>
      <c r="L19" s="16">
        <f t="shared" si="6"/>
        <v>0.47002942824473426</v>
      </c>
      <c r="M19" s="19">
        <f t="shared" si="0"/>
        <v>24.380187823326558</v>
      </c>
      <c r="N19" s="18">
        <f t="shared" si="7"/>
        <v>-7.0344391729340899E-2</v>
      </c>
      <c r="O19" s="18">
        <f t="shared" si="8"/>
        <v>8.8950588000201655E-2</v>
      </c>
      <c r="P19" s="22" t="str">
        <f t="shared" si="9"/>
        <v>prometedor</v>
      </c>
    </row>
    <row r="20" spans="1:16" x14ac:dyDescent="0.3">
      <c r="A20" s="13" t="s">
        <v>16</v>
      </c>
      <c r="B20" s="4">
        <v>2610</v>
      </c>
      <c r="C20" s="4">
        <v>2863</v>
      </c>
      <c r="D20" s="4">
        <v>2883</v>
      </c>
      <c r="E20" s="4">
        <v>3548</v>
      </c>
      <c r="F20" s="4">
        <v>2977</v>
      </c>
      <c r="G20" s="16">
        <f t="shared" si="1"/>
        <v>0.79890785317236823</v>
      </c>
      <c r="H20" s="16">
        <f t="shared" si="2"/>
        <v>0.80224842520567585</v>
      </c>
      <c r="I20" s="16">
        <f t="shared" si="3"/>
        <v>0.72096448693486315</v>
      </c>
      <c r="J20" s="16">
        <f t="shared" si="4"/>
        <v>1.0341671573228246</v>
      </c>
      <c r="K20" s="16">
        <f t="shared" si="5"/>
        <v>0.71984543997137052</v>
      </c>
      <c r="L20" s="16">
        <f t="shared" si="6"/>
        <v>0.81522667252142045</v>
      </c>
      <c r="M20" s="19">
        <f t="shared" si="0"/>
        <v>3.343836910144482</v>
      </c>
      <c r="N20" s="18">
        <f t="shared" si="7"/>
        <v>3.3078578873781864E-2</v>
      </c>
      <c r="O20" s="18">
        <f t="shared" si="8"/>
        <v>-0.15999711031692906</v>
      </c>
      <c r="P20" s="22" t="str">
        <f t="shared" si="9"/>
        <v>Consolidado</v>
      </c>
    </row>
    <row r="21" spans="1:16" x14ac:dyDescent="0.3">
      <c r="A21" s="14" t="s">
        <v>17</v>
      </c>
      <c r="B21" s="2">
        <v>25356</v>
      </c>
      <c r="C21" s="2">
        <v>12613</v>
      </c>
      <c r="D21" s="2">
        <v>11107</v>
      </c>
      <c r="E21" s="2">
        <v>4034</v>
      </c>
      <c r="F21" s="2">
        <v>2968</v>
      </c>
      <c r="G21" s="16">
        <f t="shared" si="1"/>
        <v>7.7613438793251222</v>
      </c>
      <c r="H21" s="16">
        <f t="shared" si="2"/>
        <v>3.5343204286130603</v>
      </c>
      <c r="I21" s="16">
        <f t="shared" si="3"/>
        <v>2.7775763289578652</v>
      </c>
      <c r="J21" s="16">
        <f t="shared" si="4"/>
        <v>1.1758259054792204</v>
      </c>
      <c r="K21" s="16">
        <f t="shared" si="5"/>
        <v>0.71766921929292171</v>
      </c>
      <c r="L21" s="16">
        <f t="shared" si="6"/>
        <v>3.1933471523336379</v>
      </c>
      <c r="M21" s="19">
        <f t="shared" si="0"/>
        <v>-41.50809198098051</v>
      </c>
      <c r="N21" s="18">
        <f t="shared" si="7"/>
        <v>0.74557640019811677</v>
      </c>
      <c r="O21" s="18">
        <f t="shared" si="8"/>
        <v>-0.69078234529474702</v>
      </c>
      <c r="P21" s="22" t="str">
        <f t="shared" si="9"/>
        <v>Consolidado</v>
      </c>
    </row>
    <row r="22" spans="1:16" x14ac:dyDescent="0.3">
      <c r="A22" s="13" t="s">
        <v>18</v>
      </c>
      <c r="B22" s="4">
        <v>1</v>
      </c>
      <c r="C22" s="4">
        <v>9</v>
      </c>
      <c r="D22" s="4">
        <v>4</v>
      </c>
      <c r="E22" s="4">
        <v>21</v>
      </c>
      <c r="F22" s="9">
        <v>2915</v>
      </c>
      <c r="G22" s="16">
        <f t="shared" si="1"/>
        <v>3.0609496290129052E-4</v>
      </c>
      <c r="H22" s="16">
        <f t="shared" si="2"/>
        <v>2.521912618529893E-3</v>
      </c>
      <c r="I22" s="16">
        <f t="shared" si="3"/>
        <v>1.0002975885325884E-3</v>
      </c>
      <c r="J22" s="16">
        <f t="shared" si="4"/>
        <v>6.1210570191035278E-3</v>
      </c>
      <c r="K22" s="16">
        <f t="shared" si="5"/>
        <v>0.70485369751983384</v>
      </c>
      <c r="L22" s="16">
        <f t="shared" si="6"/>
        <v>0.14296061194178022</v>
      </c>
      <c r="M22" s="19">
        <f t="shared" si="0"/>
        <v>634.78391345192324</v>
      </c>
      <c r="N22" s="18">
        <f t="shared" si="7"/>
        <v>-0.16833598677980907</v>
      </c>
      <c r="O22" s="18">
        <f t="shared" si="8"/>
        <v>7.3125704623111121</v>
      </c>
      <c r="P22" s="22" t="str">
        <f t="shared" si="9"/>
        <v>prometedor</v>
      </c>
    </row>
    <row r="23" spans="1:16" s="37" customFormat="1" x14ac:dyDescent="0.3">
      <c r="A23" s="30" t="s">
        <v>19</v>
      </c>
      <c r="B23" s="31">
        <v>626</v>
      </c>
      <c r="C23" s="32">
        <v>686</v>
      </c>
      <c r="D23" s="32">
        <v>931</v>
      </c>
      <c r="E23" s="32">
        <v>2380</v>
      </c>
      <c r="F23" s="32">
        <v>2111</v>
      </c>
      <c r="G23" s="33">
        <f t="shared" si="1"/>
        <v>0.19161544677620784</v>
      </c>
      <c r="H23" s="33">
        <f t="shared" si="2"/>
        <v>0.19222578403461185</v>
      </c>
      <c r="I23" s="33">
        <f t="shared" si="3"/>
        <v>0.23281926373095999</v>
      </c>
      <c r="J23" s="33">
        <f t="shared" si="4"/>
        <v>0.69371979549839979</v>
      </c>
      <c r="K23" s="33">
        <f t="shared" si="5"/>
        <v>0.51044465024506669</v>
      </c>
      <c r="L23" s="33">
        <f t="shared" si="6"/>
        <v>0.36416498805704922</v>
      </c>
      <c r="M23" s="34">
        <f t="shared" si="0"/>
        <v>35.512224664320378</v>
      </c>
      <c r="N23" s="35">
        <f t="shared" si="7"/>
        <v>-0.10206195340451807</v>
      </c>
      <c r="O23" s="35">
        <f t="shared" si="8"/>
        <v>0.22068897554584432</v>
      </c>
      <c r="P23" s="36" t="str">
        <f t="shared" si="9"/>
        <v>prometedor</v>
      </c>
    </row>
    <row r="24" spans="1:16" x14ac:dyDescent="0.3">
      <c r="A24" s="13" t="s">
        <v>20</v>
      </c>
      <c r="B24" s="4">
        <v>1904</v>
      </c>
      <c r="C24" s="4">
        <v>1647</v>
      </c>
      <c r="D24" s="4">
        <v>789</v>
      </c>
      <c r="E24" s="4">
        <v>969</v>
      </c>
      <c r="F24" s="4">
        <v>821</v>
      </c>
      <c r="G24" s="16">
        <f t="shared" si="1"/>
        <v>0.5828048093640571</v>
      </c>
      <c r="H24" s="16">
        <f t="shared" si="2"/>
        <v>0.4615100091909704</v>
      </c>
      <c r="I24" s="16">
        <f t="shared" si="3"/>
        <v>0.19730869933805309</v>
      </c>
      <c r="J24" s="16">
        <f t="shared" si="4"/>
        <v>0.28244305959577709</v>
      </c>
      <c r="K24" s="16">
        <f t="shared" si="5"/>
        <v>0.19851968633405956</v>
      </c>
      <c r="L24" s="16">
        <f t="shared" si="6"/>
        <v>0.34451725276458339</v>
      </c>
      <c r="M24" s="19">
        <f t="shared" si="0"/>
        <v>-18.965668584346453</v>
      </c>
      <c r="N24" s="18">
        <f t="shared" si="7"/>
        <v>-0.10794852168761218</v>
      </c>
      <c r="O24" s="18">
        <f t="shared" si="8"/>
        <v>-0.42401153308293454</v>
      </c>
      <c r="P24" s="22" t="str">
        <f t="shared" si="9"/>
        <v>estancado</v>
      </c>
    </row>
    <row r="25" spans="1:16" x14ac:dyDescent="0.3">
      <c r="A25" s="14" t="s">
        <v>21</v>
      </c>
      <c r="B25" s="2">
        <v>105</v>
      </c>
      <c r="C25" s="2">
        <v>345</v>
      </c>
      <c r="D25" s="2">
        <v>207</v>
      </c>
      <c r="E25" s="2">
        <v>381</v>
      </c>
      <c r="F25" s="2">
        <v>689</v>
      </c>
      <c r="G25" s="16">
        <f t="shared" si="1"/>
        <v>3.2139971104635505E-2</v>
      </c>
      <c r="H25" s="16">
        <f t="shared" si="2"/>
        <v>9.6673317043645901E-2</v>
      </c>
      <c r="I25" s="16">
        <f t="shared" si="3"/>
        <v>5.1765400206561452E-2</v>
      </c>
      <c r="J25" s="16">
        <f t="shared" si="4"/>
        <v>0.11105346306087829</v>
      </c>
      <c r="K25" s="16">
        <f t="shared" si="5"/>
        <v>0.16660178305014253</v>
      </c>
      <c r="L25" s="16">
        <f t="shared" si="6"/>
        <v>9.1646786893172738E-2</v>
      </c>
      <c r="M25" s="19">
        <f t="shared" si="0"/>
        <v>60.050664174667887</v>
      </c>
      <c r="N25" s="18">
        <f t="shared" si="7"/>
        <v>-0.1837098876655362</v>
      </c>
      <c r="O25" s="18">
        <f t="shared" si="8"/>
        <v>0.51108097659233676</v>
      </c>
      <c r="P25" s="22" t="str">
        <f t="shared" si="9"/>
        <v>prometedor</v>
      </c>
    </row>
    <row r="26" spans="1:16" x14ac:dyDescent="0.3">
      <c r="A26" s="13" t="s">
        <v>22</v>
      </c>
      <c r="B26" s="4">
        <v>37</v>
      </c>
      <c r="C26" s="4">
        <v>53</v>
      </c>
      <c r="D26" s="4">
        <v>16</v>
      </c>
      <c r="E26" s="4">
        <v>91</v>
      </c>
      <c r="F26" s="4">
        <v>651</v>
      </c>
      <c r="G26" s="16">
        <f t="shared" si="1"/>
        <v>1.1325513627347749E-2</v>
      </c>
      <c r="H26" s="16">
        <f t="shared" si="2"/>
        <v>1.4851263198009369E-2</v>
      </c>
      <c r="I26" s="16">
        <f t="shared" si="3"/>
        <v>4.0011903541303535E-3</v>
      </c>
      <c r="J26" s="16">
        <f t="shared" si="4"/>
        <v>2.6524580416115287E-2</v>
      </c>
      <c r="K26" s="16">
        <f t="shared" si="5"/>
        <v>0.15741329574113613</v>
      </c>
      <c r="L26" s="16">
        <f t="shared" si="6"/>
        <v>4.2823168667347776E-2</v>
      </c>
      <c r="M26" s="19">
        <f t="shared" si="0"/>
        <v>104.80700944374051</v>
      </c>
      <c r="N26" s="18">
        <f t="shared" si="7"/>
        <v>-0.19833770905237283</v>
      </c>
      <c r="O26" s="18">
        <f t="shared" si="8"/>
        <v>1.0407350589855189</v>
      </c>
      <c r="P26" s="22" t="str">
        <f t="shared" si="9"/>
        <v>prometedor</v>
      </c>
    </row>
    <row r="27" spans="1:16" x14ac:dyDescent="0.3">
      <c r="A27" s="14" t="s">
        <v>23</v>
      </c>
      <c r="B27" s="2">
        <v>286</v>
      </c>
      <c r="C27" s="2">
        <v>175</v>
      </c>
      <c r="D27" s="2">
        <v>150</v>
      </c>
      <c r="E27" s="2">
        <v>321</v>
      </c>
      <c r="F27" s="2">
        <v>589</v>
      </c>
      <c r="G27" s="16">
        <f t="shared" si="1"/>
        <v>8.7543159389769074E-2</v>
      </c>
      <c r="H27" s="16">
        <f t="shared" si="2"/>
        <v>4.9037189804747923E-2</v>
      </c>
      <c r="I27" s="16">
        <f t="shared" si="3"/>
        <v>3.7511159569972072E-2</v>
      </c>
      <c r="J27" s="16">
        <f t="shared" si="4"/>
        <v>9.3564728720582496E-2</v>
      </c>
      <c r="K27" s="16">
        <f t="shared" si="5"/>
        <v>0.14242155328959935</v>
      </c>
      <c r="L27" s="16">
        <f t="shared" si="6"/>
        <v>8.2015558154934193E-2</v>
      </c>
      <c r="M27" s="19">
        <f t="shared" si="0"/>
        <v>19.794620323850264</v>
      </c>
      <c r="N27" s="18">
        <f t="shared" si="7"/>
        <v>-0.18659545614321615</v>
      </c>
      <c r="O27" s="18">
        <f t="shared" si="8"/>
        <v>3.468421456006663E-2</v>
      </c>
      <c r="P27" s="22" t="str">
        <f t="shared" si="9"/>
        <v>prometedor</v>
      </c>
    </row>
    <row r="28" spans="1:16" x14ac:dyDescent="0.3">
      <c r="A28" s="13" t="s">
        <v>24</v>
      </c>
      <c r="B28" s="4">
        <v>3075</v>
      </c>
      <c r="C28" s="4">
        <v>3079</v>
      </c>
      <c r="D28" s="4">
        <v>6595</v>
      </c>
      <c r="E28" s="6">
        <v>4346</v>
      </c>
      <c r="F28" s="9">
        <v>561</v>
      </c>
      <c r="G28" s="16">
        <f t="shared" si="1"/>
        <v>0.9412420109214682</v>
      </c>
      <c r="H28" s="16">
        <f t="shared" si="2"/>
        <v>0.86277432805039345</v>
      </c>
      <c r="I28" s="16">
        <f t="shared" si="3"/>
        <v>1.6492406490931051</v>
      </c>
      <c r="J28" s="16">
        <f t="shared" si="4"/>
        <v>1.2667673240487585</v>
      </c>
      <c r="K28" s="16">
        <f t="shared" si="5"/>
        <v>0.13565108895664726</v>
      </c>
      <c r="L28" s="16">
        <f t="shared" si="6"/>
        <v>0.97113508021407446</v>
      </c>
      <c r="M28" s="19">
        <f t="shared" si="0"/>
        <v>-34.644907256542737</v>
      </c>
      <c r="N28" s="18">
        <f t="shared" si="7"/>
        <v>7.9789585212675887E-2</v>
      </c>
      <c r="O28" s="18">
        <f t="shared" si="8"/>
        <v>-0.60956226832771832</v>
      </c>
      <c r="P28" s="22" t="str">
        <f t="shared" si="9"/>
        <v>Consolidado</v>
      </c>
    </row>
    <row r="29" spans="1:16" x14ac:dyDescent="0.3">
      <c r="A29" s="14" t="s">
        <v>25</v>
      </c>
      <c r="B29" s="2">
        <v>17</v>
      </c>
      <c r="C29" s="2">
        <v>15</v>
      </c>
      <c r="D29" s="2">
        <v>10</v>
      </c>
      <c r="E29" s="2">
        <v>3</v>
      </c>
      <c r="F29" s="5">
        <v>560</v>
      </c>
      <c r="G29" s="16">
        <f t="shared" si="1"/>
        <v>5.203614369321939E-3</v>
      </c>
      <c r="H29" s="16">
        <f t="shared" si="2"/>
        <v>4.2031876975498223E-3</v>
      </c>
      <c r="I29" s="16">
        <f t="shared" si="3"/>
        <v>2.5007439713314711E-3</v>
      </c>
      <c r="J29" s="16">
        <f t="shared" si="4"/>
        <v>8.7443671701478958E-4</v>
      </c>
      <c r="K29" s="16">
        <f t="shared" si="5"/>
        <v>0.13540928665904184</v>
      </c>
      <c r="L29" s="16">
        <f t="shared" si="6"/>
        <v>2.9638253882851972E-2</v>
      </c>
      <c r="M29" s="19">
        <f t="shared" si="0"/>
        <v>139.57129276763345</v>
      </c>
      <c r="N29" s="18">
        <f t="shared" si="7"/>
        <v>-0.20228798118452404</v>
      </c>
      <c r="O29" s="18">
        <f t="shared" si="8"/>
        <v>1.4521414075887156</v>
      </c>
      <c r="P29" s="22" t="str">
        <f t="shared" si="9"/>
        <v>prometedor</v>
      </c>
    </row>
    <row r="30" spans="1:16" s="44" customFormat="1" x14ac:dyDescent="0.3">
      <c r="A30" s="38" t="s">
        <v>26</v>
      </c>
      <c r="B30" s="39">
        <v>1208</v>
      </c>
      <c r="C30" s="39">
        <v>981</v>
      </c>
      <c r="D30" s="39">
        <v>1304</v>
      </c>
      <c r="E30" s="39">
        <v>944</v>
      </c>
      <c r="F30" s="39">
        <v>530</v>
      </c>
      <c r="G30" s="40">
        <f t="shared" si="1"/>
        <v>0.36976271518475895</v>
      </c>
      <c r="H30" s="40">
        <f t="shared" si="2"/>
        <v>0.27488847541975836</v>
      </c>
      <c r="I30" s="40">
        <f t="shared" si="3"/>
        <v>0.32609701386162382</v>
      </c>
      <c r="J30" s="40">
        <f t="shared" si="4"/>
        <v>0.27515608695398713</v>
      </c>
      <c r="K30" s="40">
        <f t="shared" si="5"/>
        <v>0.12815521773087887</v>
      </c>
      <c r="L30" s="40">
        <f t="shared" si="6"/>
        <v>0.27481190183020143</v>
      </c>
      <c r="M30" s="41">
        <f t="shared" si="0"/>
        <v>-18.613525928714093</v>
      </c>
      <c r="N30" s="42">
        <f t="shared" si="7"/>
        <v>-0.12883262369043291</v>
      </c>
      <c r="O30" s="42">
        <f t="shared" si="8"/>
        <v>-0.41984421794540172</v>
      </c>
      <c r="P30" s="43" t="str">
        <f t="shared" si="9"/>
        <v>estancado</v>
      </c>
    </row>
    <row r="31" spans="1:16" x14ac:dyDescent="0.3">
      <c r="A31" s="14" t="s">
        <v>27</v>
      </c>
      <c r="B31" s="2">
        <v>394</v>
      </c>
      <c r="C31" s="2">
        <v>420</v>
      </c>
      <c r="D31" s="2">
        <v>217</v>
      </c>
      <c r="E31" s="2">
        <v>273</v>
      </c>
      <c r="F31" s="2">
        <v>472</v>
      </c>
      <c r="G31" s="16">
        <f t="shared" si="1"/>
        <v>0.12060141538310847</v>
      </c>
      <c r="H31" s="16">
        <f t="shared" si="2"/>
        <v>0.11768925553139502</v>
      </c>
      <c r="I31" s="16">
        <f t="shared" si="3"/>
        <v>5.4266144177892925E-2</v>
      </c>
      <c r="J31" s="16">
        <f t="shared" si="4"/>
        <v>7.9573741248345861E-2</v>
      </c>
      <c r="K31" s="16">
        <f t="shared" si="5"/>
        <v>0.11413068446976384</v>
      </c>
      <c r="L31" s="16">
        <f t="shared" si="6"/>
        <v>9.7252248162101221E-2</v>
      </c>
      <c r="M31" s="19">
        <f t="shared" si="0"/>
        <v>4.6192119128044551</v>
      </c>
      <c r="N31" s="18">
        <f t="shared" si="7"/>
        <v>-0.18203046100253348</v>
      </c>
      <c r="O31" s="18">
        <f t="shared" si="8"/>
        <v>-0.14490410903007336</v>
      </c>
      <c r="P31" s="22" t="str">
        <f t="shared" si="9"/>
        <v>estancado</v>
      </c>
    </row>
    <row r="32" spans="1:16" x14ac:dyDescent="0.3">
      <c r="A32" s="13" t="s">
        <v>28</v>
      </c>
      <c r="B32" s="4">
        <v>1460</v>
      </c>
      <c r="C32" s="4">
        <v>1819</v>
      </c>
      <c r="D32" s="4">
        <v>3035</v>
      </c>
      <c r="E32" s="9">
        <v>2304</v>
      </c>
      <c r="F32" s="9">
        <v>451</v>
      </c>
      <c r="G32" s="16">
        <f t="shared" si="1"/>
        <v>0.44689864583588418</v>
      </c>
      <c r="H32" s="16">
        <f t="shared" si="2"/>
        <v>0.50970656145620841</v>
      </c>
      <c r="I32" s="16">
        <f t="shared" si="3"/>
        <v>0.75897579529910153</v>
      </c>
      <c r="J32" s="16">
        <f t="shared" si="4"/>
        <v>0.67156739866735837</v>
      </c>
      <c r="K32" s="16">
        <f t="shared" si="5"/>
        <v>0.10905283622004976</v>
      </c>
      <c r="L32" s="16">
        <f t="shared" si="6"/>
        <v>0.49924024749572044</v>
      </c>
      <c r="M32" s="19">
        <f t="shared" si="0"/>
        <v>-25.448579736104826</v>
      </c>
      <c r="N32" s="18">
        <f t="shared" si="7"/>
        <v>-6.1592671514951243E-2</v>
      </c>
      <c r="O32" s="18">
        <f t="shared" si="8"/>
        <v>-0.50073138893081259</v>
      </c>
      <c r="P32" s="22" t="str">
        <f t="shared" si="9"/>
        <v>estancado</v>
      </c>
    </row>
    <row r="33" spans="1:16" x14ac:dyDescent="0.3">
      <c r="A33" s="14" t="s">
        <v>29</v>
      </c>
      <c r="B33" s="5">
        <v>1127</v>
      </c>
      <c r="C33" s="5">
        <v>895</v>
      </c>
      <c r="D33" s="5">
        <v>2159</v>
      </c>
      <c r="E33" s="5">
        <v>48</v>
      </c>
      <c r="F33" s="5">
        <v>446</v>
      </c>
      <c r="G33" s="16">
        <f t="shared" si="1"/>
        <v>0.34496902318975436</v>
      </c>
      <c r="H33" s="16">
        <f t="shared" si="2"/>
        <v>0.25079019928713936</v>
      </c>
      <c r="I33" s="16">
        <f t="shared" si="3"/>
        <v>0.53991062341046459</v>
      </c>
      <c r="J33" s="16">
        <f t="shared" si="4"/>
        <v>1.3990987472236633E-2</v>
      </c>
      <c r="K33" s="16">
        <f t="shared" si="5"/>
        <v>0.10784382473202261</v>
      </c>
      <c r="L33" s="16">
        <f t="shared" si="6"/>
        <v>0.25150093161832354</v>
      </c>
      <c r="M33" s="19">
        <f t="shared" si="0"/>
        <v>-20.685473539058396</v>
      </c>
      <c r="N33" s="18">
        <f t="shared" si="7"/>
        <v>-0.13581671706581605</v>
      </c>
      <c r="O33" s="18">
        <f t="shared" si="8"/>
        <v>-0.44436399282259637</v>
      </c>
      <c r="P33" s="22" t="str">
        <f t="shared" si="9"/>
        <v>estancado</v>
      </c>
    </row>
    <row r="34" spans="1:16" x14ac:dyDescent="0.3">
      <c r="A34" s="13" t="s">
        <v>30</v>
      </c>
      <c r="B34" s="4">
        <v>677</v>
      </c>
      <c r="C34" s="4">
        <v>1139</v>
      </c>
      <c r="D34" s="4">
        <v>1694</v>
      </c>
      <c r="E34" s="4">
        <v>822</v>
      </c>
      <c r="F34" s="4">
        <v>435</v>
      </c>
      <c r="G34" s="16">
        <f t="shared" si="1"/>
        <v>0.20722628988417369</v>
      </c>
      <c r="H34" s="16">
        <f t="shared" si="2"/>
        <v>0.31916205250061647</v>
      </c>
      <c r="I34" s="16">
        <f t="shared" si="3"/>
        <v>0.42362602874355126</v>
      </c>
      <c r="J34" s="16">
        <f t="shared" si="4"/>
        <v>0.23959566046205236</v>
      </c>
      <c r="K34" s="16">
        <f t="shared" si="5"/>
        <v>0.10518399945836285</v>
      </c>
      <c r="L34" s="16">
        <f t="shared" si="6"/>
        <v>0.25895880620975131</v>
      </c>
      <c r="M34" s="19">
        <f t="shared" si="0"/>
        <v>-10.468647112143225</v>
      </c>
      <c r="N34" s="18">
        <f t="shared" si="7"/>
        <v>-0.13358229730314616</v>
      </c>
      <c r="O34" s="18">
        <f t="shared" si="8"/>
        <v>-0.32345635852883908</v>
      </c>
      <c r="P34" s="22" t="str">
        <f t="shared" si="9"/>
        <v>estancado</v>
      </c>
    </row>
    <row r="35" spans="1:16" x14ac:dyDescent="0.3">
      <c r="A35" s="14" t="s">
        <v>31</v>
      </c>
      <c r="B35" s="5">
        <v>51</v>
      </c>
      <c r="C35" s="5">
        <v>410</v>
      </c>
      <c r="D35" s="5">
        <v>2110</v>
      </c>
      <c r="E35" s="5">
        <v>2565</v>
      </c>
      <c r="F35" s="5">
        <v>410</v>
      </c>
      <c r="G35" s="16">
        <f t="shared" si="1"/>
        <v>1.5610843107965816E-2</v>
      </c>
      <c r="H35" s="16">
        <f t="shared" si="2"/>
        <v>0.11488713039969511</v>
      </c>
      <c r="I35" s="16">
        <f t="shared" si="3"/>
        <v>0.52765697795094046</v>
      </c>
      <c r="J35" s="16">
        <f t="shared" si="4"/>
        <v>0.74764339304764516</v>
      </c>
      <c r="K35" s="16">
        <f t="shared" si="5"/>
        <v>9.9138942018227053E-2</v>
      </c>
      <c r="L35" s="16">
        <f t="shared" si="6"/>
        <v>0.30098745730489473</v>
      </c>
      <c r="M35" s="19">
        <f t="shared" si="0"/>
        <v>68.385007328935046</v>
      </c>
      <c r="N35" s="18">
        <f t="shared" si="7"/>
        <v>-0.12099028500070182</v>
      </c>
      <c r="O35" s="18">
        <f t="shared" si="8"/>
        <v>0.60971098869865681</v>
      </c>
      <c r="P35" s="22" t="str">
        <f t="shared" si="9"/>
        <v>prometedor</v>
      </c>
    </row>
    <row r="36" spans="1:16" x14ac:dyDescent="0.3">
      <c r="A36" s="13" t="s">
        <v>32</v>
      </c>
      <c r="B36" s="9">
        <v>333</v>
      </c>
      <c r="C36" s="9">
        <v>814</v>
      </c>
      <c r="D36" s="9">
        <v>148</v>
      </c>
      <c r="E36" s="9">
        <v>500</v>
      </c>
      <c r="F36" s="9">
        <v>376</v>
      </c>
      <c r="G36" s="16">
        <f t="shared" si="1"/>
        <v>0.10192962264612973</v>
      </c>
      <c r="H36" s="16">
        <f t="shared" si="2"/>
        <v>0.22809298572037032</v>
      </c>
      <c r="I36" s="16">
        <f t="shared" si="3"/>
        <v>3.7011010775705774E-2</v>
      </c>
      <c r="J36" s="16">
        <f t="shared" si="4"/>
        <v>0.14573945283579826</v>
      </c>
      <c r="K36" s="16">
        <f t="shared" si="5"/>
        <v>9.091766389964237E-2</v>
      </c>
      <c r="L36" s="16">
        <f t="shared" si="6"/>
        <v>0.1207381471755293</v>
      </c>
      <c r="M36" s="19">
        <f t="shared" si="0"/>
        <v>3.0827278994771445</v>
      </c>
      <c r="N36" s="18">
        <f t="shared" si="7"/>
        <v>-0.17499395800743198</v>
      </c>
      <c r="O36" s="18">
        <f t="shared" si="8"/>
        <v>-0.1630871180603711</v>
      </c>
      <c r="P36" s="22" t="str">
        <f t="shared" si="9"/>
        <v>estancado</v>
      </c>
    </row>
    <row r="37" spans="1:16" x14ac:dyDescent="0.3">
      <c r="A37" s="14" t="s">
        <v>33</v>
      </c>
      <c r="B37" s="15">
        <v>1</v>
      </c>
      <c r="C37" s="2">
        <v>26</v>
      </c>
      <c r="D37" s="5">
        <v>605</v>
      </c>
      <c r="E37" s="5">
        <v>467</v>
      </c>
      <c r="F37" s="5">
        <v>373</v>
      </c>
      <c r="G37" s="16">
        <f t="shared" si="1"/>
        <v>3.0609496290129052E-4</v>
      </c>
      <c r="H37" s="16">
        <f t="shared" si="2"/>
        <v>7.2855253424196917E-3</v>
      </c>
      <c r="I37" s="16">
        <f t="shared" si="3"/>
        <v>0.151295010265554</v>
      </c>
      <c r="J37" s="16">
        <f t="shared" si="4"/>
        <v>0.1361206489486356</v>
      </c>
      <c r="K37" s="16">
        <f t="shared" si="5"/>
        <v>9.0192257006826079E-2</v>
      </c>
      <c r="L37" s="16">
        <f t="shared" si="6"/>
        <v>7.703990730526733E-2</v>
      </c>
      <c r="M37" s="19">
        <f t="shared" si="0"/>
        <v>339.46795009224473</v>
      </c>
      <c r="N37" s="18">
        <f t="shared" si="7"/>
        <v>-0.18808618818145931</v>
      </c>
      <c r="O37" s="18">
        <f t="shared" si="8"/>
        <v>3.8177519142601235</v>
      </c>
      <c r="P37" s="22" t="str">
        <f t="shared" si="9"/>
        <v>prometedor</v>
      </c>
    </row>
    <row r="38" spans="1:16" x14ac:dyDescent="0.3">
      <c r="A38" s="13" t="s">
        <v>34</v>
      </c>
      <c r="B38" s="4">
        <v>1022</v>
      </c>
      <c r="C38" s="4">
        <v>422</v>
      </c>
      <c r="D38" s="4">
        <v>324</v>
      </c>
      <c r="E38" s="4">
        <v>391</v>
      </c>
      <c r="F38" s="4">
        <v>361</v>
      </c>
      <c r="G38" s="16">
        <f t="shared" si="1"/>
        <v>0.31282905208511885</v>
      </c>
      <c r="H38" s="16">
        <f t="shared" si="2"/>
        <v>0.11824968055773499</v>
      </c>
      <c r="I38" s="16">
        <f t="shared" si="3"/>
        <v>8.1024104671139657E-2</v>
      </c>
      <c r="J38" s="16">
        <f t="shared" si="4"/>
        <v>0.11396825211759425</v>
      </c>
      <c r="K38" s="16">
        <f t="shared" si="5"/>
        <v>8.7290629435560901E-2</v>
      </c>
      <c r="L38" s="16">
        <f t="shared" si="6"/>
        <v>0.14267234377342972</v>
      </c>
      <c r="M38" s="19">
        <f t="shared" si="0"/>
        <v>-22.907154369853377</v>
      </c>
      <c r="N38" s="18">
        <f t="shared" si="7"/>
        <v>-0.1684223534898435</v>
      </c>
      <c r="O38" s="18">
        <f t="shared" si="8"/>
        <v>-0.470655735696838</v>
      </c>
      <c r="P38" s="22" t="str">
        <f t="shared" si="9"/>
        <v>estancado</v>
      </c>
    </row>
    <row r="39" spans="1:16" x14ac:dyDescent="0.3">
      <c r="A39" s="14" t="s">
        <v>35</v>
      </c>
      <c r="B39" s="8">
        <v>412</v>
      </c>
      <c r="C39" s="8">
        <v>267</v>
      </c>
      <c r="D39" s="8">
        <v>140</v>
      </c>
      <c r="E39" s="8">
        <v>351</v>
      </c>
      <c r="F39" s="8">
        <v>326</v>
      </c>
      <c r="G39" s="16">
        <f t="shared" si="1"/>
        <v>0.12611112471533167</v>
      </c>
      <c r="H39" s="16">
        <f t="shared" si="2"/>
        <v>7.4816741016386829E-2</v>
      </c>
      <c r="I39" s="16">
        <f t="shared" si="3"/>
        <v>3.5010415598640598E-2</v>
      </c>
      <c r="J39" s="16">
        <f t="shared" si="4"/>
        <v>0.10230909589073039</v>
      </c>
      <c r="K39" s="16">
        <f t="shared" si="5"/>
        <v>7.882754901937078E-2</v>
      </c>
      <c r="L39" s="16">
        <f t="shared" si="6"/>
        <v>8.3414985248092058E-2</v>
      </c>
      <c r="M39" s="19">
        <f t="shared" si="0"/>
        <v>-5.6851461697737138</v>
      </c>
      <c r="N39" s="18">
        <f t="shared" si="7"/>
        <v>-0.18617618017993276</v>
      </c>
      <c r="O39" s="18">
        <f t="shared" si="8"/>
        <v>-0.26684760759026754</v>
      </c>
      <c r="P39" s="22" t="str">
        <f t="shared" si="9"/>
        <v>estancado</v>
      </c>
    </row>
    <row r="40" spans="1:16" x14ac:dyDescent="0.3">
      <c r="A40" s="13" t="s">
        <v>36</v>
      </c>
      <c r="B40" s="4">
        <v>254</v>
      </c>
      <c r="C40" s="4">
        <v>150</v>
      </c>
      <c r="D40" s="4">
        <v>92</v>
      </c>
      <c r="E40" s="4">
        <v>344</v>
      </c>
      <c r="F40" s="4">
        <v>291</v>
      </c>
      <c r="G40" s="16">
        <f t="shared" si="1"/>
        <v>7.7748120576927787E-2</v>
      </c>
      <c r="H40" s="16">
        <f t="shared" si="2"/>
        <v>4.203187697549822E-2</v>
      </c>
      <c r="I40" s="16">
        <f t="shared" si="3"/>
        <v>2.3006844536249533E-2</v>
      </c>
      <c r="J40" s="16">
        <f t="shared" si="4"/>
        <v>0.1002687435510292</v>
      </c>
      <c r="K40" s="16">
        <f t="shared" si="5"/>
        <v>7.0364468603180672E-2</v>
      </c>
      <c r="L40" s="16">
        <f t="shared" si="6"/>
        <v>6.2684010848577082E-2</v>
      </c>
      <c r="M40" s="19">
        <f t="shared" si="0"/>
        <v>3.4581761663922794</v>
      </c>
      <c r="N40" s="18">
        <f t="shared" si="7"/>
        <v>-0.19238729278712555</v>
      </c>
      <c r="O40" s="18">
        <f t="shared" si="8"/>
        <v>-0.15864400041741961</v>
      </c>
      <c r="P40" s="22" t="str">
        <f t="shared" si="9"/>
        <v>estancado</v>
      </c>
    </row>
    <row r="41" spans="1:16" x14ac:dyDescent="0.3">
      <c r="A41" s="14" t="s">
        <v>37</v>
      </c>
      <c r="B41" s="2">
        <v>482</v>
      </c>
      <c r="C41" s="2">
        <v>995</v>
      </c>
      <c r="D41" s="2">
        <v>660</v>
      </c>
      <c r="E41" s="2">
        <v>624</v>
      </c>
      <c r="F41" s="5">
        <v>276</v>
      </c>
      <c r="G41" s="16">
        <f t="shared" si="1"/>
        <v>0.14753777211842201</v>
      </c>
      <c r="H41" s="16">
        <f t="shared" si="2"/>
        <v>0.2788114506041382</v>
      </c>
      <c r="I41" s="16">
        <f t="shared" si="3"/>
        <v>0.1650491021078771</v>
      </c>
      <c r="J41" s="16">
        <f t="shared" si="4"/>
        <v>0.18188283713907624</v>
      </c>
      <c r="K41" s="16">
        <f t="shared" si="5"/>
        <v>6.6737434139099189E-2</v>
      </c>
      <c r="L41" s="16">
        <f t="shared" si="6"/>
        <v>0.16800371922172255</v>
      </c>
      <c r="M41" s="19">
        <f t="shared" si="0"/>
        <v>-13.010765127159662</v>
      </c>
      <c r="N41" s="18">
        <f t="shared" si="7"/>
        <v>-0.16083293572431356</v>
      </c>
      <c r="O41" s="18">
        <f t="shared" si="8"/>
        <v>-0.35354020868425207</v>
      </c>
      <c r="P41" s="22" t="str">
        <f t="shared" si="9"/>
        <v>estancado</v>
      </c>
    </row>
    <row r="42" spans="1:16" x14ac:dyDescent="0.3">
      <c r="A42" s="13" t="s">
        <v>38</v>
      </c>
      <c r="B42" s="4">
        <v>139</v>
      </c>
      <c r="C42" s="4">
        <v>114</v>
      </c>
      <c r="D42" s="4">
        <v>166</v>
      </c>
      <c r="E42" s="4">
        <v>73</v>
      </c>
      <c r="F42" s="4">
        <v>266</v>
      </c>
      <c r="G42" s="16">
        <f t="shared" si="1"/>
        <v>4.2547199843279378E-2</v>
      </c>
      <c r="H42" s="16">
        <f t="shared" si="2"/>
        <v>3.1944226501378646E-2</v>
      </c>
      <c r="I42" s="16">
        <f t="shared" si="3"/>
        <v>4.1512349924102424E-2</v>
      </c>
      <c r="J42" s="16">
        <f t="shared" si="4"/>
        <v>2.1277960114026547E-2</v>
      </c>
      <c r="K42" s="16">
        <f t="shared" si="5"/>
        <v>6.4319411163044876E-2</v>
      </c>
      <c r="L42" s="16">
        <f t="shared" si="6"/>
        <v>4.0320229509166375E-2</v>
      </c>
      <c r="M42" s="19">
        <f t="shared" si="0"/>
        <v>17.616082245264565</v>
      </c>
      <c r="N42" s="18">
        <f t="shared" si="7"/>
        <v>-0.19908760322815172</v>
      </c>
      <c r="O42" s="18">
        <f t="shared" si="8"/>
        <v>8.9030302378235188E-3</v>
      </c>
      <c r="P42" s="22" t="str">
        <f t="shared" si="9"/>
        <v>prometedor</v>
      </c>
    </row>
    <row r="43" spans="1:16" x14ac:dyDescent="0.3">
      <c r="A43" s="14" t="s">
        <v>39</v>
      </c>
      <c r="B43" s="15">
        <f>D43-(D43/C43-1)*D43</f>
        <v>4036.8993219642489</v>
      </c>
      <c r="C43" s="2">
        <v>4867</v>
      </c>
      <c r="D43" s="2">
        <v>2857</v>
      </c>
      <c r="E43" s="2">
        <v>15918</v>
      </c>
      <c r="F43" s="5">
        <v>234</v>
      </c>
      <c r="G43" s="16">
        <f t="shared" si="1"/>
        <v>1.2356745481928915</v>
      </c>
      <c r="H43" s="16">
        <f t="shared" si="2"/>
        <v>1.3637943015983323</v>
      </c>
      <c r="I43" s="16">
        <f t="shared" si="3"/>
        <v>0.71446255260940128</v>
      </c>
      <c r="J43" s="16">
        <f t="shared" si="4"/>
        <v>4.6397612204804739</v>
      </c>
      <c r="K43" s="16">
        <f t="shared" si="5"/>
        <v>5.6581737639671052E-2</v>
      </c>
      <c r="L43" s="16">
        <f t="shared" si="6"/>
        <v>1.6020548721041539</v>
      </c>
      <c r="M43" s="19">
        <f t="shared" si="0"/>
        <v>-50.93271990924093</v>
      </c>
      <c r="N43" s="18">
        <f t="shared" si="7"/>
        <v>0.26881658404142333</v>
      </c>
      <c r="O43" s="18">
        <f t="shared" si="8"/>
        <v>-0.80231496993667339</v>
      </c>
      <c r="P43" s="22" t="str">
        <f t="shared" si="9"/>
        <v>Consolidado</v>
      </c>
    </row>
    <row r="44" spans="1:16" x14ac:dyDescent="0.3">
      <c r="A44" s="13" t="s">
        <v>40</v>
      </c>
      <c r="B44" s="4">
        <v>103</v>
      </c>
      <c r="C44" s="4">
        <v>10</v>
      </c>
      <c r="D44" s="4">
        <v>25</v>
      </c>
      <c r="E44" s="4">
        <v>22</v>
      </c>
      <c r="F44" s="4">
        <v>226</v>
      </c>
      <c r="G44" s="16">
        <f t="shared" si="1"/>
        <v>3.1527781178832918E-2</v>
      </c>
      <c r="H44" s="16">
        <f t="shared" si="2"/>
        <v>2.8021251316998814E-3</v>
      </c>
      <c r="I44" s="16">
        <f t="shared" si="3"/>
        <v>6.2518599283286772E-3</v>
      </c>
      <c r="J44" s="16">
        <f t="shared" si="4"/>
        <v>6.4125359247751241E-3</v>
      </c>
      <c r="K44" s="16">
        <f t="shared" si="5"/>
        <v>5.4647319258827598E-2</v>
      </c>
      <c r="L44" s="16">
        <f t="shared" si="6"/>
        <v>2.0328324284492837E-2</v>
      </c>
      <c r="M44" s="19">
        <f t="shared" si="0"/>
        <v>21.707629460654854</v>
      </c>
      <c r="N44" s="18">
        <f t="shared" si="7"/>
        <v>-0.20507728669356942</v>
      </c>
      <c r="O44" s="18">
        <f t="shared" si="8"/>
        <v>5.7323084934144501E-2</v>
      </c>
      <c r="P44" s="22" t="str">
        <f t="shared" si="9"/>
        <v>prometedor</v>
      </c>
    </row>
    <row r="45" spans="1:16" x14ac:dyDescent="0.3">
      <c r="A45" s="14" t="s">
        <v>41</v>
      </c>
      <c r="B45" s="2">
        <v>338</v>
      </c>
      <c r="C45" s="2">
        <v>739</v>
      </c>
      <c r="D45" s="2">
        <v>256</v>
      </c>
      <c r="E45" s="2">
        <v>170</v>
      </c>
      <c r="F45" s="2">
        <v>218</v>
      </c>
      <c r="G45" s="16">
        <f t="shared" si="1"/>
        <v>0.10346009746063618</v>
      </c>
      <c r="H45" s="16">
        <f t="shared" si="2"/>
        <v>0.20707704723262119</v>
      </c>
      <c r="I45" s="16">
        <f t="shared" si="3"/>
        <v>6.4019045666085655E-2</v>
      </c>
      <c r="J45" s="16">
        <f t="shared" si="4"/>
        <v>4.9551413964171419E-2</v>
      </c>
      <c r="K45" s="16">
        <f t="shared" si="5"/>
        <v>5.2712900877984144E-2</v>
      </c>
      <c r="L45" s="16">
        <f t="shared" si="6"/>
        <v>9.5364101040299715E-2</v>
      </c>
      <c r="M45" s="19">
        <f t="shared" si="0"/>
        <v>-10.384125251971854</v>
      </c>
      <c r="N45" s="18">
        <f t="shared" si="7"/>
        <v>-0.18259616014269212</v>
      </c>
      <c r="O45" s="18">
        <f t="shared" si="8"/>
        <v>-0.32245611268610785</v>
      </c>
      <c r="P45" s="22" t="str">
        <f t="shared" si="9"/>
        <v>estancado</v>
      </c>
    </row>
    <row r="46" spans="1:16" x14ac:dyDescent="0.3">
      <c r="A46" s="13" t="s">
        <v>42</v>
      </c>
      <c r="B46" s="4">
        <v>133</v>
      </c>
      <c r="C46" s="4">
        <v>230</v>
      </c>
      <c r="D46" s="4">
        <v>331</v>
      </c>
      <c r="E46" s="4">
        <v>129</v>
      </c>
      <c r="F46" s="4">
        <v>213</v>
      </c>
      <c r="G46" s="16">
        <f t="shared" si="1"/>
        <v>4.0710630065871639E-2</v>
      </c>
      <c r="H46" s="16">
        <f t="shared" si="2"/>
        <v>6.4448878029097267E-2</v>
      </c>
      <c r="I46" s="16">
        <f t="shared" si="3"/>
        <v>8.2774625451071698E-2</v>
      </c>
      <c r="J46" s="16">
        <f t="shared" si="4"/>
        <v>3.7600778831635956E-2</v>
      </c>
      <c r="K46" s="16">
        <f t="shared" si="5"/>
        <v>5.1503889389956981E-2</v>
      </c>
      <c r="L46" s="16">
        <f t="shared" si="6"/>
        <v>5.5407760353526701E-2</v>
      </c>
      <c r="M46" s="19">
        <f t="shared" si="0"/>
        <v>12.494681543717023</v>
      </c>
      <c r="N46" s="18">
        <f t="shared" si="7"/>
        <v>-0.19456729698335656</v>
      </c>
      <c r="O46" s="18">
        <f t="shared" si="8"/>
        <v>-5.1704483017294606E-2</v>
      </c>
      <c r="P46" s="22" t="str">
        <f t="shared" si="9"/>
        <v>estancado</v>
      </c>
    </row>
    <row r="47" spans="1:16" x14ac:dyDescent="0.3">
      <c r="A47" s="14" t="s">
        <v>43</v>
      </c>
      <c r="B47" s="5">
        <v>234</v>
      </c>
      <c r="C47" s="5">
        <v>176</v>
      </c>
      <c r="D47" s="5">
        <v>213</v>
      </c>
      <c r="E47" s="5">
        <v>245</v>
      </c>
      <c r="F47" s="5">
        <v>211</v>
      </c>
      <c r="G47" s="16">
        <f t="shared" si="1"/>
        <v>7.1626221318901978E-2</v>
      </c>
      <c r="H47" s="16">
        <f t="shared" si="2"/>
        <v>4.9317402317917904E-2</v>
      </c>
      <c r="I47" s="16">
        <f t="shared" si="3"/>
        <v>5.326584658936033E-2</v>
      </c>
      <c r="J47" s="16">
        <f t="shared" si="4"/>
        <v>7.1412331889541159E-2</v>
      </c>
      <c r="K47" s="16">
        <f t="shared" si="5"/>
        <v>5.1020284794746122E-2</v>
      </c>
      <c r="L47" s="16">
        <f t="shared" si="6"/>
        <v>5.9328417382093504E-2</v>
      </c>
      <c r="M47" s="19">
        <f t="shared" si="0"/>
        <v>-2.5534092710894352</v>
      </c>
      <c r="N47" s="18">
        <f t="shared" si="7"/>
        <v>-0.19339264682802282</v>
      </c>
      <c r="O47" s="18">
        <f t="shared" si="8"/>
        <v>-0.22978610885981363</v>
      </c>
      <c r="P47" s="22" t="str">
        <f t="shared" si="9"/>
        <v>estancado</v>
      </c>
    </row>
    <row r="48" spans="1:16" x14ac:dyDescent="0.3">
      <c r="A48" s="13" t="s">
        <v>44</v>
      </c>
      <c r="B48" s="6">
        <v>101</v>
      </c>
      <c r="C48" s="4">
        <v>38</v>
      </c>
      <c r="D48" s="6">
        <v>67</v>
      </c>
      <c r="E48" s="6">
        <v>154</v>
      </c>
      <c r="F48" s="7">
        <v>210</v>
      </c>
      <c r="G48" s="16">
        <f t="shared" si="1"/>
        <v>3.0915591253030342E-2</v>
      </c>
      <c r="H48" s="16">
        <f t="shared" si="2"/>
        <v>1.0648075500459549E-2</v>
      </c>
      <c r="I48" s="16">
        <f t="shared" si="3"/>
        <v>1.6754984607920857E-2</v>
      </c>
      <c r="J48" s="16">
        <f t="shared" si="4"/>
        <v>4.4887751473425865E-2</v>
      </c>
      <c r="K48" s="16">
        <f t="shared" si="5"/>
        <v>5.077848249714069E-2</v>
      </c>
      <c r="L48" s="16">
        <f t="shared" si="6"/>
        <v>3.0796977066395458E-2</v>
      </c>
      <c r="M48" s="19">
        <f t="shared" si="0"/>
        <v>20.081050960602088</v>
      </c>
      <c r="N48" s="18">
        <f t="shared" si="7"/>
        <v>-0.20194082142083625</v>
      </c>
      <c r="O48" s="18">
        <f t="shared" si="8"/>
        <v>3.8073882665583633E-2</v>
      </c>
      <c r="P48" s="22" t="str">
        <f t="shared" si="9"/>
        <v>prometedor</v>
      </c>
    </row>
    <row r="49" spans="1:16" x14ac:dyDescent="0.3">
      <c r="A49" s="14" t="s">
        <v>45</v>
      </c>
      <c r="B49" s="2">
        <v>510</v>
      </c>
      <c r="C49" s="2">
        <v>177</v>
      </c>
      <c r="D49" s="2">
        <v>91</v>
      </c>
      <c r="E49" s="2">
        <v>139</v>
      </c>
      <c r="F49" s="2">
        <v>188</v>
      </c>
      <c r="G49" s="16">
        <f t="shared" si="1"/>
        <v>0.15610843107965816</v>
      </c>
      <c r="H49" s="16">
        <f t="shared" si="2"/>
        <v>4.9597614831087898E-2</v>
      </c>
      <c r="I49" s="16">
        <f t="shared" si="3"/>
        <v>2.2756770139116388E-2</v>
      </c>
      <c r="J49" s="16">
        <f t="shared" si="4"/>
        <v>4.0515567888351922E-2</v>
      </c>
      <c r="K49" s="16">
        <f t="shared" si="5"/>
        <v>4.5458831949821185E-2</v>
      </c>
      <c r="L49" s="16">
        <f t="shared" si="6"/>
        <v>6.2887443177607111E-2</v>
      </c>
      <c r="M49" s="19">
        <f t="shared" si="0"/>
        <v>-22.080363423353944</v>
      </c>
      <c r="N49" s="18">
        <f t="shared" si="7"/>
        <v>-0.19232634335565174</v>
      </c>
      <c r="O49" s="18">
        <f t="shared" si="8"/>
        <v>-0.46087135322623107</v>
      </c>
      <c r="P49" s="22" t="str">
        <f t="shared" si="9"/>
        <v>estancado</v>
      </c>
    </row>
    <row r="50" spans="1:16" x14ac:dyDescent="0.3">
      <c r="A50" s="13" t="s">
        <v>46</v>
      </c>
      <c r="B50" s="4">
        <v>113</v>
      </c>
      <c r="C50" s="4">
        <v>94</v>
      </c>
      <c r="D50" s="4">
        <v>119</v>
      </c>
      <c r="E50" s="4">
        <v>128</v>
      </c>
      <c r="F50" s="4">
        <v>186</v>
      </c>
      <c r="G50" s="16">
        <f t="shared" si="1"/>
        <v>3.458873080784583E-2</v>
      </c>
      <c r="H50" s="16">
        <f t="shared" si="2"/>
        <v>2.6339976237978884E-2</v>
      </c>
      <c r="I50" s="16">
        <f t="shared" si="3"/>
        <v>2.9758853258844507E-2</v>
      </c>
      <c r="J50" s="16">
        <f t="shared" si="4"/>
        <v>3.7309299925964358E-2</v>
      </c>
      <c r="K50" s="16">
        <f t="shared" si="5"/>
        <v>4.4975227354610327E-2</v>
      </c>
      <c r="L50" s="16">
        <f t="shared" si="6"/>
        <v>3.4594417517048781E-2</v>
      </c>
      <c r="M50" s="19">
        <f t="shared" si="0"/>
        <v>13.26836331986887</v>
      </c>
      <c r="N50" s="18">
        <f t="shared" si="7"/>
        <v>-0.20080308762195276</v>
      </c>
      <c r="O50" s="18">
        <f t="shared" si="8"/>
        <v>-4.2548603359372647E-2</v>
      </c>
      <c r="P50" s="22" t="str">
        <f t="shared" si="9"/>
        <v>estancado</v>
      </c>
    </row>
    <row r="51" spans="1:16" x14ac:dyDescent="0.3">
      <c r="A51" s="14" t="s">
        <v>47</v>
      </c>
      <c r="B51" s="8">
        <v>177</v>
      </c>
      <c r="C51" s="2">
        <v>124</v>
      </c>
      <c r="D51" s="8">
        <v>155</v>
      </c>
      <c r="E51" s="8">
        <v>93</v>
      </c>
      <c r="F51" s="8">
        <v>149</v>
      </c>
      <c r="G51" s="16">
        <f t="shared" si="1"/>
        <v>5.4178808433528416E-2</v>
      </c>
      <c r="H51" s="16">
        <f t="shared" si="2"/>
        <v>3.4746351633078529E-2</v>
      </c>
      <c r="I51" s="16">
        <f t="shared" si="3"/>
        <v>3.8761531555637802E-2</v>
      </c>
      <c r="J51" s="16">
        <f t="shared" si="4"/>
        <v>2.7107538227458476E-2</v>
      </c>
      <c r="K51" s="16">
        <f t="shared" si="5"/>
        <v>3.6028542343209347E-2</v>
      </c>
      <c r="L51" s="16">
        <f t="shared" si="6"/>
        <v>3.8164554438582514E-2</v>
      </c>
      <c r="M51" s="19">
        <f t="shared" si="0"/>
        <v>-4.2137324865309189</v>
      </c>
      <c r="N51" s="18">
        <f t="shared" si="7"/>
        <v>-0.19973345519583482</v>
      </c>
      <c r="O51" s="18">
        <f t="shared" si="8"/>
        <v>-0.24943465173935109</v>
      </c>
      <c r="P51" s="22" t="str">
        <f t="shared" si="9"/>
        <v>estancado</v>
      </c>
    </row>
    <row r="52" spans="1:16" x14ac:dyDescent="0.3">
      <c r="A52" s="13" t="s">
        <v>48</v>
      </c>
      <c r="B52" s="4">
        <v>48</v>
      </c>
      <c r="C52" s="4">
        <v>43</v>
      </c>
      <c r="D52" s="4">
        <v>45</v>
      </c>
      <c r="E52" s="4">
        <v>40</v>
      </c>
      <c r="F52" s="4">
        <v>146</v>
      </c>
      <c r="G52" s="16">
        <f t="shared" si="1"/>
        <v>1.4692558219261945E-2</v>
      </c>
      <c r="H52" s="16">
        <f t="shared" si="2"/>
        <v>1.2049138066309488E-2</v>
      </c>
      <c r="I52" s="16">
        <f t="shared" si="3"/>
        <v>1.1253347870991621E-2</v>
      </c>
      <c r="J52" s="16">
        <f t="shared" si="4"/>
        <v>1.1659156226863861E-2</v>
      </c>
      <c r="K52" s="16">
        <f t="shared" si="5"/>
        <v>3.5303135450393049E-2</v>
      </c>
      <c r="L52" s="16">
        <f t="shared" si="6"/>
        <v>1.6991467166763991E-2</v>
      </c>
      <c r="M52" s="19">
        <f t="shared" si="0"/>
        <v>32.062010486413641</v>
      </c>
      <c r="N52" s="18">
        <f t="shared" si="7"/>
        <v>-0.20607702722254384</v>
      </c>
      <c r="O52" s="18">
        <f t="shared" si="8"/>
        <v>0.17985856337807696</v>
      </c>
      <c r="P52" s="22" t="str">
        <f t="shared" si="9"/>
        <v>prometedor</v>
      </c>
    </row>
    <row r="53" spans="1:16" x14ac:dyDescent="0.3">
      <c r="A53" s="14" t="s">
        <v>49</v>
      </c>
      <c r="B53" s="2">
        <v>5650</v>
      </c>
      <c r="C53" s="2">
        <v>1215</v>
      </c>
      <c r="D53" s="2">
        <v>604</v>
      </c>
      <c r="E53" s="2">
        <v>208</v>
      </c>
      <c r="F53" s="2">
        <v>126</v>
      </c>
      <c r="G53" s="16">
        <f t="shared" si="1"/>
        <v>1.7294365403922911</v>
      </c>
      <c r="H53" s="16">
        <f t="shared" si="2"/>
        <v>0.34045820350153561</v>
      </c>
      <c r="I53" s="16">
        <f t="shared" si="3"/>
        <v>0.15104493586842085</v>
      </c>
      <c r="J53" s="16">
        <f t="shared" si="4"/>
        <v>6.0627612379692081E-2</v>
      </c>
      <c r="K53" s="16">
        <f t="shared" si="5"/>
        <v>3.0467089498284413E-2</v>
      </c>
      <c r="L53" s="16">
        <f t="shared" si="6"/>
        <v>0.46240687632804478</v>
      </c>
      <c r="M53" s="19">
        <f t="shared" si="0"/>
        <v>-61.356137841527357</v>
      </c>
      <c r="N53" s="18">
        <f t="shared" si="7"/>
        <v>-7.262814971371423E-2</v>
      </c>
      <c r="O53" s="18">
        <f t="shared" si="8"/>
        <v>-0.92566744268964352</v>
      </c>
      <c r="P53" s="22" t="str">
        <f t="shared" si="9"/>
        <v>estancado</v>
      </c>
    </row>
    <row r="54" spans="1:16" x14ac:dyDescent="0.3">
      <c r="A54" s="14" t="s">
        <v>50</v>
      </c>
      <c r="B54" s="2">
        <v>128</v>
      </c>
      <c r="C54" s="2">
        <v>115</v>
      </c>
      <c r="D54" s="2">
        <v>81</v>
      </c>
      <c r="E54" s="2">
        <v>88</v>
      </c>
      <c r="F54" s="2">
        <v>123</v>
      </c>
      <c r="G54" s="16">
        <f t="shared" si="1"/>
        <v>3.9180155251365187E-2</v>
      </c>
      <c r="H54" s="16">
        <f t="shared" si="2"/>
        <v>3.2224439014548634E-2</v>
      </c>
      <c r="I54" s="16">
        <f t="shared" si="3"/>
        <v>2.0256026167784914E-2</v>
      </c>
      <c r="J54" s="16">
        <f t="shared" si="4"/>
        <v>2.5650143699100496E-2</v>
      </c>
      <c r="K54" s="16">
        <f t="shared" si="5"/>
        <v>2.9741682605468115E-2</v>
      </c>
      <c r="L54" s="16">
        <f t="shared" si="6"/>
        <v>2.9410489347653473E-2</v>
      </c>
      <c r="M54" s="19">
        <f t="shared" si="0"/>
        <v>-0.99120259618933337</v>
      </c>
      <c r="N54" s="18">
        <f t="shared" si="7"/>
        <v>-0.20235622067721651</v>
      </c>
      <c r="O54" s="18">
        <f t="shared" si="8"/>
        <v>-0.2112986935463366</v>
      </c>
      <c r="P54" s="22" t="str">
        <f t="shared" si="9"/>
        <v>estancado</v>
      </c>
    </row>
    <row r="55" spans="1:16" x14ac:dyDescent="0.3">
      <c r="A55" s="13" t="s">
        <v>51</v>
      </c>
      <c r="B55" s="4">
        <v>267</v>
      </c>
      <c r="C55" s="4">
        <v>412</v>
      </c>
      <c r="D55" s="4">
        <v>492</v>
      </c>
      <c r="E55" s="9">
        <v>44</v>
      </c>
      <c r="F55" s="9">
        <v>123</v>
      </c>
      <c r="G55" s="16">
        <f t="shared" si="1"/>
        <v>8.1727355094644571E-2</v>
      </c>
      <c r="H55" s="16">
        <f t="shared" si="2"/>
        <v>0.1154475554260351</v>
      </c>
      <c r="I55" s="16">
        <f t="shared" si="3"/>
        <v>0.12303660338950839</v>
      </c>
      <c r="J55" s="16">
        <f t="shared" si="4"/>
        <v>1.2825071849550248E-2</v>
      </c>
      <c r="K55" s="16">
        <f t="shared" si="5"/>
        <v>2.9741682605468115E-2</v>
      </c>
      <c r="L55" s="16">
        <f t="shared" si="6"/>
        <v>7.2555653673041287E-2</v>
      </c>
      <c r="M55" s="19">
        <f t="shared" si="0"/>
        <v>-17.614939964237685</v>
      </c>
      <c r="N55" s="18">
        <f t="shared" si="7"/>
        <v>-0.18942969494251249</v>
      </c>
      <c r="O55" s="18">
        <f t="shared" si="8"/>
        <v>-0.40802678447254515</v>
      </c>
      <c r="P55" s="22" t="str">
        <f t="shared" si="9"/>
        <v>estancado</v>
      </c>
    </row>
    <row r="56" spans="1:16" x14ac:dyDescent="0.3">
      <c r="A56" s="14" t="s">
        <v>52</v>
      </c>
      <c r="B56" s="2">
        <v>2</v>
      </c>
      <c r="C56" s="2">
        <v>169</v>
      </c>
      <c r="D56" s="2">
        <v>178</v>
      </c>
      <c r="E56" s="2">
        <v>136</v>
      </c>
      <c r="F56" s="5">
        <v>112</v>
      </c>
      <c r="G56" s="16">
        <f t="shared" si="1"/>
        <v>6.1218992580258104E-4</v>
      </c>
      <c r="H56" s="16">
        <f t="shared" si="2"/>
        <v>4.7355914725727991E-2</v>
      </c>
      <c r="I56" s="16">
        <f t="shared" si="3"/>
        <v>4.4513242689700187E-2</v>
      </c>
      <c r="J56" s="16">
        <f t="shared" si="4"/>
        <v>3.9641131171337128E-2</v>
      </c>
      <c r="K56" s="16">
        <f t="shared" si="5"/>
        <v>2.708185733180837E-2</v>
      </c>
      <c r="L56" s="16">
        <f t="shared" si="6"/>
        <v>3.1840867168875256E-2</v>
      </c>
      <c r="M56" s="19">
        <f t="shared" si="0"/>
        <v>173.55647997347612</v>
      </c>
      <c r="N56" s="18">
        <f t="shared" si="7"/>
        <v>-0.2016280662723765</v>
      </c>
      <c r="O56" s="18">
        <f t="shared" si="8"/>
        <v>1.8543278023055709</v>
      </c>
      <c r="P56" s="22" t="str">
        <f t="shared" si="9"/>
        <v>prometedor</v>
      </c>
    </row>
    <row r="57" spans="1:16" x14ac:dyDescent="0.3">
      <c r="A57" s="13" t="s">
        <v>53</v>
      </c>
      <c r="B57" s="4">
        <v>30</v>
      </c>
      <c r="C57" s="4">
        <v>72</v>
      </c>
      <c r="D57" s="4">
        <v>50</v>
      </c>
      <c r="E57" s="4">
        <v>200</v>
      </c>
      <c r="F57" s="9">
        <v>107</v>
      </c>
      <c r="G57" s="16">
        <f t="shared" si="1"/>
        <v>9.1828488870387154E-3</v>
      </c>
      <c r="H57" s="16">
        <f t="shared" si="2"/>
        <v>2.0175300948239144E-2</v>
      </c>
      <c r="I57" s="16">
        <f t="shared" si="3"/>
        <v>1.2503719856657354E-2</v>
      </c>
      <c r="J57" s="16">
        <f t="shared" si="4"/>
        <v>5.8295781134319311E-2</v>
      </c>
      <c r="K57" s="16">
        <f t="shared" si="5"/>
        <v>2.5872845843781207E-2</v>
      </c>
      <c r="L57" s="16">
        <f t="shared" si="6"/>
        <v>2.5206099334007147E-2</v>
      </c>
      <c r="M57" s="19">
        <f t="shared" si="0"/>
        <v>37.424963643026146</v>
      </c>
      <c r="N57" s="18">
        <f t="shared" si="7"/>
        <v>-0.20361587877702703</v>
      </c>
      <c r="O57" s="18">
        <f t="shared" si="8"/>
        <v>0.24332464882375465</v>
      </c>
      <c r="P57" s="22" t="str">
        <f t="shared" si="9"/>
        <v>prometedor</v>
      </c>
    </row>
    <row r="58" spans="1:16" x14ac:dyDescent="0.3">
      <c r="A58" s="14" t="s">
        <v>54</v>
      </c>
      <c r="B58" s="2">
        <v>103</v>
      </c>
      <c r="C58" s="2">
        <v>81</v>
      </c>
      <c r="D58" s="2">
        <v>117</v>
      </c>
      <c r="E58" s="2">
        <v>64</v>
      </c>
      <c r="F58" s="2">
        <v>106</v>
      </c>
      <c r="G58" s="16">
        <f t="shared" si="1"/>
        <v>3.1527781178832918E-2</v>
      </c>
      <c r="H58" s="16">
        <f t="shared" si="2"/>
        <v>2.2697213566769039E-2</v>
      </c>
      <c r="I58" s="16">
        <f t="shared" si="3"/>
        <v>2.9258704464578209E-2</v>
      </c>
      <c r="J58" s="16">
        <f t="shared" si="4"/>
        <v>1.8654649962982179E-2</v>
      </c>
      <c r="K58" s="16">
        <f t="shared" si="5"/>
        <v>2.5631043546175774E-2</v>
      </c>
      <c r="L58" s="16">
        <f t="shared" si="6"/>
        <v>2.555387854386762E-2</v>
      </c>
      <c r="M58" s="19">
        <f t="shared" si="0"/>
        <v>0.72033466517702482</v>
      </c>
      <c r="N58" s="18">
        <f t="shared" si="7"/>
        <v>-0.20351168223550151</v>
      </c>
      <c r="O58" s="18">
        <f t="shared" si="8"/>
        <v>-0.19104407507378765</v>
      </c>
      <c r="P58" s="22" t="str">
        <f t="shared" si="9"/>
        <v>estancado</v>
      </c>
    </row>
    <row r="59" spans="1:16" x14ac:dyDescent="0.3">
      <c r="A59" s="13" t="s">
        <v>55</v>
      </c>
      <c r="B59" s="4">
        <v>24</v>
      </c>
      <c r="C59" s="4">
        <v>7</v>
      </c>
      <c r="D59" s="4">
        <v>29</v>
      </c>
      <c r="E59" s="4">
        <v>34</v>
      </c>
      <c r="F59" s="9">
        <v>106</v>
      </c>
      <c r="G59" s="16">
        <f t="shared" si="1"/>
        <v>7.3462791096309725E-3</v>
      </c>
      <c r="H59" s="16">
        <f t="shared" si="2"/>
        <v>1.9614875921899169E-3</v>
      </c>
      <c r="I59" s="16">
        <f t="shared" si="3"/>
        <v>7.2521575168612669E-3</v>
      </c>
      <c r="J59" s="16">
        <f t="shared" si="4"/>
        <v>9.910282792834282E-3</v>
      </c>
      <c r="K59" s="16">
        <f t="shared" si="5"/>
        <v>2.5631043546175774E-2</v>
      </c>
      <c r="L59" s="16">
        <f t="shared" si="6"/>
        <v>1.0420250111538442E-2</v>
      </c>
      <c r="M59" s="19">
        <f t="shared" si="0"/>
        <v>44.968503550015384</v>
      </c>
      <c r="N59" s="18">
        <f t="shared" si="7"/>
        <v>-0.20804579956820199</v>
      </c>
      <c r="O59" s="18">
        <f t="shared" si="8"/>
        <v>0.33259616291661043</v>
      </c>
      <c r="P59" s="22" t="str">
        <f t="shared" si="9"/>
        <v>prometedor</v>
      </c>
    </row>
    <row r="60" spans="1:16" x14ac:dyDescent="0.3">
      <c r="A60" s="14" t="s">
        <v>56</v>
      </c>
      <c r="B60" s="2">
        <v>92</v>
      </c>
      <c r="C60" s="2">
        <v>89</v>
      </c>
      <c r="D60" s="2">
        <v>102</v>
      </c>
      <c r="E60" s="2">
        <v>150</v>
      </c>
      <c r="F60" s="2">
        <v>105</v>
      </c>
      <c r="G60" s="16">
        <f t="shared" si="1"/>
        <v>2.8160736586918724E-2</v>
      </c>
      <c r="H60" s="16">
        <f t="shared" si="2"/>
        <v>2.4938913672128943E-2</v>
      </c>
      <c r="I60" s="16">
        <f t="shared" si="3"/>
        <v>2.5507588507581006E-2</v>
      </c>
      <c r="J60" s="16">
        <f t="shared" si="4"/>
        <v>4.3721835850739486E-2</v>
      </c>
      <c r="K60" s="16">
        <f t="shared" si="5"/>
        <v>2.5389241248570345E-2</v>
      </c>
      <c r="L60" s="16">
        <f t="shared" si="6"/>
        <v>2.9543663173187702E-2</v>
      </c>
      <c r="M60" s="19">
        <f t="shared" si="0"/>
        <v>3.3594924241542312</v>
      </c>
      <c r="N60" s="18">
        <f t="shared" si="7"/>
        <v>-0.2023163210752594</v>
      </c>
      <c r="O60" s="18">
        <f t="shared" si="8"/>
        <v>-0.15981184034331133</v>
      </c>
      <c r="P60" s="22" t="str">
        <f t="shared" si="9"/>
        <v>estancado</v>
      </c>
    </row>
    <row r="61" spans="1:16" x14ac:dyDescent="0.3">
      <c r="A61" s="13" t="s">
        <v>57</v>
      </c>
      <c r="B61" s="4">
        <v>323</v>
      </c>
      <c r="C61" s="4">
        <v>414</v>
      </c>
      <c r="D61" s="4">
        <v>246</v>
      </c>
      <c r="E61" s="4">
        <v>214</v>
      </c>
      <c r="F61" s="4">
        <v>99</v>
      </c>
      <c r="G61" s="16">
        <f t="shared" si="1"/>
        <v>9.8868673017116826E-2</v>
      </c>
      <c r="H61" s="16">
        <f t="shared" si="2"/>
        <v>0.11600798045237508</v>
      </c>
      <c r="I61" s="16">
        <f t="shared" si="3"/>
        <v>6.1518301694754196E-2</v>
      </c>
      <c r="J61" s="16">
        <f t="shared" si="4"/>
        <v>6.2376485813721662E-2</v>
      </c>
      <c r="K61" s="16">
        <f t="shared" si="5"/>
        <v>2.3938427462937752E-2</v>
      </c>
      <c r="L61" s="16">
        <f t="shared" si="6"/>
        <v>7.2541973688181105E-2</v>
      </c>
      <c r="M61" s="19">
        <f t="shared" si="0"/>
        <v>-25.59396398991408</v>
      </c>
      <c r="N61" s="18">
        <f t="shared" si="7"/>
        <v>-0.18943379354033016</v>
      </c>
      <c r="O61" s="18">
        <f t="shared" si="8"/>
        <v>-0.50245189052858197</v>
      </c>
      <c r="P61" s="22" t="str">
        <f t="shared" si="9"/>
        <v>estancado</v>
      </c>
    </row>
    <row r="62" spans="1:16" x14ac:dyDescent="0.3">
      <c r="A62" s="14" t="s">
        <v>58</v>
      </c>
      <c r="B62" s="2">
        <v>4466</v>
      </c>
      <c r="C62" s="2">
        <v>3720</v>
      </c>
      <c r="D62" s="8">
        <v>3887</v>
      </c>
      <c r="E62" s="8">
        <v>3477</v>
      </c>
      <c r="F62" s="5">
        <v>87</v>
      </c>
      <c r="G62" s="16">
        <f t="shared" si="1"/>
        <v>1.3670201043171633</v>
      </c>
      <c r="H62" s="16">
        <f t="shared" si="2"/>
        <v>1.0423905489923557</v>
      </c>
      <c r="I62" s="16">
        <f t="shared" si="3"/>
        <v>0.97203918165654279</v>
      </c>
      <c r="J62" s="16">
        <f t="shared" si="4"/>
        <v>1.0134721550201411</v>
      </c>
      <c r="K62" s="16">
        <f t="shared" si="5"/>
        <v>2.1036799891672571E-2</v>
      </c>
      <c r="L62" s="16">
        <f t="shared" si="6"/>
        <v>0.88319175797557503</v>
      </c>
      <c r="M62" s="19">
        <f t="shared" si="0"/>
        <v>-62.640579292530433</v>
      </c>
      <c r="N62" s="18">
        <f t="shared" si="7"/>
        <v>5.3441287880026639E-2</v>
      </c>
      <c r="O62" s="18">
        <f t="shared" si="8"/>
        <v>-0.94086773784396904</v>
      </c>
      <c r="P62" s="22" t="str">
        <f t="shared" si="9"/>
        <v>Consolidado</v>
      </c>
    </row>
    <row r="63" spans="1:16" x14ac:dyDescent="0.3">
      <c r="A63" s="13" t="s">
        <v>59</v>
      </c>
      <c r="B63" s="4">
        <v>103</v>
      </c>
      <c r="C63" s="4">
        <v>88</v>
      </c>
      <c r="D63" s="4">
        <v>103</v>
      </c>
      <c r="E63" s="4">
        <v>118</v>
      </c>
      <c r="F63" s="4">
        <v>84</v>
      </c>
      <c r="G63" s="16">
        <f t="shared" si="1"/>
        <v>3.1527781178832918E-2</v>
      </c>
      <c r="H63" s="16">
        <f t="shared" si="2"/>
        <v>2.4658701158958952E-2</v>
      </c>
      <c r="I63" s="16">
        <f t="shared" si="3"/>
        <v>2.5757662904714151E-2</v>
      </c>
      <c r="J63" s="16">
        <f t="shared" si="4"/>
        <v>3.4394510869248392E-2</v>
      </c>
      <c r="K63" s="16">
        <f t="shared" si="5"/>
        <v>2.0311392998856273E-2</v>
      </c>
      <c r="L63" s="16">
        <f t="shared" si="6"/>
        <v>2.7330009822122137E-2</v>
      </c>
      <c r="M63" s="19">
        <f t="shared" si="0"/>
        <v>-4.970046810028661</v>
      </c>
      <c r="N63" s="18">
        <f t="shared" si="7"/>
        <v>-0.20297954365089863</v>
      </c>
      <c r="O63" s="18">
        <f t="shared" si="8"/>
        <v>-0.25838500205514925</v>
      </c>
      <c r="P63" s="22" t="str">
        <f t="shared" si="9"/>
        <v>estancado</v>
      </c>
    </row>
    <row r="64" spans="1:16" x14ac:dyDescent="0.3">
      <c r="A64" s="14" t="s">
        <v>60</v>
      </c>
      <c r="B64" s="2">
        <v>282</v>
      </c>
      <c r="C64" s="2">
        <v>160</v>
      </c>
      <c r="D64" s="2">
        <v>123</v>
      </c>
      <c r="E64" s="2">
        <v>282</v>
      </c>
      <c r="F64" s="2">
        <v>79</v>
      </c>
      <c r="G64" s="16">
        <f t="shared" si="1"/>
        <v>8.6318779538163914E-2</v>
      </c>
      <c r="H64" s="16">
        <f t="shared" si="2"/>
        <v>4.4834002107198102E-2</v>
      </c>
      <c r="I64" s="16">
        <f t="shared" si="3"/>
        <v>3.0759150847377098E-2</v>
      </c>
      <c r="J64" s="16">
        <f t="shared" si="4"/>
        <v>8.2197051399390222E-2</v>
      </c>
      <c r="K64" s="16">
        <f t="shared" si="5"/>
        <v>1.9102381510829117E-2</v>
      </c>
      <c r="L64" s="16">
        <f t="shared" si="6"/>
        <v>5.2642273080591682E-2</v>
      </c>
      <c r="M64" s="19">
        <f t="shared" si="0"/>
        <v>-27.248073895066373</v>
      </c>
      <c r="N64" s="18">
        <f t="shared" si="7"/>
        <v>-0.19539585200131845</v>
      </c>
      <c r="O64" s="18">
        <f t="shared" si="8"/>
        <v>-0.52202690405401198</v>
      </c>
      <c r="P64" s="22" t="str">
        <f t="shared" si="9"/>
        <v>estancado</v>
      </c>
    </row>
    <row r="65" spans="1:16" x14ac:dyDescent="0.3">
      <c r="A65" s="13" t="s">
        <v>61</v>
      </c>
      <c r="B65" s="6">
        <v>39</v>
      </c>
      <c r="C65" s="6">
        <v>126</v>
      </c>
      <c r="D65" s="6">
        <v>65</v>
      </c>
      <c r="E65" s="6">
        <v>36</v>
      </c>
      <c r="F65" s="6">
        <v>75</v>
      </c>
      <c r="G65" s="16">
        <f t="shared" si="1"/>
        <v>1.193770355315033E-2</v>
      </c>
      <c r="H65" s="16">
        <f t="shared" si="2"/>
        <v>3.5306776659418504E-2</v>
      </c>
      <c r="I65" s="16">
        <f t="shared" si="3"/>
        <v>1.6254835813654563E-2</v>
      </c>
      <c r="J65" s="16">
        <f t="shared" si="4"/>
        <v>1.0493240604177475E-2</v>
      </c>
      <c r="K65" s="16">
        <f t="shared" si="5"/>
        <v>1.813517232040739E-2</v>
      </c>
      <c r="L65" s="16">
        <f t="shared" si="6"/>
        <v>1.8425545790161653E-2</v>
      </c>
      <c r="M65" s="19">
        <f t="shared" si="0"/>
        <v>17.760370692481796</v>
      </c>
      <c r="N65" s="18">
        <f t="shared" si="7"/>
        <v>-0.20564736947246245</v>
      </c>
      <c r="O65" s="18">
        <f t="shared" si="8"/>
        <v>1.061056387693836E-2</v>
      </c>
      <c r="P65" s="22" t="str">
        <f t="shared" si="9"/>
        <v>prometedor</v>
      </c>
    </row>
    <row r="66" spans="1:16" x14ac:dyDescent="0.3">
      <c r="A66" s="14" t="s">
        <v>62</v>
      </c>
      <c r="B66" s="2">
        <v>9</v>
      </c>
      <c r="C66" s="2">
        <v>8</v>
      </c>
      <c r="D66" s="2">
        <v>86</v>
      </c>
      <c r="E66" s="2">
        <v>36</v>
      </c>
      <c r="F66" s="2">
        <v>66</v>
      </c>
      <c r="G66" s="16">
        <f t="shared" si="1"/>
        <v>2.7548546661116144E-3</v>
      </c>
      <c r="H66" s="16">
        <f t="shared" si="2"/>
        <v>2.2417001053599049E-3</v>
      </c>
      <c r="I66" s="16">
        <f t="shared" si="3"/>
        <v>2.1506398153450651E-2</v>
      </c>
      <c r="J66" s="16">
        <f t="shared" si="4"/>
        <v>1.0493240604177475E-2</v>
      </c>
      <c r="K66" s="16">
        <f t="shared" si="5"/>
        <v>1.5958951641958503E-2</v>
      </c>
      <c r="L66" s="16">
        <f t="shared" si="6"/>
        <v>1.059102903421163E-2</v>
      </c>
      <c r="M66" s="19">
        <f t="shared" si="0"/>
        <v>64.560408408138088</v>
      </c>
      <c r="N66" s="18">
        <f t="shared" si="7"/>
        <v>-0.20799463327475062</v>
      </c>
      <c r="O66" s="18">
        <f t="shared" si="8"/>
        <v>0.56445004480928895</v>
      </c>
      <c r="P66" s="22" t="str">
        <f t="shared" si="9"/>
        <v>prometedor</v>
      </c>
    </row>
    <row r="67" spans="1:16" x14ac:dyDescent="0.3">
      <c r="A67" s="13" t="s">
        <v>63</v>
      </c>
      <c r="B67" s="4">
        <v>92</v>
      </c>
      <c r="C67" s="4">
        <v>30</v>
      </c>
      <c r="D67" s="4">
        <v>10</v>
      </c>
      <c r="E67" s="4">
        <v>11</v>
      </c>
      <c r="F67" s="4">
        <v>66</v>
      </c>
      <c r="G67" s="16">
        <f t="shared" si="1"/>
        <v>2.8160736586918724E-2</v>
      </c>
      <c r="H67" s="16">
        <f t="shared" si="2"/>
        <v>8.4063753950996446E-3</v>
      </c>
      <c r="I67" s="16">
        <f t="shared" si="3"/>
        <v>2.5007439713314711E-3</v>
      </c>
      <c r="J67" s="16">
        <f t="shared" si="4"/>
        <v>3.2062679623875621E-3</v>
      </c>
      <c r="K67" s="16">
        <f t="shared" si="5"/>
        <v>1.5958951641958503E-2</v>
      </c>
      <c r="L67" s="16">
        <f t="shared" si="6"/>
        <v>1.1646615111539183E-2</v>
      </c>
      <c r="M67" s="19">
        <f t="shared" si="0"/>
        <v>-7.9679646068870351</v>
      </c>
      <c r="N67" s="18">
        <f t="shared" si="7"/>
        <v>-0.20767837394865643</v>
      </c>
      <c r="O67" s="18">
        <f t="shared" si="8"/>
        <v>-0.29386286313248011</v>
      </c>
      <c r="P67" s="22" t="str">
        <f t="shared" si="9"/>
        <v>estancado</v>
      </c>
    </row>
    <row r="68" spans="1:16" x14ac:dyDescent="0.3">
      <c r="A68" s="14" t="s">
        <v>64</v>
      </c>
      <c r="B68" s="2">
        <v>2</v>
      </c>
      <c r="C68" s="5">
        <v>37</v>
      </c>
      <c r="D68" s="5">
        <v>86</v>
      </c>
      <c r="E68" s="5">
        <v>17</v>
      </c>
      <c r="F68" s="5">
        <v>65</v>
      </c>
      <c r="G68" s="16">
        <f t="shared" si="1"/>
        <v>6.1218992580258104E-4</v>
      </c>
      <c r="H68" s="16">
        <f t="shared" si="2"/>
        <v>1.0367862987289559E-2</v>
      </c>
      <c r="I68" s="16">
        <f t="shared" si="3"/>
        <v>2.1506398153450651E-2</v>
      </c>
      <c r="J68" s="16">
        <f t="shared" si="4"/>
        <v>4.955141396417141E-3</v>
      </c>
      <c r="K68" s="16">
        <f t="shared" si="5"/>
        <v>1.571714934435307E-2</v>
      </c>
      <c r="L68" s="16">
        <f t="shared" si="6"/>
        <v>1.0631748361462601E-2</v>
      </c>
      <c r="M68" s="19">
        <f t="shared" si="0"/>
        <v>138.76509639174</v>
      </c>
      <c r="N68" s="18">
        <f t="shared" si="7"/>
        <v>-0.20798243354298832</v>
      </c>
      <c r="O68" s="18">
        <f t="shared" si="8"/>
        <v>1.4426007447143137</v>
      </c>
      <c r="P68" s="22" t="str">
        <f t="shared" si="9"/>
        <v>prometedor</v>
      </c>
    </row>
    <row r="69" spans="1:16" x14ac:dyDescent="0.3">
      <c r="A69" s="13" t="s">
        <v>65</v>
      </c>
      <c r="B69" s="4">
        <v>148</v>
      </c>
      <c r="C69" s="4">
        <v>79</v>
      </c>
      <c r="D69" s="4">
        <v>115</v>
      </c>
      <c r="E69" s="4">
        <v>44</v>
      </c>
      <c r="F69" s="4">
        <v>57</v>
      </c>
      <c r="G69" s="16">
        <f t="shared" si="1"/>
        <v>4.5302054509390996E-2</v>
      </c>
      <c r="H69" s="16">
        <f t="shared" si="2"/>
        <v>2.213678854042906E-2</v>
      </c>
      <c r="I69" s="16">
        <f t="shared" si="3"/>
        <v>2.8758555670311919E-2</v>
      </c>
      <c r="J69" s="16">
        <f t="shared" si="4"/>
        <v>1.2825071849550248E-2</v>
      </c>
      <c r="K69" s="16">
        <f t="shared" si="5"/>
        <v>1.3782730963509616E-2</v>
      </c>
      <c r="L69" s="16">
        <f t="shared" si="6"/>
        <v>2.4561040306638367E-2</v>
      </c>
      <c r="M69" s="19">
        <f t="shared" si="0"/>
        <v>-21.222302157221385</v>
      </c>
      <c r="N69" s="18">
        <f t="shared" si="7"/>
        <v>-0.20380914196765484</v>
      </c>
      <c r="O69" s="18">
        <f t="shared" si="8"/>
        <v>-0.4507169125582477</v>
      </c>
      <c r="P69" s="22" t="str">
        <f t="shared" si="9"/>
        <v>estancado</v>
      </c>
    </row>
    <row r="70" spans="1:16" x14ac:dyDescent="0.3">
      <c r="A70" s="14" t="s">
        <v>66</v>
      </c>
      <c r="B70" s="2">
        <v>1</v>
      </c>
      <c r="C70" s="2">
        <v>4</v>
      </c>
      <c r="D70" s="2">
        <v>3</v>
      </c>
      <c r="E70" s="2">
        <v>11</v>
      </c>
      <c r="F70" s="2">
        <v>49</v>
      </c>
      <c r="G70" s="16">
        <f t="shared" si="1"/>
        <v>3.0609496290129052E-4</v>
      </c>
      <c r="H70" s="16">
        <f t="shared" si="2"/>
        <v>1.1208500526799525E-3</v>
      </c>
      <c r="I70" s="16">
        <f t="shared" si="3"/>
        <v>7.5022319139944128E-4</v>
      </c>
      <c r="J70" s="16">
        <f t="shared" si="4"/>
        <v>3.2062679623875621E-3</v>
      </c>
      <c r="K70" s="16">
        <f t="shared" si="5"/>
        <v>1.184831258266616E-2</v>
      </c>
      <c r="L70" s="16">
        <f t="shared" si="6"/>
        <v>3.4463497504068812E-3</v>
      </c>
      <c r="M70" s="19">
        <f t="shared" ref="M70:M133" si="10">((F70/B70)^(1/4)-1)*100</f>
        <v>164.57513110645903</v>
      </c>
      <c r="N70" s="18">
        <f t="shared" si="7"/>
        <v>-0.2101352180209759</v>
      </c>
      <c r="O70" s="18">
        <f t="shared" si="8"/>
        <v>1.7480410162819553</v>
      </c>
      <c r="P70" s="22" t="str">
        <f t="shared" si="9"/>
        <v>prometedor</v>
      </c>
    </row>
    <row r="71" spans="1:16" x14ac:dyDescent="0.3">
      <c r="A71" s="13" t="s">
        <v>67</v>
      </c>
      <c r="B71" s="4">
        <v>2</v>
      </c>
      <c r="C71" s="4">
        <v>978</v>
      </c>
      <c r="D71" s="4">
        <v>4841</v>
      </c>
      <c r="E71" s="9">
        <v>24</v>
      </c>
      <c r="F71" s="9">
        <v>47</v>
      </c>
      <c r="G71" s="16">
        <f t="shared" ref="G71:G134" si="11">(B71/B$5)*100</f>
        <v>6.1218992580258104E-4</v>
      </c>
      <c r="H71" s="16">
        <f t="shared" ref="H71:H134" si="12">(C71/C$5)*100</f>
        <v>0.27404783788024839</v>
      </c>
      <c r="I71" s="16">
        <f t="shared" ref="I71:I134" si="13">(D71/D$5)*100</f>
        <v>1.2106101565215652</v>
      </c>
      <c r="J71" s="16">
        <f t="shared" ref="J71:J134" si="14">(E71/E$5)*100</f>
        <v>6.9954937361183167E-3</v>
      </c>
      <c r="K71" s="16">
        <f t="shared" ref="K71:K134" si="15">(F71/F$5)*100</f>
        <v>1.1364707987455296E-2</v>
      </c>
      <c r="L71" s="16">
        <f t="shared" ref="L71:L134" si="16">AVERAGE(G71:K71)</f>
        <v>0.30072607721023792</v>
      </c>
      <c r="M71" s="19">
        <f t="shared" si="10"/>
        <v>120.1744730302841</v>
      </c>
      <c r="N71" s="18">
        <f t="shared" ref="N71:N134" si="17">(L71-$L$2)/$L$3</f>
        <v>-0.12106859589771543</v>
      </c>
      <c r="O71" s="18">
        <f t="shared" ref="O71:O134" si="18">(M71-$M$2)/$M$3</f>
        <v>1.2225961956736808</v>
      </c>
      <c r="P71" s="22" t="str">
        <f t="shared" ref="P71:P134" si="19">IF(AND(N71&gt;0,O71&gt;0), "ESTRELLA",
IF(AND(N71&gt;0,O71&lt;0), "Consolidado",
IF(AND(N71&lt;0,O71&lt;0), "estancado", "prometedor")))</f>
        <v>prometedor</v>
      </c>
    </row>
    <row r="72" spans="1:16" x14ac:dyDescent="0.3">
      <c r="A72" s="14" t="s">
        <v>68</v>
      </c>
      <c r="B72" s="2">
        <v>27</v>
      </c>
      <c r="C72" s="2">
        <v>52</v>
      </c>
      <c r="D72" s="2">
        <v>144</v>
      </c>
      <c r="E72" s="2">
        <v>99</v>
      </c>
      <c r="F72" s="2">
        <v>46</v>
      </c>
      <c r="G72" s="16">
        <f t="shared" si="11"/>
        <v>8.2645639983348444E-3</v>
      </c>
      <c r="H72" s="16">
        <f t="shared" si="12"/>
        <v>1.4571050684839383E-2</v>
      </c>
      <c r="I72" s="16">
        <f t="shared" si="13"/>
        <v>3.6010713187173179E-2</v>
      </c>
      <c r="J72" s="16">
        <f t="shared" si="14"/>
        <v>2.8856411661488057E-2</v>
      </c>
      <c r="K72" s="16">
        <f t="shared" si="15"/>
        <v>1.1122905689849865E-2</v>
      </c>
      <c r="L72" s="16">
        <f t="shared" si="16"/>
        <v>1.9765129044337065E-2</v>
      </c>
      <c r="M72" s="19">
        <f t="shared" si="10"/>
        <v>14.247976517314353</v>
      </c>
      <c r="N72" s="18">
        <f t="shared" si="17"/>
        <v>-0.20524602304860176</v>
      </c>
      <c r="O72" s="18">
        <f t="shared" si="18"/>
        <v>-3.0955696787714381E-2</v>
      </c>
      <c r="P72" s="22" t="str">
        <f t="shared" si="19"/>
        <v>estancado</v>
      </c>
    </row>
    <row r="73" spans="1:16" x14ac:dyDescent="0.3">
      <c r="A73" s="13" t="s">
        <v>69</v>
      </c>
      <c r="B73" s="4">
        <v>110</v>
      </c>
      <c r="C73" s="4">
        <v>43</v>
      </c>
      <c r="D73" s="4">
        <v>54</v>
      </c>
      <c r="E73" s="4">
        <v>22</v>
      </c>
      <c r="F73" s="4">
        <v>44</v>
      </c>
      <c r="G73" s="16">
        <f t="shared" si="11"/>
        <v>3.3670445919141957E-2</v>
      </c>
      <c r="H73" s="16">
        <f t="shared" si="12"/>
        <v>1.2049138066309488E-2</v>
      </c>
      <c r="I73" s="16">
        <f t="shared" si="13"/>
        <v>1.3504017445189944E-2</v>
      </c>
      <c r="J73" s="16">
        <f t="shared" si="14"/>
        <v>6.4125359247751241E-3</v>
      </c>
      <c r="K73" s="16">
        <f t="shared" si="15"/>
        <v>1.0639301094639002E-2</v>
      </c>
      <c r="L73" s="16">
        <f t="shared" si="16"/>
        <v>1.5255087690011104E-2</v>
      </c>
      <c r="M73" s="19">
        <f t="shared" si="10"/>
        <v>-20.472927123294937</v>
      </c>
      <c r="N73" s="18">
        <f t="shared" si="17"/>
        <v>-0.20659725595135761</v>
      </c>
      <c r="O73" s="18">
        <f t="shared" si="18"/>
        <v>-0.44184868295691471</v>
      </c>
      <c r="P73" s="22" t="str">
        <f t="shared" si="19"/>
        <v>estancado</v>
      </c>
    </row>
    <row r="74" spans="1:16" x14ac:dyDescent="0.3">
      <c r="A74" s="14" t="s">
        <v>70</v>
      </c>
      <c r="B74" s="2">
        <v>25</v>
      </c>
      <c r="C74" s="2">
        <v>589</v>
      </c>
      <c r="D74" s="2">
        <v>1611</v>
      </c>
      <c r="E74" s="2">
        <v>286</v>
      </c>
      <c r="F74" s="5">
        <v>39</v>
      </c>
      <c r="G74" s="16">
        <f t="shared" si="11"/>
        <v>7.6523740725322632E-3</v>
      </c>
      <c r="H74" s="16">
        <f t="shared" si="12"/>
        <v>0.16504517025712301</v>
      </c>
      <c r="I74" s="16">
        <f t="shared" si="13"/>
        <v>0.40286985378149998</v>
      </c>
      <c r="J74" s="16">
        <f t="shared" si="14"/>
        <v>8.3362967022076614E-2</v>
      </c>
      <c r="K74" s="16">
        <f t="shared" si="15"/>
        <v>9.430289606611842E-3</v>
      </c>
      <c r="L74" s="16">
        <f t="shared" si="16"/>
        <v>0.13367213094796876</v>
      </c>
      <c r="M74" s="19">
        <f t="shared" si="10"/>
        <v>11.758650657552217</v>
      </c>
      <c r="N74" s="18">
        <f t="shared" si="17"/>
        <v>-0.17111886617035435</v>
      </c>
      <c r="O74" s="18">
        <f t="shared" si="18"/>
        <v>-6.0414795740126523E-2</v>
      </c>
      <c r="P74" s="22" t="str">
        <f t="shared" si="19"/>
        <v>estancado</v>
      </c>
    </row>
    <row r="75" spans="1:16" x14ac:dyDescent="0.3">
      <c r="A75" s="13" t="s">
        <v>71</v>
      </c>
      <c r="B75" s="4">
        <v>60</v>
      </c>
      <c r="C75" s="4">
        <v>53</v>
      </c>
      <c r="D75" s="4">
        <v>45</v>
      </c>
      <c r="E75" s="4">
        <v>132</v>
      </c>
      <c r="F75" s="4">
        <v>38</v>
      </c>
      <c r="G75" s="16">
        <f t="shared" si="11"/>
        <v>1.8365697774077431E-2</v>
      </c>
      <c r="H75" s="16">
        <f t="shared" si="12"/>
        <v>1.4851263198009369E-2</v>
      </c>
      <c r="I75" s="16">
        <f t="shared" si="13"/>
        <v>1.1253347870991621E-2</v>
      </c>
      <c r="J75" s="16">
        <f t="shared" si="14"/>
        <v>3.8475215548650743E-2</v>
      </c>
      <c r="K75" s="16">
        <f t="shared" si="15"/>
        <v>9.1884873090064111E-3</v>
      </c>
      <c r="L75" s="16">
        <f t="shared" si="16"/>
        <v>1.8426802340147118E-2</v>
      </c>
      <c r="M75" s="19">
        <f t="shared" si="10"/>
        <v>-10.791120074612447</v>
      </c>
      <c r="N75" s="18">
        <f t="shared" si="17"/>
        <v>-0.2056469930032572</v>
      </c>
      <c r="O75" s="18">
        <f t="shared" si="18"/>
        <v>-0.32727255755059592</v>
      </c>
      <c r="P75" s="22" t="str">
        <f t="shared" si="19"/>
        <v>estancado</v>
      </c>
    </row>
    <row r="76" spans="1:16" x14ac:dyDescent="0.3">
      <c r="A76" s="14" t="s">
        <v>72</v>
      </c>
      <c r="B76" s="2">
        <v>26</v>
      </c>
      <c r="C76" s="2">
        <v>6</v>
      </c>
      <c r="D76" s="2">
        <v>4</v>
      </c>
      <c r="E76" s="2">
        <v>11</v>
      </c>
      <c r="F76" s="2">
        <v>34</v>
      </c>
      <c r="G76" s="16">
        <f t="shared" si="11"/>
        <v>7.9584690354335529E-3</v>
      </c>
      <c r="H76" s="16">
        <f t="shared" si="12"/>
        <v>1.6812750790199285E-3</v>
      </c>
      <c r="I76" s="16">
        <f t="shared" si="13"/>
        <v>1.0002975885325884E-3</v>
      </c>
      <c r="J76" s="16">
        <f t="shared" si="14"/>
        <v>3.2062679623875621E-3</v>
      </c>
      <c r="K76" s="16">
        <f t="shared" si="15"/>
        <v>8.2212781185846823E-3</v>
      </c>
      <c r="L76" s="16">
        <f t="shared" si="16"/>
        <v>4.4135175567916627E-3</v>
      </c>
      <c r="M76" s="19">
        <f t="shared" si="10"/>
        <v>6.936605042133781</v>
      </c>
      <c r="N76" s="18">
        <f t="shared" si="17"/>
        <v>-0.20984544928942764</v>
      </c>
      <c r="O76" s="18">
        <f t="shared" si="18"/>
        <v>-0.11747969079216702</v>
      </c>
      <c r="P76" s="22" t="str">
        <f t="shared" si="19"/>
        <v>estancado</v>
      </c>
    </row>
    <row r="77" spans="1:16" x14ac:dyDescent="0.3">
      <c r="A77" s="13" t="s">
        <v>73</v>
      </c>
      <c r="B77" s="4">
        <v>1</v>
      </c>
      <c r="C77" s="4">
        <v>25</v>
      </c>
      <c r="D77" s="4">
        <v>4</v>
      </c>
      <c r="E77" s="4">
        <v>12</v>
      </c>
      <c r="F77" s="4">
        <v>33</v>
      </c>
      <c r="G77" s="16">
        <f t="shared" si="11"/>
        <v>3.0609496290129052E-4</v>
      </c>
      <c r="H77" s="16">
        <f t="shared" si="12"/>
        <v>7.0053128292497033E-3</v>
      </c>
      <c r="I77" s="16">
        <f t="shared" si="13"/>
        <v>1.0002975885325884E-3</v>
      </c>
      <c r="J77" s="16">
        <f t="shared" si="14"/>
        <v>3.4977468680591583E-3</v>
      </c>
      <c r="K77" s="16">
        <f t="shared" si="15"/>
        <v>7.9794758209792514E-3</v>
      </c>
      <c r="L77" s="16">
        <f t="shared" si="16"/>
        <v>3.9577856139443989E-3</v>
      </c>
      <c r="M77" s="19">
        <f t="shared" si="10"/>
        <v>139.67817269284302</v>
      </c>
      <c r="N77" s="18">
        <f t="shared" si="17"/>
        <v>-0.20998198905650123</v>
      </c>
      <c r="O77" s="18">
        <f t="shared" si="18"/>
        <v>1.4534062425159822</v>
      </c>
      <c r="P77" s="22" t="str">
        <f t="shared" si="19"/>
        <v>prometedor</v>
      </c>
    </row>
    <row r="78" spans="1:16" x14ac:dyDescent="0.3">
      <c r="A78" s="14" t="s">
        <v>74</v>
      </c>
      <c r="B78" s="2">
        <v>20</v>
      </c>
      <c r="C78" s="2">
        <v>25</v>
      </c>
      <c r="D78" s="2">
        <v>11</v>
      </c>
      <c r="E78" s="2">
        <v>12</v>
      </c>
      <c r="F78" s="2">
        <v>32</v>
      </c>
      <c r="G78" s="16">
        <f t="shared" si="11"/>
        <v>6.1218992580258091E-3</v>
      </c>
      <c r="H78" s="16">
        <f t="shared" si="12"/>
        <v>7.0053128292497033E-3</v>
      </c>
      <c r="I78" s="16">
        <f t="shared" si="13"/>
        <v>2.7508183684646181E-3</v>
      </c>
      <c r="J78" s="16">
        <f t="shared" si="14"/>
        <v>3.4977468680591583E-3</v>
      </c>
      <c r="K78" s="16">
        <f t="shared" si="15"/>
        <v>7.7376735233738187E-3</v>
      </c>
      <c r="L78" s="16">
        <f t="shared" si="16"/>
        <v>5.4226901694346217E-3</v>
      </c>
      <c r="M78" s="19">
        <f t="shared" si="10"/>
        <v>12.468265038069815</v>
      </c>
      <c r="N78" s="18">
        <f t="shared" si="17"/>
        <v>-0.20954309568961965</v>
      </c>
      <c r="O78" s="18">
        <f t="shared" si="18"/>
        <v>-5.201710036740418E-2</v>
      </c>
      <c r="P78" s="22" t="str">
        <f t="shared" si="19"/>
        <v>estancado</v>
      </c>
    </row>
    <row r="79" spans="1:16" x14ac:dyDescent="0.3">
      <c r="A79" s="14" t="s">
        <v>75</v>
      </c>
      <c r="B79" s="2">
        <v>10</v>
      </c>
      <c r="C79" s="2">
        <v>77</v>
      </c>
      <c r="D79" s="2">
        <v>38</v>
      </c>
      <c r="E79" s="2">
        <v>31</v>
      </c>
      <c r="F79" s="5">
        <v>30</v>
      </c>
      <c r="G79" s="16">
        <f t="shared" si="11"/>
        <v>3.0609496290129046E-3</v>
      </c>
      <c r="H79" s="16">
        <f t="shared" si="12"/>
        <v>2.1576363514089085E-2</v>
      </c>
      <c r="I79" s="16">
        <f t="shared" si="13"/>
        <v>9.5028270910595906E-3</v>
      </c>
      <c r="J79" s="16">
        <f t="shared" si="14"/>
        <v>9.0358460758194932E-3</v>
      </c>
      <c r="K79" s="16">
        <f t="shared" si="15"/>
        <v>7.2540689281629551E-3</v>
      </c>
      <c r="L79" s="16">
        <f t="shared" si="16"/>
        <v>1.0086011047628804E-2</v>
      </c>
      <c r="M79" s="19">
        <f t="shared" si="10"/>
        <v>31.607401295249261</v>
      </c>
      <c r="N79" s="18">
        <f t="shared" si="17"/>
        <v>-0.20814593940840717</v>
      </c>
      <c r="O79" s="18">
        <f t="shared" si="18"/>
        <v>0.17447864210554928</v>
      </c>
      <c r="P79" s="22" t="str">
        <f t="shared" si="19"/>
        <v>prometedor</v>
      </c>
    </row>
    <row r="80" spans="1:16" x14ac:dyDescent="0.3">
      <c r="A80" s="13" t="s">
        <v>76</v>
      </c>
      <c r="B80" s="4">
        <v>414</v>
      </c>
      <c r="C80" s="4">
        <v>314</v>
      </c>
      <c r="D80" s="4">
        <v>257</v>
      </c>
      <c r="E80" s="4">
        <v>647</v>
      </c>
      <c r="F80" s="9">
        <v>29</v>
      </c>
      <c r="G80" s="16">
        <f t="shared" si="11"/>
        <v>0.12672331464113426</v>
      </c>
      <c r="H80" s="16">
        <f t="shared" si="12"/>
        <v>8.7986729135376279E-2</v>
      </c>
      <c r="I80" s="16">
        <f t="shared" si="13"/>
        <v>6.4269120063218804E-2</v>
      </c>
      <c r="J80" s="16">
        <f t="shared" si="14"/>
        <v>0.18858685196952296</v>
      </c>
      <c r="K80" s="16">
        <f t="shared" si="15"/>
        <v>7.0122666305575242E-3</v>
      </c>
      <c r="L80" s="16">
        <f t="shared" si="16"/>
        <v>9.4915656487961964E-2</v>
      </c>
      <c r="M80" s="19">
        <f t="shared" si="10"/>
        <v>-48.554260513934992</v>
      </c>
      <c r="N80" s="18">
        <f t="shared" si="17"/>
        <v>-0.1827305165679606</v>
      </c>
      <c r="O80" s="18">
        <f t="shared" si="18"/>
        <v>-0.77416788328434283</v>
      </c>
      <c r="P80" s="22" t="str">
        <f t="shared" si="19"/>
        <v>estancado</v>
      </c>
    </row>
    <row r="81" spans="1:16" x14ac:dyDescent="0.3">
      <c r="A81" s="14" t="s">
        <v>77</v>
      </c>
      <c r="B81" s="2">
        <v>6</v>
      </c>
      <c r="C81" s="2">
        <v>3</v>
      </c>
      <c r="D81" s="2">
        <v>30</v>
      </c>
      <c r="E81" s="2">
        <v>5</v>
      </c>
      <c r="F81" s="2">
        <v>27</v>
      </c>
      <c r="G81" s="16">
        <f t="shared" si="11"/>
        <v>1.8365697774077431E-3</v>
      </c>
      <c r="H81" s="16">
        <f t="shared" si="12"/>
        <v>8.4063753950996425E-4</v>
      </c>
      <c r="I81" s="16">
        <f t="shared" si="13"/>
        <v>7.502231913994413E-3</v>
      </c>
      <c r="J81" s="16">
        <f t="shared" si="14"/>
        <v>1.4573945283579827E-3</v>
      </c>
      <c r="K81" s="16">
        <f t="shared" si="15"/>
        <v>6.5286620353466589E-3</v>
      </c>
      <c r="L81" s="16">
        <f t="shared" si="16"/>
        <v>3.6330991589233531E-3</v>
      </c>
      <c r="M81" s="19">
        <f t="shared" si="10"/>
        <v>45.647531512197027</v>
      </c>
      <c r="N81" s="18">
        <f t="shared" si="17"/>
        <v>-0.21007926688316303</v>
      </c>
      <c r="O81" s="18">
        <f t="shared" si="18"/>
        <v>0.34063189349439632</v>
      </c>
      <c r="P81" s="22" t="str">
        <f t="shared" si="19"/>
        <v>prometedor</v>
      </c>
    </row>
    <row r="82" spans="1:16" x14ac:dyDescent="0.3">
      <c r="A82" s="13" t="s">
        <v>78</v>
      </c>
      <c r="B82" s="4">
        <v>10</v>
      </c>
      <c r="C82" s="4">
        <v>41</v>
      </c>
      <c r="D82" s="4">
        <v>20</v>
      </c>
      <c r="E82" s="4">
        <v>71</v>
      </c>
      <c r="F82" s="4">
        <v>26</v>
      </c>
      <c r="G82" s="16">
        <f t="shared" si="11"/>
        <v>3.0609496290129046E-3</v>
      </c>
      <c r="H82" s="16">
        <f t="shared" si="12"/>
        <v>1.1488713039969513E-2</v>
      </c>
      <c r="I82" s="16">
        <f t="shared" si="13"/>
        <v>5.0014879426629423E-3</v>
      </c>
      <c r="J82" s="16">
        <f t="shared" si="14"/>
        <v>2.0695002302683355E-2</v>
      </c>
      <c r="K82" s="16">
        <f t="shared" si="15"/>
        <v>6.2868597377412272E-3</v>
      </c>
      <c r="L82" s="16">
        <f t="shared" si="16"/>
        <v>9.3066025304139894E-3</v>
      </c>
      <c r="M82" s="19">
        <f t="shared" si="10"/>
        <v>26.982343247386552</v>
      </c>
      <c r="N82" s="18">
        <f t="shared" si="17"/>
        <v>-0.20837945443640987</v>
      </c>
      <c r="O82" s="18">
        <f t="shared" si="18"/>
        <v>0.11974493090485624</v>
      </c>
      <c r="P82" s="22" t="str">
        <f t="shared" si="19"/>
        <v>prometedor</v>
      </c>
    </row>
    <row r="83" spans="1:16" x14ac:dyDescent="0.3">
      <c r="A83" s="14" t="s">
        <v>79</v>
      </c>
      <c r="B83" s="2">
        <v>49</v>
      </c>
      <c r="C83" s="2">
        <v>21</v>
      </c>
      <c r="D83" s="2">
        <v>29</v>
      </c>
      <c r="E83" s="2">
        <v>42</v>
      </c>
      <c r="F83" s="2">
        <v>26</v>
      </c>
      <c r="G83" s="16">
        <f t="shared" si="11"/>
        <v>1.4998653182163235E-2</v>
      </c>
      <c r="H83" s="16">
        <f t="shared" si="12"/>
        <v>5.8844627765697504E-3</v>
      </c>
      <c r="I83" s="16">
        <f t="shared" si="13"/>
        <v>7.2521575168612669E-3</v>
      </c>
      <c r="J83" s="16">
        <f t="shared" si="14"/>
        <v>1.2242114038207056E-2</v>
      </c>
      <c r="K83" s="16">
        <f t="shared" si="15"/>
        <v>6.2868597377412272E-3</v>
      </c>
      <c r="L83" s="16">
        <f t="shared" si="16"/>
        <v>9.3328494503085065E-3</v>
      </c>
      <c r="M83" s="19">
        <f t="shared" si="10"/>
        <v>-14.651809680305261</v>
      </c>
      <c r="N83" s="18">
        <f t="shared" si="17"/>
        <v>-0.20837159071655209</v>
      </c>
      <c r="O83" s="18">
        <f t="shared" si="18"/>
        <v>-0.37296060464681702</v>
      </c>
      <c r="P83" s="22" t="str">
        <f t="shared" si="19"/>
        <v>estancado</v>
      </c>
    </row>
    <row r="84" spans="1:16" x14ac:dyDescent="0.3">
      <c r="A84" s="13" t="s">
        <v>80</v>
      </c>
      <c r="B84" s="4">
        <v>11</v>
      </c>
      <c r="C84" s="4">
        <v>23</v>
      </c>
      <c r="D84" s="4">
        <v>21</v>
      </c>
      <c r="E84" s="4">
        <v>26</v>
      </c>
      <c r="F84" s="4">
        <v>25</v>
      </c>
      <c r="G84" s="16">
        <f t="shared" si="11"/>
        <v>3.3670445919141952E-3</v>
      </c>
      <c r="H84" s="16">
        <f t="shared" si="12"/>
        <v>6.4448878029097264E-3</v>
      </c>
      <c r="I84" s="16">
        <f t="shared" si="13"/>
        <v>5.2515623397960893E-3</v>
      </c>
      <c r="J84" s="16">
        <f t="shared" si="14"/>
        <v>7.5784515474615101E-3</v>
      </c>
      <c r="K84" s="16">
        <f t="shared" si="15"/>
        <v>6.0450574401357962E-3</v>
      </c>
      <c r="L84" s="16">
        <f t="shared" si="16"/>
        <v>5.7374007444434636E-3</v>
      </c>
      <c r="M84" s="19">
        <f t="shared" si="10"/>
        <v>22.782601490961184</v>
      </c>
      <c r="N84" s="18">
        <f t="shared" si="17"/>
        <v>-0.20944880669083046</v>
      </c>
      <c r="O84" s="18">
        <f t="shared" si="18"/>
        <v>7.0044483897515067E-2</v>
      </c>
      <c r="P84" s="22" t="str">
        <f t="shared" si="19"/>
        <v>prometedor</v>
      </c>
    </row>
    <row r="85" spans="1:16" x14ac:dyDescent="0.3">
      <c r="A85" s="14" t="s">
        <v>81</v>
      </c>
      <c r="B85" s="15">
        <v>1</v>
      </c>
      <c r="C85" s="2">
        <v>17</v>
      </c>
      <c r="D85" s="2">
        <v>69</v>
      </c>
      <c r="E85" s="2">
        <v>39</v>
      </c>
      <c r="F85" s="5">
        <v>23</v>
      </c>
      <c r="G85" s="16">
        <f t="shared" si="11"/>
        <v>3.0609496290129052E-4</v>
      </c>
      <c r="H85" s="16">
        <f t="shared" si="12"/>
        <v>4.7636127238897983E-3</v>
      </c>
      <c r="I85" s="16">
        <f t="shared" si="13"/>
        <v>1.7255133402187151E-2</v>
      </c>
      <c r="J85" s="16">
        <f t="shared" si="14"/>
        <v>1.1367677321192265E-2</v>
      </c>
      <c r="K85" s="16">
        <f t="shared" si="15"/>
        <v>5.5614528449249327E-3</v>
      </c>
      <c r="L85" s="16">
        <f t="shared" si="16"/>
        <v>7.8507942510190869E-3</v>
      </c>
      <c r="M85" s="19">
        <f t="shared" si="10"/>
        <v>118.99387030948421</v>
      </c>
      <c r="N85" s="18">
        <f t="shared" si="17"/>
        <v>-0.20881562250953323</v>
      </c>
      <c r="O85" s="18">
        <f t="shared" si="18"/>
        <v>1.2086247454358021</v>
      </c>
      <c r="P85" s="22" t="str">
        <f t="shared" si="19"/>
        <v>prometedor</v>
      </c>
    </row>
    <row r="86" spans="1:16" x14ac:dyDescent="0.3">
      <c r="A86" s="13" t="s">
        <v>82</v>
      </c>
      <c r="B86" s="4">
        <v>66</v>
      </c>
      <c r="C86" s="4">
        <v>45</v>
      </c>
      <c r="D86" s="4">
        <v>9</v>
      </c>
      <c r="E86" s="7">
        <v>38</v>
      </c>
      <c r="F86" s="4">
        <v>22</v>
      </c>
      <c r="G86" s="16">
        <f t="shared" si="11"/>
        <v>2.0202267551485173E-2</v>
      </c>
      <c r="H86" s="16">
        <f t="shared" si="12"/>
        <v>1.2609563092649465E-2</v>
      </c>
      <c r="I86" s="16">
        <f t="shared" si="13"/>
        <v>2.2506695741983237E-3</v>
      </c>
      <c r="J86" s="16">
        <f t="shared" si="14"/>
        <v>1.1076198415520669E-2</v>
      </c>
      <c r="K86" s="16">
        <f t="shared" si="15"/>
        <v>5.3196505473195009E-3</v>
      </c>
      <c r="L86" s="16">
        <f t="shared" si="16"/>
        <v>1.0291669836234627E-2</v>
      </c>
      <c r="M86" s="19">
        <f t="shared" si="10"/>
        <v>-24.016431434840747</v>
      </c>
      <c r="N86" s="18">
        <f t="shared" si="17"/>
        <v>-0.20808432291754317</v>
      </c>
      <c r="O86" s="18">
        <f t="shared" si="18"/>
        <v>-0.48378310618349124</v>
      </c>
      <c r="P86" s="22" t="str">
        <f t="shared" si="19"/>
        <v>estancado</v>
      </c>
    </row>
    <row r="87" spans="1:16" x14ac:dyDescent="0.3">
      <c r="A87" s="14" t="s">
        <v>83</v>
      </c>
      <c r="B87" s="2">
        <v>81</v>
      </c>
      <c r="C87" s="2">
        <v>44</v>
      </c>
      <c r="D87" s="2">
        <v>11</v>
      </c>
      <c r="E87" s="2">
        <v>3</v>
      </c>
      <c r="F87" s="8">
        <v>22</v>
      </c>
      <c r="G87" s="16">
        <f t="shared" si="11"/>
        <v>2.4793691995004533E-2</v>
      </c>
      <c r="H87" s="16">
        <f t="shared" si="12"/>
        <v>1.2329350579479476E-2</v>
      </c>
      <c r="I87" s="16">
        <f t="shared" si="13"/>
        <v>2.7508183684646181E-3</v>
      </c>
      <c r="J87" s="16">
        <f t="shared" si="14"/>
        <v>8.7443671701478958E-4</v>
      </c>
      <c r="K87" s="16">
        <f t="shared" si="15"/>
        <v>5.3196505473195009E-3</v>
      </c>
      <c r="L87" s="16">
        <f t="shared" si="16"/>
        <v>9.2135896414565818E-3</v>
      </c>
      <c r="M87" s="19">
        <f t="shared" si="10"/>
        <v>-27.808774311066887</v>
      </c>
      <c r="N87" s="18">
        <f t="shared" si="17"/>
        <v>-0.20840732160348566</v>
      </c>
      <c r="O87" s="18">
        <f t="shared" si="18"/>
        <v>-0.52866232664155388</v>
      </c>
      <c r="P87" s="22" t="str">
        <f t="shared" si="19"/>
        <v>estancado</v>
      </c>
    </row>
    <row r="88" spans="1:16" x14ac:dyDescent="0.3">
      <c r="A88" s="13" t="s">
        <v>84</v>
      </c>
      <c r="B88" s="4">
        <v>141</v>
      </c>
      <c r="C88" s="4">
        <v>35</v>
      </c>
      <c r="D88" s="4">
        <v>2</v>
      </c>
      <c r="E88" s="4">
        <v>54</v>
      </c>
      <c r="F88" s="4">
        <v>21</v>
      </c>
      <c r="G88" s="16">
        <f t="shared" si="11"/>
        <v>4.3159389769081957E-2</v>
      </c>
      <c r="H88" s="16">
        <f t="shared" si="12"/>
        <v>9.8074379609495842E-3</v>
      </c>
      <c r="I88" s="16">
        <f t="shared" si="13"/>
        <v>5.0014879426629418E-4</v>
      </c>
      <c r="J88" s="16">
        <f t="shared" si="14"/>
        <v>1.5739860906266216E-2</v>
      </c>
      <c r="K88" s="16">
        <f t="shared" si="15"/>
        <v>5.0778482497140683E-3</v>
      </c>
      <c r="L88" s="16">
        <f t="shared" si="16"/>
        <v>1.4856937136055622E-2</v>
      </c>
      <c r="M88" s="19">
        <f t="shared" si="10"/>
        <v>-37.877339682368735</v>
      </c>
      <c r="N88" s="18">
        <f t="shared" si="17"/>
        <v>-0.20671654402135262</v>
      </c>
      <c r="O88" s="18">
        <f t="shared" si="18"/>
        <v>-0.64781541478339866</v>
      </c>
      <c r="P88" s="22" t="str">
        <f t="shared" si="19"/>
        <v>estancado</v>
      </c>
    </row>
    <row r="89" spans="1:16" x14ac:dyDescent="0.3">
      <c r="A89" s="13" t="s">
        <v>85</v>
      </c>
      <c r="B89" s="4">
        <v>86</v>
      </c>
      <c r="C89" s="4">
        <v>37</v>
      </c>
      <c r="D89" s="4">
        <v>43</v>
      </c>
      <c r="E89" s="4">
        <v>39</v>
      </c>
      <c r="F89" s="4">
        <v>17</v>
      </c>
      <c r="G89" s="16">
        <f t="shared" si="11"/>
        <v>2.6324166809510982E-2</v>
      </c>
      <c r="H89" s="16">
        <f t="shared" si="12"/>
        <v>1.0367862987289559E-2</v>
      </c>
      <c r="I89" s="16">
        <f t="shared" si="13"/>
        <v>1.0753199076725325E-2</v>
      </c>
      <c r="J89" s="16">
        <f t="shared" si="14"/>
        <v>1.1367677321192265E-2</v>
      </c>
      <c r="K89" s="16">
        <f t="shared" si="15"/>
        <v>4.1106390592923411E-3</v>
      </c>
      <c r="L89" s="16">
        <f t="shared" si="16"/>
        <v>1.2584709050802095E-2</v>
      </c>
      <c r="M89" s="19">
        <f t="shared" si="10"/>
        <v>-33.321224229815805</v>
      </c>
      <c r="N89" s="18">
        <f t="shared" si="17"/>
        <v>-0.2073973159057203</v>
      </c>
      <c r="O89" s="18">
        <f t="shared" si="18"/>
        <v>-0.59389758179700292</v>
      </c>
      <c r="P89" s="22" t="str">
        <f t="shared" si="19"/>
        <v>estancado</v>
      </c>
    </row>
    <row r="90" spans="1:16" x14ac:dyDescent="0.3">
      <c r="A90" s="14" t="s">
        <v>86</v>
      </c>
      <c r="B90" s="2">
        <v>9</v>
      </c>
      <c r="C90" s="2">
        <v>5</v>
      </c>
      <c r="D90" s="2">
        <v>14</v>
      </c>
      <c r="E90" s="2">
        <v>38</v>
      </c>
      <c r="F90" s="2">
        <v>16</v>
      </c>
      <c r="G90" s="16">
        <f t="shared" si="11"/>
        <v>2.7548546661116144E-3</v>
      </c>
      <c r="H90" s="16">
        <f t="shared" si="12"/>
        <v>1.4010625658499407E-3</v>
      </c>
      <c r="I90" s="16">
        <f t="shared" si="13"/>
        <v>3.5010415598640595E-3</v>
      </c>
      <c r="J90" s="16">
        <f t="shared" si="14"/>
        <v>1.1076198415520669E-2</v>
      </c>
      <c r="K90" s="16">
        <f t="shared" si="15"/>
        <v>3.8688367616869094E-3</v>
      </c>
      <c r="L90" s="16">
        <f t="shared" si="16"/>
        <v>4.5203987938066386E-3</v>
      </c>
      <c r="M90" s="19">
        <f t="shared" si="10"/>
        <v>15.470053837925146</v>
      </c>
      <c r="N90" s="18">
        <f t="shared" si="17"/>
        <v>-0.2098134270898965</v>
      </c>
      <c r="O90" s="18">
        <f t="shared" si="18"/>
        <v>-1.6493429192578356E-2</v>
      </c>
      <c r="P90" s="22" t="str">
        <f t="shared" si="19"/>
        <v>estancado</v>
      </c>
    </row>
    <row r="91" spans="1:16" x14ac:dyDescent="0.3">
      <c r="A91" s="13" t="s">
        <v>87</v>
      </c>
      <c r="B91" s="4">
        <v>74</v>
      </c>
      <c r="C91" s="4">
        <v>27</v>
      </c>
      <c r="D91" s="4">
        <v>42</v>
      </c>
      <c r="E91" s="4">
        <v>14</v>
      </c>
      <c r="F91" s="9">
        <v>14</v>
      </c>
      <c r="G91" s="16">
        <f t="shared" si="11"/>
        <v>2.2651027254695498E-2</v>
      </c>
      <c r="H91" s="16">
        <f t="shared" si="12"/>
        <v>7.5657378555896793E-3</v>
      </c>
      <c r="I91" s="16">
        <f t="shared" si="13"/>
        <v>1.0503124679592179E-2</v>
      </c>
      <c r="J91" s="16">
        <f t="shared" si="14"/>
        <v>4.0807046794023513E-3</v>
      </c>
      <c r="K91" s="16">
        <f t="shared" si="15"/>
        <v>3.3852321664760462E-3</v>
      </c>
      <c r="L91" s="16">
        <f t="shared" si="16"/>
        <v>9.6371653271511495E-3</v>
      </c>
      <c r="M91" s="19">
        <f t="shared" si="10"/>
        <v>-34.048590902025445</v>
      </c>
      <c r="N91" s="18">
        <f t="shared" si="17"/>
        <v>-0.20828041602583083</v>
      </c>
      <c r="O91" s="18">
        <f t="shared" si="18"/>
        <v>-0.60250536076144834</v>
      </c>
      <c r="P91" s="22" t="str">
        <f t="shared" si="19"/>
        <v>estancado</v>
      </c>
    </row>
    <row r="92" spans="1:16" x14ac:dyDescent="0.3">
      <c r="A92" s="14" t="s">
        <v>88</v>
      </c>
      <c r="B92" s="2">
        <v>5279</v>
      </c>
      <c r="C92" s="2">
        <v>4203</v>
      </c>
      <c r="D92" s="2">
        <v>4706</v>
      </c>
      <c r="E92" s="2">
        <v>5079</v>
      </c>
      <c r="F92" s="5">
        <v>14</v>
      </c>
      <c r="G92" s="16">
        <f t="shared" si="11"/>
        <v>1.6158753091559126</v>
      </c>
      <c r="H92" s="16">
        <f t="shared" si="12"/>
        <v>1.17773319285346</v>
      </c>
      <c r="I92" s="16">
        <f t="shared" si="13"/>
        <v>1.1768501129085902</v>
      </c>
      <c r="J92" s="16">
        <f t="shared" si="14"/>
        <v>1.4804213619060389</v>
      </c>
      <c r="K92" s="16">
        <f t="shared" si="15"/>
        <v>3.3852321664760462E-3</v>
      </c>
      <c r="L92" s="16">
        <f t="shared" si="16"/>
        <v>1.0908530417980955</v>
      </c>
      <c r="M92" s="19">
        <f t="shared" si="10"/>
        <v>-77.306886074079799</v>
      </c>
      <c r="N92" s="18">
        <f t="shared" si="17"/>
        <v>0.11565773719492567</v>
      </c>
      <c r="O92" s="18">
        <f t="shared" si="18"/>
        <v>-1.1144312675240007</v>
      </c>
      <c r="P92" s="22" t="str">
        <f t="shared" si="19"/>
        <v>Consolidado</v>
      </c>
    </row>
    <row r="93" spans="1:16" x14ac:dyDescent="0.3">
      <c r="A93" s="13" t="s">
        <v>89</v>
      </c>
      <c r="B93" s="15">
        <f>D93-(D93/C93-1)*D93</f>
        <v>3</v>
      </c>
      <c r="C93" s="4">
        <v>4</v>
      </c>
      <c r="D93" s="4">
        <v>2</v>
      </c>
      <c r="E93" s="4">
        <v>42</v>
      </c>
      <c r="F93" s="4">
        <v>13</v>
      </c>
      <c r="G93" s="16">
        <f t="shared" si="11"/>
        <v>9.1828488870387157E-4</v>
      </c>
      <c r="H93" s="16">
        <f t="shared" si="12"/>
        <v>1.1208500526799525E-3</v>
      </c>
      <c r="I93" s="16">
        <f t="shared" si="13"/>
        <v>5.0014879426629418E-4</v>
      </c>
      <c r="J93" s="16">
        <f t="shared" si="14"/>
        <v>1.2242114038207056E-2</v>
      </c>
      <c r="K93" s="16">
        <f t="shared" si="15"/>
        <v>3.1434298688706136E-3</v>
      </c>
      <c r="L93" s="16">
        <f t="shared" si="16"/>
        <v>3.5849655285455579E-3</v>
      </c>
      <c r="M93" s="19">
        <f t="shared" si="10"/>
        <v>44.2797975971041</v>
      </c>
      <c r="N93" s="18">
        <f t="shared" si="17"/>
        <v>-0.21009368798044037</v>
      </c>
      <c r="O93" s="18">
        <f t="shared" si="18"/>
        <v>0.32444590137637663</v>
      </c>
      <c r="P93" s="22" t="str">
        <f t="shared" si="19"/>
        <v>prometedor</v>
      </c>
    </row>
    <row r="94" spans="1:16" x14ac:dyDescent="0.3">
      <c r="A94" s="14" t="s">
        <v>90</v>
      </c>
      <c r="B94" s="15">
        <v>1</v>
      </c>
      <c r="C94" s="2">
        <v>459</v>
      </c>
      <c r="D94" s="2">
        <v>1748</v>
      </c>
      <c r="E94" s="2">
        <v>112</v>
      </c>
      <c r="F94" s="5">
        <v>13</v>
      </c>
      <c r="G94" s="16">
        <f t="shared" si="11"/>
        <v>3.0609496290129052E-4</v>
      </c>
      <c r="H94" s="16">
        <f t="shared" si="12"/>
        <v>0.12861754354502453</v>
      </c>
      <c r="I94" s="16">
        <f t="shared" si="13"/>
        <v>0.43713004618874118</v>
      </c>
      <c r="J94" s="16">
        <f t="shared" si="14"/>
        <v>3.2645637435218811E-2</v>
      </c>
      <c r="K94" s="16">
        <f t="shared" si="15"/>
        <v>3.1434298688706136E-3</v>
      </c>
      <c r="L94" s="16">
        <f t="shared" si="16"/>
        <v>0.12036855040015131</v>
      </c>
      <c r="M94" s="19">
        <f t="shared" si="10"/>
        <v>89.882892211594182</v>
      </c>
      <c r="N94" s="18">
        <f t="shared" si="17"/>
        <v>-0.17510469121016953</v>
      </c>
      <c r="O94" s="18">
        <f t="shared" si="18"/>
        <v>0.86412055727411652</v>
      </c>
      <c r="P94" s="22" t="str">
        <f t="shared" si="19"/>
        <v>prometedor</v>
      </c>
    </row>
    <row r="95" spans="1:16" x14ac:dyDescent="0.3">
      <c r="A95" s="13" t="s">
        <v>91</v>
      </c>
      <c r="B95" s="4">
        <v>239</v>
      </c>
      <c r="C95" s="4">
        <f>AVERAGE(B95,D95)</f>
        <v>152</v>
      </c>
      <c r="D95" s="6">
        <v>65</v>
      </c>
      <c r="E95" s="6">
        <v>33</v>
      </c>
      <c r="F95" s="6">
        <v>12</v>
      </c>
      <c r="G95" s="16">
        <f t="shared" si="11"/>
        <v>7.315669613340843E-2</v>
      </c>
      <c r="H95" s="16">
        <f t="shared" si="12"/>
        <v>4.2592302001838195E-2</v>
      </c>
      <c r="I95" s="16">
        <f t="shared" si="13"/>
        <v>1.6254835813654563E-2</v>
      </c>
      <c r="J95" s="16">
        <f t="shared" si="14"/>
        <v>9.6188038871626858E-3</v>
      </c>
      <c r="K95" s="16">
        <f t="shared" si="15"/>
        <v>2.9016275712651822E-3</v>
      </c>
      <c r="L95" s="16">
        <f t="shared" si="16"/>
        <v>2.8904853081465814E-2</v>
      </c>
      <c r="M95" s="19">
        <f t="shared" si="10"/>
        <v>-52.663533497737568</v>
      </c>
      <c r="N95" s="18">
        <f t="shared" si="17"/>
        <v>-0.20250771205080315</v>
      </c>
      <c r="O95" s="18">
        <f t="shared" si="18"/>
        <v>-0.82279770769145399</v>
      </c>
      <c r="P95" s="22" t="str">
        <f t="shared" si="19"/>
        <v>estancado</v>
      </c>
    </row>
    <row r="96" spans="1:16" x14ac:dyDescent="0.3">
      <c r="A96" s="13" t="s">
        <v>92</v>
      </c>
      <c r="B96" s="4">
        <v>177</v>
      </c>
      <c r="C96" s="4">
        <v>12</v>
      </c>
      <c r="D96" s="4">
        <v>50</v>
      </c>
      <c r="E96" s="4">
        <v>22</v>
      </c>
      <c r="F96" s="4">
        <v>12</v>
      </c>
      <c r="G96" s="16">
        <f t="shared" si="11"/>
        <v>5.4178808433528416E-2</v>
      </c>
      <c r="H96" s="16">
        <f t="shared" si="12"/>
        <v>3.362550158039857E-3</v>
      </c>
      <c r="I96" s="16">
        <f t="shared" si="13"/>
        <v>1.2503719856657354E-2</v>
      </c>
      <c r="J96" s="16">
        <f t="shared" si="14"/>
        <v>6.4125359247751241E-3</v>
      </c>
      <c r="K96" s="16">
        <f t="shared" si="15"/>
        <v>2.9016275712651822E-3</v>
      </c>
      <c r="L96" s="16">
        <f t="shared" si="16"/>
        <v>1.5871848388853187E-2</v>
      </c>
      <c r="M96" s="19">
        <f t="shared" si="10"/>
        <v>-48.972769822216712</v>
      </c>
      <c r="N96" s="18">
        <f t="shared" si="17"/>
        <v>-0.20641247109376365</v>
      </c>
      <c r="O96" s="18">
        <f t="shared" si="18"/>
        <v>-0.7791205924995015</v>
      </c>
      <c r="P96" s="22" t="str">
        <f t="shared" si="19"/>
        <v>estancado</v>
      </c>
    </row>
    <row r="97" spans="1:16" x14ac:dyDescent="0.3">
      <c r="A97" s="14" t="s">
        <v>93</v>
      </c>
      <c r="B97" s="2">
        <v>46</v>
      </c>
      <c r="C97" s="2">
        <v>87</v>
      </c>
      <c r="D97" s="2">
        <v>47</v>
      </c>
      <c r="E97" s="2">
        <v>56</v>
      </c>
      <c r="F97" s="2">
        <v>12</v>
      </c>
      <c r="G97" s="16">
        <f t="shared" si="11"/>
        <v>1.4080368293459362E-2</v>
      </c>
      <c r="H97" s="16">
        <f t="shared" si="12"/>
        <v>2.4378488645788968E-2</v>
      </c>
      <c r="I97" s="16">
        <f t="shared" si="13"/>
        <v>1.1753496665257913E-2</v>
      </c>
      <c r="J97" s="16">
        <f t="shared" si="14"/>
        <v>1.6322818717609405E-2</v>
      </c>
      <c r="K97" s="16">
        <f t="shared" si="15"/>
        <v>2.9016275712651822E-3</v>
      </c>
      <c r="L97" s="16">
        <f t="shared" si="16"/>
        <v>1.3887359978676165E-2</v>
      </c>
      <c r="M97" s="19">
        <f t="shared" si="10"/>
        <v>-28.532950357857278</v>
      </c>
      <c r="N97" s="18">
        <f t="shared" si="17"/>
        <v>-0.20700703460755424</v>
      </c>
      <c r="O97" s="18">
        <f t="shared" si="18"/>
        <v>-0.53723234721065816</v>
      </c>
      <c r="P97" s="22" t="str">
        <f t="shared" si="19"/>
        <v>estancado</v>
      </c>
    </row>
    <row r="98" spans="1:16" x14ac:dyDescent="0.3">
      <c r="A98" s="13" t="s">
        <v>94</v>
      </c>
      <c r="B98" s="4">
        <v>45</v>
      </c>
      <c r="C98" s="4">
        <v>70</v>
      </c>
      <c r="D98" s="4">
        <v>78</v>
      </c>
      <c r="E98" s="4">
        <v>24</v>
      </c>
      <c r="F98" s="9">
        <v>11</v>
      </c>
      <c r="G98" s="16">
        <f t="shared" si="11"/>
        <v>1.3774273330558072E-2</v>
      </c>
      <c r="H98" s="16">
        <f t="shared" si="12"/>
        <v>1.9614875921899168E-2</v>
      </c>
      <c r="I98" s="16">
        <f t="shared" si="13"/>
        <v>1.9505802976385475E-2</v>
      </c>
      <c r="J98" s="16">
        <f t="shared" si="14"/>
        <v>6.9954937361183167E-3</v>
      </c>
      <c r="K98" s="16">
        <f t="shared" si="15"/>
        <v>2.6598252736597505E-3</v>
      </c>
      <c r="L98" s="16">
        <f t="shared" si="16"/>
        <v>1.2510054247724157E-2</v>
      </c>
      <c r="M98" s="19">
        <f t="shared" si="10"/>
        <v>-29.685475719945011</v>
      </c>
      <c r="N98" s="18">
        <f t="shared" si="17"/>
        <v>-0.20741968289048662</v>
      </c>
      <c r="O98" s="18">
        <f t="shared" si="18"/>
        <v>-0.55087152528521988</v>
      </c>
      <c r="P98" s="22" t="str">
        <f t="shared" si="19"/>
        <v>estancado</v>
      </c>
    </row>
    <row r="99" spans="1:16" x14ac:dyDescent="0.3">
      <c r="A99" s="14" t="s">
        <v>95</v>
      </c>
      <c r="B99" s="2">
        <v>60</v>
      </c>
      <c r="C99" s="2">
        <v>39</v>
      </c>
      <c r="D99" s="2">
        <v>22</v>
      </c>
      <c r="E99" s="2">
        <v>36</v>
      </c>
      <c r="F99" s="2">
        <v>11</v>
      </c>
      <c r="G99" s="16">
        <f t="shared" si="11"/>
        <v>1.8365697774077431E-2</v>
      </c>
      <c r="H99" s="16">
        <f t="shared" si="12"/>
        <v>1.0928288013629536E-2</v>
      </c>
      <c r="I99" s="16">
        <f t="shared" si="13"/>
        <v>5.5016367369292362E-3</v>
      </c>
      <c r="J99" s="16">
        <f t="shared" si="14"/>
        <v>1.0493240604177475E-2</v>
      </c>
      <c r="K99" s="16">
        <f t="shared" si="15"/>
        <v>2.6598252736597505E-3</v>
      </c>
      <c r="L99" s="16">
        <f t="shared" si="16"/>
        <v>9.5897376804946859E-3</v>
      </c>
      <c r="M99" s="19">
        <f t="shared" si="10"/>
        <v>-34.564962039528268</v>
      </c>
      <c r="N99" s="18">
        <f t="shared" si="17"/>
        <v>-0.20829462560654813</v>
      </c>
      <c r="O99" s="18">
        <f t="shared" si="18"/>
        <v>-0.60861618324626321</v>
      </c>
      <c r="P99" s="22" t="str">
        <f t="shared" si="19"/>
        <v>estancado</v>
      </c>
    </row>
    <row r="100" spans="1:16" x14ac:dyDescent="0.3">
      <c r="A100" s="13" t="s">
        <v>96</v>
      </c>
      <c r="B100" s="9">
        <v>2</v>
      </c>
      <c r="C100" s="9">
        <v>3</v>
      </c>
      <c r="D100" s="9">
        <v>3</v>
      </c>
      <c r="E100" s="9">
        <v>4</v>
      </c>
      <c r="F100" s="9">
        <v>10</v>
      </c>
      <c r="G100" s="16">
        <f t="shared" si="11"/>
        <v>6.1218992580258104E-4</v>
      </c>
      <c r="H100" s="16">
        <f t="shared" si="12"/>
        <v>8.4063753950996425E-4</v>
      </c>
      <c r="I100" s="16">
        <f t="shared" si="13"/>
        <v>7.5022319139944128E-4</v>
      </c>
      <c r="J100" s="16">
        <f t="shared" si="14"/>
        <v>1.1659156226863862E-3</v>
      </c>
      <c r="K100" s="16">
        <f t="shared" si="15"/>
        <v>2.4180229760543182E-3</v>
      </c>
      <c r="L100" s="16">
        <f t="shared" si="16"/>
        <v>1.1573978510905382E-3</v>
      </c>
      <c r="M100" s="19">
        <f t="shared" si="10"/>
        <v>49.534878122122052</v>
      </c>
      <c r="N100" s="18">
        <f t="shared" si="17"/>
        <v>-0.21082100045093413</v>
      </c>
      <c r="O100" s="18">
        <f t="shared" si="18"/>
        <v>0.3866354040412428</v>
      </c>
      <c r="P100" s="22" t="str">
        <f t="shared" si="19"/>
        <v>prometedor</v>
      </c>
    </row>
    <row r="101" spans="1:16" x14ac:dyDescent="0.3">
      <c r="A101" s="14" t="s">
        <v>97</v>
      </c>
      <c r="B101" s="2">
        <v>1</v>
      </c>
      <c r="C101" s="2">
        <v>3</v>
      </c>
      <c r="D101" s="2">
        <v>6</v>
      </c>
      <c r="E101" s="2">
        <v>7</v>
      </c>
      <c r="F101" s="2">
        <v>9</v>
      </c>
      <c r="G101" s="16">
        <f t="shared" si="11"/>
        <v>3.0609496290129052E-4</v>
      </c>
      <c r="H101" s="16">
        <f t="shared" si="12"/>
        <v>8.4063753950996425E-4</v>
      </c>
      <c r="I101" s="16">
        <f t="shared" si="13"/>
        <v>1.5004463827988826E-3</v>
      </c>
      <c r="J101" s="16">
        <f t="shared" si="14"/>
        <v>2.0403523397011757E-3</v>
      </c>
      <c r="K101" s="16">
        <f t="shared" si="15"/>
        <v>2.1762206784488869E-3</v>
      </c>
      <c r="L101" s="16">
        <f t="shared" si="16"/>
        <v>1.37275038067204E-3</v>
      </c>
      <c r="M101" s="19">
        <f t="shared" si="10"/>
        <v>73.205080756887739</v>
      </c>
      <c r="N101" s="18">
        <f t="shared" si="17"/>
        <v>-0.21075647966258634</v>
      </c>
      <c r="O101" s="18">
        <f t="shared" si="18"/>
        <v>0.66675254455407174</v>
      </c>
      <c r="P101" s="22" t="str">
        <f t="shared" si="19"/>
        <v>prometedor</v>
      </c>
    </row>
    <row r="102" spans="1:16" x14ac:dyDescent="0.3">
      <c r="A102" s="13" t="s">
        <v>98</v>
      </c>
      <c r="B102" s="4">
        <v>14</v>
      </c>
      <c r="C102" s="4">
        <v>11</v>
      </c>
      <c r="D102" s="4">
        <v>7</v>
      </c>
      <c r="E102" s="4">
        <v>10</v>
      </c>
      <c r="F102" s="4">
        <v>9</v>
      </c>
      <c r="G102" s="16">
        <f t="shared" si="11"/>
        <v>4.2853294806180671E-3</v>
      </c>
      <c r="H102" s="16">
        <f t="shared" si="12"/>
        <v>3.082337644869869E-3</v>
      </c>
      <c r="I102" s="16">
        <f t="shared" si="13"/>
        <v>1.7505207799320298E-3</v>
      </c>
      <c r="J102" s="16">
        <f t="shared" si="14"/>
        <v>2.9147890567159654E-3</v>
      </c>
      <c r="K102" s="16">
        <f t="shared" si="15"/>
        <v>2.1762206784488869E-3</v>
      </c>
      <c r="L102" s="16">
        <f t="shared" si="16"/>
        <v>2.8418395281169634E-3</v>
      </c>
      <c r="M102" s="19">
        <f t="shared" si="10"/>
        <v>-10.457623119705318</v>
      </c>
      <c r="N102" s="18">
        <f t="shared" si="17"/>
        <v>-0.21031633256921101</v>
      </c>
      <c r="O102" s="18">
        <f t="shared" si="18"/>
        <v>-0.32332589875684681</v>
      </c>
      <c r="P102" s="22" t="str">
        <f t="shared" si="19"/>
        <v>estancado</v>
      </c>
    </row>
    <row r="103" spans="1:16" x14ac:dyDescent="0.3">
      <c r="A103" s="14" t="s">
        <v>99</v>
      </c>
      <c r="B103" s="2">
        <v>84</v>
      </c>
      <c r="C103" s="2">
        <v>200</v>
      </c>
      <c r="D103" s="2">
        <v>209</v>
      </c>
      <c r="E103" s="2">
        <v>199</v>
      </c>
      <c r="F103" s="5">
        <v>9</v>
      </c>
      <c r="G103" s="16">
        <f t="shared" si="11"/>
        <v>2.5711976883708399E-2</v>
      </c>
      <c r="H103" s="16">
        <f t="shared" si="12"/>
        <v>5.6042502633997626E-2</v>
      </c>
      <c r="I103" s="16">
        <f t="shared" si="13"/>
        <v>5.2265549000827749E-2</v>
      </c>
      <c r="J103" s="16">
        <f t="shared" si="14"/>
        <v>5.8004302228647719E-2</v>
      </c>
      <c r="K103" s="16">
        <f t="shared" si="15"/>
        <v>2.1762206784488869E-3</v>
      </c>
      <c r="L103" s="16">
        <f t="shared" si="16"/>
        <v>3.884011028512608E-2</v>
      </c>
      <c r="M103" s="19">
        <f t="shared" si="10"/>
        <v>-42.787515754514857</v>
      </c>
      <c r="N103" s="18">
        <f t="shared" si="17"/>
        <v>-0.19953105499242574</v>
      </c>
      <c r="O103" s="18">
        <f t="shared" si="18"/>
        <v>-0.70592326041391851</v>
      </c>
      <c r="P103" s="22" t="str">
        <f t="shared" si="19"/>
        <v>estancado</v>
      </c>
    </row>
    <row r="104" spans="1:16" x14ac:dyDescent="0.3">
      <c r="A104" s="13" t="s">
        <v>100</v>
      </c>
      <c r="B104" s="4">
        <v>34</v>
      </c>
      <c r="C104" s="6">
        <v>24</v>
      </c>
      <c r="D104" s="6">
        <v>1760</v>
      </c>
      <c r="E104" s="6">
        <v>11</v>
      </c>
      <c r="F104" s="4">
        <v>8</v>
      </c>
      <c r="G104" s="16">
        <f t="shared" si="11"/>
        <v>1.0407228738643878E-2</v>
      </c>
      <c r="H104" s="16">
        <f t="shared" si="12"/>
        <v>6.725100316079714E-3</v>
      </c>
      <c r="I104" s="16">
        <f t="shared" si="13"/>
        <v>0.44013093895433886</v>
      </c>
      <c r="J104" s="16">
        <f t="shared" si="14"/>
        <v>3.2062679623875621E-3</v>
      </c>
      <c r="K104" s="16">
        <f t="shared" si="15"/>
        <v>1.9344183808434547E-3</v>
      </c>
      <c r="L104" s="16">
        <f t="shared" si="16"/>
        <v>9.2480790870458698E-2</v>
      </c>
      <c r="M104" s="19">
        <f t="shared" si="10"/>
        <v>-30.35294334484292</v>
      </c>
      <c r="N104" s="18">
        <f t="shared" si="17"/>
        <v>-0.18346001554095864</v>
      </c>
      <c r="O104" s="18">
        <f t="shared" si="18"/>
        <v>-0.55877044889632066</v>
      </c>
      <c r="P104" s="22" t="str">
        <f t="shared" si="19"/>
        <v>estancado</v>
      </c>
    </row>
    <row r="105" spans="1:16" x14ac:dyDescent="0.3">
      <c r="A105" s="14" t="s">
        <v>101</v>
      </c>
      <c r="B105" s="2">
        <v>3</v>
      </c>
      <c r="C105" s="2">
        <v>2</v>
      </c>
      <c r="D105" s="2">
        <v>5</v>
      </c>
      <c r="E105" s="2">
        <v>43</v>
      </c>
      <c r="F105" s="5">
        <v>8</v>
      </c>
      <c r="G105" s="16">
        <f t="shared" si="11"/>
        <v>9.1828488870387157E-4</v>
      </c>
      <c r="H105" s="16">
        <f t="shared" si="12"/>
        <v>5.6042502633997624E-4</v>
      </c>
      <c r="I105" s="16">
        <f t="shared" si="13"/>
        <v>1.2503719856657356E-3</v>
      </c>
      <c r="J105" s="16">
        <f t="shared" si="14"/>
        <v>1.253359294387865E-2</v>
      </c>
      <c r="K105" s="16">
        <f t="shared" si="15"/>
        <v>1.9344183808434547E-3</v>
      </c>
      <c r="L105" s="16">
        <f t="shared" si="16"/>
        <v>3.4394186450863373E-3</v>
      </c>
      <c r="M105" s="19">
        <f t="shared" si="10"/>
        <v>27.788620849254485</v>
      </c>
      <c r="N105" s="18">
        <f t="shared" si="17"/>
        <v>-0.21013729461780192</v>
      </c>
      <c r="O105" s="18">
        <f t="shared" si="18"/>
        <v>0.12928655502103789</v>
      </c>
      <c r="P105" s="22" t="str">
        <f t="shared" si="19"/>
        <v>prometedor</v>
      </c>
    </row>
    <row r="106" spans="1:16" x14ac:dyDescent="0.3">
      <c r="A106" s="13" t="s">
        <v>102</v>
      </c>
      <c r="B106" s="4">
        <v>1</v>
      </c>
      <c r="C106" s="4">
        <v>2</v>
      </c>
      <c r="D106" s="4">
        <v>1</v>
      </c>
      <c r="E106" s="4">
        <v>2</v>
      </c>
      <c r="F106" s="4">
        <v>7</v>
      </c>
      <c r="G106" s="16">
        <f t="shared" si="11"/>
        <v>3.0609496290129052E-4</v>
      </c>
      <c r="H106" s="16">
        <f t="shared" si="12"/>
        <v>5.6042502633997624E-4</v>
      </c>
      <c r="I106" s="16">
        <f t="shared" si="13"/>
        <v>2.5007439713314709E-4</v>
      </c>
      <c r="J106" s="16">
        <f t="shared" si="14"/>
        <v>5.8295781134319309E-4</v>
      </c>
      <c r="K106" s="16">
        <f t="shared" si="15"/>
        <v>1.6926160832380231E-3</v>
      </c>
      <c r="L106" s="16">
        <f t="shared" si="16"/>
        <v>6.7843365619112605E-4</v>
      </c>
      <c r="M106" s="19">
        <f t="shared" si="10"/>
        <v>62.657656169778562</v>
      </c>
      <c r="N106" s="18">
        <f t="shared" si="17"/>
        <v>-0.21096450072699466</v>
      </c>
      <c r="O106" s="18">
        <f t="shared" si="18"/>
        <v>0.54193255628847592</v>
      </c>
      <c r="P106" s="22" t="str">
        <f t="shared" si="19"/>
        <v>prometedor</v>
      </c>
    </row>
    <row r="107" spans="1:16" x14ac:dyDescent="0.3">
      <c r="A107" s="14" t="s">
        <v>103</v>
      </c>
      <c r="B107" s="2">
        <v>6</v>
      </c>
      <c r="C107" s="2">
        <v>5</v>
      </c>
      <c r="D107" s="2">
        <v>9</v>
      </c>
      <c r="E107" s="2">
        <v>14</v>
      </c>
      <c r="F107" s="5">
        <v>7</v>
      </c>
      <c r="G107" s="16">
        <f t="shared" si="11"/>
        <v>1.8365697774077431E-3</v>
      </c>
      <c r="H107" s="16">
        <f t="shared" si="12"/>
        <v>1.4010625658499407E-3</v>
      </c>
      <c r="I107" s="16">
        <f t="shared" si="13"/>
        <v>2.2506695741983237E-3</v>
      </c>
      <c r="J107" s="16">
        <f t="shared" si="14"/>
        <v>4.0807046794023513E-3</v>
      </c>
      <c r="K107" s="16">
        <f t="shared" si="15"/>
        <v>1.6926160832380231E-3</v>
      </c>
      <c r="L107" s="16">
        <f t="shared" si="16"/>
        <v>2.2523245360192767E-3</v>
      </c>
      <c r="M107" s="19">
        <f t="shared" si="10"/>
        <v>3.9289877625411807</v>
      </c>
      <c r="N107" s="18">
        <f t="shared" si="17"/>
        <v>-0.21049295446497837</v>
      </c>
      <c r="O107" s="18">
        <f t="shared" si="18"/>
        <v>-0.15307233717192595</v>
      </c>
      <c r="P107" s="22" t="str">
        <f t="shared" si="19"/>
        <v>estancado</v>
      </c>
    </row>
    <row r="108" spans="1:16" x14ac:dyDescent="0.3">
      <c r="A108" s="13" t="s">
        <v>104</v>
      </c>
      <c r="B108" s="15">
        <f>D108-(D108/C108-1)*D108</f>
        <v>11.76923076923077</v>
      </c>
      <c r="C108" s="4">
        <v>13</v>
      </c>
      <c r="D108" s="4">
        <v>9</v>
      </c>
      <c r="E108" s="4">
        <v>13</v>
      </c>
      <c r="F108" s="9">
        <v>6</v>
      </c>
      <c r="G108" s="16">
        <f t="shared" si="11"/>
        <v>3.602502255684419E-3</v>
      </c>
      <c r="H108" s="16">
        <f t="shared" si="12"/>
        <v>3.6427626712098459E-3</v>
      </c>
      <c r="I108" s="16">
        <f t="shared" si="13"/>
        <v>2.2506695741983237E-3</v>
      </c>
      <c r="J108" s="16">
        <f t="shared" si="14"/>
        <v>3.789225773730755E-3</v>
      </c>
      <c r="K108" s="16">
        <f t="shared" si="15"/>
        <v>1.4508137856325911E-3</v>
      </c>
      <c r="L108" s="16">
        <f t="shared" si="16"/>
        <v>2.947194812091187E-3</v>
      </c>
      <c r="M108" s="19">
        <f t="shared" si="10"/>
        <v>-15.501151055448304</v>
      </c>
      <c r="N108" s="18">
        <f t="shared" si="17"/>
        <v>-0.21028476755350478</v>
      </c>
      <c r="O108" s="18">
        <f t="shared" si="18"/>
        <v>-0.38301185266506871</v>
      </c>
      <c r="P108" s="22" t="str">
        <f t="shared" si="19"/>
        <v>estancado</v>
      </c>
    </row>
    <row r="109" spans="1:16" x14ac:dyDescent="0.3">
      <c r="A109" s="14" t="s">
        <v>105</v>
      </c>
      <c r="B109" s="2">
        <v>12</v>
      </c>
      <c r="C109" s="2">
        <v>4</v>
      </c>
      <c r="D109" s="2">
        <v>3</v>
      </c>
      <c r="E109" s="2">
        <v>2</v>
      </c>
      <c r="F109" s="2">
        <v>6</v>
      </c>
      <c r="G109" s="16">
        <f t="shared" si="11"/>
        <v>3.6731395548154863E-3</v>
      </c>
      <c r="H109" s="16">
        <f t="shared" si="12"/>
        <v>1.1208500526799525E-3</v>
      </c>
      <c r="I109" s="16">
        <f t="shared" si="13"/>
        <v>7.5022319139944128E-4</v>
      </c>
      <c r="J109" s="16">
        <f t="shared" si="14"/>
        <v>5.8295781134319309E-4</v>
      </c>
      <c r="K109" s="16">
        <f t="shared" si="15"/>
        <v>1.4508137856325911E-3</v>
      </c>
      <c r="L109" s="16">
        <f t="shared" si="16"/>
        <v>1.5155968791741327E-3</v>
      </c>
      <c r="M109" s="19">
        <f t="shared" si="10"/>
        <v>-15.91035847462855</v>
      </c>
      <c r="N109" s="18">
        <f t="shared" si="17"/>
        <v>-0.21071368207523511</v>
      </c>
      <c r="O109" s="18">
        <f t="shared" si="18"/>
        <v>-0.38785448176740878</v>
      </c>
      <c r="P109" s="22" t="str">
        <f t="shared" si="19"/>
        <v>estancado</v>
      </c>
    </row>
    <row r="110" spans="1:16" x14ac:dyDescent="0.3">
      <c r="A110" s="13" t="s">
        <v>106</v>
      </c>
      <c r="B110" s="9">
        <v>10</v>
      </c>
      <c r="C110" s="9">
        <v>5</v>
      </c>
      <c r="D110" s="9">
        <v>12</v>
      </c>
      <c r="E110" s="9">
        <v>60</v>
      </c>
      <c r="F110" s="9">
        <v>6</v>
      </c>
      <c r="G110" s="16">
        <f t="shared" si="11"/>
        <v>3.0609496290129046E-3</v>
      </c>
      <c r="H110" s="16">
        <f t="shared" si="12"/>
        <v>1.4010625658499407E-3</v>
      </c>
      <c r="I110" s="16">
        <f t="shared" si="13"/>
        <v>3.0008927655977651E-3</v>
      </c>
      <c r="J110" s="16">
        <f t="shared" si="14"/>
        <v>1.7488734340295794E-2</v>
      </c>
      <c r="K110" s="16">
        <f t="shared" si="15"/>
        <v>1.4508137856325911E-3</v>
      </c>
      <c r="L110" s="16">
        <f t="shared" si="16"/>
        <v>5.2804906172777989E-3</v>
      </c>
      <c r="M110" s="19">
        <f t="shared" si="10"/>
        <v>-11.988826320660662</v>
      </c>
      <c r="N110" s="18">
        <f t="shared" si="17"/>
        <v>-0.20958569944832958</v>
      </c>
      <c r="O110" s="18">
        <f t="shared" si="18"/>
        <v>-0.34144641376949519</v>
      </c>
      <c r="P110" s="22" t="str">
        <f t="shared" si="19"/>
        <v>estancado</v>
      </c>
    </row>
    <row r="111" spans="1:16" x14ac:dyDescent="0.3">
      <c r="A111" s="14" t="s">
        <v>107</v>
      </c>
      <c r="B111" s="2">
        <v>12</v>
      </c>
      <c r="C111" s="2">
        <v>4</v>
      </c>
      <c r="D111" s="2">
        <v>5</v>
      </c>
      <c r="E111" s="2">
        <v>6</v>
      </c>
      <c r="F111" s="2">
        <v>6</v>
      </c>
      <c r="G111" s="16">
        <f t="shared" si="11"/>
        <v>3.6731395548154863E-3</v>
      </c>
      <c r="H111" s="16">
        <f t="shared" si="12"/>
        <v>1.1208500526799525E-3</v>
      </c>
      <c r="I111" s="16">
        <f t="shared" si="13"/>
        <v>1.2503719856657356E-3</v>
      </c>
      <c r="J111" s="16">
        <f t="shared" si="14"/>
        <v>1.7488734340295792E-3</v>
      </c>
      <c r="K111" s="16">
        <f t="shared" si="15"/>
        <v>1.4508137856325911E-3</v>
      </c>
      <c r="L111" s="16">
        <f t="shared" si="16"/>
        <v>1.8488097625646688E-3</v>
      </c>
      <c r="M111" s="19">
        <f t="shared" si="10"/>
        <v>-15.91035847462855</v>
      </c>
      <c r="N111" s="18">
        <f t="shared" si="17"/>
        <v>-0.21061384968429095</v>
      </c>
      <c r="O111" s="18">
        <f t="shared" si="18"/>
        <v>-0.38785448176740878</v>
      </c>
      <c r="P111" s="22" t="str">
        <f t="shared" si="19"/>
        <v>estancado</v>
      </c>
    </row>
    <row r="112" spans="1:16" x14ac:dyDescent="0.3">
      <c r="A112" s="13" t="s">
        <v>108</v>
      </c>
      <c r="B112" s="4">
        <v>1942</v>
      </c>
      <c r="C112" s="4">
        <v>1539</v>
      </c>
      <c r="D112" s="4">
        <v>1968</v>
      </c>
      <c r="E112" s="6">
        <v>1777</v>
      </c>
      <c r="F112" s="9">
        <v>5</v>
      </c>
      <c r="G112" s="16">
        <f t="shared" si="11"/>
        <v>0.59443641795430613</v>
      </c>
      <c r="H112" s="16">
        <f t="shared" si="12"/>
        <v>0.43124705776861172</v>
      </c>
      <c r="I112" s="16">
        <f t="shared" si="13"/>
        <v>0.49214641355803357</v>
      </c>
      <c r="J112" s="16">
        <f t="shared" si="14"/>
        <v>0.51795801537842701</v>
      </c>
      <c r="K112" s="16">
        <f t="shared" si="15"/>
        <v>1.2090114880271591E-3</v>
      </c>
      <c r="L112" s="16">
        <f t="shared" si="16"/>
        <v>0.40739938322948116</v>
      </c>
      <c r="M112" s="19">
        <f t="shared" si="10"/>
        <v>-77.474201510876341</v>
      </c>
      <c r="N112" s="18">
        <f t="shared" si="17"/>
        <v>-8.910869362305171E-2</v>
      </c>
      <c r="O112" s="18">
        <f t="shared" si="18"/>
        <v>-1.1164113064126524</v>
      </c>
      <c r="P112" s="22" t="str">
        <f t="shared" si="19"/>
        <v>estancado</v>
      </c>
    </row>
    <row r="113" spans="1:16" x14ac:dyDescent="0.3">
      <c r="A113" s="13" t="s">
        <v>109</v>
      </c>
      <c r="B113" s="9">
        <v>2</v>
      </c>
      <c r="C113" s="9">
        <v>1</v>
      </c>
      <c r="D113" s="9">
        <v>5</v>
      </c>
      <c r="E113" s="9">
        <v>2</v>
      </c>
      <c r="F113" s="9">
        <v>4</v>
      </c>
      <c r="G113" s="16">
        <f t="shared" si="11"/>
        <v>6.1218992580258104E-4</v>
      </c>
      <c r="H113" s="16">
        <f t="shared" si="12"/>
        <v>2.8021251316998812E-4</v>
      </c>
      <c r="I113" s="16">
        <f t="shared" si="13"/>
        <v>1.2503719856657356E-3</v>
      </c>
      <c r="J113" s="16">
        <f t="shared" si="14"/>
        <v>5.8295781134319309E-4</v>
      </c>
      <c r="K113" s="16">
        <f t="shared" si="15"/>
        <v>9.6720919042172734E-4</v>
      </c>
      <c r="L113" s="16">
        <f t="shared" si="16"/>
        <v>7.3858828528064501E-4</v>
      </c>
      <c r="M113" s="19">
        <f t="shared" si="10"/>
        <v>18.920711500272102</v>
      </c>
      <c r="N113" s="18">
        <f t="shared" si="17"/>
        <v>-0.21094647807316672</v>
      </c>
      <c r="O113" s="18">
        <f t="shared" si="18"/>
        <v>2.4342231244296492E-2</v>
      </c>
      <c r="P113" s="22" t="str">
        <f t="shared" si="19"/>
        <v>prometedor</v>
      </c>
    </row>
    <row r="114" spans="1:16" x14ac:dyDescent="0.3">
      <c r="A114" s="14" t="s">
        <v>110</v>
      </c>
      <c r="B114" s="8">
        <v>1</v>
      </c>
      <c r="C114" s="8">
        <v>2</v>
      </c>
      <c r="D114" s="8">
        <v>4</v>
      </c>
      <c r="E114" s="8">
        <v>3</v>
      </c>
      <c r="F114" s="8">
        <v>4</v>
      </c>
      <c r="G114" s="16">
        <f t="shared" si="11"/>
        <v>3.0609496290129052E-4</v>
      </c>
      <c r="H114" s="16">
        <f t="shared" si="12"/>
        <v>5.6042502633997624E-4</v>
      </c>
      <c r="I114" s="16">
        <f t="shared" si="13"/>
        <v>1.0002975885325884E-3</v>
      </c>
      <c r="J114" s="16">
        <f t="shared" si="14"/>
        <v>8.7443671701478958E-4</v>
      </c>
      <c r="K114" s="16">
        <f t="shared" si="15"/>
        <v>9.6720919042172734E-4</v>
      </c>
      <c r="L114" s="16">
        <f t="shared" si="16"/>
        <v>7.4169269704207441E-4</v>
      </c>
      <c r="M114" s="19">
        <f t="shared" si="10"/>
        <v>41.421356237309496</v>
      </c>
      <c r="N114" s="18">
        <f t="shared" si="17"/>
        <v>-0.21094554797452986</v>
      </c>
      <c r="O114" s="18">
        <f t="shared" si="18"/>
        <v>0.29061862780444536</v>
      </c>
      <c r="P114" s="22" t="str">
        <f t="shared" si="19"/>
        <v>prometedor</v>
      </c>
    </row>
    <row r="115" spans="1:16" x14ac:dyDescent="0.3">
      <c r="A115" s="13" t="s">
        <v>111</v>
      </c>
      <c r="B115" s="9">
        <v>1</v>
      </c>
      <c r="C115" s="9">
        <v>58</v>
      </c>
      <c r="D115" s="9">
        <v>3</v>
      </c>
      <c r="E115" s="9">
        <v>15</v>
      </c>
      <c r="F115" s="9">
        <v>4</v>
      </c>
      <c r="G115" s="16">
        <f t="shared" si="11"/>
        <v>3.0609496290129052E-4</v>
      </c>
      <c r="H115" s="16">
        <f t="shared" si="12"/>
        <v>1.6252325763859311E-2</v>
      </c>
      <c r="I115" s="16">
        <f t="shared" si="13"/>
        <v>7.5022319139944128E-4</v>
      </c>
      <c r="J115" s="16">
        <f t="shared" si="14"/>
        <v>4.3721835850739485E-3</v>
      </c>
      <c r="K115" s="16">
        <f t="shared" si="15"/>
        <v>9.6720919042172734E-4</v>
      </c>
      <c r="L115" s="16">
        <f t="shared" si="16"/>
        <v>4.5296073387311436E-3</v>
      </c>
      <c r="M115" s="19">
        <f t="shared" si="10"/>
        <v>41.421356237309496</v>
      </c>
      <c r="N115" s="18">
        <f t="shared" si="17"/>
        <v>-0.2098106681597868</v>
      </c>
      <c r="O115" s="18">
        <f t="shared" si="18"/>
        <v>0.29061862780444536</v>
      </c>
      <c r="P115" s="22" t="str">
        <f t="shared" si="19"/>
        <v>prometedor</v>
      </c>
    </row>
    <row r="116" spans="1:16" x14ac:dyDescent="0.3">
      <c r="A116" s="14" t="s">
        <v>112</v>
      </c>
      <c r="B116" s="2">
        <v>102</v>
      </c>
      <c r="C116" s="2">
        <v>77</v>
      </c>
      <c r="D116" s="2">
        <v>125</v>
      </c>
      <c r="E116" s="2">
        <v>95</v>
      </c>
      <c r="F116" s="5">
        <v>3</v>
      </c>
      <c r="G116" s="16">
        <f t="shared" si="11"/>
        <v>3.1221686215931632E-2</v>
      </c>
      <c r="H116" s="16">
        <f t="shared" si="12"/>
        <v>2.1576363514089085E-2</v>
      </c>
      <c r="I116" s="16">
        <f t="shared" si="13"/>
        <v>3.1259299641643389E-2</v>
      </c>
      <c r="J116" s="16">
        <f t="shared" si="14"/>
        <v>2.7690496038801676E-2</v>
      </c>
      <c r="K116" s="16">
        <f t="shared" si="15"/>
        <v>7.2540689281629556E-4</v>
      </c>
      <c r="L116" s="16">
        <f t="shared" si="16"/>
        <v>2.2494650460656414E-2</v>
      </c>
      <c r="M116" s="19">
        <f t="shared" si="10"/>
        <v>-58.587612343344794</v>
      </c>
      <c r="N116" s="18">
        <f t="shared" si="17"/>
        <v>-0.2044282435967637</v>
      </c>
      <c r="O116" s="18">
        <f t="shared" si="18"/>
        <v>-0.89290424847648031</v>
      </c>
      <c r="P116" s="22" t="str">
        <f t="shared" si="19"/>
        <v>estancado</v>
      </c>
    </row>
    <row r="117" spans="1:16" x14ac:dyDescent="0.3">
      <c r="A117" s="13" t="s">
        <v>113</v>
      </c>
      <c r="B117" s="4">
        <v>1</v>
      </c>
      <c r="C117" s="4">
        <v>3</v>
      </c>
      <c r="D117" s="4">
        <v>2</v>
      </c>
      <c r="E117" s="4">
        <v>1</v>
      </c>
      <c r="F117" s="4">
        <v>3</v>
      </c>
      <c r="G117" s="16">
        <f t="shared" si="11"/>
        <v>3.0609496290129052E-4</v>
      </c>
      <c r="H117" s="16">
        <f t="shared" si="12"/>
        <v>8.4063753950996425E-4</v>
      </c>
      <c r="I117" s="16">
        <f t="shared" si="13"/>
        <v>5.0014879426629418E-4</v>
      </c>
      <c r="J117" s="16">
        <f t="shared" si="14"/>
        <v>2.9147890567159655E-4</v>
      </c>
      <c r="K117" s="16">
        <f t="shared" si="15"/>
        <v>7.2540689281629556E-4</v>
      </c>
      <c r="L117" s="16">
        <f t="shared" si="16"/>
        <v>5.3275341903308814E-4</v>
      </c>
      <c r="M117" s="19">
        <f t="shared" si="10"/>
        <v>31.607401295249261</v>
      </c>
      <c r="N117" s="18">
        <f t="shared" si="17"/>
        <v>-0.21100814731784917</v>
      </c>
      <c r="O117" s="18">
        <f t="shared" si="18"/>
        <v>0.17447864210554928</v>
      </c>
      <c r="P117" s="22" t="str">
        <f t="shared" si="19"/>
        <v>prometedor</v>
      </c>
    </row>
    <row r="118" spans="1:16" x14ac:dyDescent="0.3">
      <c r="A118" s="14" t="s">
        <v>114</v>
      </c>
      <c r="B118" s="2">
        <v>26</v>
      </c>
      <c r="C118" s="5">
        <v>53</v>
      </c>
      <c r="D118" s="5">
        <v>10</v>
      </c>
      <c r="E118" s="5">
        <v>6</v>
      </c>
      <c r="F118" s="5">
        <v>3</v>
      </c>
      <c r="G118" s="16">
        <f t="shared" si="11"/>
        <v>7.9584690354335529E-3</v>
      </c>
      <c r="H118" s="16">
        <f t="shared" si="12"/>
        <v>1.4851263198009369E-2</v>
      </c>
      <c r="I118" s="16">
        <f t="shared" si="13"/>
        <v>2.5007439713314711E-3</v>
      </c>
      <c r="J118" s="16">
        <f t="shared" si="14"/>
        <v>1.7488734340295792E-3</v>
      </c>
      <c r="K118" s="16">
        <f t="shared" si="15"/>
        <v>7.2540689281629556E-4</v>
      </c>
      <c r="L118" s="16">
        <f t="shared" si="16"/>
        <v>5.556951306324053E-3</v>
      </c>
      <c r="M118" s="19">
        <f t="shared" si="10"/>
        <v>-41.71766045847346</v>
      </c>
      <c r="N118" s="18">
        <f t="shared" si="17"/>
        <v>-0.20950287032327075</v>
      </c>
      <c r="O118" s="18">
        <f t="shared" si="18"/>
        <v>-0.69326241374041098</v>
      </c>
      <c r="P118" s="22" t="str">
        <f t="shared" si="19"/>
        <v>estancado</v>
      </c>
    </row>
    <row r="119" spans="1:16" x14ac:dyDescent="0.3">
      <c r="A119" s="13" t="s">
        <v>115</v>
      </c>
      <c r="B119" s="4">
        <v>33</v>
      </c>
      <c r="C119" s="4">
        <v>6</v>
      </c>
      <c r="D119" s="4">
        <v>8</v>
      </c>
      <c r="E119" s="4">
        <v>3</v>
      </c>
      <c r="F119" s="4">
        <v>2</v>
      </c>
      <c r="G119" s="16">
        <f t="shared" si="11"/>
        <v>1.0101133775742586E-2</v>
      </c>
      <c r="H119" s="16">
        <f t="shared" si="12"/>
        <v>1.6812750790199285E-3</v>
      </c>
      <c r="I119" s="16">
        <f t="shared" si="13"/>
        <v>2.0005951770651767E-3</v>
      </c>
      <c r="J119" s="16">
        <f t="shared" si="14"/>
        <v>8.7443671701478958E-4</v>
      </c>
      <c r="K119" s="16">
        <f t="shared" si="15"/>
        <v>4.8360459521086367E-4</v>
      </c>
      <c r="L119" s="16">
        <f t="shared" si="16"/>
        <v>3.0282090688106686E-3</v>
      </c>
      <c r="M119" s="19">
        <f t="shared" si="10"/>
        <v>-50.383169996596365</v>
      </c>
      <c r="N119" s="18">
        <f t="shared" si="17"/>
        <v>-0.21026049524186252</v>
      </c>
      <c r="O119" s="18">
        <f t="shared" si="18"/>
        <v>-0.79581150427250646</v>
      </c>
      <c r="P119" s="22" t="str">
        <f t="shared" si="19"/>
        <v>estancado</v>
      </c>
    </row>
    <row r="120" spans="1:16" x14ac:dyDescent="0.3">
      <c r="A120" s="14" t="s">
        <v>116</v>
      </c>
      <c r="B120" s="2">
        <v>2</v>
      </c>
      <c r="C120" s="3">
        <v>14</v>
      </c>
      <c r="D120" s="2">
        <v>3</v>
      </c>
      <c r="E120" s="2">
        <v>40</v>
      </c>
      <c r="F120" s="5">
        <v>2</v>
      </c>
      <c r="G120" s="16">
        <f t="shared" si="11"/>
        <v>6.1218992580258104E-4</v>
      </c>
      <c r="H120" s="16">
        <f t="shared" si="12"/>
        <v>3.9229751843798339E-3</v>
      </c>
      <c r="I120" s="16">
        <f t="shared" si="13"/>
        <v>7.5022319139944128E-4</v>
      </c>
      <c r="J120" s="16">
        <f t="shared" si="14"/>
        <v>1.1659156226863861E-2</v>
      </c>
      <c r="K120" s="16">
        <f t="shared" si="15"/>
        <v>4.8360459521086367E-4</v>
      </c>
      <c r="L120" s="16">
        <f t="shared" si="16"/>
        <v>3.4856298247313163E-3</v>
      </c>
      <c r="M120" s="19">
        <f t="shared" si="10"/>
        <v>0</v>
      </c>
      <c r="N120" s="18">
        <f t="shared" si="17"/>
        <v>-0.21012344949721304</v>
      </c>
      <c r="O120" s="18">
        <f t="shared" si="18"/>
        <v>-0.19956863608980921</v>
      </c>
      <c r="P120" s="22" t="str">
        <f t="shared" si="19"/>
        <v>estancado</v>
      </c>
    </row>
    <row r="121" spans="1:16" x14ac:dyDescent="0.3">
      <c r="A121" s="13" t="s">
        <v>117</v>
      </c>
      <c r="B121" s="4">
        <v>4</v>
      </c>
      <c r="C121" s="4">
        <v>5</v>
      </c>
      <c r="D121" s="4">
        <v>4</v>
      </c>
      <c r="E121" s="4">
        <v>2</v>
      </c>
      <c r="F121" s="4">
        <v>1</v>
      </c>
      <c r="G121" s="16">
        <f t="shared" si="11"/>
        <v>1.2243798516051621E-3</v>
      </c>
      <c r="H121" s="16">
        <f t="shared" si="12"/>
        <v>1.4010625658499407E-3</v>
      </c>
      <c r="I121" s="16">
        <f t="shared" si="13"/>
        <v>1.0002975885325884E-3</v>
      </c>
      <c r="J121" s="16">
        <f t="shared" si="14"/>
        <v>5.8295781134319309E-4</v>
      </c>
      <c r="K121" s="16">
        <f t="shared" si="15"/>
        <v>2.4180229760543183E-4</v>
      </c>
      <c r="L121" s="16">
        <f t="shared" si="16"/>
        <v>8.9010002298726325E-4</v>
      </c>
      <c r="M121" s="19">
        <f t="shared" si="10"/>
        <v>-29.289321881345241</v>
      </c>
      <c r="N121" s="18">
        <f t="shared" si="17"/>
        <v>-0.21090108433305241</v>
      </c>
      <c r="O121" s="18">
        <f t="shared" si="18"/>
        <v>-0.5461833744407163</v>
      </c>
      <c r="P121" s="22" t="str">
        <f t="shared" si="19"/>
        <v>estancado</v>
      </c>
    </row>
    <row r="122" spans="1:16" x14ac:dyDescent="0.3">
      <c r="A122" s="14" t="s">
        <v>118</v>
      </c>
      <c r="B122" s="5">
        <v>4</v>
      </c>
      <c r="C122" s="5">
        <v>3</v>
      </c>
      <c r="D122" s="5">
        <v>2</v>
      </c>
      <c r="E122" s="5">
        <v>1</v>
      </c>
      <c r="F122" s="5">
        <v>1</v>
      </c>
      <c r="G122" s="16">
        <f t="shared" si="11"/>
        <v>1.2243798516051621E-3</v>
      </c>
      <c r="H122" s="16">
        <f t="shared" si="12"/>
        <v>8.4063753950996425E-4</v>
      </c>
      <c r="I122" s="16">
        <f t="shared" si="13"/>
        <v>5.0014879426629418E-4</v>
      </c>
      <c r="J122" s="16">
        <f t="shared" si="14"/>
        <v>2.9147890567159655E-4</v>
      </c>
      <c r="K122" s="16">
        <f t="shared" si="15"/>
        <v>2.4180229760543183E-4</v>
      </c>
      <c r="L122" s="16">
        <f t="shared" si="16"/>
        <v>6.1968947773168969E-4</v>
      </c>
      <c r="M122" s="19">
        <f t="shared" si="10"/>
        <v>-29.289321881345241</v>
      </c>
      <c r="N122" s="18">
        <f t="shared" si="17"/>
        <v>-0.21098210080214777</v>
      </c>
      <c r="O122" s="18">
        <f t="shared" si="18"/>
        <v>-0.5461833744407163</v>
      </c>
      <c r="P122" s="22" t="str">
        <f t="shared" si="19"/>
        <v>estancado</v>
      </c>
    </row>
    <row r="123" spans="1:16" x14ac:dyDescent="0.3">
      <c r="A123" s="13" t="s">
        <v>119</v>
      </c>
      <c r="B123" s="4">
        <v>18</v>
      </c>
      <c r="C123" s="4">
        <v>4</v>
      </c>
      <c r="D123" s="4">
        <v>10</v>
      </c>
      <c r="E123" s="4">
        <v>7</v>
      </c>
      <c r="F123" s="9">
        <v>1</v>
      </c>
      <c r="G123" s="16">
        <f t="shared" si="11"/>
        <v>5.5097093322232287E-3</v>
      </c>
      <c r="H123" s="16">
        <f t="shared" si="12"/>
        <v>1.1208500526799525E-3</v>
      </c>
      <c r="I123" s="16">
        <f t="shared" si="13"/>
        <v>2.5007439713314711E-3</v>
      </c>
      <c r="J123" s="16">
        <f t="shared" si="14"/>
        <v>2.0403523397011757E-3</v>
      </c>
      <c r="K123" s="16">
        <f t="shared" si="15"/>
        <v>2.4180229760543183E-4</v>
      </c>
      <c r="L123" s="16">
        <f t="shared" si="16"/>
        <v>2.2826915987082521E-3</v>
      </c>
      <c r="M123" s="19">
        <f t="shared" si="10"/>
        <v>-51.450822829267665</v>
      </c>
      <c r="N123" s="18">
        <f t="shared" si="17"/>
        <v>-0.21048385632794558</v>
      </c>
      <c r="O123" s="18">
        <f t="shared" si="18"/>
        <v>-0.80844628662578677</v>
      </c>
      <c r="P123" s="22" t="str">
        <f t="shared" si="19"/>
        <v>estancado</v>
      </c>
    </row>
    <row r="124" spans="1:16" x14ac:dyDescent="0.3">
      <c r="A124" s="14" t="s">
        <v>120</v>
      </c>
      <c r="B124" s="2">
        <v>24</v>
      </c>
      <c r="C124" s="2">
        <v>10</v>
      </c>
      <c r="D124" s="2">
        <v>18</v>
      </c>
      <c r="E124" s="3">
        <v>3</v>
      </c>
      <c r="F124" s="5">
        <v>1</v>
      </c>
      <c r="G124" s="16">
        <f t="shared" si="11"/>
        <v>7.3462791096309725E-3</v>
      </c>
      <c r="H124" s="16">
        <f t="shared" si="12"/>
        <v>2.8021251316998814E-3</v>
      </c>
      <c r="I124" s="16">
        <f t="shared" si="13"/>
        <v>4.5013391483966474E-3</v>
      </c>
      <c r="J124" s="16">
        <f t="shared" si="14"/>
        <v>8.7443671701478958E-4</v>
      </c>
      <c r="K124" s="16">
        <f t="shared" si="15"/>
        <v>2.4180229760543183E-4</v>
      </c>
      <c r="L124" s="16">
        <f t="shared" si="16"/>
        <v>3.1531964808695447E-3</v>
      </c>
      <c r="M124" s="19">
        <f t="shared" si="10"/>
        <v>-54.819899819507768</v>
      </c>
      <c r="N124" s="18">
        <f t="shared" si="17"/>
        <v>-0.21022304833387745</v>
      </c>
      <c r="O124" s="18">
        <f t="shared" si="18"/>
        <v>-0.8483165077318584</v>
      </c>
      <c r="P124" s="22" t="str">
        <f t="shared" si="19"/>
        <v>estancado</v>
      </c>
    </row>
    <row r="125" spans="1:16" x14ac:dyDescent="0.3">
      <c r="A125" s="14" t="s">
        <v>121</v>
      </c>
      <c r="B125" s="2">
        <v>2</v>
      </c>
      <c r="C125" s="2">
        <v>3</v>
      </c>
      <c r="D125" s="2">
        <v>1</v>
      </c>
      <c r="E125" s="2">
        <v>1</v>
      </c>
      <c r="F125" s="2">
        <v>1</v>
      </c>
      <c r="G125" s="16">
        <f t="shared" si="11"/>
        <v>6.1218992580258104E-4</v>
      </c>
      <c r="H125" s="16">
        <f t="shared" si="12"/>
        <v>8.4063753950996425E-4</v>
      </c>
      <c r="I125" s="16">
        <f t="shared" si="13"/>
        <v>2.5007439713314709E-4</v>
      </c>
      <c r="J125" s="16">
        <f t="shared" si="14"/>
        <v>2.9147890567159655E-4</v>
      </c>
      <c r="K125" s="16">
        <f t="shared" si="15"/>
        <v>2.4180229760543183E-4</v>
      </c>
      <c r="L125" s="16">
        <f t="shared" si="16"/>
        <v>4.4723661314454414E-4</v>
      </c>
      <c r="M125" s="19">
        <f t="shared" si="10"/>
        <v>-15.91035847462855</v>
      </c>
      <c r="N125" s="18">
        <f t="shared" si="17"/>
        <v>-0.21103376861769479</v>
      </c>
      <c r="O125" s="18">
        <f t="shared" si="18"/>
        <v>-0.38785448176740878</v>
      </c>
      <c r="P125" s="22" t="str">
        <f t="shared" si="19"/>
        <v>estancado</v>
      </c>
    </row>
    <row r="126" spans="1:16" x14ac:dyDescent="0.3">
      <c r="A126" s="14" t="s">
        <v>122</v>
      </c>
      <c r="B126" s="15">
        <v>1</v>
      </c>
      <c r="C126" s="2">
        <v>1</v>
      </c>
      <c r="D126" s="2">
        <v>89</v>
      </c>
      <c r="E126" s="2">
        <v>36</v>
      </c>
      <c r="F126" s="5">
        <v>1</v>
      </c>
      <c r="G126" s="16">
        <f t="shared" si="11"/>
        <v>3.0609496290129052E-4</v>
      </c>
      <c r="H126" s="16">
        <f t="shared" si="12"/>
        <v>2.8021251316998812E-4</v>
      </c>
      <c r="I126" s="16">
        <f t="shared" si="13"/>
        <v>2.2256621344850094E-2</v>
      </c>
      <c r="J126" s="16">
        <f t="shared" si="14"/>
        <v>1.0493240604177475E-2</v>
      </c>
      <c r="K126" s="16">
        <f t="shared" si="15"/>
        <v>2.4180229760543183E-4</v>
      </c>
      <c r="L126" s="16">
        <f t="shared" si="16"/>
        <v>6.7155943445408551E-3</v>
      </c>
      <c r="M126" s="19">
        <f t="shared" si="10"/>
        <v>0</v>
      </c>
      <c r="N126" s="18">
        <f t="shared" si="17"/>
        <v>-0.20915573457155845</v>
      </c>
      <c r="O126" s="18">
        <f t="shared" si="18"/>
        <v>-0.19956863608980921</v>
      </c>
      <c r="P126" s="22" t="str">
        <f t="shared" si="19"/>
        <v>estancado</v>
      </c>
    </row>
    <row r="127" spans="1:16" x14ac:dyDescent="0.3">
      <c r="A127" s="14" t="s">
        <v>123</v>
      </c>
      <c r="B127" s="2">
        <v>30</v>
      </c>
      <c r="C127" s="2">
        <v>12</v>
      </c>
      <c r="D127" s="2">
        <v>18</v>
      </c>
      <c r="E127" s="2">
        <v>10</v>
      </c>
      <c r="F127" s="2">
        <v>1</v>
      </c>
      <c r="G127" s="16">
        <f t="shared" si="11"/>
        <v>9.1828488870387154E-3</v>
      </c>
      <c r="H127" s="16">
        <f t="shared" si="12"/>
        <v>3.362550158039857E-3</v>
      </c>
      <c r="I127" s="16">
        <f t="shared" si="13"/>
        <v>4.5013391483966474E-3</v>
      </c>
      <c r="J127" s="16">
        <f t="shared" si="14"/>
        <v>2.9147890567159654E-3</v>
      </c>
      <c r="K127" s="16">
        <f t="shared" si="15"/>
        <v>2.4180229760543183E-4</v>
      </c>
      <c r="L127" s="16">
        <f t="shared" si="16"/>
        <v>4.0406659095593243E-3</v>
      </c>
      <c r="M127" s="19">
        <f t="shared" si="10"/>
        <v>-57.271299360376595</v>
      </c>
      <c r="N127" s="18">
        <f t="shared" si="17"/>
        <v>-0.2099571576694636</v>
      </c>
      <c r="O127" s="18">
        <f t="shared" si="18"/>
        <v>-0.87732678027739519</v>
      </c>
      <c r="P127" s="22" t="str">
        <f t="shared" si="19"/>
        <v>estancado</v>
      </c>
    </row>
    <row r="128" spans="1:16" x14ac:dyDescent="0.3">
      <c r="A128" s="13" t="s">
        <v>124</v>
      </c>
      <c r="B128" s="4">
        <v>1</v>
      </c>
      <c r="C128" s="4">
        <v>13</v>
      </c>
      <c r="D128" s="4">
        <v>5</v>
      </c>
      <c r="E128" s="4">
        <v>20</v>
      </c>
      <c r="F128" s="9">
        <v>1</v>
      </c>
      <c r="G128" s="16">
        <f t="shared" si="11"/>
        <v>3.0609496290129052E-4</v>
      </c>
      <c r="H128" s="16">
        <f t="shared" si="12"/>
        <v>3.6427626712098459E-3</v>
      </c>
      <c r="I128" s="16">
        <f t="shared" si="13"/>
        <v>1.2503719856657356E-3</v>
      </c>
      <c r="J128" s="16">
        <f t="shared" si="14"/>
        <v>5.8295781134319307E-3</v>
      </c>
      <c r="K128" s="16">
        <f t="shared" si="15"/>
        <v>2.4180229760543183E-4</v>
      </c>
      <c r="L128" s="16">
        <f t="shared" si="16"/>
        <v>2.254122006162847E-3</v>
      </c>
      <c r="M128" s="19">
        <f t="shared" si="10"/>
        <v>0</v>
      </c>
      <c r="N128" s="18">
        <f t="shared" si="17"/>
        <v>-0.21049241593315376</v>
      </c>
      <c r="O128" s="18">
        <f t="shared" si="18"/>
        <v>-0.19956863608980921</v>
      </c>
      <c r="P128" s="22" t="str">
        <f t="shared" si="19"/>
        <v>estancado</v>
      </c>
    </row>
    <row r="129" spans="1:16" x14ac:dyDescent="0.3">
      <c r="A129" s="13" t="s">
        <v>125</v>
      </c>
      <c r="B129" s="4">
        <v>25</v>
      </c>
      <c r="C129" s="4">
        <v>18</v>
      </c>
      <c r="D129" s="4">
        <v>20</v>
      </c>
      <c r="E129" s="9">
        <v>88</v>
      </c>
      <c r="F129" s="9">
        <v>1</v>
      </c>
      <c r="G129" s="16">
        <f t="shared" si="11"/>
        <v>7.6523740725322632E-3</v>
      </c>
      <c r="H129" s="16">
        <f t="shared" si="12"/>
        <v>5.0438252370597859E-3</v>
      </c>
      <c r="I129" s="16">
        <f t="shared" si="13"/>
        <v>5.0014879426629423E-3</v>
      </c>
      <c r="J129" s="16">
        <f t="shared" si="14"/>
        <v>2.5650143699100496E-2</v>
      </c>
      <c r="K129" s="16">
        <f t="shared" si="15"/>
        <v>2.4180229760543183E-4</v>
      </c>
      <c r="L129" s="16">
        <f t="shared" si="16"/>
        <v>8.7179266497921827E-3</v>
      </c>
      <c r="M129" s="19">
        <f t="shared" si="10"/>
        <v>-55.278640450004204</v>
      </c>
      <c r="N129" s="18">
        <f t="shared" si="17"/>
        <v>-0.20855582492981833</v>
      </c>
      <c r="O129" s="18">
        <f t="shared" si="18"/>
        <v>-0.85374532114906909</v>
      </c>
      <c r="P129" s="22" t="str">
        <f t="shared" si="19"/>
        <v>estancado</v>
      </c>
    </row>
    <row r="130" spans="1:16" x14ac:dyDescent="0.3">
      <c r="A130" s="13" t="s">
        <v>126</v>
      </c>
      <c r="B130" s="6">
        <v>38</v>
      </c>
      <c r="C130" s="4">
        <v>169</v>
      </c>
      <c r="D130" s="6">
        <v>433</v>
      </c>
      <c r="E130" s="6">
        <v>215</v>
      </c>
      <c r="F130" s="15">
        <f>E130+(E130/D130-1)*E130</f>
        <v>106.75519630484989</v>
      </c>
      <c r="G130" s="16">
        <f t="shared" si="11"/>
        <v>1.1631608590249039E-2</v>
      </c>
      <c r="H130" s="16">
        <f t="shared" si="12"/>
        <v>4.7355914725727991E-2</v>
      </c>
      <c r="I130" s="16">
        <f t="shared" si="13"/>
        <v>0.1082822139586527</v>
      </c>
      <c r="J130" s="16">
        <f t="shared" si="14"/>
        <v>6.266796471939326E-2</v>
      </c>
      <c r="K130" s="16">
        <f t="shared" si="15"/>
        <v>2.5813651747831613E-2</v>
      </c>
      <c r="L130" s="16">
        <f t="shared" si="16"/>
        <v>5.1150270748370918E-2</v>
      </c>
      <c r="M130" s="19">
        <f t="shared" si="10"/>
        <v>29.46469624698058</v>
      </c>
      <c r="N130" s="18">
        <f t="shared" si="17"/>
        <v>-0.19584286400939049</v>
      </c>
      <c r="O130" s="18">
        <f t="shared" si="18"/>
        <v>0.14912151186274064</v>
      </c>
      <c r="P130" s="22" t="str">
        <f t="shared" si="19"/>
        <v>prometedor</v>
      </c>
    </row>
    <row r="131" spans="1:16" x14ac:dyDescent="0.3">
      <c r="A131" s="14" t="s">
        <v>127</v>
      </c>
      <c r="B131" s="8">
        <v>13</v>
      </c>
      <c r="C131" s="8">
        <v>1121</v>
      </c>
      <c r="D131" s="8">
        <v>14</v>
      </c>
      <c r="E131" s="2">
        <v>8</v>
      </c>
      <c r="F131" s="15">
        <f>E131+(E131/D131-1)*E131</f>
        <v>4.5714285714285712</v>
      </c>
      <c r="G131" s="16">
        <f t="shared" si="11"/>
        <v>3.9792345177167765E-3</v>
      </c>
      <c r="H131" s="16">
        <f t="shared" si="12"/>
        <v>0.31411822726355665</v>
      </c>
      <c r="I131" s="16">
        <f t="shared" si="13"/>
        <v>3.5010415598640595E-3</v>
      </c>
      <c r="J131" s="16">
        <f t="shared" si="14"/>
        <v>2.3318312453727724E-3</v>
      </c>
      <c r="K131" s="16">
        <f t="shared" si="15"/>
        <v>1.1053819319105456E-3</v>
      </c>
      <c r="L131" s="16">
        <f t="shared" si="16"/>
        <v>6.5007143303684164E-2</v>
      </c>
      <c r="M131" s="19">
        <f t="shared" si="10"/>
        <v>-22.993542262425748</v>
      </c>
      <c r="N131" s="18">
        <f t="shared" si="17"/>
        <v>-0.19169126967687405</v>
      </c>
      <c r="O131" s="18">
        <f t="shared" si="18"/>
        <v>-0.47167806447938765</v>
      </c>
      <c r="P131" s="22" t="str">
        <f t="shared" si="19"/>
        <v>estancado</v>
      </c>
    </row>
    <row r="132" spans="1:16" x14ac:dyDescent="0.3">
      <c r="A132" s="13" t="s">
        <v>128</v>
      </c>
      <c r="B132" s="4">
        <v>713</v>
      </c>
      <c r="C132" s="4">
        <v>6</v>
      </c>
      <c r="D132" s="4">
        <v>3</v>
      </c>
      <c r="E132" s="4">
        <v>14</v>
      </c>
      <c r="F132" s="15">
        <f>E132+(E132/D132-1)*E132</f>
        <v>65.333333333333343</v>
      </c>
      <c r="G132" s="16">
        <f t="shared" si="11"/>
        <v>0.2182457085486201</v>
      </c>
      <c r="H132" s="16">
        <f t="shared" si="12"/>
        <v>1.6812750790199285E-3</v>
      </c>
      <c r="I132" s="16">
        <f t="shared" si="13"/>
        <v>7.5022319139944128E-4</v>
      </c>
      <c r="J132" s="16">
        <f t="shared" si="14"/>
        <v>4.0807046794023513E-3</v>
      </c>
      <c r="K132" s="16">
        <f t="shared" si="15"/>
        <v>1.579775011022155E-2</v>
      </c>
      <c r="L132" s="16">
        <f t="shared" si="16"/>
        <v>4.8111132321732683E-2</v>
      </c>
      <c r="M132" s="19">
        <f t="shared" si="10"/>
        <v>-44.981173672543008</v>
      </c>
      <c r="N132" s="18">
        <f t="shared" si="17"/>
        <v>-0.19675340640035202</v>
      </c>
      <c r="O132" s="18">
        <f t="shared" si="18"/>
        <v>-0.73188337544727478</v>
      </c>
      <c r="P132" s="22" t="str">
        <f t="shared" si="19"/>
        <v>estancado</v>
      </c>
    </row>
    <row r="133" spans="1:16" x14ac:dyDescent="0.3">
      <c r="A133" s="13" t="s">
        <v>129</v>
      </c>
      <c r="B133" s="4">
        <v>141</v>
      </c>
      <c r="C133" s="4">
        <v>39</v>
      </c>
      <c r="D133" s="4">
        <v>4</v>
      </c>
      <c r="E133" s="4">
        <v>1116</v>
      </c>
      <c r="F133" s="15">
        <v>1</v>
      </c>
      <c r="G133" s="16">
        <f t="shared" si="11"/>
        <v>4.3159389769081957E-2</v>
      </c>
      <c r="H133" s="16">
        <f t="shared" si="12"/>
        <v>1.0928288013629536E-2</v>
      </c>
      <c r="I133" s="16">
        <f t="shared" si="13"/>
        <v>1.0002975885325884E-3</v>
      </c>
      <c r="J133" s="16">
        <f t="shared" si="14"/>
        <v>0.32529045872950174</v>
      </c>
      <c r="K133" s="16">
        <f t="shared" si="15"/>
        <v>2.4180229760543183E-4</v>
      </c>
      <c r="L133" s="16">
        <f t="shared" si="16"/>
        <v>7.6124047279670259E-2</v>
      </c>
      <c r="M133" s="19">
        <f t="shared" si="10"/>
        <v>-70.980146088125821</v>
      </c>
      <c r="N133" s="18">
        <f t="shared" si="17"/>
        <v>-0.18836058482301529</v>
      </c>
      <c r="O133" s="18">
        <f t="shared" si="18"/>
        <v>-1.0395595673962359</v>
      </c>
      <c r="P133" s="22" t="str">
        <f t="shared" si="19"/>
        <v>estancado</v>
      </c>
    </row>
    <row r="134" spans="1:16" x14ac:dyDescent="0.3">
      <c r="A134" s="14" t="s">
        <v>130</v>
      </c>
      <c r="B134" s="2">
        <v>6</v>
      </c>
      <c r="C134" s="2">
        <v>7</v>
      </c>
      <c r="D134" s="2">
        <v>22</v>
      </c>
      <c r="E134" s="2">
        <v>20</v>
      </c>
      <c r="F134" s="15">
        <f>E134+(E134/D134-1)*E134</f>
        <v>18.18181818181818</v>
      </c>
      <c r="G134" s="16">
        <f t="shared" si="11"/>
        <v>1.8365697774077431E-3</v>
      </c>
      <c r="H134" s="16">
        <f t="shared" si="12"/>
        <v>1.9614875921899169E-3</v>
      </c>
      <c r="I134" s="16">
        <f t="shared" si="13"/>
        <v>5.5016367369292362E-3</v>
      </c>
      <c r="J134" s="16">
        <f t="shared" si="14"/>
        <v>5.8295781134319307E-3</v>
      </c>
      <c r="K134" s="16">
        <f t="shared" si="15"/>
        <v>4.3964054110078509E-3</v>
      </c>
      <c r="L134" s="16">
        <f t="shared" si="16"/>
        <v>3.9051355261933351E-3</v>
      </c>
      <c r="M134" s="19">
        <f t="shared" ref="M134:M146" si="20">((F134/B134)^(1/4)-1)*100</f>
        <v>31.938491713259264</v>
      </c>
      <c r="N134" s="18">
        <f t="shared" si="17"/>
        <v>-0.2099977633089555</v>
      </c>
      <c r="O134" s="18">
        <f t="shared" si="18"/>
        <v>0.17839682153878916</v>
      </c>
      <c r="P134" s="22" t="str">
        <f t="shared" si="19"/>
        <v>prometedor</v>
      </c>
    </row>
    <row r="135" spans="1:16" x14ac:dyDescent="0.3">
      <c r="A135" s="13" t="s">
        <v>131</v>
      </c>
      <c r="B135" s="4">
        <v>1</v>
      </c>
      <c r="C135" s="4">
        <v>3</v>
      </c>
      <c r="D135" s="4">
        <v>6</v>
      </c>
      <c r="E135" s="4">
        <v>3</v>
      </c>
      <c r="F135" s="15">
        <f t="shared" ref="F135:F146" si="21">E135+(E135/D135-1)*E135</f>
        <v>1.5</v>
      </c>
      <c r="G135" s="16">
        <f t="shared" ref="G135:G146" si="22">(B135/B$5)*100</f>
        <v>3.0609496290129052E-4</v>
      </c>
      <c r="H135" s="16">
        <f t="shared" ref="H135:H146" si="23">(C135/C$5)*100</f>
        <v>8.4063753950996425E-4</v>
      </c>
      <c r="I135" s="16">
        <f t="shared" ref="I135:I146" si="24">(D135/D$5)*100</f>
        <v>1.5004463827988826E-3</v>
      </c>
      <c r="J135" s="16">
        <f t="shared" ref="J135:J146" si="25">(E135/E$5)*100</f>
        <v>8.7443671701478958E-4</v>
      </c>
      <c r="K135" s="16">
        <f t="shared" ref="K135:K146" si="26">(F135/F$5)*100</f>
        <v>3.6270344640814778E-4</v>
      </c>
      <c r="L135" s="16">
        <f t="shared" ref="L135:L146" si="27">AVERAGE(G135:K135)</f>
        <v>7.7686380972661489E-4</v>
      </c>
      <c r="M135" s="19">
        <f t="shared" si="20"/>
        <v>10.66819197003217</v>
      </c>
      <c r="N135" s="18">
        <f t="shared" ref="N135:N146" si="28">(L135-$L$2)/$L$3</f>
        <v>-0.21093501051800734</v>
      </c>
      <c r="O135" s="18">
        <f t="shared" ref="O135:O146" si="29">(M135-$M$2)/$M$3</f>
        <v>-7.3319466397522931E-2</v>
      </c>
      <c r="P135" s="22" t="str">
        <f t="shared" ref="P135:P146" si="30">IF(AND(N135&gt;0,O135&gt;0), "ESTRELLA",
IF(AND(N135&gt;0,O135&lt;0), "Consolidado",
IF(AND(N135&lt;0,O135&lt;0), "estancado", "prometedor")))</f>
        <v>estancado</v>
      </c>
    </row>
    <row r="136" spans="1:16" x14ac:dyDescent="0.3">
      <c r="A136" s="14" t="s">
        <v>132</v>
      </c>
      <c r="B136" s="15">
        <f>C136-(C136/D136-1)*C136</f>
        <v>86.249122807017542</v>
      </c>
      <c r="C136" s="5">
        <v>47</v>
      </c>
      <c r="D136" s="5">
        <v>285</v>
      </c>
      <c r="E136" s="5">
        <v>286</v>
      </c>
      <c r="F136" s="15">
        <f t="shared" si="21"/>
        <v>287.00350877192983</v>
      </c>
      <c r="G136" s="16">
        <f t="shared" si="22"/>
        <v>2.6400422045882884E-2</v>
      </c>
      <c r="H136" s="16">
        <f t="shared" si="23"/>
        <v>1.3169988118989442E-2</v>
      </c>
      <c r="I136" s="16">
        <f t="shared" si="24"/>
        <v>7.1271203182946927E-2</v>
      </c>
      <c r="J136" s="16">
        <f t="shared" si="25"/>
        <v>8.3362967022076614E-2</v>
      </c>
      <c r="K136" s="16">
        <f t="shared" si="26"/>
        <v>6.9398107841873349E-2</v>
      </c>
      <c r="L136" s="16">
        <f t="shared" si="27"/>
        <v>5.2720537642353835E-2</v>
      </c>
      <c r="M136" s="19">
        <f t="shared" si="20"/>
        <v>35.061985505665504</v>
      </c>
      <c r="N136" s="18">
        <f t="shared" si="28"/>
        <v>-0.19537240351323057</v>
      </c>
      <c r="O136" s="18">
        <f t="shared" si="29"/>
        <v>0.21536076996960365</v>
      </c>
      <c r="P136" s="22" t="str">
        <f t="shared" si="30"/>
        <v>prometedor</v>
      </c>
    </row>
    <row r="137" spans="1:16" x14ac:dyDescent="0.3">
      <c r="A137" s="14" t="s">
        <v>133</v>
      </c>
      <c r="B137" s="15">
        <f>D137-(D137/C137-1)*D137</f>
        <v>39.709090909090911</v>
      </c>
      <c r="C137" s="5">
        <v>55</v>
      </c>
      <c r="D137" s="5">
        <v>26</v>
      </c>
      <c r="E137" s="5">
        <v>150</v>
      </c>
      <c r="F137" s="15">
        <f t="shared" si="21"/>
        <v>865.38461538461536</v>
      </c>
      <c r="G137" s="16">
        <f t="shared" si="22"/>
        <v>1.2154752708662153E-2</v>
      </c>
      <c r="H137" s="16">
        <f t="shared" si="23"/>
        <v>1.5411688224349348E-2</v>
      </c>
      <c r="I137" s="16">
        <f t="shared" si="24"/>
        <v>6.501934325461825E-3</v>
      </c>
      <c r="J137" s="16">
        <f t="shared" si="25"/>
        <v>4.3721835850739486E-2</v>
      </c>
      <c r="K137" s="16">
        <f t="shared" si="26"/>
        <v>0.20925198831239292</v>
      </c>
      <c r="L137" s="16">
        <f t="shared" si="27"/>
        <v>5.7408439884321136E-2</v>
      </c>
      <c r="M137" s="19">
        <f t="shared" si="20"/>
        <v>116.0627037342695</v>
      </c>
      <c r="N137" s="18">
        <f t="shared" si="28"/>
        <v>-0.19396788252182692</v>
      </c>
      <c r="O137" s="18">
        <f t="shared" si="29"/>
        <v>1.173936829489955</v>
      </c>
      <c r="P137" s="22" t="str">
        <f t="shared" si="30"/>
        <v>prometedor</v>
      </c>
    </row>
    <row r="138" spans="1:16" x14ac:dyDescent="0.3">
      <c r="A138" s="13" t="s">
        <v>134</v>
      </c>
      <c r="B138" s="4">
        <v>7</v>
      </c>
      <c r="C138" s="4">
        <v>2</v>
      </c>
      <c r="D138" s="4">
        <v>2</v>
      </c>
      <c r="E138" s="4">
        <v>3</v>
      </c>
      <c r="F138" s="15">
        <f t="shared" si="21"/>
        <v>4.5</v>
      </c>
      <c r="G138" s="16">
        <f t="shared" si="22"/>
        <v>2.1426647403090335E-3</v>
      </c>
      <c r="H138" s="16">
        <f t="shared" si="23"/>
        <v>5.6042502633997624E-4</v>
      </c>
      <c r="I138" s="16">
        <f t="shared" si="24"/>
        <v>5.0014879426629418E-4</v>
      </c>
      <c r="J138" s="16">
        <f t="shared" si="25"/>
        <v>8.7443671701478958E-4</v>
      </c>
      <c r="K138" s="16">
        <f t="shared" si="26"/>
        <v>1.0881103392244434E-3</v>
      </c>
      <c r="L138" s="16">
        <f t="shared" si="27"/>
        <v>1.0331571234309072E-3</v>
      </c>
      <c r="M138" s="19">
        <f t="shared" si="20"/>
        <v>-10.457623119705318</v>
      </c>
      <c r="N138" s="18">
        <f t="shared" si="28"/>
        <v>-0.21085822364821483</v>
      </c>
      <c r="O138" s="18">
        <f t="shared" si="29"/>
        <v>-0.32332589875684681</v>
      </c>
      <c r="P138" s="22" t="str">
        <f t="shared" si="30"/>
        <v>estancado</v>
      </c>
    </row>
    <row r="139" spans="1:16" x14ac:dyDescent="0.3">
      <c r="A139" s="14" t="s">
        <v>135</v>
      </c>
      <c r="B139" s="8">
        <v>74</v>
      </c>
      <c r="C139" s="8">
        <v>34</v>
      </c>
      <c r="D139" s="8">
        <v>50</v>
      </c>
      <c r="E139" s="8">
        <v>76</v>
      </c>
      <c r="F139" s="15">
        <f t="shared" si="21"/>
        <v>115.52000000000001</v>
      </c>
      <c r="G139" s="16">
        <f t="shared" si="22"/>
        <v>2.2651027254695498E-2</v>
      </c>
      <c r="H139" s="16">
        <f t="shared" si="23"/>
        <v>9.5272254477795967E-3</v>
      </c>
      <c r="I139" s="16">
        <f t="shared" si="24"/>
        <v>1.2503719856657354E-2</v>
      </c>
      <c r="J139" s="16">
        <f t="shared" si="25"/>
        <v>2.2152396831041338E-2</v>
      </c>
      <c r="K139" s="16">
        <f t="shared" si="26"/>
        <v>2.7933001419379488E-2</v>
      </c>
      <c r="L139" s="16">
        <f t="shared" si="27"/>
        <v>1.8953474161910656E-2</v>
      </c>
      <c r="M139" s="19">
        <f t="shared" si="20"/>
        <v>11.77800783341576</v>
      </c>
      <c r="N139" s="18">
        <f t="shared" si="28"/>
        <v>-0.20548919926288747</v>
      </c>
      <c r="O139" s="18">
        <f t="shared" si="29"/>
        <v>-6.0185719680450729E-2</v>
      </c>
      <c r="P139" s="22" t="str">
        <f t="shared" si="30"/>
        <v>estancado</v>
      </c>
    </row>
    <row r="140" spans="1:16" x14ac:dyDescent="0.3">
      <c r="A140" s="14" t="s">
        <v>136</v>
      </c>
      <c r="B140" s="2">
        <v>154</v>
      </c>
      <c r="C140" s="2">
        <v>94</v>
      </c>
      <c r="D140" s="2">
        <v>94</v>
      </c>
      <c r="E140" s="8">
        <v>189</v>
      </c>
      <c r="F140" s="15">
        <f t="shared" si="21"/>
        <v>380.01063829787233</v>
      </c>
      <c r="G140" s="16">
        <f t="shared" si="22"/>
        <v>4.7138624286798735E-2</v>
      </c>
      <c r="H140" s="16">
        <f t="shared" si="23"/>
        <v>2.6339976237978884E-2</v>
      </c>
      <c r="I140" s="16">
        <f t="shared" si="24"/>
        <v>2.3506993330515827E-2</v>
      </c>
      <c r="J140" s="16">
        <f t="shared" si="25"/>
        <v>5.5089513171931746E-2</v>
      </c>
      <c r="K140" s="16">
        <f t="shared" si="26"/>
        <v>9.1887445454932243E-2</v>
      </c>
      <c r="L140" s="16">
        <f t="shared" si="27"/>
        <v>4.8792510496431483E-2</v>
      </c>
      <c r="M140" s="19">
        <f t="shared" si="20"/>
        <v>25.333959077256218</v>
      </c>
      <c r="N140" s="18">
        <f t="shared" si="28"/>
        <v>-0.19654926179578211</v>
      </c>
      <c r="O140" s="18">
        <f t="shared" si="29"/>
        <v>0.10023767668619828</v>
      </c>
      <c r="P140" s="22" t="str">
        <f t="shared" si="30"/>
        <v>prometedor</v>
      </c>
    </row>
    <row r="141" spans="1:16" x14ac:dyDescent="0.3">
      <c r="A141" s="13" t="s">
        <v>137</v>
      </c>
      <c r="B141" s="9">
        <v>106</v>
      </c>
      <c r="C141" s="9">
        <v>3</v>
      </c>
      <c r="D141" s="9">
        <v>195</v>
      </c>
      <c r="E141" s="15">
        <v>1</v>
      </c>
      <c r="F141" s="15">
        <v>1</v>
      </c>
      <c r="G141" s="16">
        <f t="shared" si="22"/>
        <v>3.2446066067536791E-2</v>
      </c>
      <c r="H141" s="16">
        <f t="shared" si="23"/>
        <v>8.4063753950996425E-4</v>
      </c>
      <c r="I141" s="16">
        <f t="shared" si="24"/>
        <v>4.8764507440963688E-2</v>
      </c>
      <c r="J141" s="16">
        <f t="shared" si="25"/>
        <v>2.9147890567159655E-4</v>
      </c>
      <c r="K141" s="16">
        <f t="shared" si="26"/>
        <v>2.4180229760543183E-4</v>
      </c>
      <c r="L141" s="16">
        <f t="shared" si="27"/>
        <v>1.6516898450257493E-2</v>
      </c>
      <c r="M141" s="19">
        <f t="shared" si="20"/>
        <v>-68.834540555973447</v>
      </c>
      <c r="N141" s="18">
        <f t="shared" si="28"/>
        <v>-0.20621921058938752</v>
      </c>
      <c r="O141" s="18">
        <f t="shared" si="29"/>
        <v>-1.0141681123415893</v>
      </c>
      <c r="P141" s="22" t="str">
        <f t="shared" si="30"/>
        <v>estancado</v>
      </c>
    </row>
    <row r="142" spans="1:16" x14ac:dyDescent="0.3">
      <c r="A142" s="14" t="s">
        <v>138</v>
      </c>
      <c r="B142" s="5">
        <v>123</v>
      </c>
      <c r="C142" s="5">
        <v>2796</v>
      </c>
      <c r="D142" s="5">
        <v>66</v>
      </c>
      <c r="E142" s="5">
        <v>546</v>
      </c>
      <c r="F142" s="15">
        <f t="shared" si="21"/>
        <v>4516.9090909090919</v>
      </c>
      <c r="G142" s="16">
        <f t="shared" si="22"/>
        <v>3.7649680436858728E-2</v>
      </c>
      <c r="H142" s="16">
        <f t="shared" si="23"/>
        <v>0.78347418682328684</v>
      </c>
      <c r="I142" s="16">
        <f t="shared" si="24"/>
        <v>1.6504910210787711E-2</v>
      </c>
      <c r="J142" s="16">
        <f t="shared" si="25"/>
        <v>0.15914748249669172</v>
      </c>
      <c r="K142" s="16">
        <f t="shared" si="26"/>
        <v>1.0921989962566809</v>
      </c>
      <c r="L142" s="16">
        <f t="shared" si="27"/>
        <v>0.41779505124486116</v>
      </c>
      <c r="M142" s="19">
        <f t="shared" si="20"/>
        <v>146.16939573654247</v>
      </c>
      <c r="N142" s="18">
        <f t="shared" si="28"/>
        <v>-8.5994094983055894E-2</v>
      </c>
      <c r="O142" s="18">
        <f t="shared" si="29"/>
        <v>1.5302244626845511</v>
      </c>
      <c r="P142" s="22" t="str">
        <f t="shared" si="30"/>
        <v>prometedor</v>
      </c>
    </row>
    <row r="143" spans="1:16" x14ac:dyDescent="0.3">
      <c r="A143" s="14" t="s">
        <v>139</v>
      </c>
      <c r="B143" s="2">
        <v>13</v>
      </c>
      <c r="C143" s="2">
        <v>29</v>
      </c>
      <c r="D143" s="5">
        <v>649</v>
      </c>
      <c r="E143" s="5">
        <v>31</v>
      </c>
      <c r="F143" s="15">
        <f t="shared" si="21"/>
        <v>1.4807395993836678</v>
      </c>
      <c r="G143" s="16">
        <f t="shared" si="22"/>
        <v>3.9792345177167765E-3</v>
      </c>
      <c r="H143" s="16">
        <f t="shared" si="23"/>
        <v>8.1261628819296553E-3</v>
      </c>
      <c r="I143" s="16">
        <f t="shared" si="24"/>
        <v>0.16229828373941246</v>
      </c>
      <c r="J143" s="16">
        <f t="shared" si="25"/>
        <v>9.0358460758194932E-3</v>
      </c>
      <c r="K143" s="16">
        <f t="shared" si="26"/>
        <v>3.580462372863176E-4</v>
      </c>
      <c r="L143" s="16">
        <f t="shared" si="27"/>
        <v>3.6759514690432947E-2</v>
      </c>
      <c r="M143" s="19">
        <f t="shared" si="20"/>
        <v>-41.905658325647664</v>
      </c>
      <c r="N143" s="18">
        <f t="shared" si="28"/>
        <v>-0.20015441274105963</v>
      </c>
      <c r="O143" s="18">
        <f t="shared" si="29"/>
        <v>-0.69548721197251406</v>
      </c>
      <c r="P143" s="22" t="str">
        <f t="shared" si="30"/>
        <v>estancado</v>
      </c>
    </row>
    <row r="144" spans="1:16" x14ac:dyDescent="0.3">
      <c r="A144" s="13" t="s">
        <v>140</v>
      </c>
      <c r="B144" s="4">
        <v>146</v>
      </c>
      <c r="C144" s="4">
        <v>251</v>
      </c>
      <c r="D144" s="4">
        <v>321</v>
      </c>
      <c r="E144" s="6">
        <v>150</v>
      </c>
      <c r="F144" s="15">
        <f t="shared" si="21"/>
        <v>70.093457943925245</v>
      </c>
      <c r="G144" s="16">
        <f t="shared" si="22"/>
        <v>4.468986458358841E-2</v>
      </c>
      <c r="H144" s="16">
        <f t="shared" si="23"/>
        <v>7.0333340805667013E-2</v>
      </c>
      <c r="I144" s="16">
        <f t="shared" si="24"/>
        <v>8.0273881479740211E-2</v>
      </c>
      <c r="J144" s="16">
        <f t="shared" si="25"/>
        <v>4.3721835850739486E-2</v>
      </c>
      <c r="K144" s="16">
        <f t="shared" si="26"/>
        <v>1.6948759177950832E-2</v>
      </c>
      <c r="L144" s="16">
        <f t="shared" si="27"/>
        <v>5.1193536379537198E-2</v>
      </c>
      <c r="M144" s="19">
        <f t="shared" si="20"/>
        <v>-16.760175194943947</v>
      </c>
      <c r="N144" s="18">
        <f t="shared" si="28"/>
        <v>-0.19582990139113551</v>
      </c>
      <c r="O144" s="18">
        <f t="shared" si="29"/>
        <v>-0.39791135510000569</v>
      </c>
      <c r="P144" s="22" t="str">
        <f t="shared" si="30"/>
        <v>estancado</v>
      </c>
    </row>
    <row r="145" spans="1:16" x14ac:dyDescent="0.3">
      <c r="A145" s="14" t="s">
        <v>141</v>
      </c>
      <c r="B145" s="8">
        <v>14</v>
      </c>
      <c r="C145" s="8">
        <v>53</v>
      </c>
      <c r="D145" s="8">
        <v>20</v>
      </c>
      <c r="E145" s="8">
        <v>27</v>
      </c>
      <c r="F145" s="15">
        <f t="shared" si="21"/>
        <v>36.450000000000003</v>
      </c>
      <c r="G145" s="16">
        <f t="shared" si="22"/>
        <v>4.2853294806180671E-3</v>
      </c>
      <c r="H145" s="16">
        <f t="shared" si="23"/>
        <v>1.4851263198009369E-2</v>
      </c>
      <c r="I145" s="16">
        <f t="shared" si="24"/>
        <v>5.0014879426629423E-3</v>
      </c>
      <c r="J145" s="16">
        <f t="shared" si="25"/>
        <v>7.8699304531331081E-3</v>
      </c>
      <c r="K145" s="16">
        <f t="shared" si="26"/>
        <v>8.8136937477179926E-3</v>
      </c>
      <c r="L145" s="16">
        <f t="shared" si="27"/>
        <v>8.1643409644282967E-3</v>
      </c>
      <c r="M145" s="19">
        <f t="shared" si="20"/>
        <v>27.025927377107983</v>
      </c>
      <c r="N145" s="18">
        <f t="shared" si="28"/>
        <v>-0.20872168221000512</v>
      </c>
      <c r="O145" s="18">
        <f t="shared" si="29"/>
        <v>0.12026071279222278</v>
      </c>
      <c r="P145" s="22" t="str">
        <f t="shared" si="30"/>
        <v>prometedor</v>
      </c>
    </row>
    <row r="146" spans="1:16" x14ac:dyDescent="0.3">
      <c r="A146" s="13" t="s">
        <v>142</v>
      </c>
      <c r="B146" s="9">
        <v>3</v>
      </c>
      <c r="C146" s="4">
        <f>AVERAGE(B146,D146)</f>
        <v>14</v>
      </c>
      <c r="D146" s="9">
        <v>25</v>
      </c>
      <c r="E146" s="9">
        <v>218</v>
      </c>
      <c r="F146" s="15">
        <f t="shared" si="21"/>
        <v>1900.96</v>
      </c>
      <c r="G146" s="16">
        <f t="shared" si="22"/>
        <v>9.1828488870387157E-4</v>
      </c>
      <c r="H146" s="16">
        <f t="shared" si="23"/>
        <v>3.9229751843798339E-3</v>
      </c>
      <c r="I146" s="16">
        <f t="shared" si="24"/>
        <v>6.2518599283286772E-3</v>
      </c>
      <c r="J146" s="16">
        <f t="shared" si="25"/>
        <v>6.3542401436408047E-2</v>
      </c>
      <c r="K146" s="16">
        <f t="shared" si="26"/>
        <v>0.45965649565602174</v>
      </c>
      <c r="L146" s="16">
        <f t="shared" si="27"/>
        <v>0.10685840341876843</v>
      </c>
      <c r="M146" s="19">
        <f t="shared" si="20"/>
        <v>401.72175293351273</v>
      </c>
      <c r="N146" s="18">
        <f t="shared" si="28"/>
        <v>-0.1791524046762118</v>
      </c>
      <c r="O146" s="18">
        <f t="shared" si="29"/>
        <v>4.5544738387413606</v>
      </c>
      <c r="P146" s="22" t="str">
        <f t="shared" si="30"/>
        <v>prometedor</v>
      </c>
    </row>
  </sheetData>
  <autoFilter ref="A2:P146"/>
  <phoneticPr fontId="2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Trade_Map_-_Lista_de_los_import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Usuario</dc:creator>
  <cp:lastModifiedBy>Sofia</cp:lastModifiedBy>
  <dcterms:created xsi:type="dcterms:W3CDTF">2025-06-04T00:39:08Z</dcterms:created>
  <dcterms:modified xsi:type="dcterms:W3CDTF">2025-06-04T00:39:08Z</dcterms:modified>
</cp:coreProperties>
</file>