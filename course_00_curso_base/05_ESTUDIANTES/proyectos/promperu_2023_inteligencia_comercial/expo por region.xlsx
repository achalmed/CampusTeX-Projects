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Respaldo\Promperu\Red de Inteligencia Comercial\Ayacucho 91688\Grupos\Joyas Andinas - Grupo 4\"/>
    </mc:Choice>
  </mc:AlternateContent>
  <xr:revisionPtr revIDLastSave="0" documentId="13_ncr:1_{31AA02A2-CC5C-4F51-B74E-B5AF9908E3CE}" xr6:coauthVersionLast="47" xr6:coauthVersionMax="47" xr10:uidLastSave="{00000000-0000-0000-0000-000000000000}"/>
  <bookViews>
    <workbookView xWindow="-108" yWindow="-108" windowWidth="23256" windowHeight="12456" activeTab="1" xr2:uid="{00000000-000D-0000-FFFF-FFFF00000000}"/>
  </bookViews>
  <sheets>
    <sheet name="Hoja1" sheetId="2" r:id="rId1"/>
    <sheet name="Hoja2" sheetId="3" r:id="rId2"/>
    <sheet name="expo por regioin" sheetId="1"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3" l="1"/>
  <c r="L5" i="3"/>
  <c r="M5" i="3"/>
  <c r="O5" i="3"/>
  <c r="P5" i="3"/>
  <c r="K6" i="3"/>
  <c r="L6" i="3"/>
  <c r="M6" i="3"/>
  <c r="O6" i="3"/>
  <c r="P6" i="3"/>
  <c r="S6" i="3"/>
  <c r="K7" i="3"/>
  <c r="L7" i="3"/>
  <c r="M7" i="3"/>
  <c r="O7" i="3"/>
  <c r="P7" i="3"/>
  <c r="S7" i="3"/>
  <c r="K8" i="3"/>
  <c r="L8" i="3"/>
  <c r="M8" i="3"/>
  <c r="O8" i="3"/>
  <c r="P8" i="3"/>
  <c r="K9" i="3"/>
  <c r="L9" i="3"/>
  <c r="M9" i="3"/>
  <c r="O9" i="3"/>
  <c r="P9" i="3"/>
  <c r="K10" i="3"/>
  <c r="L10" i="3"/>
  <c r="M10" i="3"/>
  <c r="O10" i="3"/>
  <c r="P10" i="3"/>
  <c r="S10" i="3"/>
  <c r="K11" i="3"/>
  <c r="L11" i="3"/>
  <c r="M11" i="3"/>
  <c r="O11" i="3"/>
  <c r="P11" i="3"/>
  <c r="S11" i="3"/>
  <c r="K12" i="3"/>
  <c r="L12" i="3"/>
  <c r="M12" i="3"/>
  <c r="O12" i="3"/>
  <c r="P12" i="3"/>
  <c r="R12" i="3"/>
  <c r="K13" i="3"/>
  <c r="L13" i="3"/>
  <c r="M13" i="3"/>
  <c r="O13" i="3"/>
  <c r="P13" i="3"/>
  <c r="R13" i="3"/>
  <c r="K14" i="3"/>
  <c r="L14" i="3"/>
  <c r="M14" i="3"/>
  <c r="O14" i="3"/>
  <c r="P14" i="3"/>
  <c r="R14" i="3"/>
  <c r="S14" i="3"/>
  <c r="K15" i="3"/>
  <c r="L15" i="3"/>
  <c r="M15" i="3"/>
  <c r="O15" i="3"/>
  <c r="P15" i="3"/>
  <c r="S15" i="3"/>
  <c r="P4" i="3"/>
  <c r="P16" i="3" s="1"/>
  <c r="O4" i="3"/>
  <c r="O16" i="3" s="1"/>
  <c r="M4" i="3"/>
  <c r="M16" i="3" s="1"/>
  <c r="L4" i="3"/>
  <c r="L16" i="3" s="1"/>
  <c r="K4" i="3"/>
  <c r="K16" i="3" s="1"/>
  <c r="H22" i="3"/>
  <c r="Q4" i="3" s="1"/>
  <c r="I22" i="3"/>
  <c r="R4" i="3" s="1"/>
  <c r="J22" i="3"/>
  <c r="S4" i="3" s="1"/>
  <c r="H23" i="3"/>
  <c r="Q6" i="3" s="1"/>
  <c r="I23" i="3"/>
  <c r="R6" i="3" s="1"/>
  <c r="H24" i="3"/>
  <c r="Q7" i="3" s="1"/>
  <c r="I24" i="3"/>
  <c r="R7" i="3" s="1"/>
  <c r="H25" i="3"/>
  <c r="Q8" i="3" s="1"/>
  <c r="I25" i="3"/>
  <c r="R8" i="3" s="1"/>
  <c r="J25" i="3"/>
  <c r="S8" i="3" s="1"/>
  <c r="H26" i="3"/>
  <c r="Q9" i="3" s="1"/>
  <c r="I26" i="3"/>
  <c r="R9" i="3" s="1"/>
  <c r="J26" i="3"/>
  <c r="S9" i="3" s="1"/>
  <c r="H27" i="3"/>
  <c r="Q10" i="3" s="1"/>
  <c r="I27" i="3"/>
  <c r="R10" i="3" s="1"/>
  <c r="H28" i="3"/>
  <c r="Q11" i="3" s="1"/>
  <c r="I28" i="3"/>
  <c r="R11" i="3" s="1"/>
  <c r="H29" i="3"/>
  <c r="Q12" i="3" s="1"/>
  <c r="J29" i="3"/>
  <c r="S12" i="3" s="1"/>
  <c r="H30" i="3"/>
  <c r="Q13" i="3" s="1"/>
  <c r="J30" i="3"/>
  <c r="S13" i="3" s="1"/>
  <c r="H31" i="3"/>
  <c r="Q14" i="3" s="1"/>
  <c r="H32" i="3"/>
  <c r="Q15" i="3" s="1"/>
  <c r="I32" i="3"/>
  <c r="R15" i="3" s="1"/>
  <c r="H33" i="3"/>
  <c r="I33" i="3"/>
  <c r="J33" i="3"/>
  <c r="J21" i="3"/>
  <c r="S5" i="3" s="1"/>
  <c r="I21" i="3"/>
  <c r="R5" i="3" s="1"/>
  <c r="H21" i="3"/>
  <c r="Q5" i="3" s="1"/>
  <c r="I5" i="3"/>
  <c r="J5" i="3"/>
  <c r="I6" i="3"/>
  <c r="I7" i="3"/>
  <c r="I8" i="3"/>
  <c r="J8" i="3"/>
  <c r="I9" i="3"/>
  <c r="J9" i="3"/>
  <c r="I10" i="3"/>
  <c r="I11" i="3"/>
  <c r="J13" i="3"/>
  <c r="I15" i="3"/>
  <c r="I16" i="3"/>
  <c r="J16" i="3"/>
  <c r="J4" i="3"/>
  <c r="I4" i="3"/>
  <c r="H5" i="3"/>
  <c r="H6" i="3"/>
  <c r="H7" i="3"/>
  <c r="H8" i="3"/>
  <c r="H9" i="3"/>
  <c r="H10" i="3"/>
  <c r="H11" i="3"/>
  <c r="H12" i="3"/>
  <c r="H13" i="3"/>
  <c r="H14" i="3"/>
  <c r="H15" i="3"/>
  <c r="H16" i="3"/>
  <c r="H4" i="3"/>
  <c r="C278" i="1"/>
  <c r="D278" i="1"/>
  <c r="E278" i="1"/>
  <c r="F278" i="1"/>
  <c r="B278" i="1"/>
  <c r="Q16" i="3" l="1"/>
  <c r="S16" i="3"/>
  <c r="R16" i="3"/>
</calcChain>
</file>

<file path=xl/sharedStrings.xml><?xml version="1.0" encoding="utf-8"?>
<sst xmlns="http://schemas.openxmlformats.org/spreadsheetml/2006/main" count="668" uniqueCount="334">
  <si>
    <t>DEPARTAMENTO</t>
  </si>
  <si>
    <t>FOB_2020</t>
  </si>
  <si>
    <t>FOB_2021</t>
  </si>
  <si>
    <t>FOB_2022</t>
  </si>
  <si>
    <t>FOB_2023</t>
  </si>
  <si>
    <t>FOB_2024</t>
  </si>
  <si>
    <t>DESCRIPCION_COMERCIAL</t>
  </si>
  <si>
    <t>LA LIBERTAD</t>
  </si>
  <si>
    <t>CHOCHOSEN SACOS X 45 KGCHOCHOS SECOSPARA SU COMERCIALIZACION CHOCHOSEN SACOS X 45 KGCHOCHOS SECOSPARA SU COMERCIALIZACION CHOCHOSEN SACOS X 45 KGCHOCHOS SECOSPARA SU COMERCIALIZACION CHOCHOSEN SACOS X 45 KGCHOCHOS SECOSPARA SU COMERCIALIZACION CHOCHO</t>
  </si>
  <si>
    <t>JUNÍN</t>
  </si>
  <si>
    <t>CHOCHOS SECOS X 50 KG, C/SACOEMBALADOS EN SACOSPARA SU COMERCIALIZACION CHOCHOS SECOS X 50 KG, C/SACOEMBALADOS EN SACOSPARA SU COMERCIALIZACION CHOCHOS SECOS X 50 KG, C/SACOEMBALADOS EN SACOSPARA SU COMERCIALIZACION CHOCHOS SECOS X 50 KG, C/SACOEMBAL</t>
  </si>
  <si>
    <t>CHOCHOS SECOS X 50 KG. C/S.  EMBALADOS EN SACOS DE 50 KG. C/S. PARA SU COMERCIALIZACION</t>
  </si>
  <si>
    <t>PIURA</t>
  </si>
  <si>
    <t>CHOCHOSEN SACOS X 50 KGCHOCHOS SECOSPARA SU COMERCIALIZACION CHOCHOSEN SACOS X 50 KGCHOCHOS SECOSPARA SU COMERCIALIZACION CHOCHOSEN SACOS X 50 KGCHOCHOS SECOSPARA SU COMERCIALIZACION CHOCHOSEN SACOS X 50 KGCHOCHOS SECOSPARA SU COMERCIALIZACION CHOCHO</t>
  </si>
  <si>
    <t>CHOCHOS SECOS X 50 KG. C/S.EMBALADOS EN SACOS DE 50 KG. C/S.PARA SU COMERCIALIZACION CHOCHOS SECOS X 50 KG. C/S.EMBALADOS EN SACOS DE 50 KG. C/S.PARA SU COMERCIALIZACION CHOCHOS SECOS X 50 KG. C/S.EMBALADOS EN SACOS DE 50 KG. C/S.PARA SU COMERCIALIZA</t>
  </si>
  <si>
    <t>CHOCHOS SECOS X 50 KG, C/SACO  EMBALADOS EN SACOS PARA SU COMERCIALIZACION</t>
  </si>
  <si>
    <t>MANI SIN CASCARA X 50 KG. C/S.EMBALADOS EN SACOS DE 50 KG. C/S.PARA SU COMERCIALIZACION MANI SIN CASCARA X 50 KG. C/S.EMBALADOS EN SACOS DE 50 KG. C/S.PARA SU COMERCIALIZACION MANI SIN CASCARA X 50 KG. C/S.EMBALADOS EN SACOS DE 50 KG. C/S.PARA SU COM</t>
  </si>
  <si>
    <t>MANI SIN CASCARA X 50 KG. C/S.EMBALADOS EN 730 SACOS DE 50 KG. C/S.PARA SU COMERCIALIZACION MANI SIN CASCARA X 50 KG. C/S.EMBALADOS EN 730 SACOS DE 50 KG. C/S.PARA SU COMERCIALIZACION MANI SIN CASCARA X 50 KG. C/S.EMBALADOS EN 730 SACOS DE 50 KG. C/S</t>
  </si>
  <si>
    <t>HUANCAVELICA</t>
  </si>
  <si>
    <t>CHOCHOS EN SACOS X 50 KG CHOCHOS SECOS PARA SU COMERCIALIZACION</t>
  </si>
  <si>
    <t>CHOCHOS SECOS X 50 KG. C/S.EMBALADOS EN 500 SACOS DE 50 KG. C/S.PARA SU COMERCIALIZACION CHOCHOS SECOS X 50 KG. C/S.EMBALADOS EN 500 SACOS DE 50 KG. C/S.PARA SU COMERCIALIZACION CHOCHOS SECOS X 50 KG. C/S.EMBALADOS EN 500 SACOS DE 50 KG. C/S.PARA SU</t>
  </si>
  <si>
    <t>CHOCHOS SECOS X 50 KG. C/S.PARA CONSUMOEMBALADOS EN BULTOS DE 50 KG. C/S.PARA SU COMERCIALIZACION CHOCHOS SECOS X 50 KG. C/S.PARA CONSUMOEMBALADOS EN BULTOS DE 50 KG. C/S.PARA SU COMERCIALIZACION CHOCHOS SECOS X 50 KG. C/S.PARA CONSUMOEMBALADOS EN BU</t>
  </si>
  <si>
    <t>CHOCHOS SECOSSACOS X 50 KGCOMERCIALIZACION CHOCHOS SECOSSACOS X 50 KGCOMERCIALIZACION CHOCHOS SECOSSACOS X 50 KGCOMERCIALIZACION CHOCHOS SECOSSACOS X 50 KGCOMERCIALIZACION CHOCHOS SECOSSACOS X 50 KGCOMERCIALIZACION</t>
  </si>
  <si>
    <t>CHOCHOS SECOS X 50 KG. C/S.EMBALADOS EN 392 S DE 50 KG. C/S.PARA SU COMERCIALIZACION CHOCHOS SECOS X 50 KG. C/S.EMBALADOS EN 392 S DE 50 KG. C/S.PARA SU COMERCIALIZACION CHOCHOS SECOS X 50 KG. C/S.EMBALADOS EN 392 S DE 50 KG. C/S.PARA SU COMERCIALIZA</t>
  </si>
  <si>
    <t>CHOCHOS SECOS X 45 KG. C/S.  EMBALADOS EN SACOS DE 45 KG. C/S. PARA SU COMERCIALIZACION</t>
  </si>
  <si>
    <t>CHOCHOS SECOS X 50 KG. C/S.EMBALADOS EN 300 SACOS DE 50 KG. C/S.PARA SU COMERCIALIZACION CHOCHOS SECOS X 50 KG. C/S.EMBALADOS EN 300 SACOS DE 50 KG. C/S.PARA SU COMERCIALIZACION CHOCHOS SECOS X 50 KG. C/S.EMBALADOS EN 300 SACOS DE 50 KG. C/S.PARA SU</t>
  </si>
  <si>
    <t>CHOCHOS SECOS X 50 KG. C/S.EMBALADOS EN 280 SACOS DE 50 KG. C/S.PARA SU COMERCIALIZACION CHOCHOS SECOS X 50 KG. C/S.EMBALADOS EN 280 SACOS DE 50 KG. C/S.PARA SU COMERCIALIZACION CHOCHOS SECOS X 50 KG. C/S.EMBALADOS EN 280 SACOS DE 50 KG. C/S.PARA SU</t>
  </si>
  <si>
    <t>LIMA METROPOLITANA</t>
  </si>
  <si>
    <t>CHOCHOS 25 KG / EN SACOS   SE ACOGE A DRAWBACK D.S. 104-95 EF</t>
  </si>
  <si>
    <t>MAIZ DULCE X 50 KG. C/SACOEMBALADOS EN SACOSPARA SU COMERCIALIZACION MAIZ DULCE X 50 KG. C/SACOEMBALADOS EN SACOSPARA SU COMERCIALIZACION MAIZ DULCE X 50 KG. C/SACOEMBALADOS EN SACOSPARA SU COMERCIALIZACION MAIZ DULCE X 50 KG. C/SACOEMBALADOS EN SACO</t>
  </si>
  <si>
    <t>8859.32</t>
  </si>
  <si>
    <t>CHOCHOS SECOS    RESTITUCION DERECHOS ARANC. (COD 13)</t>
  </si>
  <si>
    <t>MANI SIN CASCARA X 50 KG. C/S.PARA CONSUMOEMBALADOS EN BULTOS DE 50 KG. C/S.PARA SU COMERCIALIZACIO MANI SIN CASCARA X 50 KG. C/S.PARA CONSUMOEMBALADOS EN BULTOS DE 50 KG. C/S.PARA SU COMERCIALIZACIO MANI SIN CASCARA X 50 KG. C/S.PARA CONSUMOEMBALADO</t>
  </si>
  <si>
    <t>8424.5</t>
  </si>
  <si>
    <t>TARWI MARCA:S/M MODELO:S/M RESTITUCION DERECHOS ARANC. (COD 13) TARWI MARCA:S/M MODELO:S/M RESTITUCION DERECHOS ARANC. (COD 13) TARWI MARCA:S/M MODELO:S/M RESTITUCION DERECHOS ARANC. (COD 13) TARWI MARCA:S/M MODELO:S/M RESTITUCION DERECHOS ARANC. (CO</t>
  </si>
  <si>
    <t>CHOCHOS MARCA: NATIVO 24 X 500 GR PARA CONSUMO HUMANO  RESTITUCION DERECHOS ARANCELARIOS (DRAWBACK D.S. 104-95 EF)</t>
  </si>
  <si>
    <t>7805.9</t>
  </si>
  <si>
    <t>CHOCHOS 24 X 500 GRS NATIVO PARA CONSUMO HUMANO CHOCHOS 24 X 500 GRS NATIVO PARA CONSUMO HUMANO CHOCHOS 24 X 500 GRS NATIVO PARA CONSUMO HUMANO CHOCHOS 24 X 500 GRS NATIVO PARA CONSUMO HUMANO CHOCHOS 24 X 500 GRS NATIVO PARA CONSUMO HUMANO</t>
  </si>
  <si>
    <t>CHOCHOS SECOS X 50 KG. C/S.EMBALADOS EN 210 SACOS DE 50 KG. C/S.PARA SU COMERCIALIZACION CHOCHOS SECOS X 50 KG. C/S.EMBALADOS EN 210 SACOS DE 50 KG. C/S.PARA SU COMERCIALIZACION CHOCHOS SECOS X 50 KG. C/S.EMBALADOS EN 210 SACOS DE 50 KG. C/S.PARA SU</t>
  </si>
  <si>
    <t>7110.74</t>
  </si>
  <si>
    <t>CHOCHOS SECOS CHOCHOS SECOS CHOCHOS SECOS CHOCHOS SECOS CHOCHOS SECOS</t>
  </si>
  <si>
    <t>CHOCHOS SACOS DE 25 KG C/U CHOCHOS SACOS DE 25 KG C/U CHOCHOS SACOS DE 25 KG C/U CHOCHOS SACOS DE 25 KG C/U CHOCHOS SACOS DE 25 KG C/U</t>
  </si>
  <si>
    <t>CHOCHOS 24 X 14OZ (397GR) IN EACH BOX LUPINI BEANS - MAMA TERE CHOCHOS 24 X 14OZ (397GR) IN EACH BOX LUPINI BEANS - MAMA TERE CHOCHOS 24 X 14OZ (397GR) IN EACH BOX LUPINI BEANS - MAMA TERE CHOCHOS 24 X 14OZ (397GR) IN EACH BOX LUPINI BEANS - MAMA TER</t>
  </si>
  <si>
    <t>CHOCHOS 24 X 14OZ (397GR) MAMA TERE LUPINI BEANS USO: CONSUMO CHOCHOS 24 X 14OZ (397GR) MAMA TERE LUPINI BEANS USO: CONSUMO CHOCHOS 24 X 14OZ (397GR) MAMA TERE LUPINI BEANS USO: CONSUMO CHOCHOS 24 X 14OZ (397GR) MAMA TERE LUPINI BEANS USO: CONSUMO CH</t>
  </si>
  <si>
    <t>CHOCHO SACO X 10 KG PARA CONSUMO HUMANO CHOCHO SACO X 10 KG PARA CONSUMO HUMANO CHOCHO SACO X 10 KG PARA CONSUMO HUMANO CHOCHO SACO X 10 KG PARA CONSUMO HUMANO CHOCHO SACO X 10 KG PARA CONSUMO HUMANO</t>
  </si>
  <si>
    <t>CHOCHOS SECOS   EN SACOS SE ACOGE A RESTITUCION DE DERECHOS ARANCELARIOS D.S. 104-95-EF / DRAWBACK</t>
  </si>
  <si>
    <t>4031.25</t>
  </si>
  <si>
    <t>CHOCHOS EN SACOS DE 25 KG   SE ACOGE A DRAWBACK D.S. 104-95 EF</t>
  </si>
  <si>
    <t>4013.56</t>
  </si>
  <si>
    <t>CHOCLOS SECOS   EN CAJAS (24 X 14 OZ) SE ACOGE A RESTITUCION DE DERECHOS ARANCELARIOS D.S. 104-95-EF / DRAWBACK</t>
  </si>
  <si>
    <t>CHOCHOSEN SACOS X 50 KGCHOCHOS SECOSPARA SU COMERCIALIZACON CHOCHOSEN SACOS X 50 KGCHOCHOS SECOSPARA SU COMERCIALIZACON CHOCHOSEN SACOS X 50 KGCHOCHOS SECOSPARA SU COMERCIALIZACON CHOCHOSEN SACOS X 50 KGCHOCHOS SECOSPARA SU COMERCIALIZACON CHOCHOSEN</t>
  </si>
  <si>
    <t>AJI AMARILLO X 14 BOLSAS DE 500GR C/BOLSA ENVASE: CAJAS CONSUMO HUMANO</t>
  </si>
  <si>
    <t>CHOCHOS 24 X 14OZ (397GR) LUPINI BEANS USO: CONSUMO</t>
  </si>
  <si>
    <t>CALLAO</t>
  </si>
  <si>
    <t>3589.8</t>
  </si>
  <si>
    <t>CHOCHOS SACO X 25 KG CHOCHOS SACO X 25 KG CHOCHOS SACO X 25 KG CHOCHOS SACO X 25 KG CHOCHOS SACO X 25 KG</t>
  </si>
  <si>
    <t>3583.23</t>
  </si>
  <si>
    <t>CHOCHOS SECOS   24 X 14 OZ RESTITUCION DERECHOS ARANC. (COD 13)</t>
  </si>
  <si>
    <t>3578.58</t>
  </si>
  <si>
    <t>CHOCHOS SECOS   ( 24 X 14 OZ ) RESTITUCION DERECHOS ARANC. (COD 13)</t>
  </si>
  <si>
    <t>CHOCHO, MARCA: NATIVO 24 X 500 GRS NATIVO  PARA CONSUMO HUMANO</t>
  </si>
  <si>
    <t>2692.35</t>
  </si>
  <si>
    <t>CHOCHOS SACO X 25 KG</t>
  </si>
  <si>
    <t>CHOCHOS SECOS   SACOS DE 25 KG C/U RESTITUCION DERECHOS ARANC. (COD 13)</t>
  </si>
  <si>
    <t>LUPINO (TARWI) 12 X 1 KG CAJAS CONSUMO HUMANO LUPINO (TARWI) 12 X 1 KG CAJAS CONSUMO HUMANO LUPINO (TARWI) 12 X 1 KG CAJAS CONSUMO HUMANO LUPINO (TARWI) 12 X 1 KG CAJAS CONSUMO HUMANO LUPINO (TARWI) 12 X 1 KG CAJAS CONSUMO HUMANO</t>
  </si>
  <si>
    <t>2494.94</t>
  </si>
  <si>
    <t>CHOCHOS SECOS ( 24 X 14 OZ ) CHOCHOS SECOS ( 24 X 14 OZ ) CHOCHOS SECOS ( 24 X 14 OZ ) CHOCHOS SECOS ( 24 X 14 OZ ) CHOCHOS SECOS ( 24 X 14 OZ )</t>
  </si>
  <si>
    <t>2057.61</t>
  </si>
  <si>
    <t>GANDUL 24 BOLSAS X 500 GR COEXITO PARA CONSUMO HUMANO GANDUL 24 BOLSAS X 500 GR COEXITO PARA CONSUMO HUMANO GANDUL 24 BOLSAS X 500 GR COEXITO PARA CONSUMO HUMANO GANDUL 24 BOLSAS X 500 GR COEXITO PARA CONSUMO HUMANO GANDUL 24 BOLSAS X 500 GR COEXITO</t>
  </si>
  <si>
    <t>2027.76</t>
  </si>
  <si>
    <t>PAPA SECA X 15 OZ EN CAJAS DE 24 BOLSAS PARA CONSUMO HUMANO  CODIGO Nº13 RESTITUCION DE DERECHOS ARANCELARIOS</t>
  </si>
  <si>
    <t>1967.3</t>
  </si>
  <si>
    <t>AJI LIMO CAJAS X 24 BOLSAS X 250GR C/BOLSA ENVASE: CAJAS CONSUMO HUMANO</t>
  </si>
  <si>
    <t>CHOCHOS VALLES ANDINOS CHOCHOS VALLES ANDINOS CHOCHOS VALLES ANDINOS CHOCHOS VALLES ANDINOS CHOCHOS VALLES ANDINOS</t>
  </si>
  <si>
    <t>1718.18</t>
  </si>
  <si>
    <t>FRIJOL CHOCHO O TARWI NORTE SEMILLAS DE CHOCHO SECAS COLOR CREMA PRESENTACION: SACOS FORMA Y TAMAÑO CARACTERISTICO USO: CONSUMO HUMANOFREJOL CHOCHO (LUPINUS MUTABILIS)</t>
  </si>
  <si>
    <t>1622.4</t>
  </si>
  <si>
    <t>CHOCHOS MARCA: NATIVO 24 X 500 GR  PARA CONSUMO HUMANO</t>
  </si>
  <si>
    <t>CHOCHOS 24 X 14OZ (397GR) IN EACH BOX MAMA TERE LUPINI BEANS USO: CONSUMO</t>
  </si>
  <si>
    <t>1488.96</t>
  </si>
  <si>
    <t>CHOCHOS BOLSA 500 GR 18 BOLSAS X CAJA CAJA CONSUMO CHOCHOS BOLSA 500 GR 18 BOLSAS X CAJA CAJA CONSUMO CHOCHOS BOLSA 500 GR 18 BOLSAS X CAJA CAJA CONSUMO CHOCHOS BOLSA 500 GR 18 BOLSAS X CAJA CAJA CONSUMO CHOCHOS BOLSA 500 GR 18 BOLSAS X CAJA CAJA CON</t>
  </si>
  <si>
    <t>1240.91</t>
  </si>
  <si>
    <t>FRIJOL GANDUL NORTE FRIJOLES ENTEROS DE COLOR CREMA PRESENTACION: SACOS CON FRIJOLES GANDUL (CAJANUS CAJAN) USO: CONSUMO HUMANO</t>
  </si>
  <si>
    <t>920.08</t>
  </si>
  <si>
    <t>CHOCHO BEANS ( CHOCHO ) 15 OZ X 28 UNITS CHOCHO BEANS ( CHOCHO ) 15 OZ X 28 UNITS CHOCHO BEANS ( CHOCHO ) 15 OZ X 28 UNITS CHOCHO BEANS ( CHOCHO ) 15 OZ X 28 UNITS CHOCHO BEANS ( CHOCHO ) 15 OZ X 28 UNITS</t>
  </si>
  <si>
    <t>889.2</t>
  </si>
  <si>
    <t>LUPINO (TARWI) PRECOCIDO 18 X 1 KG CAJAS CONSUMO HUMANO LUPINO (TARWI) PRECOCIDO 18 X 1 KG CAJAS CONSUMO HUMANO LUPINO (TARWI) PRECOCIDO 18 X 1 KG CAJAS CONSUMO HUMANO LUPINO (TARWI) PRECOCIDO 18 X 1 KG CAJAS CONSUMO HUMANO LUPINO (TARWI) PRECOCIDO 1</t>
  </si>
  <si>
    <t>887.04</t>
  </si>
  <si>
    <t>CHOCHOS BOLSA 500 GR. 18 BOLSAS X CAJA EN CAJAS DE CARTON USO: CONSUMO HUMANO</t>
  </si>
  <si>
    <t>CHOCHOS BOLSA 500 GR. 18 BOLSAS X CAJA ENVASE: CAJAS CONSUMO HUMANO CHOCHOS BOLSA 500 GR. 18 BOLSAS X CAJA ENVASE: CAJAS CONSUMO HUMANO CHOCHOS BOLSA 500 GR. 18 BOLSAS X CAJA ENVASE: CAJAS CONSUMO HUMANO CHOCHOS BOLSA 500 GR. 18 BOLSAS X CAJA ENVASE:</t>
  </si>
  <si>
    <t>CHOCHO 24 BOLSAS X 500 GR DELICIAS LATINAS PARA CONSUMO HUMANO CHOCHO 24 BOLSAS X 500 GR DELICIAS LATINAS PARA CONSUMO HUMANO CHOCHO 24 BOLSAS X 500 GR DELICIAS LATINAS PARA CONSUMO HUMANO CHOCHO 24 BOLSAS X 500 GR DELICIAS LATINAS PARA CONSUMO HUMAN</t>
  </si>
  <si>
    <t>CHOCHOS / ALTRAMUCES PRESENTACION: SACO X 25 KG USO: CONSUMO HUMANO</t>
  </si>
  <si>
    <t>TACNA</t>
  </si>
  <si>
    <t>HABAS TOSTADAS SALADAS CADA CAJA 25 KGPARA CONSUMOEN CAJAS HABAS TOSTADAS SALADAS CADA CAJA 25 KGPARA CONSUMOEN CAJAS HABAS TOSTADAS SALADAS CADA CAJA 25 KGPARA CONSUMOEN CAJAS HABAS TOSTADAS SALADAS CADA CAJA 25 KGPARA CONSUMOEN CAJAS HABAS TOSTADAS</t>
  </si>
  <si>
    <t>42.5</t>
  </si>
  <si>
    <t>HABAS TOSTADASPARA CONSUMOEN CAJA HABAS TOSTADASPARA CONSUMOEN CAJA HABAS TOSTADASPARA CONSUMOEN CAJA HABAS TOSTADASPARA CONSUMOEN CAJA HABAS TOSTADASPARA CONSUMOEN CAJA</t>
  </si>
  <si>
    <t>HABAS TOSTADAS PARA CONSUMO EN CAJA</t>
  </si>
  <si>
    <t>ANCASH</t>
  </si>
  <si>
    <t>CHOCHOS X 50 KG C/S EMBALADO EN SACOS</t>
  </si>
  <si>
    <t>AREQUIPA</t>
  </si>
  <si>
    <t>CHOCHOS SECOSEMBALAJE: 480 SACOSX 50 KG CADA SACOPARA SU COMERCIALIZACION</t>
  </si>
  <si>
    <t>CHOCHOSEMBALAJE . 75 SACOSX 50 KILOS CADA SACOPARA SU COMERCIALIZACION</t>
  </si>
  <si>
    <t>CHOCHOSEMBALAJE : 120 SACOSX 50 KG CADA SACOPARA SU COMERCIALIZACION</t>
  </si>
  <si>
    <t>CHOCHOSEMBALAJE : 190 SACOSX 50 KG CADA SACOPARA SU COMERCIALIZACION</t>
  </si>
  <si>
    <t>CHOCHOSEMBALAJE : 60 SACOSX 50 KG CADA SACOPARA SU COMERCIALIZACION</t>
  </si>
  <si>
    <t>CHOCHOSEMBALAJE : 75 SACOSX 50 KG CADA SACOPARA SU COMERCIALIZACION</t>
  </si>
  <si>
    <t>CHOCHOSEMBALAJE : 80 SACOSX 50 KG CADA SACOPARA SU COMERCIALIZACION</t>
  </si>
  <si>
    <t>CHOCHOSEMBALAJE : 86 SACOSX 50 KILOS CADA SACOPARA SU COMERCIALIZACION</t>
  </si>
  <si>
    <t>TAMARINDOEMBALAJE : 70 SACOSX 50 KG CADA SACOPARA SU COMERCIALIZACION</t>
  </si>
  <si>
    <t>AYACUCHO</t>
  </si>
  <si>
    <t>CHOCHOS SECOSSACOS X 25 KGCONSUMO HUMANOCODIGO Nº13 RESTITUCION DE DERECHOS ARANCELARIOS</t>
  </si>
  <si>
    <t>CHOCHOSCHOCHOS SECOS,  EN SACOS X 45 KGPARA SU COMERCIALIZACIONCODIGO Nº13 RESTITUCION DE DERECHOS A</t>
  </si>
  <si>
    <t>CHOCHO SACOS X 25 KG</t>
  </si>
  <si>
    <t>CHOCHOS - TARWI SACOS X 25</t>
  </si>
  <si>
    <t>CHOCHOS SACOS X 25 KG</t>
  </si>
  <si>
    <t>CHOCHOS,SACOS X 25 KG</t>
  </si>
  <si>
    <t>FRIJOL CHOCHOS SECO SACOS X 25 KG PARA CONSUMO HUMANO</t>
  </si>
  <si>
    <t>HABAS FRESCO</t>
  </si>
  <si>
    <t>MENESTRA - CARAPULCRA</t>
  </si>
  <si>
    <t>PAPA SECA X 15 OZEN CAJAS DE 24 BOLSASPARA CONSUMO HUMANOCODIGO Nº13 RESTITUCION DE DERECHOS ARANCEL</t>
  </si>
  <si>
    <t>CHOCHOS SECOS X 50 KG, C/SACOEMBALADOS EN 100 SACOSPARA SU COMERCIALIZACION</t>
  </si>
  <si>
    <t>CHOCHOS SECOS X 50 KG, C/SACOEMBALADOS EN 120 SACOSPARA SU COMERCIALIZACION</t>
  </si>
  <si>
    <t>CHOCHOS SECOS X 50 KG, C/SACOEMBALADOS EN 192 SACOSPARA SU COMERCIALIZACION</t>
  </si>
  <si>
    <t>CHOCHOS SECOS X 50 KG, C/SACOEMBALADOS EN 200 SACOSPARA SU COMERCIALIZACION</t>
  </si>
  <si>
    <t>CHOCHOS SECOS X 50 KG, C/SACOEMBALADOS EN 220 SACOSPARA SU COMERCIALIZACION</t>
  </si>
  <si>
    <t>CHOCHOS SECOS X 50 KG, C/SACOEMBALADOS EN 230 SACOSPARA SU COMERCIALIZACION</t>
  </si>
  <si>
    <t>CHOCHOS SECOS X 50 KG, C/SACOEMBALADOS EN 235 SACOSPARA SU COMERCIALIZACION</t>
  </si>
  <si>
    <t>CHOCHOS SECOS X 50 KG, C/SACOEMBALADOS EN 249 SACOSPARA SU COMERCIALIZACION</t>
  </si>
  <si>
    <t>CHOCHOS SECOS X 50 KG, C/SACOEMBALADOS EN 305 SACOSPARA SU COMERCIALIZACION</t>
  </si>
  <si>
    <t>CHOCHOS SECOS X 50 KG, C/SACOEMBALADOS EN 310 SACOSPARA SU COMERCIALIZACION</t>
  </si>
  <si>
    <t>CHOCHOS SECOS X 50 KG, C/SACOEMBALADOS EN 320 SACOSPARA SU COMERCIALIZACION</t>
  </si>
  <si>
    <t>CHOCHOS SECOS X 50 KG, C/SACOEMBALADOS EN 325 SACOSPARA SU COMERCIALIZACION</t>
  </si>
  <si>
    <t>CHOCHOS SECOS X 50 KG, C/SACOEMBALADOS EN 340 SACOSPARA SU COMERCIALIZACION</t>
  </si>
  <si>
    <t>CHOCHOS SECOS X 50 KG, C/SACOEMBALADOS EN 430 SACOSPARA SU COMERCIALIZACION</t>
  </si>
  <si>
    <t>CHOCHOS SECOS X 50 KG, C/SACOEMBALADOS EN 50 SACOSPARA SU COMERCIALIZACION</t>
  </si>
  <si>
    <t>CHOCHOS SECOS X 50 KG, C/SACOEMBALADOS EN 620 SACOSPARA SU COMERCIALIZACION</t>
  </si>
  <si>
    <t>CHOCHOS SECOS X 50 KG, C/SACOEMBALADOS EN SACOSPARA SU COMERCIALIZACION</t>
  </si>
  <si>
    <t>CHOCHOS X 50 KG C/UEMBALADOS EN 230 BULTOSPAAR SU COMERCIALIZACION</t>
  </si>
  <si>
    <t>CHOCOS SECOS X 50KG.C/SEMBALADOS EN 233  SACOSPARA SU COMERCIALIZACION</t>
  </si>
  <si>
    <t>BOWL DE PROTEÍNAS GARBANZO, FARRO Y LENTEJAS</t>
  </si>
  <si>
    <t>CHOCHOS POR 45 KGRSEN SACOS X 45 KGCHOCHOS SECOSPARA SU COMERCIALIZACION</t>
  </si>
  <si>
    <t>CHOCHOSEMBALAJE : 100 SACOSX 50 KG CADA SACOPARA SU COMERCIALIZACION</t>
  </si>
  <si>
    <t>CHOCHOSEMBALAJE : 300 SACOSX 50 KG CADA SACOPARA SU COMERCIALIZACION</t>
  </si>
  <si>
    <t>CHOCHOSEN SACOS X 45 KGCHOCHOS SECOSPARA SU COMERCIALIZACION</t>
  </si>
  <si>
    <t>100 SACOS CONTENIENDO CHOCHOS SECOSX50 KG C/SPARA SU COMERCIALIZACION</t>
  </si>
  <si>
    <t>120 SACOS CONTENIENDO CHOCHOS SECOSX50 KG C/SPARA SU COMERCIALIZACION</t>
  </si>
  <si>
    <t>130 SACOS CONTENIENDO CHOCHOS SECOSX50 KG C/SPARA SU COMERCIALIZACION</t>
  </si>
  <si>
    <t>150 SACOS CONTENIENDO CHOCHOS SECOSX50 KG C/SPARA SU COMERCIALIZACION</t>
  </si>
  <si>
    <t>170 SACOS CONTENIENDO CHOCHOS SECOSX50 KG C/SPARA SU COMERCIALIZACION</t>
  </si>
  <si>
    <t>200 SACOS CONTENIENDO CHOCHOS SECOSX50 KG C/SPARA SU COMERCIALIZACION</t>
  </si>
  <si>
    <t>200 SACOS CONTENIENDO CHOCOS SECOSX50 KG C/SPARA SU COMERCIALIZACIÓN</t>
  </si>
  <si>
    <t>300 SACOS CONTENIENDO CHOCHOS SECOSX50 KG C/SPARA SU COMERCIALIZACION</t>
  </si>
  <si>
    <t>330 SACOS CONTENIENDO CHOCHOS SECOSX50 KG C/SPARA SU COMERCIALIZACION</t>
  </si>
  <si>
    <t>335 SACOS CONTENIENDO CHOCHOS SECOSX50 KG C/SPARA SU COMERCIALIZACION</t>
  </si>
  <si>
    <t>359 SACOS CONTENIENDO CHOCHOS SECOSX50 KG C/SPARA SU COMERCIALIZACION</t>
  </si>
  <si>
    <t>390 SACOS CONTENIENDO CHOCHOS SECOSX50 KG C/SPARA SU COMERCIALIZACION</t>
  </si>
  <si>
    <t>417 SACOS CONTENIENDO CHOCHOS SECOSX50 KG C/SPARA SU COMERCIALIZACION</t>
  </si>
  <si>
    <t>450 SACOS CONTENIENDO CHOCHOS SECOSX50 KG C/SPARA SU COMERCIALIZACION</t>
  </si>
  <si>
    <t>500 SACOS CONTENIENDO CHOCHOS SECOSX50 KG C/SPARA SU COMERCIALIZACION</t>
  </si>
  <si>
    <t>52 SACOS CONTENIENDO CHOCHOS SECOSX50 KG C/SPARA SU COMERCIALIZACIÓN</t>
  </si>
  <si>
    <t>550 SACOS CONTENIENDO CHOCHOS SECOSX50 KG C/SPARA SU COMERCIALIZACION</t>
  </si>
  <si>
    <t>570 SACOS CONTENIENDO CHOCHOS SECOSX50 KG C/SPARA SU COMERCIALIZACION</t>
  </si>
  <si>
    <t>600 SACOS CONTENIENDO CHOCHOS SECOSX50 KG C/SPARA SU COMERCIALIZACION</t>
  </si>
  <si>
    <t>700 SACOS CONTENIENDO CHOCHOS SECOSX50 KG C/SPARA SU COMERCIALIZACION</t>
  </si>
  <si>
    <t>705 SACOS CONTENIENDO CHOCHOS SECOSX50 KG C/SPARA SU COMERCIALIZACION</t>
  </si>
  <si>
    <t>800 SACOS CONTENIENDO CHOCHOS SECOSX50 KG C/SPARA SU COMERCIALIZACION</t>
  </si>
  <si>
    <t>CHOCHO  24 X 14OZ (397GR) IN EACH BOX MAMA TERE USO: CONSUMO</t>
  </si>
  <si>
    <t>CHOCHO (  18 BLS X 14 OZ) CHOCHO ( 18 BAGS X 14 OZ)</t>
  </si>
  <si>
    <t>CHOCHO ( 1 SACO X 50 LB) CHOCHO ( 1 SACK X 50 LB)</t>
  </si>
  <si>
    <t>CHOCHO ( 1 SACO X 50 LB) EN SACOS</t>
  </si>
  <si>
    <t>CHOCHO ( 1 SACO X 50 LB) EN SACOS PARA CONSUMO HUMANO</t>
  </si>
  <si>
    <t>CHOCHO ( 1 X 50 LB)</t>
  </si>
  <si>
    <t>CHOCHO ( 1 X 50 LB) EN CAJAS</t>
  </si>
  <si>
    <t>CHOCHO ( 18 BAGS X 14 OZ) EN CAJAS PARA CONSUMO HUMANO</t>
  </si>
  <si>
    <t>CHOCHO ( 18 BLS X 14 OZ) CHOCHO ( 18 BAGS X 14 OZ)</t>
  </si>
  <si>
    <t>CHOCHO ( 18 BLS X 14 OZ) EN CAJAS PARA CONSUMO HUMANO</t>
  </si>
  <si>
    <t>CHOCHO ( 1SACO X 50LB) CHOCHO (1SACK X 50LB)</t>
  </si>
  <si>
    <t>CHOCHO (1 BLS X 10 KG) EN CAJAS PARA CONSUMO HUMANO</t>
  </si>
  <si>
    <t>CHOCHO (1 SACO X 50 LB) EN CAJAS PARA CONSUMO HUMANO</t>
  </si>
  <si>
    <t>CHOCHO (1 SACO X 50 LB) EN SACOS</t>
  </si>
  <si>
    <t>CHOCHO (18 BLS X 14 OZ) CHOCHO (18 BAGS X 14 OZ )</t>
  </si>
  <si>
    <t>CHOCHO (18 BLS X 14 OZ) EN CAJAS</t>
  </si>
  <si>
    <t>CHOCHO (18 BLS X 14 OZ) EN CAJAS PARA CONSUMO HUMANO</t>
  </si>
  <si>
    <t>CHOCHO / LUPINI BEANS 24 X 14OZ (397GR) IN BOX MAMA TERE - LOT CH072224MT</t>
  </si>
  <si>
    <t>CHOCHO / LUPINI BEANS 24 X 14OZ (397GR) IN BOX MAMA TERE LOT CH082624MT</t>
  </si>
  <si>
    <t>CHOCHO / LUPINI BEANS 24 X 14OZ (397GR) IN EACH BOX MAMA TERE LOT CH030824MT</t>
  </si>
  <si>
    <t>CHOCHO / LUPINI BEANS 24 X 14OZ (397GR) IN EACH BOX MAMA TERE LOT CH053024MT</t>
  </si>
  <si>
    <t>CHOCHO / LUPINI BEANS 24 X 15OZ TAMBO FOOD LT CH071224TF</t>
  </si>
  <si>
    <t>CHOCHO 15 OZ. 426 GR X 40 UNITS. EN CAJAS</t>
  </si>
  <si>
    <t>CHOCHO 24 X 14OZ (397GR) IN LUPINI BEANS - MAMA TERE</t>
  </si>
  <si>
    <t>CHOCHO 24 X 14OZ (397GR) LUPINI BEANS</t>
  </si>
  <si>
    <t>CHOCHO 24 X 14OZ (397GR) LUPINI BEANS  IN EACH BOX MAMA TERE</t>
  </si>
  <si>
    <t>CHOCHO 24 X 14OZ (397GR) LUPINI BEANS - MAMA TERE</t>
  </si>
  <si>
    <t>CHOCHO 24 X 14OZ (397GR) LUPINI BEANS INEACH BOX MAMA TERE</t>
  </si>
  <si>
    <t>CHOCHO 24 X 14OZ (397GR) MAMA TERE</t>
  </si>
  <si>
    <t>CHOCHO 24 X 500 GRS NATIVO PARA CONSUMO HUMANO</t>
  </si>
  <si>
    <t>CHOCHO 500 GR X 18 BOLSAS X CAJA CONSUMO HUMANO</t>
  </si>
  <si>
    <t>CHOCHO CHOCHO PRESENTADO EN SACOS USO: COMERCIALIZACION</t>
  </si>
  <si>
    <t>CHOCHO LA FAVORITA 20 X 500 G</t>
  </si>
  <si>
    <t>CHOCHO SECOSCAJAS X 12 KGCONSUMO HUMANOCODIGO Nº13 RESTITUCION DE DERECHOS ARANCELARIOS</t>
  </si>
  <si>
    <t>CHOCHO, MAMA TERE, S/M LUPINI BEANS  / CHOCHO  24 X 14OZ (397GR) IN EACH LUPINI BEANS  / CHOCHO  24</t>
  </si>
  <si>
    <t>CHOCHO, MAMA TERE, S/M LUPINI BEANS / CHOCHO 24 X 14OZ (397GR) IN EACH BO LUPINI BEANS / CHOCHO 24 X</t>
  </si>
  <si>
    <t>CHOCHOS / LUPINI BEANS 24/14OZ (397GR) MARCA: MAMA TERE LOT CH020924MT</t>
  </si>
  <si>
    <t>CHOCHOS 24 X 14OZ (397GR) LUPINI BEANS / IN EACH BOX MAMA TERE</t>
  </si>
  <si>
    <t>CHOCHOS 24 X 14OZ LUPINI BEANS USO: CONSUMO</t>
  </si>
  <si>
    <t>CHOCHOS 24 X 500 GRS - NATIVO MARCA: NATIVO PARA CONSUMO HUMANO</t>
  </si>
  <si>
    <t>CHOCHOS 24 X 500 GRS EL SABOR DE CASA PARA CONSUMO HUMANO</t>
  </si>
  <si>
    <t>CHOCHOS 24 X 500 GRS NATIVO PARA CONSUMO HUMANO</t>
  </si>
  <si>
    <t>CHOCHOS BOLSA 500 GR. 18 BOLSAS X CAJA</t>
  </si>
  <si>
    <t>CHOCHOS BOLSA 500 GR. 18 BOLSAS X CAJA CAJA CONSUMO HUMANO</t>
  </si>
  <si>
    <t>CHOCHOS BOLSA 500 GR. 18 BOLSAS X CAJA ENVASE. CAJA CONSUMO HUMANO</t>
  </si>
  <si>
    <t>CHOCHOS BOLSA 500 GR. 4 BOLSAS X CAJA</t>
  </si>
  <si>
    <t>CHOCHOS BOLSA 500 GR. 5 BOLSAS X CAJA ENVASE. CAJA CONSUMO HUMANO</t>
  </si>
  <si>
    <t>CHOCHOS MAMA TERE 24/14OZ</t>
  </si>
  <si>
    <t>CHOCHOS MAMA TERE 24/14OZ (397GR) LOT CH082823MT</t>
  </si>
  <si>
    <t>CHOCHOS MARCA: NATIVO 24 X 500 GR PARA CONSUMO HUMANO</t>
  </si>
  <si>
    <t>CHOCHOS PRESENTACION: SACOS USO: CONSUMO HUMANO</t>
  </si>
  <si>
    <t>CHOCHOS SACOS X 25 KG DRAWBACK</t>
  </si>
  <si>
    <t>CHOCHOS SECOS</t>
  </si>
  <si>
    <t>CHOCHOS SECOS ( 24 X 14 OZ)</t>
  </si>
  <si>
    <t>CHOCHOS SECOS ( 24 X 500 GR)CAJAS X 12 KGSCONSUMO HUMANOCODIGO Nº13 RESTITUCION DE DERECHOS ARANCELA</t>
  </si>
  <si>
    <t>CHOCHOS SECOS (24 X 500 GR)CONSUMO HUMANOCODIGO Nº13 RESTITUCION DE DERECHOS ARANCELARIOS</t>
  </si>
  <si>
    <t>CHOCHOS SECOS (24X500 GR)</t>
  </si>
  <si>
    <t>CHOCHOS SECOS GRANDES</t>
  </si>
  <si>
    <t>CHOCHOS SECOS X 50 KG C/SUSO: COMERCIALIZACION</t>
  </si>
  <si>
    <t>CHOCHOS SECOS(24 X 14 OZ)CONSUMO HUMANOCODIGO Nº13 RESTITUCION DE DERECHOS ARANCELARIOS</t>
  </si>
  <si>
    <t>CHOCHOS SECOSCAJAS (24 X 14 OZ)CODIGO Nº13 RESTITUCION DE DERECHOS ARANCELARIOS</t>
  </si>
  <si>
    <t>CHOCHOS SECOSCAJAS X 12 KGCODIGO Nº13 RESTITUCION DE DERECHOS ARANCELARIOS</t>
  </si>
  <si>
    <t>CHOCHOS SECOSCAJAS X 25 KGCONSUMO HUMANOCODIGO Nº13 RESTITUCION DE DERECHOS ARANCELARIOS</t>
  </si>
  <si>
    <t>CHOCHOS SECOSCAJAS X 9.528 KG(24 BOLSAS X 14 OZ)CONSUMO HUMANOCODIGO Nº13 RESTITUCION DE DERECHOS AR</t>
  </si>
  <si>
    <t>CHOCHOS SECOSSACOS X 25 KGCODIGO Nº13 RESTITUCION DE DERECHOS ARANCELARIOS</t>
  </si>
  <si>
    <t>CHOCHOS SOL ANDINO 1x 25 kg</t>
  </si>
  <si>
    <t>CHOCHOS VALLES ANDINOS</t>
  </si>
  <si>
    <t>CHOCHOS VALLES ANDINOS EN CAJAS</t>
  </si>
  <si>
    <t>CHOCHOS VALLES ANDINOS EN CAJAS PARA CONSUMO HUMANO</t>
  </si>
  <si>
    <t>CHOCHOS X 25 KGCODIGO: CHCODIGO Nº13 RESTITUCION DE DERECHOS ARANCELARIOS</t>
  </si>
  <si>
    <t>CHOCHOSEN SACOS X 50 KGCHOCHOS SECOSPARA SU COMERCIALIZACION</t>
  </si>
  <si>
    <t>FREJOL CANARIO X 25 KG USO: CONSUMO HUMANO EN SACOS</t>
  </si>
  <si>
    <t>FREJOL CHOCHO (TARWI) EN SACOS DRAWBACK</t>
  </si>
  <si>
    <t>FREJOL CHOCHO EN 80 SACOS X 25 KG C/U PARA CONSUMO HUMANO</t>
  </si>
  <si>
    <t>FREJOL CHOCHO PRESENTACION: SACOS USO: CONSUMO HUMANO</t>
  </si>
  <si>
    <t>FREJOL CHOCHO X 25 KG EN SACOS USO: PARA CONSUMO HUMANO</t>
  </si>
  <si>
    <t>FREJOL GANDUL PRESENTACION : SACOS USO: CONSUMO HUMANO</t>
  </si>
  <si>
    <t>FREJOL GANDUL X 25 KG USO: CONSUMO HUMANO EN SACOS</t>
  </si>
  <si>
    <t>FREJOL MUNGO EN 320 SACOS X 25 KGS ETIQUETADAS Y PALETIZADAS LOT: PMBP-0001-21</t>
  </si>
  <si>
    <t>FREJOL TARWI EN GRANO SECOEN SACOS X 25 KG C/UCODIGO Nº13 RESTITUCION DE DERECHOS ARANCELARIOS</t>
  </si>
  <si>
    <t>FRIJOL BLANCO</t>
  </si>
  <si>
    <t>FRIJOL CHOCHO</t>
  </si>
  <si>
    <t>FRIJOLES LUPINI EN BOLSAS DE 50 LB. LOTE CODE: PE240408912 CONSUMO HUMANO</t>
  </si>
  <si>
    <t>GANDUL 24 BOLSAS X 500 GR COEXITO PARA CONSUMO HUMANO</t>
  </si>
  <si>
    <t>GANDUL SECO PRESENTACION : SACOS USO: CONSUMO HUMANO</t>
  </si>
  <si>
    <t>GANDUL SECO X 25 KGCODIGO: GACODIGO Nº13 RESTITUCION DE DERECHOS ARANCELARIOS</t>
  </si>
  <si>
    <t>GRANOS DE TARWI SHELLED TARWI SEEDS LOT:209401</t>
  </si>
  <si>
    <t>HABAS DE ALTRAMUZ ORGANICA REGENERATIVA REGENERATIVE ORGANIC LUPINI BEANS, 50LB LOT CODE: PER2214109</t>
  </si>
  <si>
    <t>HABAS DE ALTRAMUZ ORGANICAS BOLSAS DE 50 LB LOT CODE: PE240408913 CONSUMO HUMANO</t>
  </si>
  <si>
    <t>HABAS DE ALTRAMUZ ORGANICAS BOLSAS DE 50 LB LOT CODE: PE330409612 CONSUMO HUMANO</t>
  </si>
  <si>
    <t>HABAS FRITAS</t>
  </si>
  <si>
    <t>HABAS FRITAS (768 UNID 50 GR C/U)</t>
  </si>
  <si>
    <t>HABAS FRITAS FRESCO</t>
  </si>
  <si>
    <t>HABAS SALADAS 200 G. EN BOLSAS / CAJA X 20</t>
  </si>
  <si>
    <t>HABAS SECA X 500 GR X 12.50 KG</t>
  </si>
  <si>
    <t>HABAS SECA X 500GR X 14GR</t>
  </si>
  <si>
    <t>MENESTRAS EN PAQUETE</t>
  </si>
  <si>
    <t>NOVAL PALLAR 500 GCODIGO Nº13 RESTITUCION DE DERECHOS ARANCELARIOS</t>
  </si>
  <si>
    <t>NOVAL PALLARES 500 GCODIGO Nº13 RESTITUCION DE DERECHOS ARANCELARIOS</t>
  </si>
  <si>
    <t>PALLARES 500 GCODIGO Nº13 RESTITUCION DE DERECHOS ARANCELARIOS</t>
  </si>
  <si>
    <t>TARHUI EN SACOS X 25 KG DRAWBACK</t>
  </si>
  <si>
    <t>TARWI EN SACOS DE 25 KG</t>
  </si>
  <si>
    <t>TARWI EN SACOS PARA CONSUMO HUMANO</t>
  </si>
  <si>
    <t>TARWI PRESENTACION: CAJA X 14 KILOS USO: CONSUMO HUMANO</t>
  </si>
  <si>
    <t>TARWI PRESENTACION: CAJA X 22 X 500 GR USO: CONSUMO HUMANO</t>
  </si>
  <si>
    <t>TARWI PRESENTACION: CAJA X 24 BOLSAS / 500 GR USO: CONSUMO HUMANO</t>
  </si>
  <si>
    <t>TARWI PRESENTACION: SACO  X  20  KILOS USO: CONSUMO HUMANO</t>
  </si>
  <si>
    <t>TARWI/CHOCHO MARCA:S/M MODELO:S/M RESTITUCION DERECHOS ARANC. (COD 13)</t>
  </si>
  <si>
    <t>LIMA REGIÓN</t>
  </si>
  <si>
    <t>CHOCHO SIN MARCA</t>
  </si>
  <si>
    <t>CHOCHO O TARWI CLASIFICADOPESO NETO 11050 KG - PESO BRUTO: 11100 KGSACOS: 221 X 50 KG C/UUSO/APLICAC</t>
  </si>
  <si>
    <t>CHOCHOS SECOS X 50 KG, C/SACOEMBALADOS EN 150 SACOSPARA SU COMERCIALIZACION</t>
  </si>
  <si>
    <t>CHOCHOS SECOS X 50 KG, C/SACOEMBALADOS EN 180 SACOSPARA SU COMERCIALIZACION</t>
  </si>
  <si>
    <t>CHOCHOS SECOS X 50 KG, C/SACOEMBALADOS EN 270 SACOSPARA SU COMERCIALIZACION</t>
  </si>
  <si>
    <t>CHOCHOS SECOS X 50 KG, C/SACOEMBALADOS EN 360 SACOSPARA SU COMERCIALIZACION</t>
  </si>
  <si>
    <t>CHOCHOS SECOS X 50 KG, C/SACOEMBALADOS EN 60 SACOSPARA SU COMERCIALIZACION</t>
  </si>
  <si>
    <t>CHOCHOSEMBALAJE :  179 SACOSX 50 KILOS CADA SACOPARA SU COMERCIALIZACION</t>
  </si>
  <si>
    <t>CHOCHOSEMBALAJE :  200 SACOSX 50 KILOS CADA SACOPARA SU COMERCIALIZACION</t>
  </si>
  <si>
    <t>CHOCHOSEMBALAJE :  260 SACOSX 50 KILOS CADA SACOPARA SU COMERCIALIZACION</t>
  </si>
  <si>
    <t>CHOCHOSEMBALAJE :  65 SACOSX 50 KILOS CADA SACOPARA SU COMERCIALIZACION</t>
  </si>
  <si>
    <t>CHOCHOSEMBALAJE: 65 SACOSX 50 KG CADA SACOPARA SU COMERCIALIZACION</t>
  </si>
  <si>
    <t>CHOCHOSEN SACOS X 50 KGCHOCHOSPARA SU COMERCIALIZACION</t>
  </si>
  <si>
    <t>CHOCOS SECOS X 50KG.C/SEMBALADOS EN 115 SACOSPARA SU COMERCIALIZACION</t>
  </si>
  <si>
    <t>CHOCOS SECOS X 50KG.C/SEMBALADOS EN 260 SACOSPARA SU COMERCIALIZACION</t>
  </si>
  <si>
    <t>CHOCOS SECOS X 50KG.C/SEMBALADOS EN 370  SACOSPARA SU COMERCIALIZACION</t>
  </si>
  <si>
    <t>HABAS SECASEMBALAJE :  100 SACOSX 50 KILOS CADA SACOPARA SU COMERCIALIZACION</t>
  </si>
  <si>
    <t>HABAS SECASEMBALAJE :  140 SACOSX 50 KILOS CADA SACOPARA SU COMERCIALIZACION</t>
  </si>
  <si>
    <t>HABASEN SACOS X 50 KGHABAS SECASPARA SU COMERCIALIZACION</t>
  </si>
  <si>
    <t>PUNO</t>
  </si>
  <si>
    <t>CHOCHO SECOSSACOS DE 25 KGCONSUMO HUMANOCODIGO Nº13 RESTITUCION DE DERECHOS ARANCELARIOS</t>
  </si>
  <si>
    <t>CHOCHO SECOSSACOS X 25 KGCONSUMO HUMANOCODIGO Nº13 RESTITUCION DE DERECHOS ARANCELARIOS</t>
  </si>
  <si>
    <t>CHOCHOS SECOS ( 24 X 14 OZ)CAJAS X 9.528 KGCONSUMO  HUMANOCODIGO Nº13 RESTITUCION DE DERECHOS ARANCE</t>
  </si>
  <si>
    <t>CHOCHOS SECOS ( 24 X 14 OZ)CAJAS X 9.528 KGCONSUMO HUMANOCODIGO Nº13 RESTITUCION DE DERECHOS ARANCEL</t>
  </si>
  <si>
    <t>CHOCHOS SECOS (24 X 14 OZ)CAJAS  X 9.528 KGCODIGO Nº13 RESTITUCION DE DERECHOS ARANCELARIOS</t>
  </si>
  <si>
    <t>CHOCHOS SECOS (24 X 14 OZ)CAJAS X 9.528 KGCONSUMO HUMANOCODIGO Nº13 RESTITUCION DE DERECHOS ARANCELA</t>
  </si>
  <si>
    <t>CHOCHOS SECOS (24X14 OZ)CAJAS X 9.528 KGCONSUMO HUMANOCODIGO Nº13 RESTITUCION DE DERECHOS ARANCELARI</t>
  </si>
  <si>
    <t>CHOCHOS SECOS (24X500 GR)CAJAS X 12 KG C/UCONSUMO HUMANOCODIGO Nº13 RESTITUCION DE DERECHOS ARANCELA</t>
  </si>
  <si>
    <t>CHOCHOS SECOSACOS X 25 KGCODIGO Nº13 RESTITUCION DE DERECHOS ARANCELARIOS</t>
  </si>
  <si>
    <t>CHOCHOS SECOSSACOS X 25 KG  C/UCONSUMO HUMANOCODIGO Nº13 RESTITUCION DE DERECHOS ARANCELARIOS</t>
  </si>
  <si>
    <t>CHOCHOS SECOSSACOS X 25 KG C/UCONSUMO HUMANOCODIGO Nº13 RESTITUCION DE DERECHOS ARANCELARIOS</t>
  </si>
  <si>
    <t>MAIZ CANCHA ( 1 X 50 LBS)SACOS X 22.727 KGCODIGO Nº13 RESTITUCION DE DERECHOS ARANCELARIOS</t>
  </si>
  <si>
    <t>POROTO NEGRO TAUSY EN CONSERVA X 250 GR</t>
  </si>
  <si>
    <t>TUMBES</t>
  </si>
  <si>
    <t>CHOCHOS SECOS X 50KG C/S.</t>
  </si>
  <si>
    <t>CHOCHOSEMBALAJE : 50 SACOSX 50 KG CADA SACOPARA SU COMERCIALIZACION</t>
  </si>
  <si>
    <t>TOTAL</t>
  </si>
  <si>
    <t>Etiquetas de fila</t>
  </si>
  <si>
    <t>Total general</t>
  </si>
  <si>
    <t>Suma de FOB_2021</t>
  </si>
  <si>
    <t>Suma de FOB_2022</t>
  </si>
  <si>
    <t>Suma de FOB_2023</t>
  </si>
  <si>
    <t>Suma de FOB_2024</t>
  </si>
  <si>
    <t>Suma de FOB_2020</t>
  </si>
  <si>
    <t>(Varios elementos)</t>
  </si>
  <si>
    <t>Part % 24</t>
  </si>
  <si>
    <t>Var % 24/23</t>
  </si>
  <si>
    <t>TCP % 24/20</t>
  </si>
  <si>
    <t>-</t>
  </si>
  <si>
    <t>FOB</t>
  </si>
  <si>
    <t>P.NETO</t>
  </si>
  <si>
    <t>P. NETO 2020</t>
  </si>
  <si>
    <t>P. NETO 2021</t>
  </si>
  <si>
    <t>P. NETO 2022</t>
  </si>
  <si>
    <t>P. NETO 2023</t>
  </si>
  <si>
    <t>P. NETO 2024</t>
  </si>
  <si>
    <t>P. NETO</t>
  </si>
  <si>
    <t>AÑO</t>
  </si>
  <si>
    <t>Evolución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</si>
</sst>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center"/>
    </xf>
    <xf numFmtId="9" fontId="0" fillId="0" borderId="0" xfId="42" applyFont="1" applyAlignment="1">
      <alignment horizontal="center" vertical="center"/>
    </xf>
    <xf numFmtId="0" fontId="16" fillId="0" borderId="10" xfId="0" applyFont="1" applyBorder="1" applyAlignment="1">
      <alignment horizontal="center" vertical="center" wrapText="1"/>
    </xf>
    <xf numFmtId="0" fontId="0" fillId="0" borderId="10" xfId="0" applyBorder="1" applyAlignment="1">
      <alignment horizontal="left" vertical="center"/>
    </xf>
    <xf numFmtId="0" fontId="0" fillId="0" borderId="10" xfId="0" applyBorder="1" applyAlignment="1">
      <alignment horizontal="center" vertical="center"/>
    </xf>
    <xf numFmtId="9" fontId="0" fillId="0" borderId="10" xfId="42" applyFont="1" applyBorder="1" applyAlignment="1">
      <alignment horizontal="center" vertical="center"/>
    </xf>
    <xf numFmtId="0" fontId="0" fillId="0" borderId="10" xfId="0" applyBorder="1"/>
    <xf numFmtId="1" fontId="0" fillId="0" borderId="10" xfId="0" applyNumberFormat="1" applyBorder="1" applyAlignment="1">
      <alignment horizontal="center" vertical="center"/>
    </xf>
    <xf numFmtId="3" fontId="0" fillId="0" borderId="10" xfId="0" applyNumberFormat="1" applyBorder="1" applyAlignment="1">
      <alignment horizontal="center" vertical="center"/>
    </xf>
    <xf numFmtId="0" fontId="0" fillId="0" borderId="0" xfId="0" applyAlignment="1">
      <alignment horizontal="right"/>
    </xf>
    <xf numFmtId="9" fontId="0" fillId="0" borderId="10" xfId="42" applyFont="1" applyBorder="1" applyAlignment="1">
      <alignment horizontal="right" vertical="center"/>
    </xf>
    <xf numFmtId="9" fontId="0" fillId="0" borderId="0" xfId="42" applyFont="1" applyAlignment="1">
      <alignment horizontal="right" vertical="center"/>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13" fillId="33" borderId="10" xfId="0" applyFont="1" applyFill="1" applyBorder="1" applyAlignment="1">
      <alignment horizontal="center" vertical="center"/>
    </xf>
    <xf numFmtId="0" fontId="13" fillId="33" borderId="10" xfId="0" applyFont="1" applyFill="1" applyBorder="1" applyAlignment="1">
      <alignment horizontal="center" vertical="center"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Porcentaje" xfId="42"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4">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Hoja2!$B$2</c:f>
              <c:strCache>
                <c:ptCount val="1"/>
                <c:pt idx="0">
                  <c:v>FOB</c:v>
                </c:pt>
              </c:strCache>
            </c:strRef>
          </c:tx>
          <c:spPr>
            <a:ln w="28575" cap="rnd">
              <a:solidFill>
                <a:schemeClr val="accent1"/>
              </a:solidFill>
              <a:round/>
            </a:ln>
            <a:effectLst/>
          </c:spPr>
          <c:marker>
            <c:symbol val="none"/>
          </c:marker>
          <c:dLbls>
            <c:dLbl>
              <c:idx val="0"/>
              <c:layout>
                <c:manualLayout>
                  <c:x val="-6.6666666666666666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D3B-4787-B0D9-5C9C45A24AE9}"/>
                </c:ext>
              </c:extLst>
            </c:dLbl>
            <c:dLbl>
              <c:idx val="2"/>
              <c:layout>
                <c:manualLayout>
                  <c:x val="-0.05"/>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D3B-4787-B0D9-5C9C45A24AE9}"/>
                </c:ext>
              </c:extLst>
            </c:dLbl>
            <c:dLbl>
              <c:idx val="3"/>
              <c:layout>
                <c:manualLayout>
                  <c:x val="-2.777777777777788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D3B-4787-B0D9-5C9C45A24AE9}"/>
                </c:ext>
              </c:extLst>
            </c:dLbl>
            <c:dLbl>
              <c:idx val="4"/>
              <c:layout>
                <c:manualLayout>
                  <c:x val="-2.777777777777777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D3B-4787-B0D9-5C9C45A24AE9}"/>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Hoja2!$C$3:$G$3</c:f>
              <c:numCache>
                <c:formatCode>General</c:formatCode>
                <c:ptCount val="2"/>
                <c:pt idx="0">
                  <c:v>2023</c:v>
                </c:pt>
                <c:pt idx="1">
                  <c:v>2024</c:v>
                </c:pt>
              </c:numCache>
            </c:numRef>
          </c:cat>
          <c:val>
            <c:numRef>
              <c:f>Hoja2!$C$16:$G$16</c:f>
              <c:numCache>
                <c:formatCode>#,##0</c:formatCode>
                <c:ptCount val="2"/>
                <c:pt idx="0">
                  <c:v>973617</c:v>
                </c:pt>
                <c:pt idx="1">
                  <c:v>978222</c:v>
                </c:pt>
              </c:numCache>
            </c:numRef>
          </c:val>
          <c:smooth val="0"/>
          <c:extLst>
            <c:ext xmlns:c16="http://schemas.microsoft.com/office/drawing/2014/chart" uri="{C3380CC4-5D6E-409C-BE32-E72D297353CC}">
              <c16:uniqueId val="{00000000-AD3B-4787-B0D9-5C9C45A24AE9}"/>
            </c:ext>
          </c:extLst>
        </c:ser>
        <c:ser>
          <c:idx val="1"/>
          <c:order val="1"/>
          <c:tx>
            <c:strRef>
              <c:f>Hoja2!$B$33</c:f>
              <c:strCache>
                <c:ptCount val="1"/>
                <c:pt idx="0">
                  <c:v>P. NETO</c:v>
                </c:pt>
              </c:strCache>
            </c:strRef>
          </c:tx>
          <c:spPr>
            <a:ln w="28575" cap="rnd">
              <a:solidFill>
                <a:schemeClr val="accent2"/>
              </a:solidFill>
              <a:round/>
            </a:ln>
            <a:effectLst/>
          </c:spPr>
          <c:marker>
            <c:symbol val="none"/>
          </c:marker>
          <c:dLbls>
            <c:dLbl>
              <c:idx val="0"/>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3B-4787-B0D9-5C9C45A24AE9}"/>
                </c:ext>
              </c:extLst>
            </c:dLbl>
            <c:dLbl>
              <c:idx val="2"/>
              <c:layout>
                <c:manualLayout>
                  <c:x val="0"/>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D3B-4787-B0D9-5C9C45A24AE9}"/>
                </c:ext>
              </c:extLst>
            </c:dLbl>
            <c:dLbl>
              <c:idx val="3"/>
              <c:layout>
                <c:manualLayout>
                  <c:x val="0"/>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D3B-4787-B0D9-5C9C45A24AE9}"/>
                </c:ext>
              </c:extLst>
            </c:dLbl>
            <c:dLbl>
              <c:idx val="4"/>
              <c:layout>
                <c:manualLayout>
                  <c:x val="-3.0555555555555555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3B-4787-B0D9-5C9C45A24A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Hoja2!$C$3:$G$3</c:f>
              <c:numCache>
                <c:formatCode>General</c:formatCode>
                <c:ptCount val="2"/>
                <c:pt idx="0">
                  <c:v>2023</c:v>
                </c:pt>
                <c:pt idx="1">
                  <c:v>2024</c:v>
                </c:pt>
              </c:numCache>
            </c:numRef>
          </c:cat>
          <c:val>
            <c:numRef>
              <c:f>Hoja2!$C$33:$G$33</c:f>
              <c:numCache>
                <c:formatCode>General</c:formatCode>
                <c:ptCount val="2"/>
                <c:pt idx="0">
                  <c:v>751495.70000000007</c:v>
                </c:pt>
                <c:pt idx="1">
                  <c:v>541779</c:v>
                </c:pt>
              </c:numCache>
            </c:numRef>
          </c:val>
          <c:smooth val="0"/>
          <c:extLst>
            <c:ext xmlns:c16="http://schemas.microsoft.com/office/drawing/2014/chart" uri="{C3380CC4-5D6E-409C-BE32-E72D297353CC}">
              <c16:uniqueId val="{00000001-AD3B-4787-B0D9-5C9C45A24AE9}"/>
            </c:ext>
          </c:extLst>
        </c:ser>
        <c:dLbls>
          <c:showLegendKey val="0"/>
          <c:showVal val="0"/>
          <c:showCatName val="0"/>
          <c:showSerName val="0"/>
          <c:showPercent val="0"/>
          <c:showBubbleSize val="0"/>
        </c:dLbls>
        <c:smooth val="0"/>
        <c:axId val="924865984"/>
        <c:axId val="979280576"/>
      </c:lineChart>
      <c:catAx>
        <c:axId val="9248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79280576"/>
        <c:crosses val="autoZero"/>
        <c:auto val="1"/>
        <c:lblAlgn val="ctr"/>
        <c:lblOffset val="100"/>
        <c:noMultiLvlLbl val="0"/>
      </c:catAx>
      <c:valAx>
        <c:axId val="979280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crossAx val="92486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701040</xdr:colOff>
      <xdr:row>2</xdr:row>
      <xdr:rowOff>118110</xdr:rowOff>
    </xdr:from>
    <xdr:to>
      <xdr:col>25</xdr:col>
      <xdr:colOff>518160</xdr:colOff>
      <xdr:row>17</xdr:row>
      <xdr:rowOff>118110</xdr:rowOff>
    </xdr:to>
    <xdr:graphicFrame macro="">
      <xdr:nvGraphicFramePr>
        <xdr:cNvPr id="2" name="Gráfico 1">
          <a:extLst>
            <a:ext uri="{FF2B5EF4-FFF2-40B4-BE49-F238E27FC236}">
              <a16:creationId xmlns:a16="http://schemas.microsoft.com/office/drawing/2014/main" id="{F65B4419-90F8-4B15-8B10-2D40A0352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869.605581365744" createdVersion="7" refreshedVersion="7" minRefreshableVersion="3" recordCount="277" xr:uid="{AD244941-CC7D-4FA3-9D5C-BA004B837571}">
  <cacheSource type="worksheet">
    <worksheetSource name="Tabla1"/>
  </cacheSource>
  <cacheFields count="7">
    <cacheField name="DEPARTAMENTO" numFmtId="0">
      <sharedItems count="14">
        <s v="LA LIBERTAD"/>
        <s v="JUNÍN"/>
        <s v="PIURA"/>
        <s v="HUANCAVELICA"/>
        <s v="LIMA METROPOLITANA"/>
        <s v="CALLAO"/>
        <s v="TACNA"/>
        <s v="ANCASH"/>
        <s v="AREQUIPA"/>
        <s v="AYACUCHO"/>
        <s v="LIMA REGIÓN"/>
        <s v="PUNO"/>
        <s v="TUMBES"/>
        <s v="TOTAL"/>
      </sharedItems>
    </cacheField>
    <cacheField name="FOB_2020" numFmtId="0">
      <sharedItems containsBlank="1" containsMixedTypes="1" containsNumber="1" minValue="15" maxValue="1097987.78"/>
    </cacheField>
    <cacheField name="FOB_2021" numFmtId="0">
      <sharedItems containsString="0" containsBlank="1" containsNumber="1" containsInteger="1" minValue="9" maxValue="878304"/>
    </cacheField>
    <cacheField name="FOB_2022" numFmtId="0">
      <sharedItems containsString="0" containsBlank="1" containsNumber="1" containsInteger="1" minValue="0" maxValue="1130420"/>
    </cacheField>
    <cacheField name="FOB_2023" numFmtId="0">
      <sharedItems containsString="0" containsBlank="1" containsNumber="1" containsInteger="1" minValue="3" maxValue="990845"/>
    </cacheField>
    <cacheField name="FOB_2024" numFmtId="0">
      <sharedItems containsString="0" containsBlank="1" containsNumber="1" containsInteger="1" minValue="2" maxValue="1047343"/>
    </cacheField>
    <cacheField name="DESCRIPCION_COMERCIAL" numFmtId="0">
      <sharedItems containsBlank="1" count="270">
        <s v="CHOCHOSEN SACOS X 45 KGCHOCHOS SECOSPARA SU COMERCIALIZACION CHOCHOSEN SACOS X 45 KGCHOCHOS SECOSPARA SU COMERCIALIZACION CHOCHOSEN SACOS X 45 KGCHOCHOS SECOSPARA SU COMERCIALIZACION CHOCHOSEN SACOS X 45 KGCHOCHOS SECOSPARA SU COMERCIALIZACION CHOCHO"/>
        <s v="CHOCHOS SECOS X 50 KG, C/SACOEMBALADOS EN SACOSPARA SU COMERCIALIZACION CHOCHOS SECOS X 50 KG, C/SACOEMBALADOS EN SACOSPARA SU COMERCIALIZACION CHOCHOS SECOS X 50 KG, C/SACOEMBALADOS EN SACOSPARA SU COMERCIALIZACION CHOCHOS SECOS X 50 KG, C/SACOEMBAL"/>
        <s v="CHOCHOS SECOS X 50 KG. C/S.  EMBALADOS EN SACOS DE 50 KG. C/S. PARA SU COMERCIALIZACION"/>
        <s v="CHOCHOSEN SACOS X 50 KGCHOCHOS SECOSPARA SU COMERCIALIZACION CHOCHOSEN SACOS X 50 KGCHOCHOS SECOSPARA SU COMERCIALIZACION CHOCHOSEN SACOS X 50 KGCHOCHOS SECOSPARA SU COMERCIALIZACION CHOCHOSEN SACOS X 50 KGCHOCHOS SECOSPARA SU COMERCIALIZACION CHOCHO"/>
        <s v="CHOCHOS SECOS X 50 KG. C/S.EMBALADOS EN SACOS DE 50 KG. C/S.PARA SU COMERCIALIZACION CHOCHOS SECOS X 50 KG. C/S.EMBALADOS EN SACOS DE 50 KG. C/S.PARA SU COMERCIALIZACION CHOCHOS SECOS X 50 KG. C/S.EMBALADOS EN SACOS DE 50 KG. C/S.PARA SU COMERCIALIZA"/>
        <s v="CHOCHOS SECOS X 50 KG, C/SACO  EMBALADOS EN SACOS PARA SU COMERCIALIZACION"/>
        <s v="MANI SIN CASCARA X 50 KG. C/S.EMBALADOS EN SACOS DE 50 KG. C/S.PARA SU COMERCIALIZACION MANI SIN CASCARA X 50 KG. C/S.EMBALADOS EN SACOS DE 50 KG. C/S.PARA SU COMERCIALIZACION MANI SIN CASCARA X 50 KG. C/S.EMBALADOS EN SACOS DE 50 KG. C/S.PARA SU COM"/>
        <s v="MANI SIN CASCARA X 50 KG. C/S.EMBALADOS EN 730 SACOS DE 50 KG. C/S.PARA SU COMERCIALIZACION MANI SIN CASCARA X 50 KG. C/S.EMBALADOS EN 730 SACOS DE 50 KG. C/S.PARA SU COMERCIALIZACION MANI SIN CASCARA X 50 KG. C/S.EMBALADOS EN 730 SACOS DE 50 KG. C/S"/>
        <s v="CHOCHOS EN SACOS X 50 KG CHOCHOS SECOS PARA SU COMERCIALIZACION"/>
        <s v="CHOCHOS SECOS X 50 KG. C/S.EMBALADOS EN 500 SACOS DE 50 KG. C/S.PARA SU COMERCIALIZACION CHOCHOS SECOS X 50 KG. C/S.EMBALADOS EN 500 SACOS DE 50 KG. C/S.PARA SU COMERCIALIZACION CHOCHOS SECOS X 50 KG. C/S.EMBALADOS EN 500 SACOS DE 50 KG. C/S.PARA SU"/>
        <s v="CHOCHOS SECOS X 50 KG. C/S.PARA CONSUMOEMBALADOS EN BULTOS DE 50 KG. C/S.PARA SU COMERCIALIZACION CHOCHOS SECOS X 50 KG. C/S.PARA CONSUMOEMBALADOS EN BULTOS DE 50 KG. C/S.PARA SU COMERCIALIZACION CHOCHOS SECOS X 50 KG. C/S.PARA CONSUMOEMBALADOS EN BU"/>
        <s v="CHOCHOS SECOSSACOS X 50 KGCOMERCIALIZACION CHOCHOS SECOSSACOS X 50 KGCOMERCIALIZACION CHOCHOS SECOSSACOS X 50 KGCOMERCIALIZACION CHOCHOS SECOSSACOS X 50 KGCOMERCIALIZACION CHOCHOS SECOSSACOS X 50 KGCOMERCIALIZACION"/>
        <s v="CHOCHOS SECOS X 50 KG. C/S.EMBALADOS EN 392 S DE 50 KG. C/S.PARA SU COMERCIALIZACION CHOCHOS SECOS X 50 KG. C/S.EMBALADOS EN 392 S DE 50 KG. C/S.PARA SU COMERCIALIZACION CHOCHOS SECOS X 50 KG. C/S.EMBALADOS EN 392 S DE 50 KG. C/S.PARA SU COMERCIALIZA"/>
        <s v="CHOCHOS SECOS X 45 KG. C/S.  EMBALADOS EN SACOS DE 45 KG. C/S. PARA SU COMERCIALIZACION"/>
        <s v="CHOCHOS SECOS X 50 KG. C/S.EMBALADOS EN 300 SACOS DE 50 KG. C/S.PARA SU COMERCIALIZACION CHOCHOS SECOS X 50 KG. C/S.EMBALADOS EN 300 SACOS DE 50 KG. C/S.PARA SU COMERCIALIZACION CHOCHOS SECOS X 50 KG. C/S.EMBALADOS EN 300 SACOS DE 50 KG. C/S.PARA SU"/>
        <s v="CHOCHOS SECOS X 50 KG. C/S.EMBALADOS EN 280 SACOS DE 50 KG. C/S.PARA SU COMERCIALIZACION CHOCHOS SECOS X 50 KG. C/S.EMBALADOS EN 280 SACOS DE 50 KG. C/S.PARA SU COMERCIALIZACION CHOCHOS SECOS X 50 KG. C/S.EMBALADOS EN 280 SACOS DE 50 KG. C/S.PARA SU"/>
        <s v="CHOCHOS 25 KG / EN SACOS   SE ACOGE A DRAWBACK D.S. 104-95 EF"/>
        <s v="MAIZ DULCE X 50 KG. C/SACOEMBALADOS EN SACOSPARA SU COMERCIALIZACION MAIZ DULCE X 50 KG. C/SACOEMBALADOS EN SACOSPARA SU COMERCIALIZACION MAIZ DULCE X 50 KG. C/SACOEMBALADOS EN SACOSPARA SU COMERCIALIZACION MAIZ DULCE X 50 KG. C/SACOEMBALADOS EN SACO"/>
        <s v="CHOCHOS SECOS    RESTITUCION DERECHOS ARANC. (COD 13)"/>
        <s v="MANI SIN CASCARA X 50 KG. C/S.PARA CONSUMOEMBALADOS EN BULTOS DE 50 KG. C/S.PARA SU COMERCIALIZACIO MANI SIN CASCARA X 50 KG. C/S.PARA CONSUMOEMBALADOS EN BULTOS DE 50 KG. C/S.PARA SU COMERCIALIZACIO MANI SIN CASCARA X 50 KG. C/S.PARA CONSUMOEMBALADO"/>
        <s v="TARWI MARCA:S/M MODELO:S/M RESTITUCION DERECHOS ARANC. (COD 13) TARWI MARCA:S/M MODELO:S/M RESTITUCION DERECHOS ARANC. (COD 13) TARWI MARCA:S/M MODELO:S/M RESTITUCION DERECHOS ARANC. (COD 13) TARWI MARCA:S/M MODELO:S/M RESTITUCION DERECHOS ARANC. (CO"/>
        <s v="CHOCHOS MARCA: NATIVO 24 X 500 GR PARA CONSUMO HUMANO  RESTITUCION DERECHOS ARANCELARIOS (DRAWBACK D.S. 104-95 EF)"/>
        <s v="CHOCHOS 24 X 500 GRS NATIVO PARA CONSUMO HUMANO CHOCHOS 24 X 500 GRS NATIVO PARA CONSUMO HUMANO CHOCHOS 24 X 500 GRS NATIVO PARA CONSUMO HUMANO CHOCHOS 24 X 500 GRS NATIVO PARA CONSUMO HUMANO CHOCHOS 24 X 500 GRS NATIVO PARA CONSUMO HUMANO"/>
        <s v="CHOCHOS SECOS X 50 KG. C/S.EMBALADOS EN 210 SACOS DE 50 KG. C/S.PARA SU COMERCIALIZACION CHOCHOS SECOS X 50 KG. C/S.EMBALADOS EN 210 SACOS DE 50 KG. C/S.PARA SU COMERCIALIZACION CHOCHOS SECOS X 50 KG. C/S.EMBALADOS EN 210 SACOS DE 50 KG. C/S.PARA SU"/>
        <s v="CHOCHOS SECOS CHOCHOS SECOS CHOCHOS SECOS CHOCHOS SECOS CHOCHOS SECOS"/>
        <s v="CHOCHOS SACOS DE 25 KG C/U CHOCHOS SACOS DE 25 KG C/U CHOCHOS SACOS DE 25 KG C/U CHOCHOS SACOS DE 25 KG C/U CHOCHOS SACOS DE 25 KG C/U"/>
        <s v="CHOCHOS 24 X 14OZ (397GR) IN EACH BOX LUPINI BEANS - MAMA TERE CHOCHOS 24 X 14OZ (397GR) IN EACH BOX LUPINI BEANS - MAMA TERE CHOCHOS 24 X 14OZ (397GR) IN EACH BOX LUPINI BEANS - MAMA TERE CHOCHOS 24 X 14OZ (397GR) IN EACH BOX LUPINI BEANS - MAMA TER"/>
        <s v="CHOCHOS 24 X 14OZ (397GR) MAMA TERE LUPINI BEANS USO: CONSUMO CHOCHOS 24 X 14OZ (397GR) MAMA TERE LUPINI BEANS USO: CONSUMO CHOCHOS 24 X 14OZ (397GR) MAMA TERE LUPINI BEANS USO: CONSUMO CHOCHOS 24 X 14OZ (397GR) MAMA TERE LUPINI BEANS USO: CONSUMO CH"/>
        <s v="CHOCHO SACO X 10 KG PARA CONSUMO HUMANO CHOCHO SACO X 10 KG PARA CONSUMO HUMANO CHOCHO SACO X 10 KG PARA CONSUMO HUMANO CHOCHO SACO X 10 KG PARA CONSUMO HUMANO CHOCHO SACO X 10 KG PARA CONSUMO HUMANO"/>
        <s v="CHOCHOS SECOS   EN SACOS SE ACOGE A RESTITUCION DE DERECHOS ARANCELARIOS D.S. 104-95-EF / DRAWBACK"/>
        <s v="CHOCHOS EN SACOS DE 25 KG   SE ACOGE A DRAWBACK D.S. 104-95 EF"/>
        <s v="CHOCLOS SECOS   EN CAJAS (24 X 14 OZ) SE ACOGE A RESTITUCION DE DERECHOS ARANCELARIOS D.S. 104-95-EF / DRAWBACK"/>
        <s v="CHOCHOSEN SACOS X 50 KGCHOCHOS SECOSPARA SU COMERCIALIZACON CHOCHOSEN SACOS X 50 KGCHOCHOS SECOSPARA SU COMERCIALIZACON CHOCHOSEN SACOS X 50 KGCHOCHOS SECOSPARA SU COMERCIALIZACON CHOCHOSEN SACOS X 50 KGCHOCHOS SECOSPARA SU COMERCIALIZACON CHOCHOSEN"/>
        <s v="AJI AMARILLO X 14 BOLSAS DE 500GR C/BOLSA ENVASE: CAJAS CONSUMO HUMANO"/>
        <s v="CHOCHOS 24 X 14OZ (397GR) LUPINI BEANS USO: CONSUMO"/>
        <s v="CHOCHOS SACO X 25 KG CHOCHOS SACO X 25 KG CHOCHOS SACO X 25 KG CHOCHOS SACO X 25 KG CHOCHOS SACO X 25 KG"/>
        <s v="CHOCHOS SECOS   24 X 14 OZ RESTITUCION DERECHOS ARANC. (COD 13)"/>
        <s v="CHOCHOS SECOS   ( 24 X 14 OZ ) RESTITUCION DERECHOS ARANC. (COD 13)"/>
        <s v="CHOCHO, MARCA: NATIVO 24 X 500 GRS NATIVO  PARA CONSUMO HUMANO"/>
        <s v="CHOCHOS SACO X 25 KG"/>
        <s v="CHOCHOS SECOS   SACOS DE 25 KG C/U RESTITUCION DERECHOS ARANC. (COD 13)"/>
        <s v="LUPINO (TARWI) 12 X 1 KG CAJAS CONSUMO HUMANO LUPINO (TARWI) 12 X 1 KG CAJAS CONSUMO HUMANO LUPINO (TARWI) 12 X 1 KG CAJAS CONSUMO HUMANO LUPINO (TARWI) 12 X 1 KG CAJAS CONSUMO HUMANO LUPINO (TARWI) 12 X 1 KG CAJAS CONSUMO HUMANO"/>
        <s v="CHOCHOS SECOS ( 24 X 14 OZ ) CHOCHOS SECOS ( 24 X 14 OZ ) CHOCHOS SECOS ( 24 X 14 OZ ) CHOCHOS SECOS ( 24 X 14 OZ ) CHOCHOS SECOS ( 24 X 14 OZ )"/>
        <s v="GANDUL 24 BOLSAS X 500 GR COEXITO PARA CONSUMO HUMANO GANDUL 24 BOLSAS X 500 GR COEXITO PARA CONSUMO HUMANO GANDUL 24 BOLSAS X 500 GR COEXITO PARA CONSUMO HUMANO GANDUL 24 BOLSAS X 500 GR COEXITO PARA CONSUMO HUMANO GANDUL 24 BOLSAS X 500 GR COEXITO"/>
        <s v="PAPA SECA X 15 OZ EN CAJAS DE 24 BOLSAS PARA CONSUMO HUMANO  CODIGO Nº13 RESTITUCION DE DERECHOS ARANCELARIOS"/>
        <s v="AJI LIMO CAJAS X 24 BOLSAS X 250GR C/BOLSA ENVASE: CAJAS CONSUMO HUMANO"/>
        <s v="CHOCHOS VALLES ANDINOS CHOCHOS VALLES ANDINOS CHOCHOS VALLES ANDINOS CHOCHOS VALLES ANDINOS CHOCHOS VALLES ANDINOS"/>
        <s v="FRIJOL CHOCHO O TARWI NORTE SEMILLAS DE CHOCHO SECAS COLOR CREMA PRESENTACION: SACOS FORMA Y TAMAÑO CARACTERISTICO USO: CONSUMO HUMANOFREJOL CHOCHO (LUPINUS MUTABILIS)"/>
        <s v="CHOCHOS MARCA: NATIVO 24 X 500 GR  PARA CONSUMO HUMANO"/>
        <s v="CHOCHOS 24 X 14OZ (397GR) IN EACH BOX MAMA TERE LUPINI BEANS USO: CONSUMO"/>
        <s v="CHOCHOS BOLSA 500 GR 18 BOLSAS X CAJA CAJA CONSUMO CHOCHOS BOLSA 500 GR 18 BOLSAS X CAJA CAJA CONSUMO CHOCHOS BOLSA 500 GR 18 BOLSAS X CAJA CAJA CONSUMO CHOCHOS BOLSA 500 GR 18 BOLSAS X CAJA CAJA CONSUMO CHOCHOS BOLSA 500 GR 18 BOLSAS X CAJA CAJA CON"/>
        <s v="FRIJOL GANDUL NORTE FRIJOLES ENTEROS DE COLOR CREMA PRESENTACION: SACOS CON FRIJOLES GANDUL (CAJANUS CAJAN) USO: CONSUMO HUMANO"/>
        <s v="CHOCHO BEANS ( CHOCHO ) 15 OZ X 28 UNITS CHOCHO BEANS ( CHOCHO ) 15 OZ X 28 UNITS CHOCHO BEANS ( CHOCHO ) 15 OZ X 28 UNITS CHOCHO BEANS ( CHOCHO ) 15 OZ X 28 UNITS CHOCHO BEANS ( CHOCHO ) 15 OZ X 28 UNITS"/>
        <s v="LUPINO (TARWI) PRECOCIDO 18 X 1 KG CAJAS CONSUMO HUMANO LUPINO (TARWI) PRECOCIDO 18 X 1 KG CAJAS CONSUMO HUMANO LUPINO (TARWI) PRECOCIDO 18 X 1 KG CAJAS CONSUMO HUMANO LUPINO (TARWI) PRECOCIDO 18 X 1 KG CAJAS CONSUMO HUMANO LUPINO (TARWI) PRECOCIDO 1"/>
        <s v="CHOCHOS BOLSA 500 GR. 18 BOLSAS X CAJA EN CAJAS DE CARTON USO: CONSUMO HUMANO"/>
        <s v="CHOCHOS BOLSA 500 GR. 18 BOLSAS X CAJA ENVASE: CAJAS CONSUMO HUMANO CHOCHOS BOLSA 500 GR. 18 BOLSAS X CAJA ENVASE: CAJAS CONSUMO HUMANO CHOCHOS BOLSA 500 GR. 18 BOLSAS X CAJA ENVASE: CAJAS CONSUMO HUMANO CHOCHOS BOLSA 500 GR. 18 BOLSAS X CAJA ENVASE:"/>
        <s v="CHOCHO 24 BOLSAS X 500 GR DELICIAS LATINAS PARA CONSUMO HUMANO CHOCHO 24 BOLSAS X 500 GR DELICIAS LATINAS PARA CONSUMO HUMANO CHOCHO 24 BOLSAS X 500 GR DELICIAS LATINAS PARA CONSUMO HUMANO CHOCHO 24 BOLSAS X 500 GR DELICIAS LATINAS PARA CONSUMO HUMAN"/>
        <s v="CHOCHOS / ALTRAMUCES PRESENTACION: SACO X 25 KG USO: CONSUMO HUMANO"/>
        <s v="HABAS TOSTADAS SALADAS CADA CAJA 25 KGPARA CONSUMOEN CAJAS HABAS TOSTADAS SALADAS CADA CAJA 25 KGPARA CONSUMOEN CAJAS HABAS TOSTADAS SALADAS CADA CAJA 25 KGPARA CONSUMOEN CAJAS HABAS TOSTADAS SALADAS CADA CAJA 25 KGPARA CONSUMOEN CAJAS HABAS TOSTADAS"/>
        <s v="HABAS TOSTADASPARA CONSUMOEN CAJA HABAS TOSTADASPARA CONSUMOEN CAJA HABAS TOSTADASPARA CONSUMOEN CAJA HABAS TOSTADASPARA CONSUMOEN CAJA HABAS TOSTADASPARA CONSUMOEN CAJA"/>
        <s v="HABAS TOSTADAS PARA CONSUMO EN CAJA"/>
        <s v="CHOCHOS X 50 KG C/S EMBALADO EN SACOS"/>
        <s v="CHOCHOS SECOSEMBALAJE: 480 SACOSX 50 KG CADA SACOPARA SU COMERCIALIZACION"/>
        <s v="CHOCHOSEMBALAJE . 75 SACOSX 50 KILOS CADA SACOPARA SU COMERCIALIZACION"/>
        <s v="CHOCHOSEMBALAJE : 120 SACOSX 50 KG CADA SACOPARA SU COMERCIALIZACION"/>
        <s v="CHOCHOSEMBALAJE : 190 SACOSX 50 KG CADA SACOPARA SU COMERCIALIZACION"/>
        <s v="CHOCHOSEMBALAJE : 60 SACOSX 50 KG CADA SACOPARA SU COMERCIALIZACION"/>
        <s v="CHOCHOSEMBALAJE : 75 SACOSX 50 KG CADA SACOPARA SU COMERCIALIZACION"/>
        <s v="CHOCHOSEMBALAJE : 80 SACOSX 50 KG CADA SACOPARA SU COMERCIALIZACION"/>
        <s v="CHOCHOSEMBALAJE : 86 SACOSX 50 KILOS CADA SACOPARA SU COMERCIALIZACION"/>
        <s v="TAMARINDOEMBALAJE : 70 SACOSX 50 KG CADA SACOPARA SU COMERCIALIZACION"/>
        <s v="CHOCHOS SECOSSACOS X 25 KGCONSUMO HUMANOCODIGO Nº13 RESTITUCION DE DERECHOS ARANCELARIOS"/>
        <s v="CHOCHOSCHOCHOS SECOS,  EN SACOS X 45 KGPARA SU COMERCIALIZACIONCODIGO Nº13 RESTITUCION DE DERECHOS A"/>
        <s v="CHOCHO SACOS X 25 KG"/>
        <s v="CHOCHOS - TARWI SACOS X 25"/>
        <s v="CHOCHOS SACOS X 25 KG"/>
        <s v="CHOCHOS,SACOS X 25 KG"/>
        <s v="FRIJOL CHOCHOS SECO SACOS X 25 KG PARA CONSUMO HUMANO"/>
        <s v="HABAS FRESCO"/>
        <s v="MENESTRA - CARAPULCRA"/>
        <s v="PAPA SECA X 15 OZEN CAJAS DE 24 BOLSASPARA CONSUMO HUMANOCODIGO Nº13 RESTITUCION DE DERECHOS ARANCEL"/>
        <s v="CHOCHOS SECOS X 50 KG, C/SACOEMBALADOS EN 100 SACOSPARA SU COMERCIALIZACION"/>
        <s v="CHOCHOS SECOS X 50 KG, C/SACOEMBALADOS EN 120 SACOSPARA SU COMERCIALIZACION"/>
        <s v="CHOCHOS SECOS X 50 KG, C/SACOEMBALADOS EN 192 SACOSPARA SU COMERCIALIZACION"/>
        <s v="CHOCHOS SECOS X 50 KG, C/SACOEMBALADOS EN 200 SACOSPARA SU COMERCIALIZACION"/>
        <s v="CHOCHOS SECOS X 50 KG, C/SACOEMBALADOS EN 220 SACOSPARA SU COMERCIALIZACION"/>
        <s v="CHOCHOS SECOS X 50 KG, C/SACOEMBALADOS EN 230 SACOSPARA SU COMERCIALIZACION"/>
        <s v="CHOCHOS SECOS X 50 KG, C/SACOEMBALADOS EN 235 SACOSPARA SU COMERCIALIZACION"/>
        <s v="CHOCHOS SECOS X 50 KG, C/SACOEMBALADOS EN 249 SACOSPARA SU COMERCIALIZACION"/>
        <s v="CHOCHOS SECOS X 50 KG, C/SACOEMBALADOS EN 305 SACOSPARA SU COMERCIALIZACION"/>
        <s v="CHOCHOS SECOS X 50 KG, C/SACOEMBALADOS EN 310 SACOSPARA SU COMERCIALIZACION"/>
        <s v="CHOCHOS SECOS X 50 KG, C/SACOEMBALADOS EN 320 SACOSPARA SU COMERCIALIZACION"/>
        <s v="CHOCHOS SECOS X 50 KG, C/SACOEMBALADOS EN 325 SACOSPARA SU COMERCIALIZACION"/>
        <s v="CHOCHOS SECOS X 50 KG, C/SACOEMBALADOS EN 340 SACOSPARA SU COMERCIALIZACION"/>
        <s v="CHOCHOS SECOS X 50 KG, C/SACOEMBALADOS EN 430 SACOSPARA SU COMERCIALIZACION"/>
        <s v="CHOCHOS SECOS X 50 KG, C/SACOEMBALADOS EN 50 SACOSPARA SU COMERCIALIZACION"/>
        <s v="CHOCHOS SECOS X 50 KG, C/SACOEMBALADOS EN 620 SACOSPARA SU COMERCIALIZACION"/>
        <s v="CHOCHOS SECOS X 50 KG, C/SACOEMBALADOS EN SACOSPARA SU COMERCIALIZACION"/>
        <s v="CHOCHOS X 50 KG C/UEMBALADOS EN 230 BULTOSPAAR SU COMERCIALIZACION"/>
        <s v="CHOCOS SECOS X 50KG.C/SEMBALADOS EN 233  SACOSPARA SU COMERCIALIZACION"/>
        <s v="BOWL DE PROTEÍNAS GARBANZO, FARRO Y LENTEJAS"/>
        <s v="CHOCHOS POR 45 KGRSEN SACOS X 45 KGCHOCHOS SECOSPARA SU COMERCIALIZACION"/>
        <s v="CHOCHOSEMBALAJE : 100 SACOSX 50 KG CADA SACOPARA SU COMERCIALIZACION"/>
        <s v="CHOCHOSEMBALAJE : 300 SACOSX 50 KG CADA SACOPARA SU COMERCIALIZACION"/>
        <s v="CHOCHOSEN SACOS X 45 KGCHOCHOS SECOSPARA SU COMERCIALIZACION"/>
        <s v="100 SACOS CONTENIENDO CHOCHOS SECOSX50 KG C/SPARA SU COMERCIALIZACION"/>
        <s v="120 SACOS CONTENIENDO CHOCHOS SECOSX50 KG C/SPARA SU COMERCIALIZACION"/>
        <s v="130 SACOS CONTENIENDO CHOCHOS SECOSX50 KG C/SPARA SU COMERCIALIZACION"/>
        <s v="150 SACOS CONTENIENDO CHOCHOS SECOSX50 KG C/SPARA SU COMERCIALIZACION"/>
        <s v="170 SACOS CONTENIENDO CHOCHOS SECOSX50 KG C/SPARA SU COMERCIALIZACION"/>
        <s v="200 SACOS CONTENIENDO CHOCHOS SECOSX50 KG C/SPARA SU COMERCIALIZACION"/>
        <s v="200 SACOS CONTENIENDO CHOCOS SECOSX50 KG C/SPARA SU COMERCIALIZACIÓN"/>
        <s v="300 SACOS CONTENIENDO CHOCHOS SECOSX50 KG C/SPARA SU COMERCIALIZACION"/>
        <s v="330 SACOS CONTENIENDO CHOCHOS SECOSX50 KG C/SPARA SU COMERCIALIZACION"/>
        <s v="335 SACOS CONTENIENDO CHOCHOS SECOSX50 KG C/SPARA SU COMERCIALIZACION"/>
        <s v="359 SACOS CONTENIENDO CHOCHOS SECOSX50 KG C/SPARA SU COMERCIALIZACION"/>
        <s v="390 SACOS CONTENIENDO CHOCHOS SECOSX50 KG C/SPARA SU COMERCIALIZACION"/>
        <s v="417 SACOS CONTENIENDO CHOCHOS SECOSX50 KG C/SPARA SU COMERCIALIZACION"/>
        <s v="450 SACOS CONTENIENDO CHOCHOS SECOSX50 KG C/SPARA SU COMERCIALIZACION"/>
        <s v="500 SACOS CONTENIENDO CHOCHOS SECOSX50 KG C/SPARA SU COMERCIALIZACION"/>
        <s v="52 SACOS CONTENIENDO CHOCHOS SECOSX50 KG C/SPARA SU COMERCIALIZACIÓN"/>
        <s v="550 SACOS CONTENIENDO CHOCHOS SECOSX50 KG C/SPARA SU COMERCIALIZACION"/>
        <s v="570 SACOS CONTENIENDO CHOCHOS SECOSX50 KG C/SPARA SU COMERCIALIZACION"/>
        <s v="600 SACOS CONTENIENDO CHOCHOS SECOSX50 KG C/SPARA SU COMERCIALIZACION"/>
        <s v="700 SACOS CONTENIENDO CHOCHOS SECOSX50 KG C/SPARA SU COMERCIALIZACION"/>
        <s v="705 SACOS CONTENIENDO CHOCHOS SECOSX50 KG C/SPARA SU COMERCIALIZACION"/>
        <s v="800 SACOS CONTENIENDO CHOCHOS SECOSX50 KG C/SPARA SU COMERCIALIZACION"/>
        <s v="CHOCHO  24 X 14OZ (397GR) IN EACH BOX MAMA TERE USO: CONSUMO"/>
        <s v="CHOCHO (  18 BLS X 14 OZ) CHOCHO ( 18 BAGS X 14 OZ)"/>
        <s v="CHOCHO ( 1 SACO X 50 LB) CHOCHO ( 1 SACK X 50 LB)"/>
        <s v="CHOCHO ( 1 SACO X 50 LB) EN SACOS"/>
        <s v="CHOCHO ( 1 SACO X 50 LB) EN SACOS PARA CONSUMO HUMANO"/>
        <s v="CHOCHO ( 1 X 50 LB)"/>
        <s v="CHOCHO ( 1 X 50 LB) EN CAJAS"/>
        <s v="CHOCHO ( 18 BAGS X 14 OZ) EN CAJAS PARA CONSUMO HUMANO"/>
        <s v="CHOCHO ( 18 BLS X 14 OZ) CHOCHO ( 18 BAGS X 14 OZ)"/>
        <s v="CHOCHO ( 18 BLS X 14 OZ) EN CAJAS PARA CONSUMO HUMANO"/>
        <s v="CHOCHO ( 1SACO X 50LB) CHOCHO (1SACK X 50LB)"/>
        <s v="CHOCHO (1 BLS X 10 KG) EN CAJAS PARA CONSUMO HUMANO"/>
        <s v="CHOCHO (1 SACO X 50 LB) EN CAJAS PARA CONSUMO HUMANO"/>
        <s v="CHOCHO (1 SACO X 50 LB) EN SACOS"/>
        <s v="CHOCHO (18 BLS X 14 OZ) CHOCHO (18 BAGS X 14 OZ )"/>
        <s v="CHOCHO (18 BLS X 14 OZ) EN CAJAS"/>
        <s v="CHOCHO (18 BLS X 14 OZ) EN CAJAS PARA CONSUMO HUMANO"/>
        <s v="CHOCHO / LUPINI BEANS 24 X 14OZ (397GR) IN BOX MAMA TERE - LOT CH072224MT"/>
        <s v="CHOCHO / LUPINI BEANS 24 X 14OZ (397GR) IN BOX MAMA TERE LOT CH082624MT"/>
        <s v="CHOCHO / LUPINI BEANS 24 X 14OZ (397GR) IN EACH BOX MAMA TERE LOT CH030824MT"/>
        <s v="CHOCHO / LUPINI BEANS 24 X 14OZ (397GR) IN EACH BOX MAMA TERE LOT CH053024MT"/>
        <s v="CHOCHO / LUPINI BEANS 24 X 15OZ TAMBO FOOD LT CH071224TF"/>
        <s v="CHOCHO 15 OZ. 426 GR X 40 UNITS. EN CAJAS"/>
        <s v="CHOCHO 24 X 14OZ (397GR) IN LUPINI BEANS - MAMA TERE"/>
        <s v="CHOCHO 24 X 14OZ (397GR) LUPINI BEANS"/>
        <s v="CHOCHO 24 X 14OZ (397GR) LUPINI BEANS  IN EACH BOX MAMA TERE"/>
        <s v="CHOCHO 24 X 14OZ (397GR) LUPINI BEANS - MAMA TERE"/>
        <s v="CHOCHO 24 X 14OZ (397GR) LUPINI BEANS INEACH BOX MAMA TERE"/>
        <s v="CHOCHO 24 X 14OZ (397GR) MAMA TERE"/>
        <s v="CHOCHO 24 X 500 GRS NATIVO PARA CONSUMO HUMANO"/>
        <s v="CHOCHO 500 GR X 18 BOLSAS X CAJA CONSUMO HUMANO"/>
        <s v="CHOCHO CHOCHO PRESENTADO EN SACOS USO: COMERCIALIZACION"/>
        <s v="CHOCHO LA FAVORITA 20 X 500 G"/>
        <s v="CHOCHO SECOSCAJAS X 12 KGCONSUMO HUMANOCODIGO Nº13 RESTITUCION DE DERECHOS ARANCELARIOS"/>
        <s v="CHOCHO, MAMA TERE, S/M LUPINI BEANS  / CHOCHO  24 X 14OZ (397GR) IN EACH LUPINI BEANS  / CHOCHO  24"/>
        <s v="CHOCHO, MAMA TERE, S/M LUPINI BEANS / CHOCHO 24 X 14OZ (397GR) IN EACH BO LUPINI BEANS / CHOCHO 24 X"/>
        <s v="CHOCHOS / LUPINI BEANS 24/14OZ (397GR) MARCA: MAMA TERE LOT CH020924MT"/>
        <s v="CHOCHOS 24 X 14OZ (397GR) LUPINI BEANS / IN EACH BOX MAMA TERE"/>
        <s v="CHOCHOS 24 X 14OZ LUPINI BEANS USO: CONSUMO"/>
        <s v="CHOCHOS 24 X 500 GRS - NATIVO MARCA: NATIVO PARA CONSUMO HUMANO"/>
        <s v="CHOCHOS 24 X 500 GRS EL SABOR DE CASA PARA CONSUMO HUMANO"/>
        <s v="CHOCHOS 24 X 500 GRS NATIVO PARA CONSUMO HUMANO"/>
        <s v="CHOCHOS BOLSA 500 GR. 18 BOLSAS X CAJA"/>
        <s v="CHOCHOS BOLSA 500 GR. 18 BOLSAS X CAJA CAJA CONSUMO HUMANO"/>
        <s v="CHOCHOS BOLSA 500 GR. 18 BOLSAS X CAJA ENVASE. CAJA CONSUMO HUMANO"/>
        <s v="CHOCHOS BOLSA 500 GR. 4 BOLSAS X CAJA"/>
        <s v="CHOCHOS BOLSA 500 GR. 5 BOLSAS X CAJA ENVASE. CAJA CONSUMO HUMANO"/>
        <s v="CHOCHOS MAMA TERE 24/14OZ"/>
        <s v="CHOCHOS MAMA TERE 24/14OZ (397GR) LOT CH082823MT"/>
        <s v="CHOCHOS MARCA: NATIVO 24 X 500 GR PARA CONSUMO HUMANO"/>
        <s v="CHOCHOS PRESENTACION: SACOS USO: CONSUMO HUMANO"/>
        <s v="CHOCHOS SACOS X 25 KG DRAWBACK"/>
        <s v="CHOCHOS SECOS"/>
        <s v="CHOCHOS SECOS ( 24 X 14 OZ)"/>
        <s v="CHOCHOS SECOS ( 24 X 500 GR)CAJAS X 12 KGSCONSUMO HUMANOCODIGO Nº13 RESTITUCION DE DERECHOS ARANCELA"/>
        <s v="CHOCHOS SECOS (24 X 500 GR)CONSUMO HUMANOCODIGO Nº13 RESTITUCION DE DERECHOS ARANCELARIOS"/>
        <s v="CHOCHOS SECOS (24X500 GR)"/>
        <s v="CHOCHOS SECOS GRANDES"/>
        <s v="CHOCHOS SECOS X 50 KG C/SUSO: COMERCIALIZACION"/>
        <s v="CHOCHOS SECOS(24 X 14 OZ)CONSUMO HUMANOCODIGO Nº13 RESTITUCION DE DERECHOS ARANCELARIOS"/>
        <s v="CHOCHOS SECOSCAJAS (24 X 14 OZ)CODIGO Nº13 RESTITUCION DE DERECHOS ARANCELARIOS"/>
        <s v="CHOCHOS SECOSCAJAS X 12 KGCODIGO Nº13 RESTITUCION DE DERECHOS ARANCELARIOS"/>
        <s v="CHOCHOS SECOSCAJAS X 25 KGCONSUMO HUMANOCODIGO Nº13 RESTITUCION DE DERECHOS ARANCELARIOS"/>
        <s v="CHOCHOS SECOSCAJAS X 9.528 KG(24 BOLSAS X 14 OZ)CONSUMO HUMANOCODIGO Nº13 RESTITUCION DE DERECHOS AR"/>
        <s v="CHOCHOS SECOSSACOS X 25 KGCODIGO Nº13 RESTITUCION DE DERECHOS ARANCELARIOS"/>
        <s v="CHOCHOS SOL ANDINO 1x 25 kg"/>
        <s v="CHOCHOS VALLES ANDINOS"/>
        <s v="CHOCHOS VALLES ANDINOS EN CAJAS"/>
        <s v="CHOCHOS VALLES ANDINOS EN CAJAS PARA CONSUMO HUMANO"/>
        <s v="CHOCHOS X 25 KGCODIGO: CHCODIGO Nº13 RESTITUCION DE DERECHOS ARANCELARIOS"/>
        <s v="CHOCHOSEN SACOS X 50 KGCHOCHOS SECOSPARA SU COMERCIALIZACION"/>
        <s v="FREJOL CANARIO X 25 KG USO: CONSUMO HUMANO EN SACOS"/>
        <s v="FREJOL CHOCHO (TARWI) EN SACOS DRAWBACK"/>
        <s v="FREJOL CHOCHO EN 80 SACOS X 25 KG C/U PARA CONSUMO HUMANO"/>
        <s v="FREJOL CHOCHO PRESENTACION: SACOS USO: CONSUMO HUMANO"/>
        <s v="FREJOL CHOCHO X 25 KG EN SACOS USO: PARA CONSUMO HUMANO"/>
        <s v="FREJOL GANDUL PRESENTACION : SACOS USO: CONSUMO HUMANO"/>
        <s v="FREJOL GANDUL X 25 KG USO: CONSUMO HUMANO EN SACOS"/>
        <s v="FREJOL MUNGO EN 320 SACOS X 25 KGS ETIQUETADAS Y PALETIZADAS LOT: PMBP-0001-21"/>
        <s v="FREJOL TARWI EN GRANO SECOEN SACOS X 25 KG C/UCODIGO Nº13 RESTITUCION DE DERECHOS ARANCELARIOS"/>
        <s v="FRIJOL BLANCO"/>
        <s v="FRIJOL CHOCHO"/>
        <s v="FRIJOLES LUPINI EN BOLSAS DE 50 LB. LOTE CODE: PE240408912 CONSUMO HUMANO"/>
        <s v="GANDUL 24 BOLSAS X 500 GR COEXITO PARA CONSUMO HUMANO"/>
        <s v="GANDUL SECO PRESENTACION : SACOS USO: CONSUMO HUMANO"/>
        <s v="GANDUL SECO X 25 KGCODIGO: GACODIGO Nº13 RESTITUCION DE DERECHOS ARANCELARIOS"/>
        <s v="GRANOS DE TARWI SHELLED TARWI SEEDS LOT:209401"/>
        <s v="HABAS DE ALTRAMUZ ORGANICA REGENERATIVA REGENERATIVE ORGANIC LUPINI BEANS, 50LB LOT CODE: PER2214109"/>
        <s v="HABAS DE ALTRAMUZ ORGANICAS BOLSAS DE 50 LB LOT CODE: PE240408913 CONSUMO HUMANO"/>
        <s v="HABAS DE ALTRAMUZ ORGANICAS BOLSAS DE 50 LB LOT CODE: PE330409612 CONSUMO HUMANO"/>
        <s v="HABAS FRITAS"/>
        <s v="HABAS FRITAS (768 UNID 50 GR C/U)"/>
        <s v="HABAS FRITAS FRESCO"/>
        <s v="HABAS SALADAS 200 G. EN BOLSAS / CAJA X 20"/>
        <s v="HABAS SECA X 500 GR X 12.50 KG"/>
        <s v="HABAS SECA X 500GR X 14GR"/>
        <s v="MENESTRAS EN PAQUETE"/>
        <s v="NOVAL PALLAR 500 GCODIGO Nº13 RESTITUCION DE DERECHOS ARANCELARIOS"/>
        <s v="NOVAL PALLARES 500 GCODIGO Nº13 RESTITUCION DE DERECHOS ARANCELARIOS"/>
        <s v="PALLARES 500 GCODIGO Nº13 RESTITUCION DE DERECHOS ARANCELARIOS"/>
        <s v="TARHUI EN SACOS X 25 KG DRAWBACK"/>
        <s v="TARWI EN SACOS DE 25 KG"/>
        <s v="TARWI EN SACOS PARA CONSUMO HUMANO"/>
        <s v="TARWI PRESENTACION: CAJA X 14 KILOS USO: CONSUMO HUMANO"/>
        <s v="TARWI PRESENTACION: CAJA X 22 X 500 GR USO: CONSUMO HUMANO"/>
        <s v="TARWI PRESENTACION: CAJA X 24 BOLSAS / 500 GR USO: CONSUMO HUMANO"/>
        <s v="TARWI PRESENTACION: SACO  X  20  KILOS USO: CONSUMO HUMANO"/>
        <s v="TARWI/CHOCHO MARCA:S/M MODELO:S/M RESTITUCION DERECHOS ARANC. (COD 13)"/>
        <s v="CHOCHO SIN MARCA"/>
        <s v="CHOCHO O TARWI CLASIFICADOPESO NETO 11050 KG - PESO BRUTO: 11100 KGSACOS: 221 X 50 KG C/UUSO/APLICAC"/>
        <s v="CHOCHOS SECOS X 50 KG, C/SACOEMBALADOS EN 150 SACOSPARA SU COMERCIALIZACION"/>
        <s v="CHOCHOS SECOS X 50 KG, C/SACOEMBALADOS EN 180 SACOSPARA SU COMERCIALIZACION"/>
        <s v="CHOCHOS SECOS X 50 KG, C/SACOEMBALADOS EN 270 SACOSPARA SU COMERCIALIZACION"/>
        <s v="CHOCHOS SECOS X 50 KG, C/SACOEMBALADOS EN 360 SACOSPARA SU COMERCIALIZACION"/>
        <s v="CHOCHOS SECOS X 50 KG, C/SACOEMBALADOS EN 60 SACOSPARA SU COMERCIALIZACION"/>
        <s v="CHOCHOSEMBALAJE :  179 SACOSX 50 KILOS CADA SACOPARA SU COMERCIALIZACION"/>
        <s v="CHOCHOSEMBALAJE :  200 SACOSX 50 KILOS CADA SACOPARA SU COMERCIALIZACION"/>
        <s v="CHOCHOSEMBALAJE :  260 SACOSX 50 KILOS CADA SACOPARA SU COMERCIALIZACION"/>
        <s v="CHOCHOSEMBALAJE :  65 SACOSX 50 KILOS CADA SACOPARA SU COMERCIALIZACION"/>
        <s v="CHOCHOSEMBALAJE: 65 SACOSX 50 KG CADA SACOPARA SU COMERCIALIZACION"/>
        <s v="CHOCHOSEN SACOS X 50 KGCHOCHOSPARA SU COMERCIALIZACION"/>
        <s v="CHOCOS SECOS X 50KG.C/SEMBALADOS EN 115 SACOSPARA SU COMERCIALIZACION"/>
        <s v="CHOCOS SECOS X 50KG.C/SEMBALADOS EN 260 SACOSPARA SU COMERCIALIZACION"/>
        <s v="CHOCOS SECOS X 50KG.C/SEMBALADOS EN 370  SACOSPARA SU COMERCIALIZACION"/>
        <s v="HABAS SECASEMBALAJE :  100 SACOSX 50 KILOS CADA SACOPARA SU COMERCIALIZACION"/>
        <s v="HABAS SECASEMBALAJE :  140 SACOSX 50 KILOS CADA SACOPARA SU COMERCIALIZACION"/>
        <s v="HABASEN SACOS X 50 KGHABAS SECASPARA SU COMERCIALIZACION"/>
        <s v="CHOCHO SECOSSACOS DE 25 KGCONSUMO HUMANOCODIGO Nº13 RESTITUCION DE DERECHOS ARANCELARIOS"/>
        <s v="CHOCHO SECOSSACOS X 25 KGCONSUMO HUMANOCODIGO Nº13 RESTITUCION DE DERECHOS ARANCELARIOS"/>
        <s v="CHOCHOS SECOS ( 24 X 14 OZ)CAJAS X 9.528 KGCONSUMO  HUMANOCODIGO Nº13 RESTITUCION DE DERECHOS ARANCE"/>
        <s v="CHOCHOS SECOS ( 24 X 14 OZ)CAJAS X 9.528 KGCONSUMO HUMANOCODIGO Nº13 RESTITUCION DE DERECHOS ARANCEL"/>
        <s v="CHOCHOS SECOS (24 X 14 OZ)CAJAS  X 9.528 KGCODIGO Nº13 RESTITUCION DE DERECHOS ARANCELARIOS"/>
        <s v="CHOCHOS SECOS (24 X 14 OZ)CAJAS X 9.528 KGCONSUMO HUMANOCODIGO Nº13 RESTITUCION DE DERECHOS ARANCELA"/>
        <s v="CHOCHOS SECOS (24X14 OZ)CAJAS X 9.528 KGCONSUMO HUMANOCODIGO Nº13 RESTITUCION DE DERECHOS ARANCELARI"/>
        <s v="CHOCHOS SECOS (24X500 GR)CAJAS X 12 KG C/UCONSUMO HUMANOCODIGO Nº13 RESTITUCION DE DERECHOS ARANCELA"/>
        <s v="CHOCHOS SECOSACOS X 25 KGCODIGO Nº13 RESTITUCION DE DERECHOS ARANCELARIOS"/>
        <s v="CHOCHOS SECOSSACOS X 25 KG  C/UCONSUMO HUMANOCODIGO Nº13 RESTITUCION DE DERECHOS ARANCELARIOS"/>
        <s v="CHOCHOS SECOSSACOS X 25 KG C/UCONSUMO HUMANOCODIGO Nº13 RESTITUCION DE DERECHOS ARANCELARIOS"/>
        <s v="MAIZ CANCHA ( 1 X 50 LBS)SACOS X 22.727 KGCODIGO Nº13 RESTITUCION DE DERECHOS ARANCELARIOS"/>
        <s v="POROTO NEGRO TAUSY EN CONSERVA X 250 GR"/>
        <s v="CHOCHOS SECOS X 50KG C/S."/>
        <s v="CHOCHOSEMBALAJE : 50 SACOSX 50 KG CADA SACOPARA SU COMERCIALIZACI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x v="0"/>
    <n v="234765"/>
    <m/>
    <m/>
    <m/>
    <m/>
    <x v="0"/>
  </r>
  <r>
    <x v="1"/>
    <n v="196322"/>
    <m/>
    <m/>
    <m/>
    <m/>
    <x v="1"/>
  </r>
  <r>
    <x v="1"/>
    <n v="131350"/>
    <m/>
    <m/>
    <m/>
    <m/>
    <x v="2"/>
  </r>
  <r>
    <x v="2"/>
    <n v="129520"/>
    <m/>
    <m/>
    <m/>
    <m/>
    <x v="3"/>
  </r>
  <r>
    <x v="1"/>
    <n v="77330"/>
    <m/>
    <m/>
    <m/>
    <m/>
    <x v="4"/>
  </r>
  <r>
    <x v="1"/>
    <n v="56240"/>
    <m/>
    <m/>
    <m/>
    <m/>
    <x v="5"/>
  </r>
  <r>
    <x v="1"/>
    <n v="25920"/>
    <m/>
    <m/>
    <m/>
    <m/>
    <x v="6"/>
  </r>
  <r>
    <x v="1"/>
    <n v="23360"/>
    <m/>
    <m/>
    <m/>
    <m/>
    <x v="7"/>
  </r>
  <r>
    <x v="3"/>
    <n v="20120"/>
    <m/>
    <m/>
    <m/>
    <m/>
    <x v="8"/>
  </r>
  <r>
    <x v="1"/>
    <n v="18500"/>
    <m/>
    <m/>
    <m/>
    <m/>
    <x v="9"/>
  </r>
  <r>
    <x v="1"/>
    <n v="15910"/>
    <m/>
    <m/>
    <m/>
    <m/>
    <x v="10"/>
  </r>
  <r>
    <x v="1"/>
    <n v="14800"/>
    <m/>
    <m/>
    <m/>
    <m/>
    <x v="11"/>
  </r>
  <r>
    <x v="1"/>
    <n v="14504"/>
    <m/>
    <m/>
    <m/>
    <m/>
    <x v="12"/>
  </r>
  <r>
    <x v="3"/>
    <n v="12720"/>
    <m/>
    <m/>
    <m/>
    <m/>
    <x v="3"/>
  </r>
  <r>
    <x v="1"/>
    <n v="12321"/>
    <m/>
    <m/>
    <m/>
    <m/>
    <x v="13"/>
  </r>
  <r>
    <x v="1"/>
    <n v="11100"/>
    <m/>
    <m/>
    <m/>
    <m/>
    <x v="14"/>
  </r>
  <r>
    <x v="1"/>
    <n v="10360"/>
    <m/>
    <m/>
    <m/>
    <m/>
    <x v="15"/>
  </r>
  <r>
    <x v="4"/>
    <n v="10020"/>
    <m/>
    <m/>
    <m/>
    <m/>
    <x v="16"/>
  </r>
  <r>
    <x v="1"/>
    <n v="9600"/>
    <m/>
    <m/>
    <m/>
    <m/>
    <x v="17"/>
  </r>
  <r>
    <x v="4"/>
    <s v="8859.32"/>
    <m/>
    <m/>
    <m/>
    <m/>
    <x v="18"/>
  </r>
  <r>
    <x v="1"/>
    <n v="8640"/>
    <m/>
    <m/>
    <m/>
    <m/>
    <x v="19"/>
  </r>
  <r>
    <x v="4"/>
    <s v="8424.5"/>
    <m/>
    <m/>
    <m/>
    <m/>
    <x v="20"/>
  </r>
  <r>
    <x v="4"/>
    <n v="8100"/>
    <m/>
    <m/>
    <m/>
    <m/>
    <x v="21"/>
  </r>
  <r>
    <x v="4"/>
    <s v="7805.9"/>
    <m/>
    <m/>
    <m/>
    <m/>
    <x v="22"/>
  </r>
  <r>
    <x v="1"/>
    <n v="7770"/>
    <m/>
    <m/>
    <m/>
    <m/>
    <x v="23"/>
  </r>
  <r>
    <x v="4"/>
    <s v="7110.74"/>
    <m/>
    <m/>
    <m/>
    <m/>
    <x v="24"/>
  </r>
  <r>
    <x v="4"/>
    <n v="5100"/>
    <m/>
    <m/>
    <m/>
    <m/>
    <x v="25"/>
  </r>
  <r>
    <x v="4"/>
    <n v="4992"/>
    <m/>
    <m/>
    <m/>
    <m/>
    <x v="26"/>
  </r>
  <r>
    <x v="4"/>
    <n v="4992"/>
    <m/>
    <m/>
    <m/>
    <m/>
    <x v="27"/>
  </r>
  <r>
    <x v="4"/>
    <n v="4476.78"/>
    <m/>
    <m/>
    <m/>
    <m/>
    <x v="28"/>
  </r>
  <r>
    <x v="4"/>
    <n v="4040"/>
    <m/>
    <m/>
    <m/>
    <m/>
    <x v="29"/>
  </r>
  <r>
    <x v="4"/>
    <s v="4031.25"/>
    <m/>
    <m/>
    <m/>
    <m/>
    <x v="30"/>
  </r>
  <r>
    <x v="4"/>
    <s v="4013.56"/>
    <m/>
    <m/>
    <m/>
    <m/>
    <x v="31"/>
  </r>
  <r>
    <x v="2"/>
    <n v="4000"/>
    <m/>
    <m/>
    <m/>
    <m/>
    <x v="32"/>
  </r>
  <r>
    <x v="4"/>
    <n v="3795"/>
    <m/>
    <m/>
    <m/>
    <m/>
    <x v="33"/>
  </r>
  <r>
    <x v="4"/>
    <n v="3744"/>
    <m/>
    <m/>
    <m/>
    <m/>
    <x v="34"/>
  </r>
  <r>
    <x v="5"/>
    <s v="3589.8"/>
    <m/>
    <m/>
    <m/>
    <m/>
    <x v="35"/>
  </r>
  <r>
    <x v="4"/>
    <s v="3583.23"/>
    <m/>
    <m/>
    <m/>
    <m/>
    <x v="36"/>
  </r>
  <r>
    <x v="4"/>
    <s v="3578.58"/>
    <m/>
    <m/>
    <m/>
    <m/>
    <x v="37"/>
  </r>
  <r>
    <x v="4"/>
    <n v="3417"/>
    <m/>
    <m/>
    <m/>
    <m/>
    <x v="38"/>
  </r>
  <r>
    <x v="5"/>
    <s v="2692.35"/>
    <n v="2628"/>
    <m/>
    <m/>
    <m/>
    <x v="39"/>
  </r>
  <r>
    <x v="4"/>
    <n v="2615"/>
    <m/>
    <m/>
    <m/>
    <m/>
    <x v="40"/>
  </r>
  <r>
    <x v="4"/>
    <n v="2592"/>
    <m/>
    <m/>
    <m/>
    <m/>
    <x v="41"/>
  </r>
  <r>
    <x v="4"/>
    <s v="2494.94"/>
    <m/>
    <m/>
    <m/>
    <m/>
    <x v="42"/>
  </r>
  <r>
    <x v="4"/>
    <s v="2057.61"/>
    <m/>
    <m/>
    <m/>
    <m/>
    <x v="43"/>
  </r>
  <r>
    <x v="5"/>
    <s v="2027.76"/>
    <m/>
    <m/>
    <m/>
    <m/>
    <x v="44"/>
  </r>
  <r>
    <x v="4"/>
    <s v="1967.3"/>
    <m/>
    <m/>
    <m/>
    <m/>
    <x v="45"/>
  </r>
  <r>
    <x v="4"/>
    <n v="1860"/>
    <m/>
    <m/>
    <m/>
    <m/>
    <x v="46"/>
  </r>
  <r>
    <x v="4"/>
    <s v="1718.18"/>
    <m/>
    <m/>
    <m/>
    <m/>
    <x v="47"/>
  </r>
  <r>
    <x v="4"/>
    <s v="1622.4"/>
    <m/>
    <m/>
    <m/>
    <m/>
    <x v="48"/>
  </r>
  <r>
    <x v="4"/>
    <n v="1612"/>
    <m/>
    <m/>
    <m/>
    <m/>
    <x v="49"/>
  </r>
  <r>
    <x v="4"/>
    <s v="1488.96"/>
    <m/>
    <m/>
    <m/>
    <m/>
    <x v="50"/>
  </r>
  <r>
    <x v="4"/>
    <s v="1240.91"/>
    <m/>
    <m/>
    <m/>
    <m/>
    <x v="51"/>
  </r>
  <r>
    <x v="4"/>
    <s v="920.08"/>
    <m/>
    <m/>
    <m/>
    <m/>
    <x v="52"/>
  </r>
  <r>
    <x v="4"/>
    <s v="889.2"/>
    <m/>
    <m/>
    <m/>
    <m/>
    <x v="53"/>
  </r>
  <r>
    <x v="4"/>
    <s v="887.04"/>
    <m/>
    <m/>
    <m/>
    <m/>
    <x v="54"/>
  </r>
  <r>
    <x v="4"/>
    <s v="887.04"/>
    <m/>
    <m/>
    <m/>
    <m/>
    <x v="55"/>
  </r>
  <r>
    <x v="4"/>
    <n v="840"/>
    <m/>
    <m/>
    <m/>
    <m/>
    <x v="56"/>
  </r>
  <r>
    <x v="4"/>
    <n v="575"/>
    <m/>
    <m/>
    <m/>
    <m/>
    <x v="57"/>
  </r>
  <r>
    <x v="6"/>
    <n v="50"/>
    <m/>
    <m/>
    <m/>
    <m/>
    <x v="58"/>
  </r>
  <r>
    <x v="6"/>
    <s v="42.5"/>
    <m/>
    <m/>
    <m/>
    <m/>
    <x v="59"/>
  </r>
  <r>
    <x v="6"/>
    <n v="15"/>
    <m/>
    <m/>
    <m/>
    <m/>
    <x v="60"/>
  </r>
  <r>
    <x v="7"/>
    <m/>
    <m/>
    <m/>
    <n v="6400"/>
    <m/>
    <x v="61"/>
  </r>
  <r>
    <x v="8"/>
    <m/>
    <m/>
    <n v="18720"/>
    <m/>
    <m/>
    <x v="62"/>
  </r>
  <r>
    <x v="8"/>
    <m/>
    <m/>
    <m/>
    <n v="2625"/>
    <m/>
    <x v="63"/>
  </r>
  <r>
    <x v="8"/>
    <m/>
    <m/>
    <m/>
    <n v="4800"/>
    <m/>
    <x v="64"/>
  </r>
  <r>
    <x v="8"/>
    <m/>
    <m/>
    <m/>
    <n v="7600"/>
    <m/>
    <x v="65"/>
  </r>
  <r>
    <x v="8"/>
    <m/>
    <m/>
    <m/>
    <n v="2400"/>
    <m/>
    <x v="66"/>
  </r>
  <r>
    <x v="8"/>
    <m/>
    <m/>
    <m/>
    <n v="3000"/>
    <m/>
    <x v="67"/>
  </r>
  <r>
    <x v="8"/>
    <m/>
    <m/>
    <m/>
    <n v="3200"/>
    <m/>
    <x v="68"/>
  </r>
  <r>
    <x v="8"/>
    <m/>
    <m/>
    <m/>
    <n v="3440"/>
    <m/>
    <x v="69"/>
  </r>
  <r>
    <x v="8"/>
    <m/>
    <m/>
    <m/>
    <m/>
    <n v="2450"/>
    <x v="70"/>
  </r>
  <r>
    <x v="9"/>
    <m/>
    <m/>
    <m/>
    <n v="2570"/>
    <m/>
    <x v="71"/>
  </r>
  <r>
    <x v="9"/>
    <m/>
    <m/>
    <m/>
    <m/>
    <n v="133470"/>
    <x v="72"/>
  </r>
  <r>
    <x v="5"/>
    <m/>
    <n v="3360"/>
    <m/>
    <m/>
    <m/>
    <x v="73"/>
  </r>
  <r>
    <x v="5"/>
    <m/>
    <n v="1625"/>
    <m/>
    <m/>
    <m/>
    <x v="74"/>
  </r>
  <r>
    <x v="5"/>
    <m/>
    <m/>
    <n v="1920"/>
    <m/>
    <m/>
    <x v="75"/>
  </r>
  <r>
    <x v="5"/>
    <m/>
    <m/>
    <n v="3200"/>
    <m/>
    <m/>
    <x v="76"/>
  </r>
  <r>
    <x v="5"/>
    <m/>
    <m/>
    <n v="3133"/>
    <m/>
    <m/>
    <x v="77"/>
  </r>
  <r>
    <x v="5"/>
    <m/>
    <m/>
    <n v="45"/>
    <m/>
    <m/>
    <x v="78"/>
  </r>
  <r>
    <x v="5"/>
    <m/>
    <m/>
    <n v="89"/>
    <m/>
    <m/>
    <x v="79"/>
  </r>
  <r>
    <x v="5"/>
    <m/>
    <n v="5843"/>
    <n v="5676"/>
    <m/>
    <m/>
    <x v="80"/>
  </r>
  <r>
    <x v="1"/>
    <m/>
    <m/>
    <n v="3700"/>
    <n v="7400"/>
    <n v="3700"/>
    <x v="81"/>
  </r>
  <r>
    <x v="1"/>
    <m/>
    <m/>
    <n v="4440"/>
    <m/>
    <m/>
    <x v="82"/>
  </r>
  <r>
    <x v="1"/>
    <m/>
    <m/>
    <n v="7104"/>
    <m/>
    <m/>
    <x v="83"/>
  </r>
  <r>
    <x v="1"/>
    <m/>
    <m/>
    <m/>
    <n v="7400"/>
    <m/>
    <x v="84"/>
  </r>
  <r>
    <x v="1"/>
    <m/>
    <m/>
    <m/>
    <n v="8140"/>
    <m/>
    <x v="85"/>
  </r>
  <r>
    <x v="1"/>
    <m/>
    <m/>
    <m/>
    <n v="8510"/>
    <m/>
    <x v="86"/>
  </r>
  <r>
    <x v="1"/>
    <m/>
    <m/>
    <m/>
    <n v="8695"/>
    <m/>
    <x v="87"/>
  </r>
  <r>
    <x v="1"/>
    <m/>
    <m/>
    <n v="9213"/>
    <m/>
    <m/>
    <x v="88"/>
  </r>
  <r>
    <x v="1"/>
    <m/>
    <m/>
    <n v="11285"/>
    <m/>
    <m/>
    <x v="89"/>
  </r>
  <r>
    <x v="1"/>
    <m/>
    <m/>
    <m/>
    <n v="11470"/>
    <m/>
    <x v="90"/>
  </r>
  <r>
    <x v="1"/>
    <m/>
    <m/>
    <m/>
    <n v="11840"/>
    <m/>
    <x v="91"/>
  </r>
  <r>
    <x v="1"/>
    <m/>
    <m/>
    <m/>
    <n v="12025"/>
    <m/>
    <x v="92"/>
  </r>
  <r>
    <x v="1"/>
    <m/>
    <m/>
    <m/>
    <n v="12580"/>
    <m/>
    <x v="93"/>
  </r>
  <r>
    <x v="1"/>
    <m/>
    <m/>
    <n v="15910"/>
    <m/>
    <m/>
    <x v="94"/>
  </r>
  <r>
    <x v="1"/>
    <m/>
    <m/>
    <m/>
    <n v="1850"/>
    <m/>
    <x v="95"/>
  </r>
  <r>
    <x v="1"/>
    <m/>
    <m/>
    <m/>
    <n v="22940"/>
    <m/>
    <x v="96"/>
  </r>
  <r>
    <x v="1"/>
    <m/>
    <n v="109610"/>
    <n v="148386"/>
    <m/>
    <m/>
    <x v="97"/>
  </r>
  <r>
    <x v="1"/>
    <m/>
    <m/>
    <m/>
    <m/>
    <n v="8050"/>
    <x v="98"/>
  </r>
  <r>
    <x v="1"/>
    <m/>
    <m/>
    <m/>
    <m/>
    <n v="8621"/>
    <x v="99"/>
  </r>
  <r>
    <x v="0"/>
    <m/>
    <m/>
    <n v="0"/>
    <m/>
    <m/>
    <x v="100"/>
  </r>
  <r>
    <x v="0"/>
    <m/>
    <m/>
    <m/>
    <n v="79920"/>
    <n v="79920"/>
    <x v="101"/>
  </r>
  <r>
    <x v="0"/>
    <m/>
    <m/>
    <m/>
    <m/>
    <n v="3500"/>
    <x v="102"/>
  </r>
  <r>
    <x v="0"/>
    <m/>
    <m/>
    <m/>
    <m/>
    <n v="10500"/>
    <x v="103"/>
  </r>
  <r>
    <x v="0"/>
    <m/>
    <n v="341868"/>
    <n v="512154"/>
    <n v="320346"/>
    <n v="242424"/>
    <x v="104"/>
  </r>
  <r>
    <x v="4"/>
    <m/>
    <m/>
    <m/>
    <n v="3700"/>
    <n v="3700"/>
    <x v="105"/>
  </r>
  <r>
    <x v="4"/>
    <m/>
    <m/>
    <m/>
    <n v="4440"/>
    <m/>
    <x v="106"/>
  </r>
  <r>
    <x v="4"/>
    <m/>
    <m/>
    <m/>
    <m/>
    <n v="4810"/>
    <x v="107"/>
  </r>
  <r>
    <x v="4"/>
    <m/>
    <m/>
    <m/>
    <m/>
    <n v="5550"/>
    <x v="108"/>
  </r>
  <r>
    <x v="4"/>
    <m/>
    <m/>
    <m/>
    <n v="6290"/>
    <m/>
    <x v="109"/>
  </r>
  <r>
    <x v="4"/>
    <m/>
    <m/>
    <m/>
    <m/>
    <n v="7400"/>
    <x v="110"/>
  </r>
  <r>
    <x v="4"/>
    <m/>
    <m/>
    <m/>
    <m/>
    <n v="7400"/>
    <x v="111"/>
  </r>
  <r>
    <x v="4"/>
    <m/>
    <m/>
    <m/>
    <m/>
    <n v="33300"/>
    <x v="112"/>
  </r>
  <r>
    <x v="4"/>
    <m/>
    <m/>
    <m/>
    <n v="12210"/>
    <n v="12210"/>
    <x v="113"/>
  </r>
  <r>
    <x v="4"/>
    <m/>
    <m/>
    <m/>
    <m/>
    <n v="12395"/>
    <x v="114"/>
  </r>
  <r>
    <x v="4"/>
    <m/>
    <m/>
    <m/>
    <m/>
    <n v="13283"/>
    <x v="115"/>
  </r>
  <r>
    <x v="4"/>
    <m/>
    <m/>
    <m/>
    <m/>
    <n v="14430"/>
    <x v="116"/>
  </r>
  <r>
    <x v="4"/>
    <m/>
    <m/>
    <m/>
    <m/>
    <n v="15429"/>
    <x v="117"/>
  </r>
  <r>
    <x v="4"/>
    <m/>
    <m/>
    <m/>
    <m/>
    <n v="33300"/>
    <x v="118"/>
  </r>
  <r>
    <x v="4"/>
    <m/>
    <m/>
    <m/>
    <m/>
    <n v="18500"/>
    <x v="119"/>
  </r>
  <r>
    <x v="4"/>
    <m/>
    <m/>
    <m/>
    <n v="1924"/>
    <m/>
    <x v="120"/>
  </r>
  <r>
    <x v="4"/>
    <m/>
    <m/>
    <m/>
    <n v="20350"/>
    <m/>
    <x v="121"/>
  </r>
  <r>
    <x v="4"/>
    <m/>
    <m/>
    <m/>
    <n v="42180"/>
    <m/>
    <x v="122"/>
  </r>
  <r>
    <x v="4"/>
    <m/>
    <m/>
    <m/>
    <n v="22200"/>
    <m/>
    <x v="123"/>
  </r>
  <r>
    <x v="4"/>
    <m/>
    <m/>
    <m/>
    <n v="25900"/>
    <m/>
    <x v="124"/>
  </r>
  <r>
    <x v="4"/>
    <m/>
    <m/>
    <m/>
    <n v="26085"/>
    <m/>
    <x v="125"/>
  </r>
  <r>
    <x v="4"/>
    <m/>
    <m/>
    <m/>
    <n v="29600"/>
    <m/>
    <x v="126"/>
  </r>
  <r>
    <x v="4"/>
    <m/>
    <m/>
    <n v="2496"/>
    <m/>
    <m/>
    <x v="127"/>
  </r>
  <r>
    <x v="4"/>
    <m/>
    <m/>
    <n v="4245"/>
    <m/>
    <m/>
    <x v="128"/>
  </r>
  <r>
    <x v="4"/>
    <m/>
    <m/>
    <m/>
    <m/>
    <n v="3409"/>
    <x v="129"/>
  </r>
  <r>
    <x v="4"/>
    <m/>
    <m/>
    <m/>
    <m/>
    <n v="5327"/>
    <x v="130"/>
  </r>
  <r>
    <x v="4"/>
    <m/>
    <m/>
    <m/>
    <m/>
    <n v="5584"/>
    <x v="131"/>
  </r>
  <r>
    <x v="4"/>
    <m/>
    <n v="1546"/>
    <m/>
    <m/>
    <m/>
    <x v="132"/>
  </r>
  <r>
    <x v="4"/>
    <m/>
    <m/>
    <n v="1787"/>
    <m/>
    <m/>
    <x v="133"/>
  </r>
  <r>
    <x v="4"/>
    <m/>
    <m/>
    <m/>
    <n v="4257"/>
    <n v="4722"/>
    <x v="134"/>
  </r>
  <r>
    <x v="4"/>
    <m/>
    <n v="7952"/>
    <m/>
    <m/>
    <n v="6193"/>
    <x v="135"/>
  </r>
  <r>
    <x v="4"/>
    <m/>
    <m/>
    <m/>
    <m/>
    <n v="5561"/>
    <x v="136"/>
  </r>
  <r>
    <x v="4"/>
    <m/>
    <m/>
    <n v="7470"/>
    <m/>
    <m/>
    <x v="137"/>
  </r>
  <r>
    <x v="4"/>
    <m/>
    <m/>
    <m/>
    <n v="1337"/>
    <m/>
    <x v="138"/>
  </r>
  <r>
    <x v="4"/>
    <m/>
    <m/>
    <m/>
    <n v="2939"/>
    <m/>
    <x v="139"/>
  </r>
  <r>
    <x v="4"/>
    <m/>
    <m/>
    <m/>
    <m/>
    <n v="614"/>
    <x v="140"/>
  </r>
  <r>
    <x v="4"/>
    <m/>
    <m/>
    <m/>
    <n v="1184"/>
    <m/>
    <x v="141"/>
  </r>
  <r>
    <x v="4"/>
    <m/>
    <m/>
    <m/>
    <n v="2747"/>
    <m/>
    <x v="142"/>
  </r>
  <r>
    <x v="4"/>
    <m/>
    <m/>
    <m/>
    <m/>
    <n v="6288"/>
    <x v="143"/>
  </r>
  <r>
    <x v="4"/>
    <m/>
    <m/>
    <m/>
    <m/>
    <n v="4368"/>
    <x v="144"/>
  </r>
  <r>
    <x v="4"/>
    <m/>
    <m/>
    <m/>
    <m/>
    <n v="2184"/>
    <x v="145"/>
  </r>
  <r>
    <x v="4"/>
    <m/>
    <m/>
    <m/>
    <m/>
    <n v="6552"/>
    <x v="146"/>
  </r>
  <r>
    <x v="4"/>
    <m/>
    <m/>
    <m/>
    <m/>
    <n v="6552"/>
    <x v="147"/>
  </r>
  <r>
    <x v="4"/>
    <m/>
    <m/>
    <m/>
    <m/>
    <n v="1120"/>
    <x v="148"/>
  </r>
  <r>
    <x v="4"/>
    <m/>
    <m/>
    <n v="3584"/>
    <m/>
    <m/>
    <x v="149"/>
  </r>
  <r>
    <x v="4"/>
    <m/>
    <m/>
    <n v="2496"/>
    <m/>
    <m/>
    <x v="150"/>
  </r>
  <r>
    <x v="4"/>
    <m/>
    <n v="3744"/>
    <n v="3744"/>
    <m/>
    <m/>
    <x v="151"/>
  </r>
  <r>
    <x v="4"/>
    <m/>
    <m/>
    <n v="1248"/>
    <m/>
    <m/>
    <x v="152"/>
  </r>
  <r>
    <x v="4"/>
    <m/>
    <n v="4992"/>
    <m/>
    <n v="3120"/>
    <m/>
    <x v="153"/>
  </r>
  <r>
    <x v="4"/>
    <m/>
    <n v="1248"/>
    <m/>
    <m/>
    <m/>
    <x v="154"/>
  </r>
  <r>
    <x v="4"/>
    <m/>
    <m/>
    <n v="3744"/>
    <m/>
    <m/>
    <x v="155"/>
  </r>
  <r>
    <x v="4"/>
    <m/>
    <m/>
    <m/>
    <n v="7196"/>
    <m/>
    <x v="156"/>
  </r>
  <r>
    <x v="4"/>
    <m/>
    <m/>
    <n v="326"/>
    <m/>
    <m/>
    <x v="157"/>
  </r>
  <r>
    <x v="4"/>
    <m/>
    <n v="2218"/>
    <m/>
    <m/>
    <m/>
    <x v="158"/>
  </r>
  <r>
    <x v="4"/>
    <m/>
    <m/>
    <n v="780"/>
    <m/>
    <m/>
    <x v="159"/>
  </r>
  <r>
    <x v="4"/>
    <m/>
    <m/>
    <m/>
    <m/>
    <n v="2248"/>
    <x v="160"/>
  </r>
  <r>
    <x v="4"/>
    <m/>
    <m/>
    <m/>
    <n v="3952"/>
    <m/>
    <x v="161"/>
  </r>
  <r>
    <x v="4"/>
    <m/>
    <m/>
    <m/>
    <n v="6240"/>
    <m/>
    <x v="162"/>
  </r>
  <r>
    <x v="4"/>
    <m/>
    <m/>
    <m/>
    <m/>
    <n v="6552"/>
    <x v="163"/>
  </r>
  <r>
    <x v="4"/>
    <m/>
    <n v="1248"/>
    <m/>
    <m/>
    <m/>
    <x v="164"/>
  </r>
  <r>
    <x v="4"/>
    <m/>
    <n v="2496"/>
    <m/>
    <m/>
    <m/>
    <x v="165"/>
  </r>
  <r>
    <x v="4"/>
    <m/>
    <m/>
    <m/>
    <m/>
    <n v="16646"/>
    <x v="166"/>
  </r>
  <r>
    <x v="4"/>
    <m/>
    <m/>
    <n v="4114"/>
    <m/>
    <m/>
    <x v="167"/>
  </r>
  <r>
    <x v="4"/>
    <m/>
    <n v="21115"/>
    <n v="12750"/>
    <n v="7417"/>
    <m/>
    <x v="168"/>
  </r>
  <r>
    <x v="4"/>
    <m/>
    <m/>
    <m/>
    <n v="523"/>
    <m/>
    <x v="169"/>
  </r>
  <r>
    <x v="4"/>
    <m/>
    <n v="887"/>
    <m/>
    <m/>
    <m/>
    <x v="170"/>
  </r>
  <r>
    <x v="4"/>
    <m/>
    <n v="523"/>
    <m/>
    <m/>
    <m/>
    <x v="171"/>
  </r>
  <r>
    <x v="4"/>
    <m/>
    <m/>
    <m/>
    <n v="3"/>
    <m/>
    <x v="172"/>
  </r>
  <r>
    <x v="4"/>
    <m/>
    <n v="9"/>
    <m/>
    <m/>
    <m/>
    <x v="173"/>
  </r>
  <r>
    <x v="4"/>
    <m/>
    <m/>
    <m/>
    <m/>
    <n v="8736"/>
    <x v="174"/>
  </r>
  <r>
    <x v="4"/>
    <m/>
    <m/>
    <m/>
    <n v="1976"/>
    <m/>
    <x v="175"/>
  </r>
  <r>
    <x v="4"/>
    <m/>
    <m/>
    <m/>
    <m/>
    <n v="9194"/>
    <x v="176"/>
  </r>
  <r>
    <x v="4"/>
    <m/>
    <n v="5780"/>
    <m/>
    <m/>
    <m/>
    <x v="177"/>
  </r>
  <r>
    <x v="4"/>
    <m/>
    <n v="5340"/>
    <m/>
    <m/>
    <m/>
    <x v="178"/>
  </r>
  <r>
    <x v="4"/>
    <m/>
    <n v="54193"/>
    <n v="6110"/>
    <m/>
    <m/>
    <x v="179"/>
  </r>
  <r>
    <x v="4"/>
    <m/>
    <m/>
    <n v="6740"/>
    <m/>
    <m/>
    <x v="180"/>
  </r>
  <r>
    <x v="4"/>
    <m/>
    <m/>
    <m/>
    <n v="3263"/>
    <m/>
    <x v="181"/>
  </r>
  <r>
    <x v="4"/>
    <m/>
    <m/>
    <m/>
    <n v="1696"/>
    <m/>
    <x v="182"/>
  </r>
  <r>
    <x v="4"/>
    <m/>
    <n v="3197"/>
    <m/>
    <m/>
    <m/>
    <x v="183"/>
  </r>
  <r>
    <x v="4"/>
    <m/>
    <n v="1080"/>
    <m/>
    <m/>
    <m/>
    <x v="184"/>
  </r>
  <r>
    <x v="4"/>
    <m/>
    <m/>
    <m/>
    <n v="4958"/>
    <m/>
    <x v="185"/>
  </r>
  <r>
    <x v="4"/>
    <m/>
    <m/>
    <m/>
    <n v="9787"/>
    <m/>
    <x v="186"/>
  </r>
  <r>
    <x v="4"/>
    <m/>
    <m/>
    <n v="11958"/>
    <m/>
    <m/>
    <x v="187"/>
  </r>
  <r>
    <x v="4"/>
    <m/>
    <m/>
    <n v="5124"/>
    <m/>
    <m/>
    <x v="188"/>
  </r>
  <r>
    <x v="4"/>
    <m/>
    <m/>
    <m/>
    <n v="4819"/>
    <m/>
    <x v="189"/>
  </r>
  <r>
    <x v="4"/>
    <m/>
    <m/>
    <m/>
    <n v="4887"/>
    <m/>
    <x v="190"/>
  </r>
  <r>
    <x v="4"/>
    <m/>
    <m/>
    <n v="19925"/>
    <m/>
    <m/>
    <x v="191"/>
  </r>
  <r>
    <x v="4"/>
    <m/>
    <m/>
    <m/>
    <n v="14850"/>
    <m/>
    <x v="71"/>
  </r>
  <r>
    <x v="4"/>
    <m/>
    <n v="1157"/>
    <m/>
    <m/>
    <m/>
    <x v="192"/>
  </r>
  <r>
    <x v="4"/>
    <m/>
    <n v="10296"/>
    <n v="8105"/>
    <m/>
    <m/>
    <x v="193"/>
  </r>
  <r>
    <x v="4"/>
    <m/>
    <m/>
    <m/>
    <n v="3588"/>
    <m/>
    <x v="194"/>
  </r>
  <r>
    <x v="4"/>
    <m/>
    <m/>
    <m/>
    <n v="2970"/>
    <n v="16201"/>
    <x v="195"/>
  </r>
  <r>
    <x v="4"/>
    <m/>
    <n v="9480"/>
    <m/>
    <m/>
    <m/>
    <x v="196"/>
  </r>
  <r>
    <x v="4"/>
    <m/>
    <m/>
    <n v="67680"/>
    <m/>
    <m/>
    <x v="197"/>
  </r>
  <r>
    <x v="4"/>
    <m/>
    <m/>
    <m/>
    <m/>
    <n v="6864"/>
    <x v="198"/>
  </r>
  <r>
    <x v="4"/>
    <m/>
    <m/>
    <m/>
    <n v="7304"/>
    <m/>
    <x v="199"/>
  </r>
  <r>
    <x v="4"/>
    <m/>
    <m/>
    <m/>
    <n v="5553"/>
    <m/>
    <x v="200"/>
  </r>
  <r>
    <x v="4"/>
    <m/>
    <n v="22455"/>
    <m/>
    <m/>
    <m/>
    <x v="201"/>
  </r>
  <r>
    <x v="4"/>
    <m/>
    <m/>
    <m/>
    <m/>
    <n v="6785"/>
    <x v="202"/>
  </r>
  <r>
    <x v="4"/>
    <m/>
    <n v="5382"/>
    <m/>
    <m/>
    <m/>
    <x v="203"/>
  </r>
  <r>
    <x v="4"/>
    <m/>
    <m/>
    <m/>
    <m/>
    <n v="5941"/>
    <x v="204"/>
  </r>
  <r>
    <x v="4"/>
    <m/>
    <n v="20532"/>
    <m/>
    <m/>
    <m/>
    <x v="205"/>
  </r>
  <r>
    <x v="4"/>
    <m/>
    <m/>
    <m/>
    <m/>
    <n v="410"/>
    <x v="206"/>
  </r>
  <r>
    <x v="4"/>
    <m/>
    <m/>
    <m/>
    <m/>
    <n v="225"/>
    <x v="207"/>
  </r>
  <r>
    <x v="4"/>
    <m/>
    <m/>
    <m/>
    <m/>
    <n v="125"/>
    <x v="208"/>
  </r>
  <r>
    <x v="4"/>
    <m/>
    <m/>
    <m/>
    <n v="13828"/>
    <m/>
    <x v="209"/>
  </r>
  <r>
    <x v="4"/>
    <m/>
    <n v="1978"/>
    <n v="2093"/>
    <n v="4796"/>
    <m/>
    <x v="210"/>
  </r>
  <r>
    <x v="4"/>
    <m/>
    <n v="2660"/>
    <m/>
    <m/>
    <m/>
    <x v="211"/>
  </r>
  <r>
    <x v="4"/>
    <m/>
    <n v="1620"/>
    <m/>
    <m/>
    <m/>
    <x v="212"/>
  </r>
  <r>
    <x v="4"/>
    <m/>
    <n v="4125"/>
    <m/>
    <m/>
    <m/>
    <x v="213"/>
  </r>
  <r>
    <x v="4"/>
    <m/>
    <m/>
    <m/>
    <m/>
    <n v="4241"/>
    <x v="214"/>
  </r>
  <r>
    <x v="4"/>
    <m/>
    <m/>
    <m/>
    <m/>
    <n v="24693"/>
    <x v="215"/>
  </r>
  <r>
    <x v="4"/>
    <m/>
    <m/>
    <m/>
    <m/>
    <n v="24693"/>
    <x v="216"/>
  </r>
  <r>
    <x v="4"/>
    <m/>
    <m/>
    <n v="203"/>
    <m/>
    <m/>
    <x v="217"/>
  </r>
  <r>
    <x v="4"/>
    <m/>
    <m/>
    <n v="51"/>
    <m/>
    <m/>
    <x v="218"/>
  </r>
  <r>
    <x v="4"/>
    <m/>
    <m/>
    <n v="419"/>
    <m/>
    <m/>
    <x v="219"/>
  </r>
  <r>
    <x v="4"/>
    <m/>
    <n v="56"/>
    <m/>
    <m/>
    <m/>
    <x v="220"/>
  </r>
  <r>
    <x v="4"/>
    <m/>
    <n v="300"/>
    <m/>
    <m/>
    <m/>
    <x v="221"/>
  </r>
  <r>
    <x v="4"/>
    <m/>
    <m/>
    <n v="147"/>
    <m/>
    <m/>
    <x v="222"/>
  </r>
  <r>
    <x v="4"/>
    <m/>
    <m/>
    <m/>
    <m/>
    <n v="12"/>
    <x v="223"/>
  </r>
  <r>
    <x v="4"/>
    <m/>
    <m/>
    <m/>
    <n v="53"/>
    <m/>
    <x v="224"/>
  </r>
  <r>
    <x v="4"/>
    <m/>
    <m/>
    <m/>
    <n v="16"/>
    <m/>
    <x v="225"/>
  </r>
  <r>
    <x v="4"/>
    <m/>
    <m/>
    <m/>
    <m/>
    <n v="2"/>
    <x v="226"/>
  </r>
  <r>
    <x v="4"/>
    <m/>
    <m/>
    <m/>
    <m/>
    <n v="3400"/>
    <x v="227"/>
  </r>
  <r>
    <x v="4"/>
    <m/>
    <m/>
    <n v="4800"/>
    <m/>
    <m/>
    <x v="228"/>
  </r>
  <r>
    <x v="4"/>
    <m/>
    <m/>
    <m/>
    <m/>
    <n v="20208"/>
    <x v="229"/>
  </r>
  <r>
    <x v="4"/>
    <m/>
    <m/>
    <n v="245"/>
    <m/>
    <m/>
    <x v="230"/>
  </r>
  <r>
    <x v="4"/>
    <m/>
    <n v="479"/>
    <m/>
    <m/>
    <m/>
    <x v="231"/>
  </r>
  <r>
    <x v="4"/>
    <m/>
    <m/>
    <n v="456"/>
    <m/>
    <m/>
    <x v="232"/>
  </r>
  <r>
    <x v="4"/>
    <m/>
    <m/>
    <n v="354"/>
    <m/>
    <m/>
    <x v="233"/>
  </r>
  <r>
    <x v="4"/>
    <m/>
    <n v="16797"/>
    <m/>
    <m/>
    <m/>
    <x v="234"/>
  </r>
  <r>
    <x v="10"/>
    <m/>
    <m/>
    <n v="2"/>
    <m/>
    <m/>
    <x v="235"/>
  </r>
  <r>
    <x v="2"/>
    <m/>
    <m/>
    <n v="25636"/>
    <m/>
    <m/>
    <x v="236"/>
  </r>
  <r>
    <x v="2"/>
    <m/>
    <m/>
    <m/>
    <n v="5550"/>
    <m/>
    <x v="237"/>
  </r>
  <r>
    <x v="2"/>
    <m/>
    <m/>
    <m/>
    <n v="6660"/>
    <m/>
    <x v="238"/>
  </r>
  <r>
    <x v="2"/>
    <m/>
    <m/>
    <m/>
    <n v="7400"/>
    <m/>
    <x v="84"/>
  </r>
  <r>
    <x v="2"/>
    <m/>
    <m/>
    <m/>
    <n v="9990"/>
    <m/>
    <x v="239"/>
  </r>
  <r>
    <x v="2"/>
    <m/>
    <m/>
    <m/>
    <m/>
    <n v="13320"/>
    <x v="240"/>
  </r>
  <r>
    <x v="2"/>
    <m/>
    <m/>
    <m/>
    <n v="2220"/>
    <m/>
    <x v="241"/>
  </r>
  <r>
    <x v="2"/>
    <m/>
    <m/>
    <n v="69893"/>
    <m/>
    <m/>
    <x v="97"/>
  </r>
  <r>
    <x v="2"/>
    <m/>
    <m/>
    <m/>
    <n v="7160"/>
    <m/>
    <x v="242"/>
  </r>
  <r>
    <x v="2"/>
    <m/>
    <m/>
    <m/>
    <n v="8000"/>
    <m/>
    <x v="243"/>
  </r>
  <r>
    <x v="2"/>
    <m/>
    <m/>
    <m/>
    <n v="10400"/>
    <m/>
    <x v="244"/>
  </r>
  <r>
    <x v="2"/>
    <m/>
    <m/>
    <m/>
    <n v="2600"/>
    <m/>
    <x v="245"/>
  </r>
  <r>
    <x v="2"/>
    <m/>
    <m/>
    <m/>
    <n v="2600"/>
    <m/>
    <x v="246"/>
  </r>
  <r>
    <x v="2"/>
    <m/>
    <n v="178360"/>
    <n v="103720"/>
    <m/>
    <m/>
    <x v="197"/>
  </r>
  <r>
    <x v="2"/>
    <m/>
    <n v="14200"/>
    <m/>
    <m/>
    <m/>
    <x v="247"/>
  </r>
  <r>
    <x v="2"/>
    <m/>
    <m/>
    <m/>
    <m/>
    <n v="4255"/>
    <x v="248"/>
  </r>
  <r>
    <x v="2"/>
    <m/>
    <m/>
    <m/>
    <m/>
    <n v="9620"/>
    <x v="249"/>
  </r>
  <r>
    <x v="2"/>
    <m/>
    <m/>
    <m/>
    <m/>
    <n v="13690"/>
    <x v="250"/>
  </r>
  <r>
    <x v="2"/>
    <m/>
    <m/>
    <m/>
    <n v="3750"/>
    <m/>
    <x v="251"/>
  </r>
  <r>
    <x v="2"/>
    <m/>
    <m/>
    <m/>
    <n v="5250"/>
    <m/>
    <x v="252"/>
  </r>
  <r>
    <x v="2"/>
    <m/>
    <n v="5925"/>
    <m/>
    <m/>
    <m/>
    <x v="253"/>
  </r>
  <r>
    <x v="11"/>
    <m/>
    <m/>
    <m/>
    <n v="2990"/>
    <m/>
    <x v="254"/>
  </r>
  <r>
    <x v="11"/>
    <m/>
    <m/>
    <m/>
    <m/>
    <n v="6260"/>
    <x v="255"/>
  </r>
  <r>
    <x v="11"/>
    <m/>
    <m/>
    <m/>
    <n v="17101"/>
    <m/>
    <x v="256"/>
  </r>
  <r>
    <x v="11"/>
    <m/>
    <m/>
    <m/>
    <m/>
    <n v="11364"/>
    <x v="257"/>
  </r>
  <r>
    <x v="11"/>
    <m/>
    <m/>
    <m/>
    <m/>
    <n v="5736"/>
    <x v="258"/>
  </r>
  <r>
    <x v="11"/>
    <m/>
    <m/>
    <m/>
    <m/>
    <n v="10672"/>
    <x v="259"/>
  </r>
  <r>
    <x v="11"/>
    <m/>
    <m/>
    <m/>
    <n v="6021"/>
    <m/>
    <x v="260"/>
  </r>
  <r>
    <x v="11"/>
    <m/>
    <m/>
    <m/>
    <m/>
    <n v="4349"/>
    <x v="261"/>
  </r>
  <r>
    <x v="11"/>
    <m/>
    <m/>
    <m/>
    <n v="5180"/>
    <m/>
    <x v="262"/>
  </r>
  <r>
    <x v="11"/>
    <m/>
    <m/>
    <m/>
    <m/>
    <n v="15450"/>
    <x v="263"/>
  </r>
  <r>
    <x v="11"/>
    <m/>
    <m/>
    <m/>
    <m/>
    <n v="9330"/>
    <x v="264"/>
  </r>
  <r>
    <x v="11"/>
    <m/>
    <m/>
    <m/>
    <n v="11360"/>
    <n v="53305"/>
    <x v="71"/>
  </r>
  <r>
    <x v="11"/>
    <m/>
    <m/>
    <m/>
    <n v="3363"/>
    <m/>
    <x v="265"/>
  </r>
  <r>
    <x v="6"/>
    <m/>
    <m/>
    <n v="0"/>
    <m/>
    <m/>
    <x v="266"/>
  </r>
  <r>
    <x v="12"/>
    <m/>
    <m/>
    <m/>
    <n v="1961"/>
    <m/>
    <x v="267"/>
  </r>
  <r>
    <x v="12"/>
    <m/>
    <m/>
    <m/>
    <n v="2000"/>
    <m/>
    <x v="268"/>
  </r>
  <r>
    <x v="12"/>
    <m/>
    <m/>
    <n v="3000"/>
    <m/>
    <m/>
    <x v="67"/>
  </r>
  <r>
    <x v="13"/>
    <n v="1097987.78"/>
    <n v="878304"/>
    <n v="1130420"/>
    <n v="990845"/>
    <n v="1047343"/>
    <x v="2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81E6A6-9A02-4247-88B1-75115AEA3B8E}" name="TablaDinámica1" cacheId="0"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F16" firstHeaderRow="0" firstDataRow="1" firstDataCol="1" rowPageCount="1" colPageCount="1"/>
  <pivotFields count="7">
    <pivotField axis="axisRow" showAll="0">
      <items count="15">
        <item x="7"/>
        <item x="8"/>
        <item x="9"/>
        <item x="5"/>
        <item x="3"/>
        <item x="1"/>
        <item x="0"/>
        <item x="4"/>
        <item x="10"/>
        <item x="2"/>
        <item x="11"/>
        <item x="6"/>
        <item x="13"/>
        <item x="12"/>
        <item t="default"/>
      </items>
    </pivotField>
    <pivotField dataField="1" showAll="0"/>
    <pivotField dataField="1" showAll="0"/>
    <pivotField dataField="1" showAll="0"/>
    <pivotField dataField="1" showAll="0"/>
    <pivotField dataField="1" showAll="0"/>
    <pivotField axis="axisPage" multipleItemSelectionAllowed="1" showAll="0">
      <items count="271">
        <item x="105"/>
        <item x="106"/>
        <item x="107"/>
        <item x="108"/>
        <item x="109"/>
        <item x="110"/>
        <item x="111"/>
        <item x="112"/>
        <item x="113"/>
        <item x="114"/>
        <item x="115"/>
        <item x="116"/>
        <item x="117"/>
        <item x="118"/>
        <item x="119"/>
        <item x="120"/>
        <item x="121"/>
        <item x="122"/>
        <item x="123"/>
        <item x="124"/>
        <item x="125"/>
        <item x="126"/>
        <item h="1" x="33"/>
        <item h="1" x="45"/>
        <item h="1" x="100"/>
        <item x="127"/>
        <item x="128"/>
        <item x="129"/>
        <item x="130"/>
        <item x="131"/>
        <item x="132"/>
        <item x="133"/>
        <item x="134"/>
        <item x="135"/>
        <item x="136"/>
        <item x="137"/>
        <item x="138"/>
        <item x="139"/>
        <item x="140"/>
        <item x="141"/>
        <item x="142"/>
        <item x="143"/>
        <item x="144"/>
        <item x="145"/>
        <item x="146"/>
        <item x="147"/>
        <item x="148"/>
        <item x="149"/>
        <item x="56"/>
        <item x="150"/>
        <item x="151"/>
        <item x="152"/>
        <item x="153"/>
        <item x="154"/>
        <item x="155"/>
        <item x="156"/>
        <item x="157"/>
        <item x="52"/>
        <item x="158"/>
        <item x="159"/>
        <item x="236"/>
        <item x="28"/>
        <item x="73"/>
        <item x="160"/>
        <item x="254"/>
        <item x="255"/>
        <item x="235"/>
        <item x="161"/>
        <item x="162"/>
        <item x="38"/>
        <item x="74"/>
        <item x="57"/>
        <item x="163"/>
        <item x="26"/>
        <item x="49"/>
        <item x="164"/>
        <item x="34"/>
        <item x="27"/>
        <item x="165"/>
        <item x="166"/>
        <item x="167"/>
        <item x="168"/>
        <item x="22"/>
        <item x="16"/>
        <item x="50"/>
        <item x="169"/>
        <item x="170"/>
        <item x="54"/>
        <item x="171"/>
        <item x="55"/>
        <item x="172"/>
        <item x="173"/>
        <item x="30"/>
        <item x="8"/>
        <item x="174"/>
        <item x="175"/>
        <item x="48"/>
        <item x="176"/>
        <item x="21"/>
        <item x="101"/>
        <item x="177"/>
        <item x="39"/>
        <item x="35"/>
        <item x="25"/>
        <item x="75"/>
        <item x="178"/>
        <item x="179"/>
        <item x="18"/>
        <item x="37"/>
        <item x="36"/>
        <item x="29"/>
        <item x="40"/>
        <item x="42"/>
        <item x="180"/>
        <item x="256"/>
        <item x="257"/>
        <item x="181"/>
        <item x="258"/>
        <item x="259"/>
        <item x="182"/>
        <item x="260"/>
        <item x="183"/>
        <item x="261"/>
        <item x="24"/>
        <item x="184"/>
        <item x="13"/>
        <item x="185"/>
        <item x="5"/>
        <item x="81"/>
        <item x="82"/>
        <item x="237"/>
        <item x="238"/>
        <item x="83"/>
        <item x="84"/>
        <item x="85"/>
        <item x="86"/>
        <item x="87"/>
        <item x="88"/>
        <item x="239"/>
        <item x="89"/>
        <item x="90"/>
        <item x="91"/>
        <item x="92"/>
        <item x="93"/>
        <item x="240"/>
        <item x="94"/>
        <item x="95"/>
        <item x="241"/>
        <item x="96"/>
        <item x="97"/>
        <item x="1"/>
        <item x="2"/>
        <item x="23"/>
        <item x="15"/>
        <item x="14"/>
        <item x="12"/>
        <item x="9"/>
        <item x="4"/>
        <item x="10"/>
        <item x="267"/>
        <item x="186"/>
        <item x="262"/>
        <item x="187"/>
        <item x="188"/>
        <item x="189"/>
        <item x="190"/>
        <item x="62"/>
        <item x="263"/>
        <item x="264"/>
        <item x="191"/>
        <item x="71"/>
        <item x="11"/>
        <item x="192"/>
        <item x="193"/>
        <item x="46"/>
        <item x="194"/>
        <item x="195"/>
        <item x="196"/>
        <item x="61"/>
        <item x="98"/>
        <item x="76"/>
        <item x="72"/>
        <item x="63"/>
        <item x="242"/>
        <item x="243"/>
        <item x="244"/>
        <item x="245"/>
        <item x="102"/>
        <item x="64"/>
        <item x="65"/>
        <item x="103"/>
        <item x="268"/>
        <item x="66"/>
        <item x="67"/>
        <item x="68"/>
        <item x="69"/>
        <item x="246"/>
        <item x="104"/>
        <item x="0"/>
        <item x="197"/>
        <item x="3"/>
        <item x="32"/>
        <item x="247"/>
        <item x="31"/>
        <item x="248"/>
        <item x="99"/>
        <item x="249"/>
        <item x="250"/>
        <item h="1" x="198"/>
        <item x="199"/>
        <item x="200"/>
        <item x="201"/>
        <item x="202"/>
        <item h="1" x="203"/>
        <item h="1" x="204"/>
        <item h="1" x="205"/>
        <item x="206"/>
        <item h="1" x="207"/>
        <item x="208"/>
        <item x="47"/>
        <item x="77"/>
        <item h="1" x="51"/>
        <item x="209"/>
        <item h="1" x="210"/>
        <item h="1" x="43"/>
        <item h="1" x="211"/>
        <item h="1" x="212"/>
        <item x="213"/>
        <item h="1" x="214"/>
        <item h="1" x="215"/>
        <item h="1" x="216"/>
        <item h="1" x="78"/>
        <item h="1" x="217"/>
        <item h="1" x="218"/>
        <item h="1" x="219"/>
        <item h="1" x="220"/>
        <item h="1" x="221"/>
        <item h="1" x="222"/>
        <item h="1" x="251"/>
        <item h="1" x="252"/>
        <item h="1" x="60"/>
        <item h="1" x="58"/>
        <item h="1" x="59"/>
        <item h="1" x="253"/>
        <item x="41"/>
        <item x="53"/>
        <item h="1" x="265"/>
        <item h="1" x="17"/>
        <item h="1" x="7"/>
        <item h="1" x="6"/>
        <item h="1" x="19"/>
        <item h="1" x="79"/>
        <item h="1" x="223"/>
        <item h="1" x="224"/>
        <item h="1" x="225"/>
        <item h="1" x="226"/>
        <item h="1" x="44"/>
        <item h="1" x="80"/>
        <item h="1" x="266"/>
        <item h="1" x="70"/>
        <item x="227"/>
        <item x="228"/>
        <item x="229"/>
        <item x="20"/>
        <item x="230"/>
        <item x="231"/>
        <item x="232"/>
        <item x="233"/>
        <item x="234"/>
        <item h="1" x="269"/>
        <item t="default"/>
      </items>
    </pivotField>
  </pivotFields>
  <rowFields count="1">
    <field x="0"/>
  </rowFields>
  <rowItems count="13">
    <i>
      <x/>
    </i>
    <i>
      <x v="1"/>
    </i>
    <i>
      <x v="2"/>
    </i>
    <i>
      <x v="3"/>
    </i>
    <i>
      <x v="4"/>
    </i>
    <i>
      <x v="5"/>
    </i>
    <i>
      <x v="6"/>
    </i>
    <i>
      <x v="7"/>
    </i>
    <i>
      <x v="8"/>
    </i>
    <i>
      <x v="9"/>
    </i>
    <i>
      <x v="10"/>
    </i>
    <i>
      <x v="13"/>
    </i>
    <i t="grand">
      <x/>
    </i>
  </rowItems>
  <colFields count="1">
    <field x="-2"/>
  </colFields>
  <colItems count="5">
    <i>
      <x/>
    </i>
    <i i="1">
      <x v="1"/>
    </i>
    <i i="2">
      <x v="2"/>
    </i>
    <i i="3">
      <x v="3"/>
    </i>
    <i i="4">
      <x v="4"/>
    </i>
  </colItems>
  <pageFields count="1">
    <pageField fld="6" hier="-1"/>
  </pageFields>
  <dataFields count="5">
    <dataField name="Suma de FOB_2020" fld="1" baseField="0" baseItem="0"/>
    <dataField name="Suma de FOB_2021" fld="2" baseField="0" baseItem="0"/>
    <dataField name="Suma de FOB_2022" fld="3" baseField="0" baseItem="0"/>
    <dataField name="Suma de FOB_2023" fld="4" baseField="0" baseItem="0"/>
    <dataField name="Suma de FOB_2024"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FCC202-FBAF-447E-8EAC-952BBA32AD04}" name="Tabla2" displayName="Tabla2" ref="B20:J33" totalsRowShown="0" dataDxfId="2" dataCellStyle="Porcentaje">
  <autoFilter ref="B20:J33" xr:uid="{E6FCC202-FBAF-447E-8EAC-952BBA32AD04}"/>
  <tableColumns count="9">
    <tableColumn id="1" xr3:uid="{1E7ADFCF-3F61-4757-AD15-5E15C611EAE2}" name="P. NETO"/>
    <tableColumn id="2" xr3:uid="{1B26B52C-907B-4E11-AF0B-AE2A2737DA04}" name="P. NETO 2020"/>
    <tableColumn id="3" xr3:uid="{B4E67359-1C01-4F27-BD7C-E99457D4AE1C}" name="P. NETO 2021"/>
    <tableColumn id="4" xr3:uid="{0C59A348-89C9-495E-AEC2-97007FAC2ACB}" name="P. NETO 2022"/>
    <tableColumn id="5" xr3:uid="{CD72DE6C-5F04-4AB6-8D77-DAE09E9F48FB}" name="P. NETO 2023"/>
    <tableColumn id="6" xr3:uid="{A966B615-F31B-4308-B70E-885FF62CF3A9}" name="P. NETO 2024"/>
    <tableColumn id="7" xr3:uid="{7370D56B-B84D-4757-990D-5CF1286EA0D9}" name="Part % 24" dataDxfId="3" dataCellStyle="Porcentaje">
      <calculatedColumnFormula>G21/$G$33</calculatedColumnFormula>
    </tableColumn>
    <tableColumn id="8" xr3:uid="{827FEF68-BEF5-4CB3-BADC-0A81967B83EC}" name="Var % 24/23" dataDxfId="1" dataCellStyle="Porcentaje"/>
    <tableColumn id="9" xr3:uid="{101FB839-8EE1-40CC-9C8D-7B0F6AF606E9}" name="TCP % 24/20" dataDxfId="0" dataCellStyle="Porcentaj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G278" totalsRowShown="0">
  <autoFilter ref="A1:G278" xr:uid="{00000000-0009-0000-0100-000001000000}"/>
  <tableColumns count="7">
    <tableColumn id="1" xr3:uid="{00000000-0010-0000-0000-000001000000}" name="DEPARTAMENTO"/>
    <tableColumn id="2" xr3:uid="{00000000-0010-0000-0000-000002000000}" name="FOB_2020"/>
    <tableColumn id="3" xr3:uid="{00000000-0010-0000-0000-000003000000}" name="FOB_2021"/>
    <tableColumn id="4" xr3:uid="{00000000-0010-0000-0000-000004000000}" name="FOB_2022"/>
    <tableColumn id="5" xr3:uid="{00000000-0010-0000-0000-000005000000}" name="FOB_2023"/>
    <tableColumn id="6" xr3:uid="{00000000-0010-0000-0000-000006000000}" name="FOB_2024"/>
    <tableColumn id="7" xr3:uid="{00000000-0010-0000-0000-000007000000}" name="DESCRIPCION_COMERCIAL"/>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6446-DEAF-4581-A1AE-D96E0F952BF1}">
  <dimension ref="A1:F16"/>
  <sheetViews>
    <sheetView workbookViewId="0">
      <selection activeCell="B12" sqref="B12"/>
    </sheetView>
  </sheetViews>
  <sheetFormatPr baseColWidth="10" defaultRowHeight="14.4" x14ac:dyDescent="0.3"/>
  <cols>
    <col min="1" max="1" width="23.33203125" bestFit="1" customWidth="1"/>
    <col min="2" max="2" width="18.5546875" bestFit="1" customWidth="1"/>
    <col min="3" max="6" width="17.21875" bestFit="1" customWidth="1"/>
  </cols>
  <sheetData>
    <row r="1" spans="1:6" x14ac:dyDescent="0.3">
      <c r="A1" s="2" t="s">
        <v>6</v>
      </c>
      <c r="B1" t="s">
        <v>319</v>
      </c>
    </row>
    <row r="3" spans="1:6" x14ac:dyDescent="0.3">
      <c r="A3" s="2" t="s">
        <v>312</v>
      </c>
      <c r="B3" t="s">
        <v>318</v>
      </c>
      <c r="C3" t="s">
        <v>314</v>
      </c>
      <c r="D3" t="s">
        <v>315</v>
      </c>
      <c r="E3" t="s">
        <v>316</v>
      </c>
      <c r="F3" t="s">
        <v>317</v>
      </c>
    </row>
    <row r="4" spans="1:6" x14ac:dyDescent="0.3">
      <c r="A4" s="3" t="s">
        <v>97</v>
      </c>
      <c r="B4" s="4"/>
      <c r="C4" s="4"/>
      <c r="D4" s="4"/>
      <c r="E4" s="4">
        <v>6400</v>
      </c>
      <c r="F4" s="4"/>
    </row>
    <row r="5" spans="1:6" x14ac:dyDescent="0.3">
      <c r="A5" s="3" t="s">
        <v>99</v>
      </c>
      <c r="B5" s="4"/>
      <c r="C5" s="4"/>
      <c r="D5" s="4">
        <v>18720</v>
      </c>
      <c r="E5" s="4">
        <v>27065</v>
      </c>
      <c r="F5" s="4"/>
    </row>
    <row r="6" spans="1:6" x14ac:dyDescent="0.3">
      <c r="A6" s="3" t="s">
        <v>109</v>
      </c>
      <c r="B6" s="4"/>
      <c r="C6" s="4"/>
      <c r="D6" s="4"/>
      <c r="E6" s="4">
        <v>2570</v>
      </c>
      <c r="F6" s="4">
        <v>133470</v>
      </c>
    </row>
    <row r="7" spans="1:6" x14ac:dyDescent="0.3">
      <c r="A7" s="3" t="s">
        <v>53</v>
      </c>
      <c r="B7" s="4">
        <v>0</v>
      </c>
      <c r="C7" s="4">
        <v>7613</v>
      </c>
      <c r="D7" s="4">
        <v>8253</v>
      </c>
      <c r="E7" s="4"/>
      <c r="F7" s="4"/>
    </row>
    <row r="8" spans="1:6" x14ac:dyDescent="0.3">
      <c r="A8" s="3" t="s">
        <v>18</v>
      </c>
      <c r="B8" s="4">
        <v>32840</v>
      </c>
      <c r="C8" s="4"/>
      <c r="D8" s="4"/>
      <c r="E8" s="4"/>
      <c r="F8" s="4"/>
    </row>
    <row r="9" spans="1:6" x14ac:dyDescent="0.3">
      <c r="A9" s="3" t="s">
        <v>9</v>
      </c>
      <c r="B9" s="4">
        <v>566507</v>
      </c>
      <c r="C9" s="4">
        <v>109610</v>
      </c>
      <c r="D9" s="4">
        <v>200038</v>
      </c>
      <c r="E9" s="4">
        <v>112850</v>
      </c>
      <c r="F9" s="4">
        <v>20371</v>
      </c>
    </row>
    <row r="10" spans="1:6" x14ac:dyDescent="0.3">
      <c r="A10" s="3" t="s">
        <v>7</v>
      </c>
      <c r="B10" s="4">
        <v>234765</v>
      </c>
      <c r="C10" s="4">
        <v>341868</v>
      </c>
      <c r="D10" s="4">
        <v>512154</v>
      </c>
      <c r="E10" s="4">
        <v>400266</v>
      </c>
      <c r="F10" s="4">
        <v>336344</v>
      </c>
    </row>
    <row r="11" spans="1:6" x14ac:dyDescent="0.3">
      <c r="A11" s="3" t="s">
        <v>27</v>
      </c>
      <c r="B11" s="4">
        <v>58975.78</v>
      </c>
      <c r="C11" s="4">
        <v>182357</v>
      </c>
      <c r="D11" s="4">
        <v>180281</v>
      </c>
      <c r="E11" s="4">
        <v>315273</v>
      </c>
      <c r="F11" s="4">
        <v>330686</v>
      </c>
    </row>
    <row r="12" spans="1:6" x14ac:dyDescent="0.3">
      <c r="A12" s="3" t="s">
        <v>274</v>
      </c>
      <c r="B12" s="4"/>
      <c r="C12" s="4"/>
      <c r="D12" s="4">
        <v>2</v>
      </c>
      <c r="E12" s="4"/>
      <c r="F12" s="4"/>
    </row>
    <row r="13" spans="1:6" x14ac:dyDescent="0.3">
      <c r="A13" s="3" t="s">
        <v>12</v>
      </c>
      <c r="B13" s="4">
        <v>133520</v>
      </c>
      <c r="C13" s="4">
        <v>192560</v>
      </c>
      <c r="D13" s="4">
        <v>199249</v>
      </c>
      <c r="E13" s="4">
        <v>62580</v>
      </c>
      <c r="F13" s="4">
        <v>40885</v>
      </c>
    </row>
    <row r="14" spans="1:6" x14ac:dyDescent="0.3">
      <c r="A14" s="3" t="s">
        <v>294</v>
      </c>
      <c r="B14" s="4"/>
      <c r="C14" s="4"/>
      <c r="D14" s="4"/>
      <c r="E14" s="4">
        <v>42652</v>
      </c>
      <c r="F14" s="4">
        <v>116466</v>
      </c>
    </row>
    <row r="15" spans="1:6" x14ac:dyDescent="0.3">
      <c r="A15" s="3" t="s">
        <v>308</v>
      </c>
      <c r="B15" s="4"/>
      <c r="C15" s="4"/>
      <c r="D15" s="4">
        <v>3000</v>
      </c>
      <c r="E15" s="4">
        <v>3961</v>
      </c>
      <c r="F15" s="4"/>
    </row>
    <row r="16" spans="1:6" x14ac:dyDescent="0.3">
      <c r="A16" s="3" t="s">
        <v>313</v>
      </c>
      <c r="B16" s="4">
        <v>1026607.78</v>
      </c>
      <c r="C16" s="4">
        <v>834008</v>
      </c>
      <c r="D16" s="4">
        <v>1121697</v>
      </c>
      <c r="E16" s="4">
        <v>973617</v>
      </c>
      <c r="F16" s="4">
        <v>978222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B9A3-7D75-4D2D-B3CB-34BDC6E1DA59}">
  <dimension ref="B2:U33"/>
  <sheetViews>
    <sheetView tabSelected="1" workbookViewId="0">
      <selection activeCell="T22" sqref="T22"/>
    </sheetView>
  </sheetViews>
  <sheetFormatPr baseColWidth="10" defaultRowHeight="14.4" x14ac:dyDescent="0.3"/>
  <cols>
    <col min="2" max="2" width="20.21875" bestFit="1" customWidth="1"/>
    <col min="3" max="3" width="14.109375" hidden="1" customWidth="1"/>
    <col min="4" max="5" width="0" hidden="1" customWidth="1"/>
    <col min="6" max="7" width="9.88671875" customWidth="1"/>
    <col min="8" max="8" width="8.109375" customWidth="1"/>
    <col min="9" max="10" width="8.88671875" style="14" customWidth="1"/>
    <col min="11" max="11" width="0" hidden="1" customWidth="1"/>
    <col min="12" max="13" width="9.21875" hidden="1" customWidth="1"/>
    <col min="14" max="14" width="0.5546875" customWidth="1"/>
    <col min="15" max="16" width="9.21875" customWidth="1"/>
    <col min="17" max="17" width="7.88671875" customWidth="1"/>
    <col min="18" max="19" width="9.6640625" style="14" customWidth="1"/>
  </cols>
  <sheetData>
    <row r="2" spans="2:21" x14ac:dyDescent="0.3">
      <c r="B2" t="s">
        <v>324</v>
      </c>
      <c r="U2" t="s">
        <v>333</v>
      </c>
    </row>
    <row r="3" spans="2:21" ht="28.8" x14ac:dyDescent="0.3">
      <c r="B3" s="20" t="s">
        <v>332</v>
      </c>
      <c r="C3" s="20">
        <v>2020</v>
      </c>
      <c r="D3" s="20">
        <v>2021</v>
      </c>
      <c r="E3" s="20">
        <v>2022</v>
      </c>
      <c r="F3" s="20">
        <v>2023</v>
      </c>
      <c r="G3" s="20">
        <v>2024</v>
      </c>
      <c r="H3" s="21" t="s">
        <v>320</v>
      </c>
      <c r="I3" s="21" t="s">
        <v>321</v>
      </c>
      <c r="J3" s="21" t="s">
        <v>322</v>
      </c>
      <c r="K3" s="7">
        <v>2020</v>
      </c>
      <c r="L3" s="7">
        <v>2021</v>
      </c>
      <c r="M3" s="7">
        <v>2022</v>
      </c>
      <c r="N3" s="17"/>
      <c r="O3" s="21">
        <v>2023</v>
      </c>
      <c r="P3" s="21">
        <v>2024</v>
      </c>
      <c r="Q3" s="21" t="s">
        <v>320</v>
      </c>
      <c r="R3" s="21" t="s">
        <v>321</v>
      </c>
      <c r="S3" s="21" t="s">
        <v>322</v>
      </c>
    </row>
    <row r="4" spans="2:21" x14ac:dyDescent="0.3">
      <c r="B4" s="8" t="s">
        <v>7</v>
      </c>
      <c r="C4" s="9">
        <v>234765</v>
      </c>
      <c r="D4" s="9">
        <v>341868</v>
      </c>
      <c r="E4" s="9">
        <v>512154</v>
      </c>
      <c r="F4" s="13">
        <v>400266</v>
      </c>
      <c r="G4" s="13">
        <v>336344</v>
      </c>
      <c r="H4" s="10">
        <f>G4/$G$16</f>
        <v>0.34383197270149313</v>
      </c>
      <c r="I4" s="15">
        <f>(G4/F4)-1</f>
        <v>-0.15969880029780192</v>
      </c>
      <c r="J4" s="15">
        <f>((G4/C4)^(1/4))-1</f>
        <v>9.4051040650684259E-2</v>
      </c>
      <c r="K4" s="11">
        <f>VLOOKUP($B4,Tabla2[],2,FALSE)</f>
        <v>89910</v>
      </c>
      <c r="L4" s="11">
        <f>VLOOKUP($B4,Tabla2[],3,FALSE)</f>
        <v>149355</v>
      </c>
      <c r="M4" s="11">
        <f>VLOOKUP($B4,Tabla2[],4,FALSE)</f>
        <v>209790</v>
      </c>
      <c r="N4" s="18"/>
      <c r="O4" s="13">
        <f>VLOOKUP($B4,Tabla2[],5,FALSE)</f>
        <v>149850</v>
      </c>
      <c r="P4" s="13">
        <f>VLOOKUP($B4,Tabla2[],6,FALSE)</f>
        <v>139880</v>
      </c>
      <c r="Q4" s="10">
        <f>VLOOKUP($B4,Tabla2[],7,FALSE)</f>
        <v>0.25818645610110397</v>
      </c>
      <c r="R4" s="15">
        <f>VLOOKUP($B4,Tabla2[],8,FALSE)</f>
        <v>-6.6533199866533166E-2</v>
      </c>
      <c r="S4" s="15">
        <f>VLOOKUP($B4,Tabla2[],9,FALSE)</f>
        <v>0.11682957607403788</v>
      </c>
    </row>
    <row r="5" spans="2:21" x14ac:dyDescent="0.3">
      <c r="B5" s="8" t="s">
        <v>27</v>
      </c>
      <c r="C5" s="9">
        <v>58975.78</v>
      </c>
      <c r="D5" s="9">
        <v>182357</v>
      </c>
      <c r="E5" s="9">
        <v>180281</v>
      </c>
      <c r="F5" s="13">
        <v>315273</v>
      </c>
      <c r="G5" s="13">
        <v>330686</v>
      </c>
      <c r="H5" s="10">
        <f t="shared" ref="H5:H16" si="0">G5/$G$16</f>
        <v>0.33804800955202396</v>
      </c>
      <c r="I5" s="15">
        <f t="shared" ref="I5:I16" si="1">(G5/F5)-1</f>
        <v>4.8887789312754393E-2</v>
      </c>
      <c r="J5" s="15">
        <f t="shared" ref="J5:J16" si="2">((G5/C5)^(1/4))-1</f>
        <v>0.53881187416371468</v>
      </c>
      <c r="K5" s="11">
        <f>VLOOKUP($B5,Tabla2[],2,FALSE)</f>
        <v>40590</v>
      </c>
      <c r="L5" s="11">
        <f>VLOOKUP($B5,Tabla2[],3,FALSE)</f>
        <v>74767</v>
      </c>
      <c r="M5" s="11">
        <f>VLOOKUP($B5,Tabla2[],4,FALSE)</f>
        <v>126864</v>
      </c>
      <c r="N5" s="18"/>
      <c r="O5" s="13">
        <f>VLOOKUP($B5,Tabla2[],5,FALSE)</f>
        <v>304873.3</v>
      </c>
      <c r="P5" s="13">
        <f>VLOOKUP($B5,Tabla2[],6,FALSE)</f>
        <v>269481</v>
      </c>
      <c r="Q5" s="10">
        <f>VLOOKUP($B5,Tabla2[],7,FALSE)</f>
        <v>0.49740023145969114</v>
      </c>
      <c r="R5" s="15">
        <f>VLOOKUP($B5,Tabla2[],8,FALSE)</f>
        <v>-0.11608855219528891</v>
      </c>
      <c r="S5" s="15">
        <f>VLOOKUP($B5,Tabla2[],9,FALSE)</f>
        <v>0.60519306492607527</v>
      </c>
    </row>
    <row r="6" spans="2:21" x14ac:dyDescent="0.3">
      <c r="B6" s="8" t="s">
        <v>109</v>
      </c>
      <c r="C6" s="9"/>
      <c r="D6" s="9"/>
      <c r="E6" s="9"/>
      <c r="F6" s="13">
        <v>2570</v>
      </c>
      <c r="G6" s="13">
        <v>133470</v>
      </c>
      <c r="H6" s="10">
        <f t="shared" si="0"/>
        <v>0.13644142127247189</v>
      </c>
      <c r="I6" s="15">
        <f t="shared" si="1"/>
        <v>50.933852140077818</v>
      </c>
      <c r="J6" s="10" t="s">
        <v>323</v>
      </c>
      <c r="K6" s="11">
        <f>VLOOKUP($B6,Tabla2[],2,FALSE)</f>
        <v>0</v>
      </c>
      <c r="L6" s="11">
        <f>VLOOKUP($B6,Tabla2[],3,FALSE)</f>
        <v>0</v>
      </c>
      <c r="M6" s="11">
        <f>VLOOKUP($B6,Tabla2[],4,FALSE)</f>
        <v>0</v>
      </c>
      <c r="N6" s="18"/>
      <c r="O6" s="13">
        <f>VLOOKUP($B6,Tabla2[],5,FALSE)</f>
        <v>1000</v>
      </c>
      <c r="P6" s="13">
        <f>VLOOKUP($B6,Tabla2[],6,FALSE)</f>
        <v>59940</v>
      </c>
      <c r="Q6" s="10">
        <f>VLOOKUP($B6,Tabla2[],7,FALSE)</f>
        <v>0.11063551743423056</v>
      </c>
      <c r="R6" s="15">
        <f>VLOOKUP($B6,Tabla2[],8,FALSE)</f>
        <v>58.94</v>
      </c>
      <c r="S6" s="10" t="str">
        <f>VLOOKUP($B6,Tabla2[],9,FALSE)</f>
        <v>-</v>
      </c>
    </row>
    <row r="7" spans="2:21" x14ac:dyDescent="0.3">
      <c r="B7" s="8" t="s">
        <v>294</v>
      </c>
      <c r="C7" s="9"/>
      <c r="D7" s="9"/>
      <c r="E7" s="9"/>
      <c r="F7" s="13">
        <v>42652</v>
      </c>
      <c r="G7" s="13">
        <v>116466</v>
      </c>
      <c r="H7" s="10">
        <f t="shared" si="0"/>
        <v>0.1190588639388605</v>
      </c>
      <c r="I7" s="15">
        <f t="shared" si="1"/>
        <v>1.7306105223670638</v>
      </c>
      <c r="J7" s="10" t="s">
        <v>323</v>
      </c>
      <c r="K7" s="11">
        <f>VLOOKUP($B7,Tabla2[],2,FALSE)</f>
        <v>0</v>
      </c>
      <c r="L7" s="11">
        <f>VLOOKUP($B7,Tabla2[],3,FALSE)</f>
        <v>0</v>
      </c>
      <c r="M7" s="11">
        <f>VLOOKUP($B7,Tabla2[],4,FALSE)</f>
        <v>0</v>
      </c>
      <c r="N7" s="18"/>
      <c r="O7" s="13">
        <f>VLOOKUP($B7,Tabla2[],5,FALSE)</f>
        <v>14372.400000000001</v>
      </c>
      <c r="P7" s="13">
        <f>VLOOKUP($B7,Tabla2[],6,FALSE)</f>
        <v>37978</v>
      </c>
      <c r="Q7" s="10">
        <f>VLOOKUP($B7,Tabla2[],7,FALSE)</f>
        <v>7.0098693378665464E-2</v>
      </c>
      <c r="R7" s="15">
        <f>VLOOKUP($B7,Tabla2[],8,FALSE)</f>
        <v>1.6424257604853745</v>
      </c>
      <c r="S7" s="10" t="str">
        <f>VLOOKUP($B7,Tabla2[],9,FALSE)</f>
        <v>-</v>
      </c>
    </row>
    <row r="8" spans="2:21" x14ac:dyDescent="0.3">
      <c r="B8" s="8" t="s">
        <v>12</v>
      </c>
      <c r="C8" s="9">
        <v>133520</v>
      </c>
      <c r="D8" s="9">
        <v>192560</v>
      </c>
      <c r="E8" s="9">
        <v>199249</v>
      </c>
      <c r="F8" s="13">
        <v>62580</v>
      </c>
      <c r="G8" s="13">
        <v>40885</v>
      </c>
      <c r="H8" s="10">
        <f t="shared" si="0"/>
        <v>4.1795216218813318E-2</v>
      </c>
      <c r="I8" s="15">
        <f t="shared" si="1"/>
        <v>-0.34667625439437522</v>
      </c>
      <c r="J8" s="15">
        <f t="shared" si="2"/>
        <v>-0.25611736699830889</v>
      </c>
      <c r="K8" s="11">
        <f>VLOOKUP($B8,Tabla2[],2,FALSE)</f>
        <v>166900</v>
      </c>
      <c r="L8" s="11">
        <f>VLOOKUP($B8,Tabla2[],3,FALSE)</f>
        <v>240700</v>
      </c>
      <c r="M8" s="11">
        <f>VLOOKUP($B8,Tabla2[],4,FALSE)</f>
        <v>235150</v>
      </c>
      <c r="N8" s="18"/>
      <c r="O8" s="13">
        <f>VLOOKUP($B8,Tabla2[],5,FALSE)</f>
        <v>81450</v>
      </c>
      <c r="P8" s="13">
        <f>VLOOKUP($B8,Tabla2[],6,FALSE)</f>
        <v>18000</v>
      </c>
      <c r="Q8" s="10">
        <f>VLOOKUP($B8,Tabla2[],7,FALSE)</f>
        <v>3.3223879109378546E-2</v>
      </c>
      <c r="R8" s="15">
        <f>VLOOKUP($B8,Tabla2[],8,FALSE)</f>
        <v>-0.77900552486187846</v>
      </c>
      <c r="S8" s="15">
        <f>VLOOKUP($B8,Tabla2[],9,FALSE)</f>
        <v>-0.4269347922852611</v>
      </c>
    </row>
    <row r="9" spans="2:21" x14ac:dyDescent="0.3">
      <c r="B9" s="8" t="s">
        <v>9</v>
      </c>
      <c r="C9" s="9">
        <v>566507</v>
      </c>
      <c r="D9" s="9">
        <v>109610</v>
      </c>
      <c r="E9" s="9">
        <v>200038</v>
      </c>
      <c r="F9" s="13">
        <v>112850</v>
      </c>
      <c r="G9" s="13">
        <v>20371</v>
      </c>
      <c r="H9" s="10">
        <f t="shared" si="0"/>
        <v>2.082451631633719E-2</v>
      </c>
      <c r="I9" s="15">
        <f t="shared" si="1"/>
        <v>-0.8194860434204696</v>
      </c>
      <c r="J9" s="15">
        <f t="shared" si="2"/>
        <v>-0.56453649177857357</v>
      </c>
      <c r="K9" s="11">
        <f>VLOOKUP($B9,Tabla2[],2,FALSE)</f>
        <v>765550</v>
      </c>
      <c r="L9" s="11">
        <f>VLOOKUP($B9,Tabla2[],3,FALSE)</f>
        <v>139300</v>
      </c>
      <c r="M9" s="11">
        <f>VLOOKUP($B9,Tabla2[],4,FALSE)</f>
        <v>264650</v>
      </c>
      <c r="N9" s="18"/>
      <c r="O9" s="13">
        <f>VLOOKUP($B9,Tabla2[],5,FALSE)</f>
        <v>152500</v>
      </c>
      <c r="P9" s="13">
        <f>VLOOKUP($B9,Tabla2[],6,FALSE)</f>
        <v>16500</v>
      </c>
      <c r="Q9" s="10">
        <f>VLOOKUP($B9,Tabla2[],7,FALSE)</f>
        <v>3.0455222516930336E-2</v>
      </c>
      <c r="R9" s="15">
        <f>VLOOKUP($B9,Tabla2[],8,FALSE)</f>
        <v>-0.8918032786885246</v>
      </c>
      <c r="S9" s="15">
        <f>VLOOKUP($B9,Tabla2[],9,FALSE)</f>
        <v>-0.6168422662864923</v>
      </c>
    </row>
    <row r="10" spans="2:21" x14ac:dyDescent="0.3">
      <c r="B10" s="8" t="s">
        <v>97</v>
      </c>
      <c r="C10" s="9"/>
      <c r="D10" s="9"/>
      <c r="E10" s="9"/>
      <c r="F10" s="13">
        <v>6400</v>
      </c>
      <c r="G10" s="13"/>
      <c r="H10" s="10">
        <f t="shared" si="0"/>
        <v>0</v>
      </c>
      <c r="I10" s="15">
        <f t="shared" si="1"/>
        <v>-1</v>
      </c>
      <c r="J10" s="10" t="s">
        <v>323</v>
      </c>
      <c r="K10" s="11">
        <f>VLOOKUP($B10,Tabla2[],2,FALSE)</f>
        <v>0</v>
      </c>
      <c r="L10" s="11">
        <f>VLOOKUP($B10,Tabla2[],3,FALSE)</f>
        <v>0</v>
      </c>
      <c r="M10" s="11">
        <f>VLOOKUP($B10,Tabla2[],4,FALSE)</f>
        <v>0</v>
      </c>
      <c r="N10" s="18"/>
      <c r="O10" s="13">
        <f>VLOOKUP($B10,Tabla2[],5,FALSE)</f>
        <v>8000</v>
      </c>
      <c r="P10" s="13">
        <f>VLOOKUP($B10,Tabla2[],6,FALSE)</f>
        <v>0</v>
      </c>
      <c r="Q10" s="10">
        <f>VLOOKUP($B10,Tabla2[],7,FALSE)</f>
        <v>0</v>
      </c>
      <c r="R10" s="15">
        <f>VLOOKUP($B10,Tabla2[],8,FALSE)</f>
        <v>-1</v>
      </c>
      <c r="S10" s="10" t="str">
        <f>VLOOKUP($B10,Tabla2[],9,FALSE)</f>
        <v>-</v>
      </c>
    </row>
    <row r="11" spans="2:21" x14ac:dyDescent="0.3">
      <c r="B11" s="8" t="s">
        <v>99</v>
      </c>
      <c r="C11" s="9"/>
      <c r="D11" s="9"/>
      <c r="E11" s="9">
        <v>18720</v>
      </c>
      <c r="F11" s="13">
        <v>27065</v>
      </c>
      <c r="G11" s="13"/>
      <c r="H11" s="10">
        <f t="shared" si="0"/>
        <v>0</v>
      </c>
      <c r="I11" s="15">
        <f t="shared" si="1"/>
        <v>-1</v>
      </c>
      <c r="J11" s="10" t="s">
        <v>323</v>
      </c>
      <c r="K11" s="11">
        <f>VLOOKUP($B11,Tabla2[],2,FALSE)</f>
        <v>0</v>
      </c>
      <c r="L11" s="11">
        <f>VLOOKUP($B11,Tabla2[],3,FALSE)</f>
        <v>0</v>
      </c>
      <c r="M11" s="11">
        <f>VLOOKUP($B11,Tabla2[],4,FALSE)</f>
        <v>24000</v>
      </c>
      <c r="N11" s="18"/>
      <c r="O11" s="13">
        <f>VLOOKUP($B11,Tabla2[],5,FALSE)</f>
        <v>34300</v>
      </c>
      <c r="P11" s="13">
        <f>VLOOKUP($B11,Tabla2[],6,FALSE)</f>
        <v>0</v>
      </c>
      <c r="Q11" s="10">
        <f>VLOOKUP($B11,Tabla2[],7,FALSE)</f>
        <v>0</v>
      </c>
      <c r="R11" s="15">
        <f>VLOOKUP($B11,Tabla2[],8,FALSE)</f>
        <v>-1</v>
      </c>
      <c r="S11" s="10" t="str">
        <f>VLOOKUP($B11,Tabla2[],9,FALSE)</f>
        <v>-</v>
      </c>
    </row>
    <row r="12" spans="2:21" x14ac:dyDescent="0.3">
      <c r="B12" s="8" t="s">
        <v>53</v>
      </c>
      <c r="C12" s="9">
        <v>0</v>
      </c>
      <c r="D12" s="9">
        <v>7613</v>
      </c>
      <c r="E12" s="9">
        <v>8253</v>
      </c>
      <c r="F12" s="13"/>
      <c r="G12" s="13"/>
      <c r="H12" s="10">
        <f t="shared" si="0"/>
        <v>0</v>
      </c>
      <c r="I12" s="10" t="s">
        <v>323</v>
      </c>
      <c r="J12" s="10" t="s">
        <v>323</v>
      </c>
      <c r="K12" s="11">
        <f>VLOOKUP($B12,Tabla2[],2,FALSE)</f>
        <v>2301</v>
      </c>
      <c r="L12" s="11">
        <f>VLOOKUP($B12,Tabla2[],3,FALSE)</f>
        <v>4256</v>
      </c>
      <c r="M12" s="11">
        <f>VLOOKUP($B12,Tabla2[],4,FALSE)</f>
        <v>3594</v>
      </c>
      <c r="N12" s="18"/>
      <c r="O12" s="13">
        <f>VLOOKUP($B12,Tabla2[],5,FALSE)</f>
        <v>0</v>
      </c>
      <c r="P12" s="13">
        <f>VLOOKUP($B12,Tabla2[],6,FALSE)</f>
        <v>0</v>
      </c>
      <c r="Q12" s="10">
        <f>VLOOKUP($B12,Tabla2[],7,FALSE)</f>
        <v>0</v>
      </c>
      <c r="R12" s="10" t="str">
        <f>VLOOKUP($B12,Tabla2[],8,FALSE)</f>
        <v>-</v>
      </c>
      <c r="S12" s="15">
        <f>VLOOKUP($B12,Tabla2[],9,FALSE)</f>
        <v>-1</v>
      </c>
    </row>
    <row r="13" spans="2:21" x14ac:dyDescent="0.3">
      <c r="B13" s="8" t="s">
        <v>18</v>
      </c>
      <c r="C13" s="9">
        <v>32840</v>
      </c>
      <c r="D13" s="9"/>
      <c r="E13" s="9"/>
      <c r="F13" s="13"/>
      <c r="G13" s="13"/>
      <c r="H13" s="10">
        <f t="shared" si="0"/>
        <v>0</v>
      </c>
      <c r="I13" s="10" t="s">
        <v>323</v>
      </c>
      <c r="J13" s="15">
        <f t="shared" si="2"/>
        <v>-1</v>
      </c>
      <c r="K13" s="11">
        <f>VLOOKUP($B13,Tabla2[],2,FALSE)</f>
        <v>41050</v>
      </c>
      <c r="L13" s="11">
        <f>VLOOKUP($B13,Tabla2[],3,FALSE)</f>
        <v>0</v>
      </c>
      <c r="M13" s="11">
        <f>VLOOKUP($B13,Tabla2[],4,FALSE)</f>
        <v>0</v>
      </c>
      <c r="N13" s="18"/>
      <c r="O13" s="13">
        <f>VLOOKUP($B13,Tabla2[],5,FALSE)</f>
        <v>0</v>
      </c>
      <c r="P13" s="13">
        <f>VLOOKUP($B13,Tabla2[],6,FALSE)</f>
        <v>0</v>
      </c>
      <c r="Q13" s="10">
        <f>VLOOKUP($B13,Tabla2[],7,FALSE)</f>
        <v>0</v>
      </c>
      <c r="R13" s="10" t="str">
        <f>VLOOKUP($B13,Tabla2[],8,FALSE)</f>
        <v>-</v>
      </c>
      <c r="S13" s="15">
        <f>VLOOKUP($B13,Tabla2[],9,FALSE)</f>
        <v>-1</v>
      </c>
    </row>
    <row r="14" spans="2:21" x14ac:dyDescent="0.3">
      <c r="B14" s="8" t="s">
        <v>274</v>
      </c>
      <c r="C14" s="9"/>
      <c r="D14" s="9"/>
      <c r="E14" s="9">
        <v>2</v>
      </c>
      <c r="F14" s="13"/>
      <c r="G14" s="13"/>
      <c r="H14" s="10">
        <f t="shared" si="0"/>
        <v>0</v>
      </c>
      <c r="I14" s="10" t="s">
        <v>323</v>
      </c>
      <c r="J14" s="10" t="s">
        <v>323</v>
      </c>
      <c r="K14" s="11">
        <f>VLOOKUP($B14,Tabla2[],2,FALSE)</f>
        <v>0</v>
      </c>
      <c r="L14" s="11">
        <f>VLOOKUP($B14,Tabla2[],3,FALSE)</f>
        <v>0</v>
      </c>
      <c r="M14" s="11">
        <f>VLOOKUP($B14,Tabla2[],4,FALSE)</f>
        <v>0</v>
      </c>
      <c r="N14" s="18"/>
      <c r="O14" s="13">
        <f>VLOOKUP($B14,Tabla2[],5,FALSE)</f>
        <v>0</v>
      </c>
      <c r="P14" s="13">
        <f>VLOOKUP($B14,Tabla2[],6,FALSE)</f>
        <v>0</v>
      </c>
      <c r="Q14" s="10">
        <f>VLOOKUP($B14,Tabla2[],7,FALSE)</f>
        <v>0</v>
      </c>
      <c r="R14" s="10" t="str">
        <f>VLOOKUP($B14,Tabla2[],8,FALSE)</f>
        <v>-</v>
      </c>
      <c r="S14" s="10" t="str">
        <f>VLOOKUP($B14,Tabla2[],9,FALSE)</f>
        <v>-</v>
      </c>
    </row>
    <row r="15" spans="2:21" x14ac:dyDescent="0.3">
      <c r="B15" s="8" t="s">
        <v>308</v>
      </c>
      <c r="C15" s="9"/>
      <c r="D15" s="9"/>
      <c r="E15" s="9">
        <v>3000</v>
      </c>
      <c r="F15" s="13">
        <v>3961</v>
      </c>
      <c r="G15" s="13"/>
      <c r="H15" s="10">
        <f t="shared" si="0"/>
        <v>0</v>
      </c>
      <c r="I15" s="15">
        <f t="shared" si="1"/>
        <v>-1</v>
      </c>
      <c r="J15" s="10" t="s">
        <v>323</v>
      </c>
      <c r="K15" s="11">
        <f>VLOOKUP($B15,Tabla2[],2,FALSE)</f>
        <v>0</v>
      </c>
      <c r="L15" s="11">
        <f>VLOOKUP($B15,Tabla2[],3,FALSE)</f>
        <v>0</v>
      </c>
      <c r="M15" s="11">
        <f>VLOOKUP($B15,Tabla2[],4,FALSE)</f>
        <v>3750</v>
      </c>
      <c r="N15" s="18"/>
      <c r="O15" s="13">
        <f>VLOOKUP($B15,Tabla2[],5,FALSE)</f>
        <v>5150</v>
      </c>
      <c r="P15" s="13">
        <f>VLOOKUP($B15,Tabla2[],6,FALSE)</f>
        <v>0</v>
      </c>
      <c r="Q15" s="10">
        <f>VLOOKUP($B15,Tabla2[],7,FALSE)</f>
        <v>0</v>
      </c>
      <c r="R15" s="15">
        <f>VLOOKUP($B15,Tabla2[],8,FALSE)</f>
        <v>-1</v>
      </c>
      <c r="S15" s="10" t="str">
        <f>VLOOKUP($B15,Tabla2[],9,FALSE)</f>
        <v>-</v>
      </c>
    </row>
    <row r="16" spans="2:21" x14ac:dyDescent="0.3">
      <c r="B16" s="8" t="s">
        <v>311</v>
      </c>
      <c r="C16" s="12">
        <v>1026607.78</v>
      </c>
      <c r="D16" s="9">
        <v>834008</v>
      </c>
      <c r="E16" s="9">
        <v>1121697</v>
      </c>
      <c r="F16" s="13">
        <v>973617</v>
      </c>
      <c r="G16" s="13">
        <v>978222</v>
      </c>
      <c r="H16" s="10">
        <f t="shared" si="0"/>
        <v>1</v>
      </c>
      <c r="I16" s="15">
        <f t="shared" si="1"/>
        <v>4.7297859425214916E-3</v>
      </c>
      <c r="J16" s="15">
        <f t="shared" si="2"/>
        <v>-1.1997101557935097E-2</v>
      </c>
      <c r="K16" s="11">
        <f>SUM(K4:K15)</f>
        <v>1106301</v>
      </c>
      <c r="L16" s="11">
        <f t="shared" ref="L16:P16" si="3">SUM(L4:L15)</f>
        <v>608378</v>
      </c>
      <c r="M16" s="11">
        <f t="shared" si="3"/>
        <v>867798</v>
      </c>
      <c r="N16" s="19"/>
      <c r="O16" s="13">
        <f t="shared" si="3"/>
        <v>751495.7</v>
      </c>
      <c r="P16" s="13">
        <f t="shared" si="3"/>
        <v>541779</v>
      </c>
      <c r="Q16" s="10">
        <f>SUM(Q4:Q15)</f>
        <v>1</v>
      </c>
      <c r="R16" s="15">
        <f t="shared" ref="R16" si="4">(P16/O16)-1</f>
        <v>-0.27906573517320188</v>
      </c>
      <c r="S16" s="15">
        <f t="shared" ref="S16" si="5">((P16/K16)^(1/4))-1</f>
        <v>-0.1634590300548201</v>
      </c>
    </row>
    <row r="19" spans="2:10" x14ac:dyDescent="0.3">
      <c r="B19" s="5" t="s">
        <v>325</v>
      </c>
    </row>
    <row r="20" spans="2:10" x14ac:dyDescent="0.3">
      <c r="B20" t="s">
        <v>331</v>
      </c>
      <c r="C20" t="s">
        <v>326</v>
      </c>
      <c r="D20" t="s">
        <v>327</v>
      </c>
      <c r="E20" t="s">
        <v>328</v>
      </c>
      <c r="F20" t="s">
        <v>329</v>
      </c>
      <c r="G20" t="s">
        <v>330</v>
      </c>
      <c r="H20" t="s">
        <v>320</v>
      </c>
      <c r="I20" s="14" t="s">
        <v>321</v>
      </c>
      <c r="J20" s="14" t="s">
        <v>322</v>
      </c>
    </row>
    <row r="21" spans="2:10" x14ac:dyDescent="0.3">
      <c r="B21" t="s">
        <v>27</v>
      </c>
      <c r="C21">
        <v>40590</v>
      </c>
      <c r="D21">
        <v>74767</v>
      </c>
      <c r="E21">
        <v>126864</v>
      </c>
      <c r="F21">
        <v>304873.3</v>
      </c>
      <c r="G21">
        <v>269481</v>
      </c>
      <c r="H21" s="6">
        <f>G21/$G$33</f>
        <v>0.49740023145969114</v>
      </c>
      <c r="I21" s="16">
        <f>(G21/F21)-1</f>
        <v>-0.11608855219528891</v>
      </c>
      <c r="J21" s="16">
        <f>((G21/C21)^(1/4))-1</f>
        <v>0.60519306492607527</v>
      </c>
    </row>
    <row r="22" spans="2:10" x14ac:dyDescent="0.3">
      <c r="B22" t="s">
        <v>7</v>
      </c>
      <c r="C22">
        <v>89910</v>
      </c>
      <c r="D22">
        <v>149355</v>
      </c>
      <c r="E22">
        <v>209790</v>
      </c>
      <c r="F22">
        <v>149850</v>
      </c>
      <c r="G22">
        <v>139880</v>
      </c>
      <c r="H22" s="6">
        <f t="shared" ref="H22:H33" si="6">G22/$G$33</f>
        <v>0.25818645610110397</v>
      </c>
      <c r="I22" s="16">
        <f t="shared" ref="I22:I33" si="7">(G22/F22)-1</f>
        <v>-6.6533199866533166E-2</v>
      </c>
      <c r="J22" s="16">
        <f t="shared" ref="J22:J33" si="8">((G22/C22)^(1/4))-1</f>
        <v>0.11682957607403788</v>
      </c>
    </row>
    <row r="23" spans="2:10" x14ac:dyDescent="0.3">
      <c r="B23" t="s">
        <v>109</v>
      </c>
      <c r="F23">
        <v>1000</v>
      </c>
      <c r="G23">
        <v>59940</v>
      </c>
      <c r="H23" s="6">
        <f t="shared" si="6"/>
        <v>0.11063551743423056</v>
      </c>
      <c r="I23" s="16">
        <f t="shared" si="7"/>
        <v>58.94</v>
      </c>
      <c r="J23" s="16" t="s">
        <v>323</v>
      </c>
    </row>
    <row r="24" spans="2:10" x14ac:dyDescent="0.3">
      <c r="B24" t="s">
        <v>294</v>
      </c>
      <c r="F24">
        <v>14372.400000000001</v>
      </c>
      <c r="G24">
        <v>37978</v>
      </c>
      <c r="H24" s="6">
        <f t="shared" si="6"/>
        <v>7.0098693378665464E-2</v>
      </c>
      <c r="I24" s="16">
        <f t="shared" si="7"/>
        <v>1.6424257604853745</v>
      </c>
      <c r="J24" s="16" t="s">
        <v>323</v>
      </c>
    </row>
    <row r="25" spans="2:10" x14ac:dyDescent="0.3">
      <c r="B25" t="s">
        <v>12</v>
      </c>
      <c r="C25">
        <v>166900</v>
      </c>
      <c r="D25">
        <v>240700</v>
      </c>
      <c r="E25">
        <v>235150</v>
      </c>
      <c r="F25">
        <v>81450</v>
      </c>
      <c r="G25">
        <v>18000</v>
      </c>
      <c r="H25" s="6">
        <f t="shared" si="6"/>
        <v>3.3223879109378546E-2</v>
      </c>
      <c r="I25" s="16">
        <f t="shared" si="7"/>
        <v>-0.77900552486187846</v>
      </c>
      <c r="J25" s="16">
        <f t="shared" si="8"/>
        <v>-0.4269347922852611</v>
      </c>
    </row>
    <row r="26" spans="2:10" x14ac:dyDescent="0.3">
      <c r="B26" t="s">
        <v>9</v>
      </c>
      <c r="C26">
        <v>765550</v>
      </c>
      <c r="D26">
        <v>139300</v>
      </c>
      <c r="E26">
        <v>264650</v>
      </c>
      <c r="F26">
        <v>152500</v>
      </c>
      <c r="G26">
        <v>16500</v>
      </c>
      <c r="H26" s="6">
        <f t="shared" si="6"/>
        <v>3.0455222516930336E-2</v>
      </c>
      <c r="I26" s="16">
        <f t="shared" si="7"/>
        <v>-0.8918032786885246</v>
      </c>
      <c r="J26" s="16">
        <f t="shared" si="8"/>
        <v>-0.6168422662864923</v>
      </c>
    </row>
    <row r="27" spans="2:10" x14ac:dyDescent="0.3">
      <c r="B27" t="s">
        <v>97</v>
      </c>
      <c r="F27">
        <v>8000</v>
      </c>
      <c r="H27" s="6">
        <f t="shared" si="6"/>
        <v>0</v>
      </c>
      <c r="I27" s="16">
        <f t="shared" si="7"/>
        <v>-1</v>
      </c>
      <c r="J27" s="16" t="s">
        <v>323</v>
      </c>
    </row>
    <row r="28" spans="2:10" x14ac:dyDescent="0.3">
      <c r="B28" t="s">
        <v>99</v>
      </c>
      <c r="E28">
        <v>24000</v>
      </c>
      <c r="F28">
        <v>34300</v>
      </c>
      <c r="H28" s="6">
        <f t="shared" si="6"/>
        <v>0</v>
      </c>
      <c r="I28" s="16">
        <f t="shared" si="7"/>
        <v>-1</v>
      </c>
      <c r="J28" s="16" t="s">
        <v>323</v>
      </c>
    </row>
    <row r="29" spans="2:10" x14ac:dyDescent="0.3">
      <c r="B29" t="s">
        <v>53</v>
      </c>
      <c r="C29">
        <v>2301</v>
      </c>
      <c r="D29">
        <v>4256</v>
      </c>
      <c r="E29">
        <v>3594</v>
      </c>
      <c r="H29" s="6">
        <f t="shared" si="6"/>
        <v>0</v>
      </c>
      <c r="I29" s="16" t="s">
        <v>323</v>
      </c>
      <c r="J29" s="16">
        <f t="shared" si="8"/>
        <v>-1</v>
      </c>
    </row>
    <row r="30" spans="2:10" x14ac:dyDescent="0.3">
      <c r="B30" t="s">
        <v>18</v>
      </c>
      <c r="C30">
        <v>41050</v>
      </c>
      <c r="H30" s="6">
        <f t="shared" si="6"/>
        <v>0</v>
      </c>
      <c r="I30" s="16" t="s">
        <v>323</v>
      </c>
      <c r="J30" s="16">
        <f t="shared" si="8"/>
        <v>-1</v>
      </c>
    </row>
    <row r="31" spans="2:10" x14ac:dyDescent="0.3">
      <c r="B31" t="s">
        <v>274</v>
      </c>
      <c r="E31">
        <v>0</v>
      </c>
      <c r="H31" s="6">
        <f t="shared" si="6"/>
        <v>0</v>
      </c>
      <c r="I31" s="16" t="s">
        <v>323</v>
      </c>
      <c r="J31" s="16" t="s">
        <v>323</v>
      </c>
    </row>
    <row r="32" spans="2:10" x14ac:dyDescent="0.3">
      <c r="B32" t="s">
        <v>308</v>
      </c>
      <c r="E32">
        <v>3750</v>
      </c>
      <c r="F32">
        <v>5150</v>
      </c>
      <c r="H32" s="6">
        <f t="shared" si="6"/>
        <v>0</v>
      </c>
      <c r="I32" s="16">
        <f t="shared" si="7"/>
        <v>-1</v>
      </c>
      <c r="J32" s="16" t="s">
        <v>323</v>
      </c>
    </row>
    <row r="33" spans="2:10" x14ac:dyDescent="0.3">
      <c r="B33" t="s">
        <v>331</v>
      </c>
      <c r="C33">
        <v>1106301</v>
      </c>
      <c r="D33">
        <v>608378</v>
      </c>
      <c r="E33">
        <v>867798</v>
      </c>
      <c r="F33">
        <v>751495.70000000007</v>
      </c>
      <c r="G33">
        <v>541779</v>
      </c>
      <c r="H33" s="6">
        <f t="shared" si="6"/>
        <v>1</v>
      </c>
      <c r="I33" s="16">
        <f t="shared" si="7"/>
        <v>-0.27906573517320199</v>
      </c>
      <c r="J33" s="16">
        <f t="shared" si="8"/>
        <v>-0.1634590300548201</v>
      </c>
    </row>
  </sheetData>
  <sortState xmlns:xlrd2="http://schemas.microsoft.com/office/spreadsheetml/2017/richdata2" ref="B21:G32">
    <sortCondition descending="1" ref="G21:G32"/>
  </sortState>
  <mergeCells count="1">
    <mergeCell ref="N3:N16"/>
  </mergeCells>
  <phoneticPr fontId="18" type="noConversion"/>
  <conditionalFormatting sqref="H4:H16">
    <cfRule type="dataBar" priority="4">
      <dataBar>
        <cfvo type="min"/>
        <cfvo type="max"/>
        <color rgb="FFFFB628"/>
      </dataBar>
      <extLst>
        <ext xmlns:x14="http://schemas.microsoft.com/office/spreadsheetml/2009/9/main" uri="{B025F937-C7B1-47D3-B67F-A62EFF666E3E}">
          <x14:id>{6C69B2C2-3892-445E-B438-C3125D576851}</x14:id>
        </ext>
      </extLst>
    </cfRule>
  </conditionalFormatting>
  <conditionalFormatting sqref="Q4:Q16">
    <cfRule type="dataBar" priority="3">
      <dataBar>
        <cfvo type="min"/>
        <cfvo type="max"/>
        <color rgb="FFFFB628"/>
      </dataBar>
      <extLst>
        <ext xmlns:x14="http://schemas.microsoft.com/office/spreadsheetml/2009/9/main" uri="{B025F937-C7B1-47D3-B67F-A62EFF666E3E}">
          <x14:id>{7691C626-2592-484C-8A8F-A965A85A5126}</x14:id>
        </ext>
      </extLst>
    </cfRule>
  </conditionalFormatting>
  <conditionalFormatting sqref="I4:J16">
    <cfRule type="iconSet" priority="2">
      <iconSet iconSet="3Arrows">
        <cfvo type="percent" val="0"/>
        <cfvo type="num" val="0"/>
        <cfvo type="num" val="0" gte="0"/>
      </iconSet>
    </cfRule>
  </conditionalFormatting>
  <conditionalFormatting sqref="R4:S16">
    <cfRule type="iconSet" priority="1">
      <iconSet iconSet="3Arrows">
        <cfvo type="percent" val="0"/>
        <cfvo type="num" val="0"/>
        <cfvo type="num" val="0" gte="0"/>
      </iconSet>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C69B2C2-3892-445E-B438-C3125D576851}">
            <x14:dataBar minLength="0" maxLength="100" gradient="0">
              <x14:cfvo type="autoMin"/>
              <x14:cfvo type="autoMax"/>
              <x14:negativeFillColor rgb="FFFF0000"/>
              <x14:axisColor rgb="FF000000"/>
            </x14:dataBar>
          </x14:cfRule>
          <xm:sqref>H4:H16</xm:sqref>
        </x14:conditionalFormatting>
        <x14:conditionalFormatting xmlns:xm="http://schemas.microsoft.com/office/excel/2006/main">
          <x14:cfRule type="dataBar" id="{7691C626-2592-484C-8A8F-A965A85A5126}">
            <x14:dataBar minLength="0" maxLength="100" gradient="0">
              <x14:cfvo type="autoMin"/>
              <x14:cfvo type="autoMax"/>
              <x14:negativeFillColor rgb="FFFF0000"/>
              <x14:axisColor rgb="FF000000"/>
            </x14:dataBar>
          </x14:cfRule>
          <xm:sqref>Q4:Q16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workbookViewId="0">
      <selection activeCell="B18" sqref="B18"/>
    </sheetView>
  </sheetViews>
  <sheetFormatPr baseColWidth="10" defaultRowHeight="14.4" x14ac:dyDescent="0.3"/>
  <cols>
    <col min="1" max="1" width="17.21875" customWidth="1"/>
    <col min="2" max="2" width="22.88671875" customWidth="1"/>
    <col min="7" max="7" width="255.77734375" bestFit="1" customWidth="1"/>
  </cols>
  <sheetData>
    <row r="1" spans="1:7" x14ac:dyDescent="0.3">
      <c r="A1" t="s">
        <v>0</v>
      </c>
      <c r="B1" t="s">
        <v>1</v>
      </c>
      <c r="C1" t="s">
        <v>2</v>
      </c>
      <c r="D1" t="s">
        <v>3</v>
      </c>
      <c r="E1" t="s">
        <v>4</v>
      </c>
      <c r="F1" t="s">
        <v>5</v>
      </c>
      <c r="G1" t="s">
        <v>6</v>
      </c>
    </row>
    <row r="2" spans="1:7" x14ac:dyDescent="0.3">
      <c r="A2" t="s">
        <v>7</v>
      </c>
      <c r="B2">
        <v>234765</v>
      </c>
      <c r="G2" t="s">
        <v>8</v>
      </c>
    </row>
    <row r="3" spans="1:7" x14ac:dyDescent="0.3">
      <c r="A3" t="s">
        <v>9</v>
      </c>
      <c r="B3">
        <v>196322</v>
      </c>
      <c r="G3" t="s">
        <v>10</v>
      </c>
    </row>
    <row r="4" spans="1:7" x14ac:dyDescent="0.3">
      <c r="A4" t="s">
        <v>9</v>
      </c>
      <c r="B4">
        <v>131350</v>
      </c>
      <c r="G4" t="s">
        <v>11</v>
      </c>
    </row>
    <row r="5" spans="1:7" x14ac:dyDescent="0.3">
      <c r="A5" t="s">
        <v>12</v>
      </c>
      <c r="B5">
        <v>129520</v>
      </c>
      <c r="G5" t="s">
        <v>13</v>
      </c>
    </row>
    <row r="6" spans="1:7" x14ac:dyDescent="0.3">
      <c r="A6" t="s">
        <v>9</v>
      </c>
      <c r="B6">
        <v>77330</v>
      </c>
      <c r="G6" t="s">
        <v>14</v>
      </c>
    </row>
    <row r="7" spans="1:7" x14ac:dyDescent="0.3">
      <c r="A7" t="s">
        <v>9</v>
      </c>
      <c r="B7">
        <v>56240</v>
      </c>
      <c r="G7" t="s">
        <v>15</v>
      </c>
    </row>
    <row r="8" spans="1:7" x14ac:dyDescent="0.3">
      <c r="A8" t="s">
        <v>9</v>
      </c>
      <c r="B8">
        <v>25920</v>
      </c>
      <c r="G8" t="s">
        <v>16</v>
      </c>
    </row>
    <row r="9" spans="1:7" x14ac:dyDescent="0.3">
      <c r="A9" t="s">
        <v>9</v>
      </c>
      <c r="B9">
        <v>23360</v>
      </c>
      <c r="G9" t="s">
        <v>17</v>
      </c>
    </row>
    <row r="10" spans="1:7" x14ac:dyDescent="0.3">
      <c r="A10" t="s">
        <v>18</v>
      </c>
      <c r="B10">
        <v>20120</v>
      </c>
      <c r="G10" t="s">
        <v>19</v>
      </c>
    </row>
    <row r="11" spans="1:7" x14ac:dyDescent="0.3">
      <c r="A11" t="s">
        <v>9</v>
      </c>
      <c r="B11">
        <v>18500</v>
      </c>
      <c r="G11" t="s">
        <v>20</v>
      </c>
    </row>
    <row r="12" spans="1:7" x14ac:dyDescent="0.3">
      <c r="A12" t="s">
        <v>9</v>
      </c>
      <c r="B12">
        <v>15910</v>
      </c>
      <c r="G12" t="s">
        <v>21</v>
      </c>
    </row>
    <row r="13" spans="1:7" x14ac:dyDescent="0.3">
      <c r="A13" t="s">
        <v>9</v>
      </c>
      <c r="B13">
        <v>14800</v>
      </c>
      <c r="G13" t="s">
        <v>22</v>
      </c>
    </row>
    <row r="14" spans="1:7" x14ac:dyDescent="0.3">
      <c r="A14" t="s">
        <v>9</v>
      </c>
      <c r="B14">
        <v>14504</v>
      </c>
      <c r="G14" t="s">
        <v>23</v>
      </c>
    </row>
    <row r="15" spans="1:7" x14ac:dyDescent="0.3">
      <c r="A15" t="s">
        <v>18</v>
      </c>
      <c r="B15">
        <v>12720</v>
      </c>
      <c r="G15" t="s">
        <v>13</v>
      </c>
    </row>
    <row r="16" spans="1:7" x14ac:dyDescent="0.3">
      <c r="A16" t="s">
        <v>9</v>
      </c>
      <c r="B16">
        <v>12321</v>
      </c>
      <c r="G16" t="s">
        <v>24</v>
      </c>
    </row>
    <row r="17" spans="1:7" x14ac:dyDescent="0.3">
      <c r="A17" t="s">
        <v>9</v>
      </c>
      <c r="B17">
        <v>11100</v>
      </c>
      <c r="G17" t="s">
        <v>25</v>
      </c>
    </row>
    <row r="18" spans="1:7" x14ac:dyDescent="0.3">
      <c r="A18" t="s">
        <v>9</v>
      </c>
      <c r="B18">
        <v>10360</v>
      </c>
      <c r="G18" t="s">
        <v>26</v>
      </c>
    </row>
    <row r="19" spans="1:7" x14ac:dyDescent="0.3">
      <c r="A19" t="s">
        <v>27</v>
      </c>
      <c r="B19">
        <v>10020</v>
      </c>
      <c r="G19" t="s">
        <v>28</v>
      </c>
    </row>
    <row r="20" spans="1:7" x14ac:dyDescent="0.3">
      <c r="A20" t="s">
        <v>9</v>
      </c>
      <c r="B20">
        <v>9600</v>
      </c>
      <c r="G20" t="s">
        <v>29</v>
      </c>
    </row>
    <row r="21" spans="1:7" x14ac:dyDescent="0.3">
      <c r="A21" t="s">
        <v>27</v>
      </c>
      <c r="B21" t="s">
        <v>30</v>
      </c>
      <c r="G21" t="s">
        <v>31</v>
      </c>
    </row>
    <row r="22" spans="1:7" x14ac:dyDescent="0.3">
      <c r="A22" t="s">
        <v>9</v>
      </c>
      <c r="B22">
        <v>8640</v>
      </c>
      <c r="G22" t="s">
        <v>32</v>
      </c>
    </row>
    <row r="23" spans="1:7" x14ac:dyDescent="0.3">
      <c r="A23" t="s">
        <v>27</v>
      </c>
      <c r="B23" t="s">
        <v>33</v>
      </c>
      <c r="G23" t="s">
        <v>34</v>
      </c>
    </row>
    <row r="24" spans="1:7" x14ac:dyDescent="0.3">
      <c r="A24" t="s">
        <v>27</v>
      </c>
      <c r="B24">
        <v>8100</v>
      </c>
      <c r="G24" t="s">
        <v>35</v>
      </c>
    </row>
    <row r="25" spans="1:7" x14ac:dyDescent="0.3">
      <c r="A25" t="s">
        <v>27</v>
      </c>
      <c r="B25" t="s">
        <v>36</v>
      </c>
      <c r="G25" t="s">
        <v>37</v>
      </c>
    </row>
    <row r="26" spans="1:7" x14ac:dyDescent="0.3">
      <c r="A26" t="s">
        <v>9</v>
      </c>
      <c r="B26">
        <v>7770</v>
      </c>
      <c r="G26" t="s">
        <v>38</v>
      </c>
    </row>
    <row r="27" spans="1:7" x14ac:dyDescent="0.3">
      <c r="A27" t="s">
        <v>27</v>
      </c>
      <c r="B27" t="s">
        <v>39</v>
      </c>
      <c r="G27" t="s">
        <v>40</v>
      </c>
    </row>
    <row r="28" spans="1:7" x14ac:dyDescent="0.3">
      <c r="A28" t="s">
        <v>27</v>
      </c>
      <c r="B28">
        <v>5100</v>
      </c>
      <c r="G28" t="s">
        <v>41</v>
      </c>
    </row>
    <row r="29" spans="1:7" x14ac:dyDescent="0.3">
      <c r="A29" t="s">
        <v>27</v>
      </c>
      <c r="B29">
        <v>4992</v>
      </c>
      <c r="G29" t="s">
        <v>42</v>
      </c>
    </row>
    <row r="30" spans="1:7" x14ac:dyDescent="0.3">
      <c r="A30" t="s">
        <v>27</v>
      </c>
      <c r="B30">
        <v>4992</v>
      </c>
      <c r="G30" t="s">
        <v>43</v>
      </c>
    </row>
    <row r="31" spans="1:7" x14ac:dyDescent="0.3">
      <c r="A31" t="s">
        <v>27</v>
      </c>
      <c r="B31" s="1">
        <v>4476.78</v>
      </c>
      <c r="G31" t="s">
        <v>44</v>
      </c>
    </row>
    <row r="32" spans="1:7" x14ac:dyDescent="0.3">
      <c r="A32" t="s">
        <v>27</v>
      </c>
      <c r="B32">
        <v>4040</v>
      </c>
      <c r="G32" t="s">
        <v>45</v>
      </c>
    </row>
    <row r="33" spans="1:7" x14ac:dyDescent="0.3">
      <c r="A33" t="s">
        <v>27</v>
      </c>
      <c r="B33" t="s">
        <v>46</v>
      </c>
      <c r="G33" t="s">
        <v>47</v>
      </c>
    </row>
    <row r="34" spans="1:7" x14ac:dyDescent="0.3">
      <c r="A34" t="s">
        <v>27</v>
      </c>
      <c r="B34" t="s">
        <v>48</v>
      </c>
      <c r="G34" t="s">
        <v>49</v>
      </c>
    </row>
    <row r="35" spans="1:7" x14ac:dyDescent="0.3">
      <c r="A35" t="s">
        <v>12</v>
      </c>
      <c r="B35">
        <v>4000</v>
      </c>
      <c r="G35" t="s">
        <v>50</v>
      </c>
    </row>
    <row r="36" spans="1:7" x14ac:dyDescent="0.3">
      <c r="A36" t="s">
        <v>27</v>
      </c>
      <c r="B36">
        <v>3795</v>
      </c>
      <c r="G36" t="s">
        <v>51</v>
      </c>
    </row>
    <row r="37" spans="1:7" x14ac:dyDescent="0.3">
      <c r="A37" t="s">
        <v>27</v>
      </c>
      <c r="B37">
        <v>3744</v>
      </c>
      <c r="G37" t="s">
        <v>52</v>
      </c>
    </row>
    <row r="38" spans="1:7" x14ac:dyDescent="0.3">
      <c r="A38" t="s">
        <v>53</v>
      </c>
      <c r="B38" t="s">
        <v>54</v>
      </c>
      <c r="G38" t="s">
        <v>55</v>
      </c>
    </row>
    <row r="39" spans="1:7" x14ac:dyDescent="0.3">
      <c r="A39" t="s">
        <v>27</v>
      </c>
      <c r="B39" t="s">
        <v>56</v>
      </c>
      <c r="G39" t="s">
        <v>57</v>
      </c>
    </row>
    <row r="40" spans="1:7" x14ac:dyDescent="0.3">
      <c r="A40" t="s">
        <v>27</v>
      </c>
      <c r="B40" t="s">
        <v>58</v>
      </c>
      <c r="G40" t="s">
        <v>59</v>
      </c>
    </row>
    <row r="41" spans="1:7" x14ac:dyDescent="0.3">
      <c r="A41" t="s">
        <v>27</v>
      </c>
      <c r="B41">
        <v>3417</v>
      </c>
      <c r="G41" t="s">
        <v>60</v>
      </c>
    </row>
    <row r="42" spans="1:7" x14ac:dyDescent="0.3">
      <c r="A42" t="s">
        <v>53</v>
      </c>
      <c r="B42" t="s">
        <v>61</v>
      </c>
      <c r="C42">
        <v>2628</v>
      </c>
      <c r="G42" t="s">
        <v>62</v>
      </c>
    </row>
    <row r="43" spans="1:7" x14ac:dyDescent="0.3">
      <c r="A43" t="s">
        <v>27</v>
      </c>
      <c r="B43">
        <v>2615</v>
      </c>
      <c r="G43" t="s">
        <v>63</v>
      </c>
    </row>
    <row r="44" spans="1:7" x14ac:dyDescent="0.3">
      <c r="A44" t="s">
        <v>27</v>
      </c>
      <c r="B44">
        <v>2592</v>
      </c>
      <c r="G44" t="s">
        <v>64</v>
      </c>
    </row>
    <row r="45" spans="1:7" x14ac:dyDescent="0.3">
      <c r="A45" t="s">
        <v>27</v>
      </c>
      <c r="B45" t="s">
        <v>65</v>
      </c>
      <c r="G45" t="s">
        <v>66</v>
      </c>
    </row>
    <row r="46" spans="1:7" x14ac:dyDescent="0.3">
      <c r="A46" t="s">
        <v>27</v>
      </c>
      <c r="B46" t="s">
        <v>67</v>
      </c>
      <c r="G46" t="s">
        <v>68</v>
      </c>
    </row>
    <row r="47" spans="1:7" x14ac:dyDescent="0.3">
      <c r="A47" t="s">
        <v>53</v>
      </c>
      <c r="B47" t="s">
        <v>69</v>
      </c>
      <c r="G47" t="s">
        <v>70</v>
      </c>
    </row>
    <row r="48" spans="1:7" x14ac:dyDescent="0.3">
      <c r="A48" t="s">
        <v>27</v>
      </c>
      <c r="B48" t="s">
        <v>71</v>
      </c>
      <c r="G48" t="s">
        <v>72</v>
      </c>
    </row>
    <row r="49" spans="1:7" x14ac:dyDescent="0.3">
      <c r="A49" t="s">
        <v>27</v>
      </c>
      <c r="B49">
        <v>1860</v>
      </c>
      <c r="G49" t="s">
        <v>73</v>
      </c>
    </row>
    <row r="50" spans="1:7" x14ac:dyDescent="0.3">
      <c r="A50" t="s">
        <v>27</v>
      </c>
      <c r="B50" t="s">
        <v>74</v>
      </c>
      <c r="G50" t="s">
        <v>75</v>
      </c>
    </row>
    <row r="51" spans="1:7" x14ac:dyDescent="0.3">
      <c r="A51" t="s">
        <v>27</v>
      </c>
      <c r="B51" t="s">
        <v>76</v>
      </c>
      <c r="G51" t="s">
        <v>77</v>
      </c>
    </row>
    <row r="52" spans="1:7" x14ac:dyDescent="0.3">
      <c r="A52" t="s">
        <v>27</v>
      </c>
      <c r="B52">
        <v>1612</v>
      </c>
      <c r="G52" t="s">
        <v>78</v>
      </c>
    </row>
    <row r="53" spans="1:7" x14ac:dyDescent="0.3">
      <c r="A53" t="s">
        <v>27</v>
      </c>
      <c r="B53" t="s">
        <v>79</v>
      </c>
      <c r="G53" t="s">
        <v>80</v>
      </c>
    </row>
    <row r="54" spans="1:7" x14ac:dyDescent="0.3">
      <c r="A54" t="s">
        <v>27</v>
      </c>
      <c r="B54" t="s">
        <v>81</v>
      </c>
      <c r="G54" t="s">
        <v>82</v>
      </c>
    </row>
    <row r="55" spans="1:7" x14ac:dyDescent="0.3">
      <c r="A55" t="s">
        <v>27</v>
      </c>
      <c r="B55" t="s">
        <v>83</v>
      </c>
      <c r="G55" t="s">
        <v>84</v>
      </c>
    </row>
    <row r="56" spans="1:7" x14ac:dyDescent="0.3">
      <c r="A56" t="s">
        <v>27</v>
      </c>
      <c r="B56" t="s">
        <v>85</v>
      </c>
      <c r="G56" t="s">
        <v>86</v>
      </c>
    </row>
    <row r="57" spans="1:7" x14ac:dyDescent="0.3">
      <c r="A57" t="s">
        <v>27</v>
      </c>
      <c r="B57" t="s">
        <v>87</v>
      </c>
      <c r="G57" t="s">
        <v>88</v>
      </c>
    </row>
    <row r="58" spans="1:7" x14ac:dyDescent="0.3">
      <c r="A58" t="s">
        <v>27</v>
      </c>
      <c r="B58" t="s">
        <v>87</v>
      </c>
      <c r="G58" t="s">
        <v>89</v>
      </c>
    </row>
    <row r="59" spans="1:7" x14ac:dyDescent="0.3">
      <c r="A59" t="s">
        <v>27</v>
      </c>
      <c r="B59">
        <v>840</v>
      </c>
      <c r="G59" t="s">
        <v>90</v>
      </c>
    </row>
    <row r="60" spans="1:7" x14ac:dyDescent="0.3">
      <c r="A60" t="s">
        <v>27</v>
      </c>
      <c r="B60">
        <v>575</v>
      </c>
      <c r="G60" t="s">
        <v>91</v>
      </c>
    </row>
    <row r="61" spans="1:7" x14ac:dyDescent="0.3">
      <c r="A61" t="s">
        <v>92</v>
      </c>
      <c r="B61">
        <v>50</v>
      </c>
      <c r="G61" t="s">
        <v>93</v>
      </c>
    </row>
    <row r="62" spans="1:7" x14ac:dyDescent="0.3">
      <c r="A62" t="s">
        <v>92</v>
      </c>
      <c r="B62" t="s">
        <v>94</v>
      </c>
      <c r="G62" t="s">
        <v>95</v>
      </c>
    </row>
    <row r="63" spans="1:7" x14ac:dyDescent="0.3">
      <c r="A63" t="s">
        <v>92</v>
      </c>
      <c r="B63">
        <v>15</v>
      </c>
      <c r="G63" t="s">
        <v>96</v>
      </c>
    </row>
    <row r="64" spans="1:7" x14ac:dyDescent="0.3">
      <c r="A64" t="s">
        <v>97</v>
      </c>
      <c r="E64">
        <v>6400</v>
      </c>
      <c r="G64" t="s">
        <v>98</v>
      </c>
    </row>
    <row r="65" spans="1:7" x14ac:dyDescent="0.3">
      <c r="A65" t="s">
        <v>99</v>
      </c>
      <c r="D65">
        <v>18720</v>
      </c>
      <c r="G65" t="s">
        <v>100</v>
      </c>
    </row>
    <row r="66" spans="1:7" x14ac:dyDescent="0.3">
      <c r="A66" t="s">
        <v>99</v>
      </c>
      <c r="E66">
        <v>2625</v>
      </c>
      <c r="G66" t="s">
        <v>101</v>
      </c>
    </row>
    <row r="67" spans="1:7" x14ac:dyDescent="0.3">
      <c r="A67" t="s">
        <v>99</v>
      </c>
      <c r="E67">
        <v>4800</v>
      </c>
      <c r="G67" t="s">
        <v>102</v>
      </c>
    </row>
    <row r="68" spans="1:7" x14ac:dyDescent="0.3">
      <c r="A68" t="s">
        <v>99</v>
      </c>
      <c r="E68">
        <v>7600</v>
      </c>
      <c r="G68" t="s">
        <v>103</v>
      </c>
    </row>
    <row r="69" spans="1:7" x14ac:dyDescent="0.3">
      <c r="A69" t="s">
        <v>99</v>
      </c>
      <c r="E69">
        <v>2400</v>
      </c>
      <c r="G69" t="s">
        <v>104</v>
      </c>
    </row>
    <row r="70" spans="1:7" x14ac:dyDescent="0.3">
      <c r="A70" t="s">
        <v>99</v>
      </c>
      <c r="E70">
        <v>3000</v>
      </c>
      <c r="G70" t="s">
        <v>105</v>
      </c>
    </row>
    <row r="71" spans="1:7" x14ac:dyDescent="0.3">
      <c r="A71" t="s">
        <v>99</v>
      </c>
      <c r="E71">
        <v>3200</v>
      </c>
      <c r="G71" t="s">
        <v>106</v>
      </c>
    </row>
    <row r="72" spans="1:7" x14ac:dyDescent="0.3">
      <c r="A72" t="s">
        <v>99</v>
      </c>
      <c r="E72">
        <v>3440</v>
      </c>
      <c r="G72" t="s">
        <v>107</v>
      </c>
    </row>
    <row r="73" spans="1:7" x14ac:dyDescent="0.3">
      <c r="A73" t="s">
        <v>99</v>
      </c>
      <c r="F73">
        <v>2450</v>
      </c>
      <c r="G73" t="s">
        <v>108</v>
      </c>
    </row>
    <row r="74" spans="1:7" x14ac:dyDescent="0.3">
      <c r="A74" t="s">
        <v>109</v>
      </c>
      <c r="E74">
        <v>2570</v>
      </c>
      <c r="G74" t="s">
        <v>110</v>
      </c>
    </row>
    <row r="75" spans="1:7" x14ac:dyDescent="0.3">
      <c r="A75" t="s">
        <v>109</v>
      </c>
      <c r="F75">
        <v>133470</v>
      </c>
      <c r="G75" t="s">
        <v>111</v>
      </c>
    </row>
    <row r="76" spans="1:7" x14ac:dyDescent="0.3">
      <c r="A76" t="s">
        <v>53</v>
      </c>
      <c r="C76">
        <v>3360</v>
      </c>
      <c r="G76" t="s">
        <v>112</v>
      </c>
    </row>
    <row r="77" spans="1:7" x14ac:dyDescent="0.3">
      <c r="A77" t="s">
        <v>53</v>
      </c>
      <c r="C77">
        <v>1625</v>
      </c>
      <c r="G77" t="s">
        <v>113</v>
      </c>
    </row>
    <row r="78" spans="1:7" x14ac:dyDescent="0.3">
      <c r="A78" t="s">
        <v>53</v>
      </c>
      <c r="D78">
        <v>1920</v>
      </c>
      <c r="G78" t="s">
        <v>114</v>
      </c>
    </row>
    <row r="79" spans="1:7" x14ac:dyDescent="0.3">
      <c r="A79" t="s">
        <v>53</v>
      </c>
      <c r="D79">
        <v>3200</v>
      </c>
      <c r="G79" t="s">
        <v>115</v>
      </c>
    </row>
    <row r="80" spans="1:7" x14ac:dyDescent="0.3">
      <c r="A80" t="s">
        <v>53</v>
      </c>
      <c r="D80">
        <v>3133</v>
      </c>
      <c r="G80" t="s">
        <v>116</v>
      </c>
    </row>
    <row r="81" spans="1:7" x14ac:dyDescent="0.3">
      <c r="A81" t="s">
        <v>53</v>
      </c>
      <c r="D81">
        <v>45</v>
      </c>
      <c r="G81" t="s">
        <v>117</v>
      </c>
    </row>
    <row r="82" spans="1:7" x14ac:dyDescent="0.3">
      <c r="A82" t="s">
        <v>53</v>
      </c>
      <c r="D82">
        <v>89</v>
      </c>
      <c r="G82" t="s">
        <v>118</v>
      </c>
    </row>
    <row r="83" spans="1:7" x14ac:dyDescent="0.3">
      <c r="A83" t="s">
        <v>53</v>
      </c>
      <c r="C83">
        <v>5843</v>
      </c>
      <c r="D83">
        <v>5676</v>
      </c>
      <c r="G83" t="s">
        <v>119</v>
      </c>
    </row>
    <row r="84" spans="1:7" x14ac:dyDescent="0.3">
      <c r="A84" t="s">
        <v>9</v>
      </c>
      <c r="D84">
        <v>3700</v>
      </c>
      <c r="E84">
        <v>7400</v>
      </c>
      <c r="F84">
        <v>3700</v>
      </c>
      <c r="G84" t="s">
        <v>120</v>
      </c>
    </row>
    <row r="85" spans="1:7" x14ac:dyDescent="0.3">
      <c r="A85" t="s">
        <v>9</v>
      </c>
      <c r="D85">
        <v>4440</v>
      </c>
      <c r="G85" t="s">
        <v>121</v>
      </c>
    </row>
    <row r="86" spans="1:7" x14ac:dyDescent="0.3">
      <c r="A86" t="s">
        <v>9</v>
      </c>
      <c r="D86">
        <v>7104</v>
      </c>
      <c r="G86" t="s">
        <v>122</v>
      </c>
    </row>
    <row r="87" spans="1:7" x14ac:dyDescent="0.3">
      <c r="A87" t="s">
        <v>9</v>
      </c>
      <c r="E87">
        <v>7400</v>
      </c>
      <c r="G87" t="s">
        <v>123</v>
      </c>
    </row>
    <row r="88" spans="1:7" x14ac:dyDescent="0.3">
      <c r="A88" t="s">
        <v>9</v>
      </c>
      <c r="E88">
        <v>8140</v>
      </c>
      <c r="G88" t="s">
        <v>124</v>
      </c>
    </row>
    <row r="89" spans="1:7" x14ac:dyDescent="0.3">
      <c r="A89" t="s">
        <v>9</v>
      </c>
      <c r="E89">
        <v>8510</v>
      </c>
      <c r="G89" t="s">
        <v>125</v>
      </c>
    </row>
    <row r="90" spans="1:7" x14ac:dyDescent="0.3">
      <c r="A90" t="s">
        <v>9</v>
      </c>
      <c r="E90">
        <v>8695</v>
      </c>
      <c r="G90" t="s">
        <v>126</v>
      </c>
    </row>
    <row r="91" spans="1:7" x14ac:dyDescent="0.3">
      <c r="A91" t="s">
        <v>9</v>
      </c>
      <c r="D91">
        <v>9213</v>
      </c>
      <c r="G91" t="s">
        <v>127</v>
      </c>
    </row>
    <row r="92" spans="1:7" x14ac:dyDescent="0.3">
      <c r="A92" t="s">
        <v>9</v>
      </c>
      <c r="D92">
        <v>11285</v>
      </c>
      <c r="G92" t="s">
        <v>128</v>
      </c>
    </row>
    <row r="93" spans="1:7" x14ac:dyDescent="0.3">
      <c r="A93" t="s">
        <v>9</v>
      </c>
      <c r="E93">
        <v>11470</v>
      </c>
      <c r="G93" t="s">
        <v>129</v>
      </c>
    </row>
    <row r="94" spans="1:7" x14ac:dyDescent="0.3">
      <c r="A94" t="s">
        <v>9</v>
      </c>
      <c r="E94">
        <v>11840</v>
      </c>
      <c r="G94" t="s">
        <v>130</v>
      </c>
    </row>
    <row r="95" spans="1:7" x14ac:dyDescent="0.3">
      <c r="A95" t="s">
        <v>9</v>
      </c>
      <c r="E95">
        <v>12025</v>
      </c>
      <c r="G95" t="s">
        <v>131</v>
      </c>
    </row>
    <row r="96" spans="1:7" x14ac:dyDescent="0.3">
      <c r="A96" t="s">
        <v>9</v>
      </c>
      <c r="E96">
        <v>12580</v>
      </c>
      <c r="G96" t="s">
        <v>132</v>
      </c>
    </row>
    <row r="97" spans="1:7" x14ac:dyDescent="0.3">
      <c r="A97" t="s">
        <v>9</v>
      </c>
      <c r="D97">
        <v>15910</v>
      </c>
      <c r="G97" t="s">
        <v>133</v>
      </c>
    </row>
    <row r="98" spans="1:7" x14ac:dyDescent="0.3">
      <c r="A98" t="s">
        <v>9</v>
      </c>
      <c r="E98">
        <v>1850</v>
      </c>
      <c r="G98" t="s">
        <v>134</v>
      </c>
    </row>
    <row r="99" spans="1:7" x14ac:dyDescent="0.3">
      <c r="A99" t="s">
        <v>9</v>
      </c>
      <c r="E99">
        <v>22940</v>
      </c>
      <c r="G99" t="s">
        <v>135</v>
      </c>
    </row>
    <row r="100" spans="1:7" x14ac:dyDescent="0.3">
      <c r="A100" t="s">
        <v>9</v>
      </c>
      <c r="C100">
        <v>109610</v>
      </c>
      <c r="D100">
        <v>148386</v>
      </c>
      <c r="G100" t="s">
        <v>136</v>
      </c>
    </row>
    <row r="101" spans="1:7" x14ac:dyDescent="0.3">
      <c r="A101" t="s">
        <v>9</v>
      </c>
      <c r="F101">
        <v>8050</v>
      </c>
      <c r="G101" t="s">
        <v>137</v>
      </c>
    </row>
    <row r="102" spans="1:7" x14ac:dyDescent="0.3">
      <c r="A102" t="s">
        <v>9</v>
      </c>
      <c r="F102">
        <v>8621</v>
      </c>
      <c r="G102" t="s">
        <v>138</v>
      </c>
    </row>
    <row r="103" spans="1:7" x14ac:dyDescent="0.3">
      <c r="A103" t="s">
        <v>7</v>
      </c>
      <c r="D103">
        <v>0</v>
      </c>
      <c r="G103" t="s">
        <v>139</v>
      </c>
    </row>
    <row r="104" spans="1:7" x14ac:dyDescent="0.3">
      <c r="A104" t="s">
        <v>7</v>
      </c>
      <c r="E104">
        <v>79920</v>
      </c>
      <c r="F104">
        <v>79920</v>
      </c>
      <c r="G104" t="s">
        <v>140</v>
      </c>
    </row>
    <row r="105" spans="1:7" x14ac:dyDescent="0.3">
      <c r="A105" t="s">
        <v>7</v>
      </c>
      <c r="F105">
        <v>3500</v>
      </c>
      <c r="G105" t="s">
        <v>141</v>
      </c>
    </row>
    <row r="106" spans="1:7" x14ac:dyDescent="0.3">
      <c r="A106" t="s">
        <v>7</v>
      </c>
      <c r="F106">
        <v>10500</v>
      </c>
      <c r="G106" t="s">
        <v>142</v>
      </c>
    </row>
    <row r="107" spans="1:7" x14ac:dyDescent="0.3">
      <c r="A107" t="s">
        <v>7</v>
      </c>
      <c r="C107">
        <v>341868</v>
      </c>
      <c r="D107">
        <v>512154</v>
      </c>
      <c r="E107">
        <v>320346</v>
      </c>
      <c r="F107">
        <v>242424</v>
      </c>
      <c r="G107" t="s">
        <v>143</v>
      </c>
    </row>
    <row r="108" spans="1:7" x14ac:dyDescent="0.3">
      <c r="A108" t="s">
        <v>27</v>
      </c>
      <c r="E108">
        <v>3700</v>
      </c>
      <c r="F108">
        <v>3700</v>
      </c>
      <c r="G108" t="s">
        <v>144</v>
      </c>
    </row>
    <row r="109" spans="1:7" x14ac:dyDescent="0.3">
      <c r="A109" t="s">
        <v>27</v>
      </c>
      <c r="E109">
        <v>4440</v>
      </c>
      <c r="G109" t="s">
        <v>145</v>
      </c>
    </row>
    <row r="110" spans="1:7" x14ac:dyDescent="0.3">
      <c r="A110" t="s">
        <v>27</v>
      </c>
      <c r="F110">
        <v>4810</v>
      </c>
      <c r="G110" t="s">
        <v>146</v>
      </c>
    </row>
    <row r="111" spans="1:7" x14ac:dyDescent="0.3">
      <c r="A111" t="s">
        <v>27</v>
      </c>
      <c r="F111">
        <v>5550</v>
      </c>
      <c r="G111" t="s">
        <v>147</v>
      </c>
    </row>
    <row r="112" spans="1:7" x14ac:dyDescent="0.3">
      <c r="A112" t="s">
        <v>27</v>
      </c>
      <c r="E112">
        <v>6290</v>
      </c>
      <c r="G112" t="s">
        <v>148</v>
      </c>
    </row>
    <row r="113" spans="1:7" x14ac:dyDescent="0.3">
      <c r="A113" t="s">
        <v>27</v>
      </c>
      <c r="F113">
        <v>7400</v>
      </c>
      <c r="G113" t="s">
        <v>149</v>
      </c>
    </row>
    <row r="114" spans="1:7" x14ac:dyDescent="0.3">
      <c r="A114" t="s">
        <v>27</v>
      </c>
      <c r="F114">
        <v>7400</v>
      </c>
      <c r="G114" t="s">
        <v>150</v>
      </c>
    </row>
    <row r="115" spans="1:7" x14ac:dyDescent="0.3">
      <c r="A115" t="s">
        <v>27</v>
      </c>
      <c r="F115">
        <v>33300</v>
      </c>
      <c r="G115" t="s">
        <v>151</v>
      </c>
    </row>
    <row r="116" spans="1:7" x14ac:dyDescent="0.3">
      <c r="A116" t="s">
        <v>27</v>
      </c>
      <c r="E116">
        <v>12210</v>
      </c>
      <c r="F116">
        <v>12210</v>
      </c>
      <c r="G116" t="s">
        <v>152</v>
      </c>
    </row>
    <row r="117" spans="1:7" x14ac:dyDescent="0.3">
      <c r="A117" t="s">
        <v>27</v>
      </c>
      <c r="F117">
        <v>12395</v>
      </c>
      <c r="G117" t="s">
        <v>153</v>
      </c>
    </row>
    <row r="118" spans="1:7" x14ac:dyDescent="0.3">
      <c r="A118" t="s">
        <v>27</v>
      </c>
      <c r="F118">
        <v>13283</v>
      </c>
      <c r="G118" t="s">
        <v>154</v>
      </c>
    </row>
    <row r="119" spans="1:7" x14ac:dyDescent="0.3">
      <c r="A119" t="s">
        <v>27</v>
      </c>
      <c r="F119">
        <v>14430</v>
      </c>
      <c r="G119" t="s">
        <v>155</v>
      </c>
    </row>
    <row r="120" spans="1:7" x14ac:dyDescent="0.3">
      <c r="A120" t="s">
        <v>27</v>
      </c>
      <c r="F120">
        <v>15429</v>
      </c>
      <c r="G120" t="s">
        <v>156</v>
      </c>
    </row>
    <row r="121" spans="1:7" x14ac:dyDescent="0.3">
      <c r="A121" t="s">
        <v>27</v>
      </c>
      <c r="F121">
        <v>33300</v>
      </c>
      <c r="G121" t="s">
        <v>157</v>
      </c>
    </row>
    <row r="122" spans="1:7" x14ac:dyDescent="0.3">
      <c r="A122" t="s">
        <v>27</v>
      </c>
      <c r="F122">
        <v>18500</v>
      </c>
      <c r="G122" t="s">
        <v>158</v>
      </c>
    </row>
    <row r="123" spans="1:7" x14ac:dyDescent="0.3">
      <c r="A123" t="s">
        <v>27</v>
      </c>
      <c r="E123">
        <v>1924</v>
      </c>
      <c r="G123" t="s">
        <v>159</v>
      </c>
    </row>
    <row r="124" spans="1:7" x14ac:dyDescent="0.3">
      <c r="A124" t="s">
        <v>27</v>
      </c>
      <c r="E124">
        <v>20350</v>
      </c>
      <c r="G124" t="s">
        <v>160</v>
      </c>
    </row>
    <row r="125" spans="1:7" x14ac:dyDescent="0.3">
      <c r="A125" t="s">
        <v>27</v>
      </c>
      <c r="E125">
        <v>42180</v>
      </c>
      <c r="G125" t="s">
        <v>161</v>
      </c>
    </row>
    <row r="126" spans="1:7" x14ac:dyDescent="0.3">
      <c r="A126" t="s">
        <v>27</v>
      </c>
      <c r="E126">
        <v>22200</v>
      </c>
      <c r="G126" t="s">
        <v>162</v>
      </c>
    </row>
    <row r="127" spans="1:7" x14ac:dyDescent="0.3">
      <c r="A127" t="s">
        <v>27</v>
      </c>
      <c r="E127">
        <v>25900</v>
      </c>
      <c r="G127" t="s">
        <v>163</v>
      </c>
    </row>
    <row r="128" spans="1:7" x14ac:dyDescent="0.3">
      <c r="A128" t="s">
        <v>27</v>
      </c>
      <c r="E128">
        <v>26085</v>
      </c>
      <c r="G128" t="s">
        <v>164</v>
      </c>
    </row>
    <row r="129" spans="1:7" x14ac:dyDescent="0.3">
      <c r="A129" t="s">
        <v>27</v>
      </c>
      <c r="E129">
        <v>29600</v>
      </c>
      <c r="G129" t="s">
        <v>165</v>
      </c>
    </row>
    <row r="130" spans="1:7" x14ac:dyDescent="0.3">
      <c r="A130" t="s">
        <v>27</v>
      </c>
      <c r="D130">
        <v>2496</v>
      </c>
      <c r="G130" t="s">
        <v>166</v>
      </c>
    </row>
    <row r="131" spans="1:7" x14ac:dyDescent="0.3">
      <c r="A131" t="s">
        <v>27</v>
      </c>
      <c r="D131">
        <v>4245</v>
      </c>
      <c r="G131" t="s">
        <v>167</v>
      </c>
    </row>
    <row r="132" spans="1:7" x14ac:dyDescent="0.3">
      <c r="A132" t="s">
        <v>27</v>
      </c>
      <c r="F132">
        <v>3409</v>
      </c>
      <c r="G132" t="s">
        <v>168</v>
      </c>
    </row>
    <row r="133" spans="1:7" x14ac:dyDescent="0.3">
      <c r="A133" t="s">
        <v>27</v>
      </c>
      <c r="F133">
        <v>5327</v>
      </c>
      <c r="G133" t="s">
        <v>169</v>
      </c>
    </row>
    <row r="134" spans="1:7" x14ac:dyDescent="0.3">
      <c r="A134" t="s">
        <v>27</v>
      </c>
      <c r="F134">
        <v>5584</v>
      </c>
      <c r="G134" t="s">
        <v>170</v>
      </c>
    </row>
    <row r="135" spans="1:7" x14ac:dyDescent="0.3">
      <c r="A135" t="s">
        <v>27</v>
      </c>
      <c r="C135">
        <v>1546</v>
      </c>
      <c r="G135" t="s">
        <v>171</v>
      </c>
    </row>
    <row r="136" spans="1:7" x14ac:dyDescent="0.3">
      <c r="A136" t="s">
        <v>27</v>
      </c>
      <c r="D136">
        <v>1787</v>
      </c>
      <c r="G136" t="s">
        <v>172</v>
      </c>
    </row>
    <row r="137" spans="1:7" x14ac:dyDescent="0.3">
      <c r="A137" t="s">
        <v>27</v>
      </c>
      <c r="E137">
        <v>4257</v>
      </c>
      <c r="F137">
        <v>4722</v>
      </c>
      <c r="G137" t="s">
        <v>173</v>
      </c>
    </row>
    <row r="138" spans="1:7" x14ac:dyDescent="0.3">
      <c r="A138" t="s">
        <v>27</v>
      </c>
      <c r="C138">
        <v>7952</v>
      </c>
      <c r="F138">
        <v>6193</v>
      </c>
      <c r="G138" t="s">
        <v>174</v>
      </c>
    </row>
    <row r="139" spans="1:7" x14ac:dyDescent="0.3">
      <c r="A139" t="s">
        <v>27</v>
      </c>
      <c r="F139">
        <v>5561</v>
      </c>
      <c r="G139" t="s">
        <v>175</v>
      </c>
    </row>
    <row r="140" spans="1:7" x14ac:dyDescent="0.3">
      <c r="A140" t="s">
        <v>27</v>
      </c>
      <c r="D140">
        <v>7470</v>
      </c>
      <c r="G140" t="s">
        <v>176</v>
      </c>
    </row>
    <row r="141" spans="1:7" x14ac:dyDescent="0.3">
      <c r="A141" t="s">
        <v>27</v>
      </c>
      <c r="E141">
        <v>1337</v>
      </c>
      <c r="G141" t="s">
        <v>177</v>
      </c>
    </row>
    <row r="142" spans="1:7" x14ac:dyDescent="0.3">
      <c r="A142" t="s">
        <v>27</v>
      </c>
      <c r="E142">
        <v>2939</v>
      </c>
      <c r="G142" t="s">
        <v>178</v>
      </c>
    </row>
    <row r="143" spans="1:7" x14ac:dyDescent="0.3">
      <c r="A143" t="s">
        <v>27</v>
      </c>
      <c r="F143">
        <v>614</v>
      </c>
      <c r="G143" t="s">
        <v>179</v>
      </c>
    </row>
    <row r="144" spans="1:7" x14ac:dyDescent="0.3">
      <c r="A144" t="s">
        <v>27</v>
      </c>
      <c r="E144">
        <v>1184</v>
      </c>
      <c r="G144" t="s">
        <v>180</v>
      </c>
    </row>
    <row r="145" spans="1:7" x14ac:dyDescent="0.3">
      <c r="A145" t="s">
        <v>27</v>
      </c>
      <c r="E145">
        <v>2747</v>
      </c>
      <c r="G145" t="s">
        <v>181</v>
      </c>
    </row>
    <row r="146" spans="1:7" x14ac:dyDescent="0.3">
      <c r="A146" t="s">
        <v>27</v>
      </c>
      <c r="F146">
        <v>6288</v>
      </c>
      <c r="G146" t="s">
        <v>182</v>
      </c>
    </row>
    <row r="147" spans="1:7" x14ac:dyDescent="0.3">
      <c r="A147" t="s">
        <v>27</v>
      </c>
      <c r="F147">
        <v>4368</v>
      </c>
      <c r="G147" t="s">
        <v>183</v>
      </c>
    </row>
    <row r="148" spans="1:7" x14ac:dyDescent="0.3">
      <c r="A148" t="s">
        <v>27</v>
      </c>
      <c r="F148">
        <v>2184</v>
      </c>
      <c r="G148" t="s">
        <v>184</v>
      </c>
    </row>
    <row r="149" spans="1:7" x14ac:dyDescent="0.3">
      <c r="A149" t="s">
        <v>27</v>
      </c>
      <c r="F149">
        <v>6552</v>
      </c>
      <c r="G149" t="s">
        <v>185</v>
      </c>
    </row>
    <row r="150" spans="1:7" x14ac:dyDescent="0.3">
      <c r="A150" t="s">
        <v>27</v>
      </c>
      <c r="F150">
        <v>6552</v>
      </c>
      <c r="G150" t="s">
        <v>186</v>
      </c>
    </row>
    <row r="151" spans="1:7" x14ac:dyDescent="0.3">
      <c r="A151" t="s">
        <v>27</v>
      </c>
      <c r="F151">
        <v>1120</v>
      </c>
      <c r="G151" t="s">
        <v>187</v>
      </c>
    </row>
    <row r="152" spans="1:7" x14ac:dyDescent="0.3">
      <c r="A152" t="s">
        <v>27</v>
      </c>
      <c r="D152">
        <v>3584</v>
      </c>
      <c r="G152" t="s">
        <v>188</v>
      </c>
    </row>
    <row r="153" spans="1:7" x14ac:dyDescent="0.3">
      <c r="A153" t="s">
        <v>27</v>
      </c>
      <c r="D153">
        <v>2496</v>
      </c>
      <c r="G153" t="s">
        <v>189</v>
      </c>
    </row>
    <row r="154" spans="1:7" x14ac:dyDescent="0.3">
      <c r="A154" t="s">
        <v>27</v>
      </c>
      <c r="C154">
        <v>3744</v>
      </c>
      <c r="D154">
        <v>3744</v>
      </c>
      <c r="G154" t="s">
        <v>190</v>
      </c>
    </row>
    <row r="155" spans="1:7" x14ac:dyDescent="0.3">
      <c r="A155" t="s">
        <v>27</v>
      </c>
      <c r="D155">
        <v>1248</v>
      </c>
      <c r="G155" t="s">
        <v>191</v>
      </c>
    </row>
    <row r="156" spans="1:7" x14ac:dyDescent="0.3">
      <c r="A156" t="s">
        <v>27</v>
      </c>
      <c r="C156">
        <v>4992</v>
      </c>
      <c r="E156">
        <v>3120</v>
      </c>
      <c r="G156" t="s">
        <v>192</v>
      </c>
    </row>
    <row r="157" spans="1:7" x14ac:dyDescent="0.3">
      <c r="A157" t="s">
        <v>27</v>
      </c>
      <c r="C157">
        <v>1248</v>
      </c>
      <c r="G157" t="s">
        <v>193</v>
      </c>
    </row>
    <row r="158" spans="1:7" x14ac:dyDescent="0.3">
      <c r="A158" t="s">
        <v>27</v>
      </c>
      <c r="D158">
        <v>3744</v>
      </c>
      <c r="G158" t="s">
        <v>194</v>
      </c>
    </row>
    <row r="159" spans="1:7" x14ac:dyDescent="0.3">
      <c r="A159" t="s">
        <v>27</v>
      </c>
      <c r="E159">
        <v>7196</v>
      </c>
      <c r="G159" t="s">
        <v>195</v>
      </c>
    </row>
    <row r="160" spans="1:7" x14ac:dyDescent="0.3">
      <c r="A160" t="s">
        <v>27</v>
      </c>
      <c r="D160">
        <v>326</v>
      </c>
      <c r="G160" t="s">
        <v>196</v>
      </c>
    </row>
    <row r="161" spans="1:7" x14ac:dyDescent="0.3">
      <c r="A161" t="s">
        <v>27</v>
      </c>
      <c r="C161">
        <v>2218</v>
      </c>
      <c r="G161" t="s">
        <v>197</v>
      </c>
    </row>
    <row r="162" spans="1:7" x14ac:dyDescent="0.3">
      <c r="A162" t="s">
        <v>27</v>
      </c>
      <c r="D162">
        <v>780</v>
      </c>
      <c r="G162" t="s">
        <v>198</v>
      </c>
    </row>
    <row r="163" spans="1:7" x14ac:dyDescent="0.3">
      <c r="A163" t="s">
        <v>27</v>
      </c>
      <c r="F163">
        <v>2248</v>
      </c>
      <c r="G163" t="s">
        <v>199</v>
      </c>
    </row>
    <row r="164" spans="1:7" x14ac:dyDescent="0.3">
      <c r="A164" t="s">
        <v>27</v>
      </c>
      <c r="E164">
        <v>3952</v>
      </c>
      <c r="G164" t="s">
        <v>200</v>
      </c>
    </row>
    <row r="165" spans="1:7" x14ac:dyDescent="0.3">
      <c r="A165" t="s">
        <v>27</v>
      </c>
      <c r="E165">
        <v>6240</v>
      </c>
      <c r="G165" t="s">
        <v>201</v>
      </c>
    </row>
    <row r="166" spans="1:7" x14ac:dyDescent="0.3">
      <c r="A166" t="s">
        <v>27</v>
      </c>
      <c r="F166">
        <v>6552</v>
      </c>
      <c r="G166" t="s">
        <v>202</v>
      </c>
    </row>
    <row r="167" spans="1:7" x14ac:dyDescent="0.3">
      <c r="A167" t="s">
        <v>27</v>
      </c>
      <c r="C167">
        <v>1248</v>
      </c>
      <c r="G167" t="s">
        <v>203</v>
      </c>
    </row>
    <row r="168" spans="1:7" x14ac:dyDescent="0.3">
      <c r="A168" t="s">
        <v>27</v>
      </c>
      <c r="C168">
        <v>2496</v>
      </c>
      <c r="G168" t="s">
        <v>204</v>
      </c>
    </row>
    <row r="169" spans="1:7" x14ac:dyDescent="0.3">
      <c r="A169" t="s">
        <v>27</v>
      </c>
      <c r="F169">
        <v>16646</v>
      </c>
      <c r="G169" t="s">
        <v>205</v>
      </c>
    </row>
    <row r="170" spans="1:7" x14ac:dyDescent="0.3">
      <c r="A170" t="s">
        <v>27</v>
      </c>
      <c r="D170">
        <v>4114</v>
      </c>
      <c r="G170" t="s">
        <v>206</v>
      </c>
    </row>
    <row r="171" spans="1:7" x14ac:dyDescent="0.3">
      <c r="A171" t="s">
        <v>27</v>
      </c>
      <c r="C171">
        <v>21115</v>
      </c>
      <c r="D171">
        <v>12750</v>
      </c>
      <c r="E171">
        <v>7417</v>
      </c>
      <c r="G171" t="s">
        <v>207</v>
      </c>
    </row>
    <row r="172" spans="1:7" x14ac:dyDescent="0.3">
      <c r="A172" t="s">
        <v>27</v>
      </c>
      <c r="E172">
        <v>523</v>
      </c>
      <c r="G172" t="s">
        <v>208</v>
      </c>
    </row>
    <row r="173" spans="1:7" x14ac:dyDescent="0.3">
      <c r="A173" t="s">
        <v>27</v>
      </c>
      <c r="C173">
        <v>887</v>
      </c>
      <c r="G173" t="s">
        <v>209</v>
      </c>
    </row>
    <row r="174" spans="1:7" x14ac:dyDescent="0.3">
      <c r="A174" t="s">
        <v>27</v>
      </c>
      <c r="C174">
        <v>523</v>
      </c>
      <c r="G174" t="s">
        <v>210</v>
      </c>
    </row>
    <row r="175" spans="1:7" x14ac:dyDescent="0.3">
      <c r="A175" t="s">
        <v>27</v>
      </c>
      <c r="E175">
        <v>3</v>
      </c>
      <c r="G175" t="s">
        <v>211</v>
      </c>
    </row>
    <row r="176" spans="1:7" x14ac:dyDescent="0.3">
      <c r="A176" t="s">
        <v>27</v>
      </c>
      <c r="C176">
        <v>9</v>
      </c>
      <c r="G176" t="s">
        <v>212</v>
      </c>
    </row>
    <row r="177" spans="1:7" x14ac:dyDescent="0.3">
      <c r="A177" t="s">
        <v>27</v>
      </c>
      <c r="F177">
        <v>8736</v>
      </c>
      <c r="G177" t="s">
        <v>213</v>
      </c>
    </row>
    <row r="178" spans="1:7" x14ac:dyDescent="0.3">
      <c r="A178" t="s">
        <v>27</v>
      </c>
      <c r="E178">
        <v>1976</v>
      </c>
      <c r="G178" t="s">
        <v>214</v>
      </c>
    </row>
    <row r="179" spans="1:7" x14ac:dyDescent="0.3">
      <c r="A179" t="s">
        <v>27</v>
      </c>
      <c r="F179">
        <v>9194</v>
      </c>
      <c r="G179" t="s">
        <v>215</v>
      </c>
    </row>
    <row r="180" spans="1:7" x14ac:dyDescent="0.3">
      <c r="A180" t="s">
        <v>27</v>
      </c>
      <c r="C180">
        <v>5780</v>
      </c>
      <c r="G180" t="s">
        <v>216</v>
      </c>
    </row>
    <row r="181" spans="1:7" x14ac:dyDescent="0.3">
      <c r="A181" t="s">
        <v>27</v>
      </c>
      <c r="C181">
        <v>5340</v>
      </c>
      <c r="G181" t="s">
        <v>217</v>
      </c>
    </row>
    <row r="182" spans="1:7" x14ac:dyDescent="0.3">
      <c r="A182" t="s">
        <v>27</v>
      </c>
      <c r="C182">
        <v>54193</v>
      </c>
      <c r="D182">
        <v>6110</v>
      </c>
      <c r="G182" t="s">
        <v>218</v>
      </c>
    </row>
    <row r="183" spans="1:7" x14ac:dyDescent="0.3">
      <c r="A183" t="s">
        <v>27</v>
      </c>
      <c r="D183">
        <v>6740</v>
      </c>
      <c r="G183" t="s">
        <v>219</v>
      </c>
    </row>
    <row r="184" spans="1:7" x14ac:dyDescent="0.3">
      <c r="A184" t="s">
        <v>27</v>
      </c>
      <c r="E184">
        <v>3263</v>
      </c>
      <c r="G184" t="s">
        <v>220</v>
      </c>
    </row>
    <row r="185" spans="1:7" x14ac:dyDescent="0.3">
      <c r="A185" t="s">
        <v>27</v>
      </c>
      <c r="E185">
        <v>1696</v>
      </c>
      <c r="G185" t="s">
        <v>221</v>
      </c>
    </row>
    <row r="186" spans="1:7" x14ac:dyDescent="0.3">
      <c r="A186" t="s">
        <v>27</v>
      </c>
      <c r="C186">
        <v>3197</v>
      </c>
      <c r="G186" t="s">
        <v>222</v>
      </c>
    </row>
    <row r="187" spans="1:7" x14ac:dyDescent="0.3">
      <c r="A187" t="s">
        <v>27</v>
      </c>
      <c r="C187">
        <v>1080</v>
      </c>
      <c r="G187" t="s">
        <v>223</v>
      </c>
    </row>
    <row r="188" spans="1:7" x14ac:dyDescent="0.3">
      <c r="A188" t="s">
        <v>27</v>
      </c>
      <c r="E188">
        <v>4958</v>
      </c>
      <c r="G188" t="s">
        <v>224</v>
      </c>
    </row>
    <row r="189" spans="1:7" x14ac:dyDescent="0.3">
      <c r="A189" t="s">
        <v>27</v>
      </c>
      <c r="E189">
        <v>9787</v>
      </c>
      <c r="G189" t="s">
        <v>225</v>
      </c>
    </row>
    <row r="190" spans="1:7" x14ac:dyDescent="0.3">
      <c r="A190" t="s">
        <v>27</v>
      </c>
      <c r="D190">
        <v>11958</v>
      </c>
      <c r="G190" t="s">
        <v>226</v>
      </c>
    </row>
    <row r="191" spans="1:7" x14ac:dyDescent="0.3">
      <c r="A191" t="s">
        <v>27</v>
      </c>
      <c r="D191">
        <v>5124</v>
      </c>
      <c r="G191" t="s">
        <v>227</v>
      </c>
    </row>
    <row r="192" spans="1:7" x14ac:dyDescent="0.3">
      <c r="A192" t="s">
        <v>27</v>
      </c>
      <c r="E192">
        <v>4819</v>
      </c>
      <c r="G192" t="s">
        <v>228</v>
      </c>
    </row>
    <row r="193" spans="1:7" x14ac:dyDescent="0.3">
      <c r="A193" t="s">
        <v>27</v>
      </c>
      <c r="E193">
        <v>4887</v>
      </c>
      <c r="G193" t="s">
        <v>229</v>
      </c>
    </row>
    <row r="194" spans="1:7" x14ac:dyDescent="0.3">
      <c r="A194" t="s">
        <v>27</v>
      </c>
      <c r="D194">
        <v>19925</v>
      </c>
      <c r="G194" t="s">
        <v>230</v>
      </c>
    </row>
    <row r="195" spans="1:7" x14ac:dyDescent="0.3">
      <c r="A195" t="s">
        <v>27</v>
      </c>
      <c r="E195">
        <v>14850</v>
      </c>
      <c r="G195" t="s">
        <v>110</v>
      </c>
    </row>
    <row r="196" spans="1:7" x14ac:dyDescent="0.3">
      <c r="A196" t="s">
        <v>27</v>
      </c>
      <c r="C196">
        <v>1157</v>
      </c>
      <c r="G196" t="s">
        <v>231</v>
      </c>
    </row>
    <row r="197" spans="1:7" x14ac:dyDescent="0.3">
      <c r="A197" t="s">
        <v>27</v>
      </c>
      <c r="C197">
        <v>10296</v>
      </c>
      <c r="D197">
        <v>8105</v>
      </c>
      <c r="G197" t="s">
        <v>232</v>
      </c>
    </row>
    <row r="198" spans="1:7" x14ac:dyDescent="0.3">
      <c r="A198" t="s">
        <v>27</v>
      </c>
      <c r="E198">
        <v>3588</v>
      </c>
      <c r="G198" t="s">
        <v>233</v>
      </c>
    </row>
    <row r="199" spans="1:7" x14ac:dyDescent="0.3">
      <c r="A199" t="s">
        <v>27</v>
      </c>
      <c r="E199">
        <v>2970</v>
      </c>
      <c r="F199">
        <v>16201</v>
      </c>
      <c r="G199" t="s">
        <v>234</v>
      </c>
    </row>
    <row r="200" spans="1:7" x14ac:dyDescent="0.3">
      <c r="A200" t="s">
        <v>27</v>
      </c>
      <c r="C200">
        <v>9480</v>
      </c>
      <c r="G200" t="s">
        <v>235</v>
      </c>
    </row>
    <row r="201" spans="1:7" x14ac:dyDescent="0.3">
      <c r="A201" t="s">
        <v>27</v>
      </c>
      <c r="D201">
        <v>67680</v>
      </c>
      <c r="G201" t="s">
        <v>236</v>
      </c>
    </row>
    <row r="202" spans="1:7" x14ac:dyDescent="0.3">
      <c r="A202" t="s">
        <v>27</v>
      </c>
      <c r="F202">
        <v>6864</v>
      </c>
      <c r="G202" t="s">
        <v>237</v>
      </c>
    </row>
    <row r="203" spans="1:7" x14ac:dyDescent="0.3">
      <c r="A203" t="s">
        <v>27</v>
      </c>
      <c r="E203">
        <v>7304</v>
      </c>
      <c r="G203" t="s">
        <v>238</v>
      </c>
    </row>
    <row r="204" spans="1:7" x14ac:dyDescent="0.3">
      <c r="A204" t="s">
        <v>27</v>
      </c>
      <c r="E204">
        <v>5553</v>
      </c>
      <c r="G204" t="s">
        <v>239</v>
      </c>
    </row>
    <row r="205" spans="1:7" x14ac:dyDescent="0.3">
      <c r="A205" t="s">
        <v>27</v>
      </c>
      <c r="C205">
        <v>22455</v>
      </c>
      <c r="G205" t="s">
        <v>240</v>
      </c>
    </row>
    <row r="206" spans="1:7" x14ac:dyDescent="0.3">
      <c r="A206" t="s">
        <v>27</v>
      </c>
      <c r="F206">
        <v>6785</v>
      </c>
      <c r="G206" t="s">
        <v>241</v>
      </c>
    </row>
    <row r="207" spans="1:7" x14ac:dyDescent="0.3">
      <c r="A207" t="s">
        <v>27</v>
      </c>
      <c r="C207">
        <v>5382</v>
      </c>
      <c r="G207" t="s">
        <v>242</v>
      </c>
    </row>
    <row r="208" spans="1:7" x14ac:dyDescent="0.3">
      <c r="A208" t="s">
        <v>27</v>
      </c>
      <c r="F208">
        <v>5941</v>
      </c>
      <c r="G208" t="s">
        <v>243</v>
      </c>
    </row>
    <row r="209" spans="1:7" x14ac:dyDescent="0.3">
      <c r="A209" t="s">
        <v>27</v>
      </c>
      <c r="C209">
        <v>20532</v>
      </c>
      <c r="G209" t="s">
        <v>244</v>
      </c>
    </row>
    <row r="210" spans="1:7" x14ac:dyDescent="0.3">
      <c r="A210" t="s">
        <v>27</v>
      </c>
      <c r="F210">
        <v>410</v>
      </c>
      <c r="G210" t="s">
        <v>245</v>
      </c>
    </row>
    <row r="211" spans="1:7" x14ac:dyDescent="0.3">
      <c r="A211" t="s">
        <v>27</v>
      </c>
      <c r="F211">
        <v>225</v>
      </c>
      <c r="G211" t="s">
        <v>246</v>
      </c>
    </row>
    <row r="212" spans="1:7" x14ac:dyDescent="0.3">
      <c r="A212" t="s">
        <v>27</v>
      </c>
      <c r="F212">
        <v>125</v>
      </c>
      <c r="G212" t="s">
        <v>247</v>
      </c>
    </row>
    <row r="213" spans="1:7" x14ac:dyDescent="0.3">
      <c r="A213" t="s">
        <v>27</v>
      </c>
      <c r="E213">
        <v>13828</v>
      </c>
      <c r="G213" t="s">
        <v>248</v>
      </c>
    </row>
    <row r="214" spans="1:7" x14ac:dyDescent="0.3">
      <c r="A214" t="s">
        <v>27</v>
      </c>
      <c r="C214">
        <v>1978</v>
      </c>
      <c r="D214">
        <v>2093</v>
      </c>
      <c r="E214">
        <v>4796</v>
      </c>
      <c r="G214" t="s">
        <v>249</v>
      </c>
    </row>
    <row r="215" spans="1:7" x14ac:dyDescent="0.3">
      <c r="A215" t="s">
        <v>27</v>
      </c>
      <c r="C215">
        <v>2660</v>
      </c>
      <c r="G215" t="s">
        <v>250</v>
      </c>
    </row>
    <row r="216" spans="1:7" x14ac:dyDescent="0.3">
      <c r="A216" t="s">
        <v>27</v>
      </c>
      <c r="C216">
        <v>1620</v>
      </c>
      <c r="G216" t="s">
        <v>251</v>
      </c>
    </row>
    <row r="217" spans="1:7" x14ac:dyDescent="0.3">
      <c r="A217" t="s">
        <v>27</v>
      </c>
      <c r="C217">
        <v>4125</v>
      </c>
      <c r="G217" t="s">
        <v>252</v>
      </c>
    </row>
    <row r="218" spans="1:7" x14ac:dyDescent="0.3">
      <c r="A218" t="s">
        <v>27</v>
      </c>
      <c r="F218">
        <v>4241</v>
      </c>
      <c r="G218" t="s">
        <v>253</v>
      </c>
    </row>
    <row r="219" spans="1:7" x14ac:dyDescent="0.3">
      <c r="A219" t="s">
        <v>27</v>
      </c>
      <c r="F219">
        <v>24693</v>
      </c>
      <c r="G219" t="s">
        <v>254</v>
      </c>
    </row>
    <row r="220" spans="1:7" x14ac:dyDescent="0.3">
      <c r="A220" t="s">
        <v>27</v>
      </c>
      <c r="F220">
        <v>24693</v>
      </c>
      <c r="G220" t="s">
        <v>255</v>
      </c>
    </row>
    <row r="221" spans="1:7" x14ac:dyDescent="0.3">
      <c r="A221" t="s">
        <v>27</v>
      </c>
      <c r="D221">
        <v>203</v>
      </c>
      <c r="G221" t="s">
        <v>256</v>
      </c>
    </row>
    <row r="222" spans="1:7" x14ac:dyDescent="0.3">
      <c r="A222" t="s">
        <v>27</v>
      </c>
      <c r="D222">
        <v>51</v>
      </c>
      <c r="G222" t="s">
        <v>257</v>
      </c>
    </row>
    <row r="223" spans="1:7" x14ac:dyDescent="0.3">
      <c r="A223" t="s">
        <v>27</v>
      </c>
      <c r="D223">
        <v>419</v>
      </c>
      <c r="G223" t="s">
        <v>258</v>
      </c>
    </row>
    <row r="224" spans="1:7" x14ac:dyDescent="0.3">
      <c r="A224" t="s">
        <v>27</v>
      </c>
      <c r="C224">
        <v>56</v>
      </c>
      <c r="G224" t="s">
        <v>259</v>
      </c>
    </row>
    <row r="225" spans="1:7" x14ac:dyDescent="0.3">
      <c r="A225" t="s">
        <v>27</v>
      </c>
      <c r="C225">
        <v>300</v>
      </c>
      <c r="G225" t="s">
        <v>260</v>
      </c>
    </row>
    <row r="226" spans="1:7" x14ac:dyDescent="0.3">
      <c r="A226" t="s">
        <v>27</v>
      </c>
      <c r="D226">
        <v>147</v>
      </c>
      <c r="G226" t="s">
        <v>261</v>
      </c>
    </row>
    <row r="227" spans="1:7" x14ac:dyDescent="0.3">
      <c r="A227" t="s">
        <v>27</v>
      </c>
      <c r="F227">
        <v>12</v>
      </c>
      <c r="G227" t="s">
        <v>262</v>
      </c>
    </row>
    <row r="228" spans="1:7" x14ac:dyDescent="0.3">
      <c r="A228" t="s">
        <v>27</v>
      </c>
      <c r="E228">
        <v>53</v>
      </c>
      <c r="G228" t="s">
        <v>263</v>
      </c>
    </row>
    <row r="229" spans="1:7" x14ac:dyDescent="0.3">
      <c r="A229" t="s">
        <v>27</v>
      </c>
      <c r="E229">
        <v>16</v>
      </c>
      <c r="G229" t="s">
        <v>264</v>
      </c>
    </row>
    <row r="230" spans="1:7" x14ac:dyDescent="0.3">
      <c r="A230" t="s">
        <v>27</v>
      </c>
      <c r="F230">
        <v>2</v>
      </c>
      <c r="G230" t="s">
        <v>265</v>
      </c>
    </row>
    <row r="231" spans="1:7" x14ac:dyDescent="0.3">
      <c r="A231" t="s">
        <v>27</v>
      </c>
      <c r="F231">
        <v>3400</v>
      </c>
      <c r="G231" t="s">
        <v>266</v>
      </c>
    </row>
    <row r="232" spans="1:7" x14ac:dyDescent="0.3">
      <c r="A232" t="s">
        <v>27</v>
      </c>
      <c r="D232">
        <v>4800</v>
      </c>
      <c r="G232" t="s">
        <v>267</v>
      </c>
    </row>
    <row r="233" spans="1:7" x14ac:dyDescent="0.3">
      <c r="A233" t="s">
        <v>27</v>
      </c>
      <c r="F233">
        <v>20208</v>
      </c>
      <c r="G233" t="s">
        <v>268</v>
      </c>
    </row>
    <row r="234" spans="1:7" x14ac:dyDescent="0.3">
      <c r="A234" t="s">
        <v>27</v>
      </c>
      <c r="D234">
        <v>245</v>
      </c>
      <c r="G234" t="s">
        <v>269</v>
      </c>
    </row>
    <row r="235" spans="1:7" x14ac:dyDescent="0.3">
      <c r="A235" t="s">
        <v>27</v>
      </c>
      <c r="C235">
        <v>479</v>
      </c>
      <c r="G235" t="s">
        <v>270</v>
      </c>
    </row>
    <row r="236" spans="1:7" x14ac:dyDescent="0.3">
      <c r="A236" t="s">
        <v>27</v>
      </c>
      <c r="D236">
        <v>456</v>
      </c>
      <c r="G236" t="s">
        <v>271</v>
      </c>
    </row>
    <row r="237" spans="1:7" x14ac:dyDescent="0.3">
      <c r="A237" t="s">
        <v>27</v>
      </c>
      <c r="D237">
        <v>354</v>
      </c>
      <c r="G237" t="s">
        <v>272</v>
      </c>
    </row>
    <row r="238" spans="1:7" x14ac:dyDescent="0.3">
      <c r="A238" t="s">
        <v>27</v>
      </c>
      <c r="C238">
        <v>16797</v>
      </c>
      <c r="G238" t="s">
        <v>273</v>
      </c>
    </row>
    <row r="239" spans="1:7" x14ac:dyDescent="0.3">
      <c r="A239" t="s">
        <v>274</v>
      </c>
      <c r="D239">
        <v>2</v>
      </c>
      <c r="G239" t="s">
        <v>275</v>
      </c>
    </row>
    <row r="240" spans="1:7" x14ac:dyDescent="0.3">
      <c r="A240" t="s">
        <v>12</v>
      </c>
      <c r="D240">
        <v>25636</v>
      </c>
      <c r="G240" t="s">
        <v>276</v>
      </c>
    </row>
    <row r="241" spans="1:7" x14ac:dyDescent="0.3">
      <c r="A241" t="s">
        <v>12</v>
      </c>
      <c r="E241">
        <v>5550</v>
      </c>
      <c r="G241" t="s">
        <v>277</v>
      </c>
    </row>
    <row r="242" spans="1:7" x14ac:dyDescent="0.3">
      <c r="A242" t="s">
        <v>12</v>
      </c>
      <c r="E242">
        <v>6660</v>
      </c>
      <c r="G242" t="s">
        <v>278</v>
      </c>
    </row>
    <row r="243" spans="1:7" x14ac:dyDescent="0.3">
      <c r="A243" t="s">
        <v>12</v>
      </c>
      <c r="E243">
        <v>7400</v>
      </c>
      <c r="G243" t="s">
        <v>123</v>
      </c>
    </row>
    <row r="244" spans="1:7" x14ac:dyDescent="0.3">
      <c r="A244" t="s">
        <v>12</v>
      </c>
      <c r="E244">
        <v>9990</v>
      </c>
      <c r="G244" t="s">
        <v>279</v>
      </c>
    </row>
    <row r="245" spans="1:7" x14ac:dyDescent="0.3">
      <c r="A245" t="s">
        <v>12</v>
      </c>
      <c r="F245">
        <v>13320</v>
      </c>
      <c r="G245" t="s">
        <v>280</v>
      </c>
    </row>
    <row r="246" spans="1:7" x14ac:dyDescent="0.3">
      <c r="A246" t="s">
        <v>12</v>
      </c>
      <c r="E246">
        <v>2220</v>
      </c>
      <c r="G246" t="s">
        <v>281</v>
      </c>
    </row>
    <row r="247" spans="1:7" x14ac:dyDescent="0.3">
      <c r="A247" t="s">
        <v>12</v>
      </c>
      <c r="D247">
        <v>69893</v>
      </c>
      <c r="G247" t="s">
        <v>136</v>
      </c>
    </row>
    <row r="248" spans="1:7" x14ac:dyDescent="0.3">
      <c r="A248" t="s">
        <v>12</v>
      </c>
      <c r="E248">
        <v>7160</v>
      </c>
      <c r="G248" t="s">
        <v>282</v>
      </c>
    </row>
    <row r="249" spans="1:7" x14ac:dyDescent="0.3">
      <c r="A249" t="s">
        <v>12</v>
      </c>
      <c r="E249">
        <v>8000</v>
      </c>
      <c r="G249" t="s">
        <v>283</v>
      </c>
    </row>
    <row r="250" spans="1:7" x14ac:dyDescent="0.3">
      <c r="A250" t="s">
        <v>12</v>
      </c>
      <c r="E250">
        <v>10400</v>
      </c>
      <c r="G250" t="s">
        <v>284</v>
      </c>
    </row>
    <row r="251" spans="1:7" x14ac:dyDescent="0.3">
      <c r="A251" t="s">
        <v>12</v>
      </c>
      <c r="E251">
        <v>2600</v>
      </c>
      <c r="G251" t="s">
        <v>285</v>
      </c>
    </row>
    <row r="252" spans="1:7" x14ac:dyDescent="0.3">
      <c r="A252" t="s">
        <v>12</v>
      </c>
      <c r="E252">
        <v>2600</v>
      </c>
      <c r="G252" t="s">
        <v>286</v>
      </c>
    </row>
    <row r="253" spans="1:7" x14ac:dyDescent="0.3">
      <c r="A253" t="s">
        <v>12</v>
      </c>
      <c r="C253">
        <v>178360</v>
      </c>
      <c r="D253">
        <v>103720</v>
      </c>
      <c r="G253" t="s">
        <v>236</v>
      </c>
    </row>
    <row r="254" spans="1:7" x14ac:dyDescent="0.3">
      <c r="A254" t="s">
        <v>12</v>
      </c>
      <c r="C254">
        <v>14200</v>
      </c>
      <c r="G254" t="s">
        <v>287</v>
      </c>
    </row>
    <row r="255" spans="1:7" x14ac:dyDescent="0.3">
      <c r="A255" t="s">
        <v>12</v>
      </c>
      <c r="F255">
        <v>4255</v>
      </c>
      <c r="G255" t="s">
        <v>288</v>
      </c>
    </row>
    <row r="256" spans="1:7" x14ac:dyDescent="0.3">
      <c r="A256" t="s">
        <v>12</v>
      </c>
      <c r="F256">
        <v>9620</v>
      </c>
      <c r="G256" t="s">
        <v>289</v>
      </c>
    </row>
    <row r="257" spans="1:7" x14ac:dyDescent="0.3">
      <c r="A257" t="s">
        <v>12</v>
      </c>
      <c r="F257">
        <v>13690</v>
      </c>
      <c r="G257" t="s">
        <v>290</v>
      </c>
    </row>
    <row r="258" spans="1:7" x14ac:dyDescent="0.3">
      <c r="A258" t="s">
        <v>12</v>
      </c>
      <c r="E258">
        <v>3750</v>
      </c>
      <c r="G258" t="s">
        <v>291</v>
      </c>
    </row>
    <row r="259" spans="1:7" x14ac:dyDescent="0.3">
      <c r="A259" t="s">
        <v>12</v>
      </c>
      <c r="E259">
        <v>5250</v>
      </c>
      <c r="G259" t="s">
        <v>292</v>
      </c>
    </row>
    <row r="260" spans="1:7" x14ac:dyDescent="0.3">
      <c r="A260" t="s">
        <v>12</v>
      </c>
      <c r="C260">
        <v>5925</v>
      </c>
      <c r="G260" t="s">
        <v>293</v>
      </c>
    </row>
    <row r="261" spans="1:7" x14ac:dyDescent="0.3">
      <c r="A261" t="s">
        <v>294</v>
      </c>
      <c r="E261">
        <v>2990</v>
      </c>
      <c r="G261" t="s">
        <v>295</v>
      </c>
    </row>
    <row r="262" spans="1:7" x14ac:dyDescent="0.3">
      <c r="A262" t="s">
        <v>294</v>
      </c>
      <c r="F262">
        <v>6260</v>
      </c>
      <c r="G262" t="s">
        <v>296</v>
      </c>
    </row>
    <row r="263" spans="1:7" x14ac:dyDescent="0.3">
      <c r="A263" t="s">
        <v>294</v>
      </c>
      <c r="E263">
        <v>17101</v>
      </c>
      <c r="G263" t="s">
        <v>297</v>
      </c>
    </row>
    <row r="264" spans="1:7" x14ac:dyDescent="0.3">
      <c r="A264" t="s">
        <v>294</v>
      </c>
      <c r="F264">
        <v>11364</v>
      </c>
      <c r="G264" t="s">
        <v>298</v>
      </c>
    </row>
    <row r="265" spans="1:7" x14ac:dyDescent="0.3">
      <c r="A265" t="s">
        <v>294</v>
      </c>
      <c r="F265">
        <v>5736</v>
      </c>
      <c r="G265" t="s">
        <v>299</v>
      </c>
    </row>
    <row r="266" spans="1:7" x14ac:dyDescent="0.3">
      <c r="A266" t="s">
        <v>294</v>
      </c>
      <c r="F266">
        <v>10672</v>
      </c>
      <c r="G266" t="s">
        <v>300</v>
      </c>
    </row>
    <row r="267" spans="1:7" x14ac:dyDescent="0.3">
      <c r="A267" t="s">
        <v>294</v>
      </c>
      <c r="E267">
        <v>6021</v>
      </c>
      <c r="G267" t="s">
        <v>301</v>
      </c>
    </row>
    <row r="268" spans="1:7" x14ac:dyDescent="0.3">
      <c r="A268" t="s">
        <v>294</v>
      </c>
      <c r="F268">
        <v>4349</v>
      </c>
      <c r="G268" t="s">
        <v>302</v>
      </c>
    </row>
    <row r="269" spans="1:7" x14ac:dyDescent="0.3">
      <c r="A269" t="s">
        <v>294</v>
      </c>
      <c r="E269">
        <v>5180</v>
      </c>
      <c r="G269" t="s">
        <v>303</v>
      </c>
    </row>
    <row r="270" spans="1:7" x14ac:dyDescent="0.3">
      <c r="A270" t="s">
        <v>294</v>
      </c>
      <c r="F270">
        <v>15450</v>
      </c>
      <c r="G270" t="s">
        <v>304</v>
      </c>
    </row>
    <row r="271" spans="1:7" x14ac:dyDescent="0.3">
      <c r="A271" t="s">
        <v>294</v>
      </c>
      <c r="F271">
        <v>9330</v>
      </c>
      <c r="G271" t="s">
        <v>305</v>
      </c>
    </row>
    <row r="272" spans="1:7" x14ac:dyDescent="0.3">
      <c r="A272" t="s">
        <v>294</v>
      </c>
      <c r="E272">
        <v>11360</v>
      </c>
      <c r="F272">
        <v>53305</v>
      </c>
      <c r="G272" t="s">
        <v>110</v>
      </c>
    </row>
    <row r="273" spans="1:7" x14ac:dyDescent="0.3">
      <c r="A273" t="s">
        <v>294</v>
      </c>
      <c r="E273">
        <v>3363</v>
      </c>
      <c r="G273" t="s">
        <v>306</v>
      </c>
    </row>
    <row r="274" spans="1:7" x14ac:dyDescent="0.3">
      <c r="A274" t="s">
        <v>92</v>
      </c>
      <c r="D274">
        <v>0</v>
      </c>
      <c r="G274" t="s">
        <v>307</v>
      </c>
    </row>
    <row r="275" spans="1:7" x14ac:dyDescent="0.3">
      <c r="A275" t="s">
        <v>308</v>
      </c>
      <c r="E275">
        <v>1961</v>
      </c>
      <c r="G275" t="s">
        <v>309</v>
      </c>
    </row>
    <row r="276" spans="1:7" x14ac:dyDescent="0.3">
      <c r="A276" t="s">
        <v>308</v>
      </c>
      <c r="E276">
        <v>2000</v>
      </c>
      <c r="G276" t="s">
        <v>310</v>
      </c>
    </row>
    <row r="277" spans="1:7" x14ac:dyDescent="0.3">
      <c r="A277" t="s">
        <v>308</v>
      </c>
      <c r="D277">
        <v>3000</v>
      </c>
      <c r="G277" t="s">
        <v>105</v>
      </c>
    </row>
    <row r="278" spans="1:7" x14ac:dyDescent="0.3">
      <c r="A278" t="s">
        <v>311</v>
      </c>
      <c r="B278">
        <f>SUM(B2:B277)</f>
        <v>1097987.78</v>
      </c>
      <c r="C278">
        <f t="shared" ref="C278:F278" si="0">SUM(C2:C277)</f>
        <v>878304</v>
      </c>
      <c r="D278">
        <f t="shared" si="0"/>
        <v>1130420</v>
      </c>
      <c r="E278">
        <f t="shared" si="0"/>
        <v>990845</v>
      </c>
      <c r="F278">
        <f t="shared" si="0"/>
        <v>1047343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expo por regioin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Sofia</cp:lastModifiedBy>
  <dcterms:created xsi:type="dcterms:W3CDTF">2025-06-21T22:03:00Z</dcterms:created>
  <dcterms:modified xsi:type="dcterms:W3CDTF">2025-07-31T22:43:01Z</dcterms:modified>
</cp:coreProperties>
</file>