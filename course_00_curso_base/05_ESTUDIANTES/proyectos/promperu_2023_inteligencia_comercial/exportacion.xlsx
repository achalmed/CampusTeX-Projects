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\Downloads\Trade_Map_-_Lista_de_los_exportadores_para_el_producto_seleccionado_(Quinua__Chenopodium_quinoa_)_archivos\"/>
    </mc:Choice>
  </mc:AlternateContent>
  <xr:revisionPtr revIDLastSave="0" documentId="13_ncr:9_{87072088-3A84-4604-9112-C2067931591A}" xr6:coauthVersionLast="47" xr6:coauthVersionMax="47" xr10:uidLastSave="{00000000-0000-0000-0000-000000000000}"/>
  <bookViews>
    <workbookView xWindow="-120" yWindow="-120" windowWidth="29040" windowHeight="15720" activeTab="1" xr2:uid="{72EDAE0B-6A2C-4438-95FC-9D1A4FB290C2}"/>
  </bookViews>
  <sheets>
    <sheet name="Trade_Map_-_Lista_de_los_export" sheetId="1" r:id="rId1"/>
    <sheet name="expo quinua" sheetId="2" r:id="rId2"/>
    <sheet name="expo total" sheetId="3" r:id="rId3"/>
  </sheets>
  <definedNames>
    <definedName name="expototal">'expo total'!$A$1:$F$235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R3" i="2"/>
  <c r="Q3" i="2"/>
  <c r="V3" i="2"/>
  <c r="V4" i="2"/>
  <c r="W4" i="2"/>
  <c r="X4" i="2"/>
  <c r="Y4" i="2"/>
  <c r="Z4" i="2"/>
  <c r="V5" i="2"/>
  <c r="W5" i="2"/>
  <c r="X5" i="2"/>
  <c r="Y5" i="2"/>
  <c r="Z5" i="2"/>
  <c r="V6" i="2"/>
  <c r="W6" i="2"/>
  <c r="X6" i="2"/>
  <c r="Y6" i="2"/>
  <c r="Z6" i="2"/>
  <c r="V7" i="2"/>
  <c r="W7" i="2"/>
  <c r="X7" i="2"/>
  <c r="Y7" i="2"/>
  <c r="Z7" i="2"/>
  <c r="V8" i="2"/>
  <c r="W8" i="2"/>
  <c r="X8" i="2"/>
  <c r="Y8" i="2"/>
  <c r="Z8" i="2"/>
  <c r="V9" i="2"/>
  <c r="W9" i="2"/>
  <c r="X9" i="2"/>
  <c r="Y9" i="2"/>
  <c r="Z9" i="2"/>
  <c r="V10" i="2"/>
  <c r="W10" i="2"/>
  <c r="X10" i="2"/>
  <c r="Y10" i="2"/>
  <c r="Z10" i="2"/>
  <c r="V11" i="2"/>
  <c r="W11" i="2"/>
  <c r="X11" i="2"/>
  <c r="Y11" i="2"/>
  <c r="Z11" i="2"/>
  <c r="V12" i="2"/>
  <c r="W12" i="2"/>
  <c r="X12" i="2"/>
  <c r="Y12" i="2"/>
  <c r="Z12" i="2"/>
  <c r="V13" i="2"/>
  <c r="W13" i="2"/>
  <c r="X13" i="2"/>
  <c r="Y13" i="2"/>
  <c r="Z13" i="2"/>
  <c r="V14" i="2"/>
  <c r="W14" i="2"/>
  <c r="X14" i="2"/>
  <c r="Y14" i="2"/>
  <c r="Z14" i="2"/>
  <c r="V15" i="2"/>
  <c r="W15" i="2"/>
  <c r="X15" i="2"/>
  <c r="Y15" i="2"/>
  <c r="Z15" i="2"/>
  <c r="V16" i="2"/>
  <c r="W16" i="2"/>
  <c r="X16" i="2"/>
  <c r="Y16" i="2"/>
  <c r="Z16" i="2"/>
  <c r="V17" i="2"/>
  <c r="W17" i="2"/>
  <c r="X17" i="2"/>
  <c r="Y17" i="2"/>
  <c r="Z17" i="2"/>
  <c r="V18" i="2"/>
  <c r="W18" i="2"/>
  <c r="X18" i="2"/>
  <c r="Y18" i="2"/>
  <c r="Z18" i="2"/>
  <c r="V19" i="2"/>
  <c r="W19" i="2"/>
  <c r="X19" i="2"/>
  <c r="Y19" i="2"/>
  <c r="Z19" i="2"/>
  <c r="V20" i="2"/>
  <c r="W20" i="2"/>
  <c r="X20" i="2"/>
  <c r="Y20" i="2"/>
  <c r="Z20" i="2"/>
  <c r="V21" i="2"/>
  <c r="W21" i="2"/>
  <c r="X21" i="2"/>
  <c r="Y21" i="2"/>
  <c r="Z21" i="2"/>
  <c r="V22" i="2"/>
  <c r="W22" i="2"/>
  <c r="X22" i="2"/>
  <c r="Y22" i="2"/>
  <c r="Z22" i="2"/>
  <c r="V23" i="2"/>
  <c r="W23" i="2"/>
  <c r="X23" i="2"/>
  <c r="Y23" i="2"/>
  <c r="Z23" i="2"/>
  <c r="V24" i="2"/>
  <c r="W24" i="2"/>
  <c r="X24" i="2"/>
  <c r="Y24" i="2"/>
  <c r="Z24" i="2"/>
  <c r="V25" i="2"/>
  <c r="W25" i="2"/>
  <c r="X25" i="2"/>
  <c r="Y25" i="2"/>
  <c r="Z25" i="2"/>
  <c r="V26" i="2"/>
  <c r="W26" i="2"/>
  <c r="X26" i="2"/>
  <c r="Y26" i="2"/>
  <c r="Z26" i="2"/>
  <c r="V27" i="2"/>
  <c r="W27" i="2"/>
  <c r="X27" i="2"/>
  <c r="Y27" i="2"/>
  <c r="Z27" i="2"/>
  <c r="V28" i="2"/>
  <c r="W28" i="2"/>
  <c r="X28" i="2"/>
  <c r="Y28" i="2"/>
  <c r="Z28" i="2"/>
  <c r="V29" i="2"/>
  <c r="W29" i="2"/>
  <c r="X29" i="2"/>
  <c r="Y29" i="2"/>
  <c r="Z29" i="2"/>
  <c r="V30" i="2"/>
  <c r="W30" i="2"/>
  <c r="X30" i="2"/>
  <c r="Y30" i="2"/>
  <c r="Z30" i="2"/>
  <c r="V31" i="2"/>
  <c r="W31" i="2"/>
  <c r="X31" i="2"/>
  <c r="Y31" i="2"/>
  <c r="Z31" i="2"/>
  <c r="V32" i="2"/>
  <c r="W32" i="2"/>
  <c r="X32" i="2"/>
  <c r="Y32" i="2"/>
  <c r="Z32" i="2"/>
  <c r="V33" i="2"/>
  <c r="W33" i="2"/>
  <c r="X33" i="2"/>
  <c r="Y33" i="2"/>
  <c r="Z33" i="2"/>
  <c r="V34" i="2"/>
  <c r="W34" i="2"/>
  <c r="X34" i="2"/>
  <c r="Y34" i="2"/>
  <c r="Z34" i="2"/>
  <c r="V35" i="2"/>
  <c r="W35" i="2"/>
  <c r="X35" i="2"/>
  <c r="Y35" i="2"/>
  <c r="Z35" i="2"/>
  <c r="V36" i="2"/>
  <c r="W36" i="2"/>
  <c r="X36" i="2"/>
  <c r="Y36" i="2"/>
  <c r="Z36" i="2"/>
  <c r="V37" i="2"/>
  <c r="W37" i="2"/>
  <c r="X37" i="2"/>
  <c r="Y37" i="2"/>
  <c r="Z37" i="2"/>
  <c r="V38" i="2"/>
  <c r="W38" i="2"/>
  <c r="X38" i="2"/>
  <c r="Y38" i="2"/>
  <c r="Z38" i="2"/>
  <c r="V39" i="2"/>
  <c r="W39" i="2"/>
  <c r="X39" i="2"/>
  <c r="Y39" i="2"/>
  <c r="Z39" i="2"/>
  <c r="V40" i="2"/>
  <c r="W40" i="2"/>
  <c r="X40" i="2"/>
  <c r="Y40" i="2"/>
  <c r="Z40" i="2"/>
  <c r="V41" i="2"/>
  <c r="W41" i="2"/>
  <c r="X41" i="2"/>
  <c r="Y41" i="2"/>
  <c r="Z41" i="2"/>
  <c r="V42" i="2"/>
  <c r="W42" i="2"/>
  <c r="X42" i="2"/>
  <c r="Y42" i="2"/>
  <c r="Z42" i="2"/>
  <c r="V43" i="2"/>
  <c r="W43" i="2"/>
  <c r="X43" i="2"/>
  <c r="Y43" i="2"/>
  <c r="Z43" i="2"/>
  <c r="V44" i="2"/>
  <c r="W44" i="2"/>
  <c r="X44" i="2"/>
  <c r="Y44" i="2"/>
  <c r="Z44" i="2"/>
  <c r="V45" i="2"/>
  <c r="W45" i="2"/>
  <c r="X45" i="2"/>
  <c r="Y45" i="2"/>
  <c r="Z45" i="2"/>
  <c r="V46" i="2"/>
  <c r="W46" i="2"/>
  <c r="X46" i="2"/>
  <c r="Y46" i="2"/>
  <c r="Z46" i="2"/>
  <c r="V47" i="2"/>
  <c r="W47" i="2"/>
  <c r="X47" i="2"/>
  <c r="Y47" i="2"/>
  <c r="Z47" i="2"/>
  <c r="V48" i="2"/>
  <c r="W48" i="2"/>
  <c r="X48" i="2"/>
  <c r="Y48" i="2"/>
  <c r="Z48" i="2"/>
  <c r="V49" i="2"/>
  <c r="W49" i="2"/>
  <c r="X49" i="2"/>
  <c r="Y49" i="2"/>
  <c r="Z49" i="2"/>
  <c r="V50" i="2"/>
  <c r="W50" i="2"/>
  <c r="X50" i="2"/>
  <c r="Y50" i="2"/>
  <c r="Z50" i="2"/>
  <c r="V51" i="2"/>
  <c r="W51" i="2"/>
  <c r="X51" i="2"/>
  <c r="Y51" i="2"/>
  <c r="Z51" i="2"/>
  <c r="V52" i="2"/>
  <c r="W52" i="2"/>
  <c r="X52" i="2"/>
  <c r="Y52" i="2"/>
  <c r="Z52" i="2"/>
  <c r="V53" i="2"/>
  <c r="W53" i="2"/>
  <c r="X53" i="2"/>
  <c r="Y53" i="2"/>
  <c r="Z53" i="2"/>
  <c r="V54" i="2"/>
  <c r="W54" i="2"/>
  <c r="X54" i="2"/>
  <c r="Y54" i="2"/>
  <c r="Z54" i="2"/>
  <c r="V55" i="2"/>
  <c r="W55" i="2"/>
  <c r="X55" i="2"/>
  <c r="Y55" i="2"/>
  <c r="Z55" i="2"/>
  <c r="V56" i="2"/>
  <c r="W56" i="2"/>
  <c r="X56" i="2"/>
  <c r="Y56" i="2"/>
  <c r="Z56" i="2"/>
  <c r="V57" i="2"/>
  <c r="W57" i="2"/>
  <c r="X57" i="2"/>
  <c r="Y57" i="2"/>
  <c r="Z57" i="2"/>
  <c r="V58" i="2"/>
  <c r="W58" i="2"/>
  <c r="X58" i="2"/>
  <c r="Y58" i="2"/>
  <c r="Z58" i="2"/>
  <c r="V59" i="2"/>
  <c r="W59" i="2"/>
  <c r="X59" i="2"/>
  <c r="Y59" i="2"/>
  <c r="Z59" i="2"/>
  <c r="V60" i="2"/>
  <c r="W60" i="2"/>
  <c r="X60" i="2"/>
  <c r="Y60" i="2"/>
  <c r="Z60" i="2"/>
  <c r="V61" i="2"/>
  <c r="W61" i="2"/>
  <c r="X61" i="2"/>
  <c r="Y61" i="2"/>
  <c r="Z61" i="2"/>
  <c r="V62" i="2"/>
  <c r="W62" i="2"/>
  <c r="X62" i="2"/>
  <c r="Y62" i="2"/>
  <c r="Z62" i="2"/>
  <c r="V63" i="2"/>
  <c r="W63" i="2"/>
  <c r="X63" i="2"/>
  <c r="Y63" i="2"/>
  <c r="Z63" i="2"/>
  <c r="V64" i="2"/>
  <c r="W64" i="2"/>
  <c r="X64" i="2"/>
  <c r="Y64" i="2"/>
  <c r="Z64" i="2"/>
  <c r="V65" i="2"/>
  <c r="W65" i="2"/>
  <c r="X65" i="2"/>
  <c r="Y65" i="2"/>
  <c r="Z65" i="2"/>
  <c r="V66" i="2"/>
  <c r="W66" i="2"/>
  <c r="X66" i="2"/>
  <c r="Y66" i="2"/>
  <c r="Z66" i="2"/>
  <c r="V67" i="2"/>
  <c r="W67" i="2"/>
  <c r="X67" i="2"/>
  <c r="Y67" i="2"/>
  <c r="Z67" i="2"/>
  <c r="V68" i="2"/>
  <c r="W68" i="2"/>
  <c r="X68" i="2"/>
  <c r="Y68" i="2"/>
  <c r="Z68" i="2"/>
  <c r="V69" i="2"/>
  <c r="W69" i="2"/>
  <c r="X69" i="2"/>
  <c r="Y69" i="2"/>
  <c r="Z69" i="2"/>
  <c r="V70" i="2"/>
  <c r="W70" i="2"/>
  <c r="X70" i="2"/>
  <c r="Y70" i="2"/>
  <c r="Z70" i="2"/>
  <c r="V71" i="2"/>
  <c r="W71" i="2"/>
  <c r="X71" i="2"/>
  <c r="Y71" i="2"/>
  <c r="Z71" i="2"/>
  <c r="V72" i="2"/>
  <c r="W72" i="2"/>
  <c r="X72" i="2"/>
  <c r="Y72" i="2"/>
  <c r="Z72" i="2"/>
  <c r="V73" i="2"/>
  <c r="W73" i="2"/>
  <c r="X73" i="2"/>
  <c r="Y73" i="2"/>
  <c r="Z73" i="2"/>
  <c r="V74" i="2"/>
  <c r="W74" i="2"/>
  <c r="X74" i="2"/>
  <c r="Y74" i="2"/>
  <c r="Z74" i="2"/>
  <c r="V75" i="2"/>
  <c r="W75" i="2"/>
  <c r="X75" i="2"/>
  <c r="Y75" i="2"/>
  <c r="Z75" i="2"/>
  <c r="V76" i="2"/>
  <c r="W76" i="2"/>
  <c r="X76" i="2"/>
  <c r="Y76" i="2"/>
  <c r="Z76" i="2"/>
  <c r="V77" i="2"/>
  <c r="W77" i="2"/>
  <c r="X77" i="2"/>
  <c r="Y77" i="2"/>
  <c r="Z77" i="2"/>
  <c r="V78" i="2"/>
  <c r="W78" i="2"/>
  <c r="X78" i="2"/>
  <c r="Y78" i="2"/>
  <c r="Z78" i="2"/>
  <c r="V79" i="2"/>
  <c r="W79" i="2"/>
  <c r="X79" i="2"/>
  <c r="Y79" i="2"/>
  <c r="Z79" i="2"/>
  <c r="V80" i="2"/>
  <c r="W80" i="2"/>
  <c r="X80" i="2"/>
  <c r="Y80" i="2"/>
  <c r="Z80" i="2"/>
  <c r="V81" i="2"/>
  <c r="W81" i="2"/>
  <c r="X81" i="2"/>
  <c r="Y81" i="2"/>
  <c r="Z81" i="2"/>
  <c r="V82" i="2"/>
  <c r="W82" i="2"/>
  <c r="X82" i="2"/>
  <c r="Y82" i="2"/>
  <c r="Z82" i="2"/>
  <c r="V83" i="2"/>
  <c r="W83" i="2"/>
  <c r="X83" i="2"/>
  <c r="Y83" i="2"/>
  <c r="Z83" i="2"/>
  <c r="V84" i="2"/>
  <c r="W84" i="2"/>
  <c r="X84" i="2"/>
  <c r="Y84" i="2"/>
  <c r="Z84" i="2"/>
  <c r="V85" i="2"/>
  <c r="W85" i="2"/>
  <c r="X85" i="2"/>
  <c r="Y85" i="2"/>
  <c r="Z85" i="2"/>
  <c r="V86" i="2"/>
  <c r="W86" i="2"/>
  <c r="X86" i="2"/>
  <c r="Y86" i="2"/>
  <c r="Z86" i="2"/>
  <c r="V87" i="2"/>
  <c r="W87" i="2"/>
  <c r="X87" i="2"/>
  <c r="Y87" i="2"/>
  <c r="Z87" i="2"/>
  <c r="V88" i="2"/>
  <c r="W88" i="2"/>
  <c r="X88" i="2"/>
  <c r="Y88" i="2"/>
  <c r="Z88" i="2"/>
  <c r="W3" i="2"/>
  <c r="X3" i="2"/>
  <c r="Y3" i="2"/>
  <c r="Z3" i="2"/>
  <c r="Q4" i="2"/>
  <c r="R4" i="2"/>
  <c r="S4" i="2"/>
  <c r="T4" i="2"/>
  <c r="U4" i="2"/>
  <c r="Q5" i="2"/>
  <c r="R5" i="2"/>
  <c r="S5" i="2"/>
  <c r="T5" i="2"/>
  <c r="U5" i="2"/>
  <c r="Q6" i="2"/>
  <c r="R6" i="2"/>
  <c r="S6" i="2"/>
  <c r="T6" i="2"/>
  <c r="U6" i="2"/>
  <c r="Q7" i="2"/>
  <c r="R7" i="2"/>
  <c r="S7" i="2"/>
  <c r="T7" i="2"/>
  <c r="U7" i="2"/>
  <c r="Q8" i="2"/>
  <c r="R8" i="2"/>
  <c r="S8" i="2"/>
  <c r="T8" i="2"/>
  <c r="U8" i="2"/>
  <c r="Q9" i="2"/>
  <c r="R9" i="2"/>
  <c r="S9" i="2"/>
  <c r="T9" i="2"/>
  <c r="U9" i="2"/>
  <c r="Q10" i="2"/>
  <c r="R10" i="2"/>
  <c r="S10" i="2"/>
  <c r="T10" i="2"/>
  <c r="U10" i="2"/>
  <c r="Q11" i="2"/>
  <c r="R11" i="2"/>
  <c r="S11" i="2"/>
  <c r="T11" i="2"/>
  <c r="U11" i="2"/>
  <c r="Q12" i="2"/>
  <c r="R12" i="2"/>
  <c r="S12" i="2"/>
  <c r="T12" i="2"/>
  <c r="U12" i="2"/>
  <c r="Q13" i="2"/>
  <c r="R13" i="2"/>
  <c r="S13" i="2"/>
  <c r="T13" i="2"/>
  <c r="U13" i="2"/>
  <c r="Q14" i="2"/>
  <c r="R14" i="2"/>
  <c r="S14" i="2"/>
  <c r="T14" i="2"/>
  <c r="U14" i="2"/>
  <c r="Q15" i="2"/>
  <c r="R15" i="2"/>
  <c r="S15" i="2"/>
  <c r="T15" i="2"/>
  <c r="U15" i="2"/>
  <c r="Q16" i="2"/>
  <c r="R16" i="2"/>
  <c r="S16" i="2"/>
  <c r="T16" i="2"/>
  <c r="U16" i="2"/>
  <c r="Q17" i="2"/>
  <c r="R17" i="2"/>
  <c r="S17" i="2"/>
  <c r="T17" i="2"/>
  <c r="U17" i="2"/>
  <c r="Q18" i="2"/>
  <c r="R18" i="2"/>
  <c r="S18" i="2"/>
  <c r="T18" i="2"/>
  <c r="U18" i="2"/>
  <c r="Q19" i="2"/>
  <c r="R19" i="2"/>
  <c r="S19" i="2"/>
  <c r="T19" i="2"/>
  <c r="U19" i="2"/>
  <c r="Q20" i="2"/>
  <c r="R20" i="2"/>
  <c r="S20" i="2"/>
  <c r="T20" i="2"/>
  <c r="U20" i="2"/>
  <c r="Q21" i="2"/>
  <c r="R21" i="2"/>
  <c r="S21" i="2"/>
  <c r="T21" i="2"/>
  <c r="U21" i="2"/>
  <c r="Q22" i="2"/>
  <c r="R22" i="2"/>
  <c r="S22" i="2"/>
  <c r="T22" i="2"/>
  <c r="U22" i="2"/>
  <c r="Q23" i="2"/>
  <c r="R23" i="2"/>
  <c r="S23" i="2"/>
  <c r="T23" i="2"/>
  <c r="U23" i="2"/>
  <c r="Q24" i="2"/>
  <c r="R24" i="2"/>
  <c r="S24" i="2"/>
  <c r="T24" i="2"/>
  <c r="U24" i="2"/>
  <c r="Q25" i="2"/>
  <c r="R25" i="2"/>
  <c r="S25" i="2"/>
  <c r="T25" i="2"/>
  <c r="U25" i="2"/>
  <c r="Q26" i="2"/>
  <c r="R26" i="2"/>
  <c r="S26" i="2"/>
  <c r="T26" i="2"/>
  <c r="U26" i="2"/>
  <c r="Q27" i="2"/>
  <c r="R27" i="2"/>
  <c r="S27" i="2"/>
  <c r="T27" i="2"/>
  <c r="U27" i="2"/>
  <c r="Q28" i="2"/>
  <c r="R28" i="2"/>
  <c r="S28" i="2"/>
  <c r="T28" i="2"/>
  <c r="U28" i="2"/>
  <c r="Q29" i="2"/>
  <c r="R29" i="2"/>
  <c r="S29" i="2"/>
  <c r="T29" i="2"/>
  <c r="U29" i="2"/>
  <c r="Q30" i="2"/>
  <c r="R30" i="2"/>
  <c r="S30" i="2"/>
  <c r="T30" i="2"/>
  <c r="U30" i="2"/>
  <c r="Q31" i="2"/>
  <c r="R31" i="2"/>
  <c r="S31" i="2"/>
  <c r="T31" i="2"/>
  <c r="U31" i="2"/>
  <c r="Q32" i="2"/>
  <c r="R32" i="2"/>
  <c r="S32" i="2"/>
  <c r="T32" i="2"/>
  <c r="U32" i="2"/>
  <c r="Q33" i="2"/>
  <c r="R33" i="2"/>
  <c r="S33" i="2"/>
  <c r="T33" i="2"/>
  <c r="U33" i="2"/>
  <c r="Q34" i="2"/>
  <c r="R34" i="2"/>
  <c r="S34" i="2"/>
  <c r="T34" i="2"/>
  <c r="U34" i="2"/>
  <c r="Q35" i="2"/>
  <c r="R35" i="2"/>
  <c r="S35" i="2"/>
  <c r="T35" i="2"/>
  <c r="U35" i="2"/>
  <c r="Q36" i="2"/>
  <c r="R36" i="2"/>
  <c r="S36" i="2"/>
  <c r="T36" i="2"/>
  <c r="U36" i="2"/>
  <c r="Q37" i="2"/>
  <c r="R37" i="2"/>
  <c r="S37" i="2"/>
  <c r="T37" i="2"/>
  <c r="U37" i="2"/>
  <c r="Q38" i="2"/>
  <c r="R38" i="2"/>
  <c r="S38" i="2"/>
  <c r="T38" i="2"/>
  <c r="U38" i="2"/>
  <c r="Q39" i="2"/>
  <c r="R39" i="2"/>
  <c r="S39" i="2"/>
  <c r="T39" i="2"/>
  <c r="U39" i="2"/>
  <c r="Q40" i="2"/>
  <c r="R40" i="2"/>
  <c r="S40" i="2"/>
  <c r="T40" i="2"/>
  <c r="U40" i="2"/>
  <c r="Q41" i="2"/>
  <c r="R41" i="2"/>
  <c r="S41" i="2"/>
  <c r="T41" i="2"/>
  <c r="U41" i="2"/>
  <c r="Q42" i="2"/>
  <c r="R42" i="2"/>
  <c r="S42" i="2"/>
  <c r="T42" i="2"/>
  <c r="U42" i="2"/>
  <c r="Q43" i="2"/>
  <c r="R43" i="2"/>
  <c r="S43" i="2"/>
  <c r="T43" i="2"/>
  <c r="U43" i="2"/>
  <c r="Q44" i="2"/>
  <c r="R44" i="2"/>
  <c r="S44" i="2"/>
  <c r="T44" i="2"/>
  <c r="U44" i="2"/>
  <c r="Q45" i="2"/>
  <c r="R45" i="2"/>
  <c r="S45" i="2"/>
  <c r="T45" i="2"/>
  <c r="U45" i="2"/>
  <c r="Q46" i="2"/>
  <c r="R46" i="2"/>
  <c r="S46" i="2"/>
  <c r="T46" i="2"/>
  <c r="U46" i="2"/>
  <c r="Q47" i="2"/>
  <c r="R47" i="2"/>
  <c r="S47" i="2"/>
  <c r="T47" i="2"/>
  <c r="U47" i="2"/>
  <c r="Q48" i="2"/>
  <c r="R48" i="2"/>
  <c r="S48" i="2"/>
  <c r="T48" i="2"/>
  <c r="U48" i="2"/>
  <c r="Q49" i="2"/>
  <c r="R49" i="2"/>
  <c r="S49" i="2"/>
  <c r="T49" i="2"/>
  <c r="U49" i="2"/>
  <c r="Q50" i="2"/>
  <c r="R50" i="2"/>
  <c r="S50" i="2"/>
  <c r="T50" i="2"/>
  <c r="U50" i="2"/>
  <c r="Q51" i="2"/>
  <c r="R51" i="2"/>
  <c r="S51" i="2"/>
  <c r="T51" i="2"/>
  <c r="U51" i="2"/>
  <c r="Q52" i="2"/>
  <c r="R52" i="2"/>
  <c r="S52" i="2"/>
  <c r="T52" i="2"/>
  <c r="U52" i="2"/>
  <c r="Q53" i="2"/>
  <c r="R53" i="2"/>
  <c r="S53" i="2"/>
  <c r="T53" i="2"/>
  <c r="U53" i="2"/>
  <c r="Q54" i="2"/>
  <c r="R54" i="2"/>
  <c r="S54" i="2"/>
  <c r="T54" i="2"/>
  <c r="U54" i="2"/>
  <c r="Q55" i="2"/>
  <c r="R55" i="2"/>
  <c r="S55" i="2"/>
  <c r="T55" i="2"/>
  <c r="U55" i="2"/>
  <c r="Q56" i="2"/>
  <c r="R56" i="2"/>
  <c r="S56" i="2"/>
  <c r="T56" i="2"/>
  <c r="U56" i="2"/>
  <c r="Q57" i="2"/>
  <c r="R57" i="2"/>
  <c r="S57" i="2"/>
  <c r="T57" i="2"/>
  <c r="U57" i="2"/>
  <c r="Q58" i="2"/>
  <c r="R58" i="2"/>
  <c r="S58" i="2"/>
  <c r="T58" i="2"/>
  <c r="U58" i="2"/>
  <c r="Q59" i="2"/>
  <c r="R59" i="2"/>
  <c r="S59" i="2"/>
  <c r="T59" i="2"/>
  <c r="U59" i="2"/>
  <c r="Q60" i="2"/>
  <c r="R60" i="2"/>
  <c r="S60" i="2"/>
  <c r="T60" i="2"/>
  <c r="U60" i="2"/>
  <c r="Q61" i="2"/>
  <c r="R61" i="2"/>
  <c r="S61" i="2"/>
  <c r="T61" i="2"/>
  <c r="U61" i="2"/>
  <c r="Q62" i="2"/>
  <c r="R62" i="2"/>
  <c r="S62" i="2"/>
  <c r="T62" i="2"/>
  <c r="U62" i="2"/>
  <c r="Q63" i="2"/>
  <c r="R63" i="2"/>
  <c r="S63" i="2"/>
  <c r="T63" i="2"/>
  <c r="U63" i="2"/>
  <c r="Q64" i="2"/>
  <c r="R64" i="2"/>
  <c r="S64" i="2"/>
  <c r="T64" i="2"/>
  <c r="U64" i="2"/>
  <c r="Q65" i="2"/>
  <c r="R65" i="2"/>
  <c r="S65" i="2"/>
  <c r="T65" i="2"/>
  <c r="U65" i="2"/>
  <c r="Q66" i="2"/>
  <c r="R66" i="2"/>
  <c r="S66" i="2"/>
  <c r="T66" i="2"/>
  <c r="U66" i="2"/>
  <c r="Q67" i="2"/>
  <c r="R67" i="2"/>
  <c r="S67" i="2"/>
  <c r="T67" i="2"/>
  <c r="U67" i="2"/>
  <c r="Q68" i="2"/>
  <c r="R68" i="2"/>
  <c r="S68" i="2"/>
  <c r="T68" i="2"/>
  <c r="U68" i="2"/>
  <c r="Q69" i="2"/>
  <c r="R69" i="2"/>
  <c r="S69" i="2"/>
  <c r="T69" i="2"/>
  <c r="U69" i="2"/>
  <c r="Q70" i="2"/>
  <c r="R70" i="2"/>
  <c r="S70" i="2"/>
  <c r="T70" i="2"/>
  <c r="U70" i="2"/>
  <c r="Q71" i="2"/>
  <c r="R71" i="2"/>
  <c r="S71" i="2"/>
  <c r="T71" i="2"/>
  <c r="U71" i="2"/>
  <c r="Q72" i="2"/>
  <c r="R72" i="2"/>
  <c r="S72" i="2"/>
  <c r="T72" i="2"/>
  <c r="U72" i="2"/>
  <c r="Q73" i="2"/>
  <c r="R73" i="2"/>
  <c r="S73" i="2"/>
  <c r="T73" i="2"/>
  <c r="U73" i="2"/>
  <c r="Q74" i="2"/>
  <c r="R74" i="2"/>
  <c r="S74" i="2"/>
  <c r="T74" i="2"/>
  <c r="U74" i="2"/>
  <c r="Q75" i="2"/>
  <c r="R75" i="2"/>
  <c r="S75" i="2"/>
  <c r="T75" i="2"/>
  <c r="U75" i="2"/>
  <c r="Q76" i="2"/>
  <c r="R76" i="2"/>
  <c r="S76" i="2"/>
  <c r="T76" i="2"/>
  <c r="U76" i="2"/>
  <c r="Q77" i="2"/>
  <c r="R77" i="2"/>
  <c r="S77" i="2"/>
  <c r="T77" i="2"/>
  <c r="U77" i="2"/>
  <c r="Q78" i="2"/>
  <c r="R78" i="2"/>
  <c r="S78" i="2"/>
  <c r="T78" i="2"/>
  <c r="U78" i="2"/>
  <c r="Q79" i="2"/>
  <c r="R79" i="2"/>
  <c r="S79" i="2"/>
  <c r="T79" i="2"/>
  <c r="U79" i="2"/>
  <c r="Q80" i="2"/>
  <c r="R80" i="2"/>
  <c r="S80" i="2"/>
  <c r="T80" i="2"/>
  <c r="U80" i="2"/>
  <c r="Q81" i="2"/>
  <c r="R81" i="2"/>
  <c r="S81" i="2"/>
  <c r="T81" i="2"/>
  <c r="U81" i="2"/>
  <c r="Q82" i="2"/>
  <c r="R82" i="2"/>
  <c r="S82" i="2"/>
  <c r="T82" i="2"/>
  <c r="U82" i="2"/>
  <c r="Q83" i="2"/>
  <c r="R83" i="2"/>
  <c r="S83" i="2"/>
  <c r="T83" i="2"/>
  <c r="U83" i="2"/>
  <c r="Q84" i="2"/>
  <c r="R84" i="2"/>
  <c r="S84" i="2"/>
  <c r="T84" i="2"/>
  <c r="U84" i="2"/>
  <c r="Q85" i="2"/>
  <c r="R85" i="2"/>
  <c r="S85" i="2"/>
  <c r="T85" i="2"/>
  <c r="U85" i="2"/>
  <c r="Q86" i="2"/>
  <c r="R86" i="2"/>
  <c r="S86" i="2"/>
  <c r="T86" i="2"/>
  <c r="U86" i="2"/>
  <c r="Q87" i="2"/>
  <c r="R87" i="2"/>
  <c r="S87" i="2"/>
  <c r="T87" i="2"/>
  <c r="U87" i="2"/>
  <c r="Q88" i="2"/>
  <c r="R88" i="2"/>
  <c r="S88" i="2"/>
  <c r="T88" i="2"/>
  <c r="U88" i="2"/>
  <c r="U3" i="2"/>
  <c r="T3" i="2"/>
  <c r="S3" i="2"/>
  <c r="M3" i="2"/>
  <c r="N3" i="2"/>
  <c r="O3" i="2"/>
  <c r="P3" i="2"/>
  <c r="L4" i="2"/>
  <c r="M4" i="2"/>
  <c r="N4" i="2"/>
  <c r="O4" i="2"/>
  <c r="P4" i="2"/>
  <c r="L5" i="2"/>
  <c r="M5" i="2"/>
  <c r="N5" i="2"/>
  <c r="O5" i="2"/>
  <c r="P5" i="2"/>
  <c r="L6" i="2"/>
  <c r="M6" i="2"/>
  <c r="N6" i="2"/>
  <c r="O6" i="2"/>
  <c r="P6" i="2"/>
  <c r="L7" i="2"/>
  <c r="M7" i="2"/>
  <c r="N7" i="2"/>
  <c r="O7" i="2"/>
  <c r="P7" i="2"/>
  <c r="L8" i="2"/>
  <c r="M8" i="2"/>
  <c r="N8" i="2"/>
  <c r="O8" i="2"/>
  <c r="P8" i="2"/>
  <c r="L9" i="2"/>
  <c r="M9" i="2"/>
  <c r="N9" i="2"/>
  <c r="O9" i="2"/>
  <c r="P9" i="2"/>
  <c r="L10" i="2"/>
  <c r="M10" i="2"/>
  <c r="N10" i="2"/>
  <c r="O10" i="2"/>
  <c r="P10" i="2"/>
  <c r="L11" i="2"/>
  <c r="M11" i="2"/>
  <c r="N11" i="2"/>
  <c r="O11" i="2"/>
  <c r="P11" i="2"/>
  <c r="L12" i="2"/>
  <c r="M12" i="2"/>
  <c r="N12" i="2"/>
  <c r="O12" i="2"/>
  <c r="P12" i="2"/>
  <c r="L13" i="2"/>
  <c r="M13" i="2"/>
  <c r="N13" i="2"/>
  <c r="O13" i="2"/>
  <c r="P13" i="2"/>
  <c r="L14" i="2"/>
  <c r="M14" i="2"/>
  <c r="N14" i="2"/>
  <c r="O14" i="2"/>
  <c r="P14" i="2"/>
  <c r="L15" i="2"/>
  <c r="M15" i="2"/>
  <c r="N15" i="2"/>
  <c r="O15" i="2"/>
  <c r="P15" i="2"/>
  <c r="L16" i="2"/>
  <c r="M16" i="2"/>
  <c r="N16" i="2"/>
  <c r="O16" i="2"/>
  <c r="P16" i="2"/>
  <c r="L17" i="2"/>
  <c r="M17" i="2"/>
  <c r="N17" i="2"/>
  <c r="O17" i="2"/>
  <c r="P17" i="2"/>
  <c r="L18" i="2"/>
  <c r="M18" i="2"/>
  <c r="N18" i="2"/>
  <c r="O18" i="2"/>
  <c r="P18" i="2"/>
  <c r="L19" i="2"/>
  <c r="M19" i="2"/>
  <c r="N19" i="2"/>
  <c r="O19" i="2"/>
  <c r="P19" i="2"/>
  <c r="L20" i="2"/>
  <c r="M20" i="2"/>
  <c r="N20" i="2"/>
  <c r="O20" i="2"/>
  <c r="P20" i="2"/>
  <c r="L21" i="2"/>
  <c r="M21" i="2"/>
  <c r="N21" i="2"/>
  <c r="O21" i="2"/>
  <c r="P21" i="2"/>
  <c r="L22" i="2"/>
  <c r="M22" i="2"/>
  <c r="N22" i="2"/>
  <c r="O22" i="2"/>
  <c r="P22" i="2"/>
  <c r="L23" i="2"/>
  <c r="M23" i="2"/>
  <c r="N23" i="2"/>
  <c r="O23" i="2"/>
  <c r="P23" i="2"/>
  <c r="L24" i="2"/>
  <c r="M24" i="2"/>
  <c r="N24" i="2"/>
  <c r="O24" i="2"/>
  <c r="P24" i="2"/>
  <c r="L25" i="2"/>
  <c r="M25" i="2"/>
  <c r="N25" i="2"/>
  <c r="O25" i="2"/>
  <c r="P25" i="2"/>
  <c r="L26" i="2"/>
  <c r="M26" i="2"/>
  <c r="N26" i="2"/>
  <c r="O26" i="2"/>
  <c r="P26" i="2"/>
  <c r="L27" i="2"/>
  <c r="M27" i="2"/>
  <c r="N27" i="2"/>
  <c r="O27" i="2"/>
  <c r="P27" i="2"/>
  <c r="L28" i="2"/>
  <c r="M28" i="2"/>
  <c r="N28" i="2"/>
  <c r="O28" i="2"/>
  <c r="P28" i="2"/>
  <c r="L29" i="2"/>
  <c r="M29" i="2"/>
  <c r="N29" i="2"/>
  <c r="O29" i="2"/>
  <c r="P29" i="2"/>
  <c r="L30" i="2"/>
  <c r="M30" i="2"/>
  <c r="N30" i="2"/>
  <c r="O30" i="2"/>
  <c r="P30" i="2"/>
  <c r="L31" i="2"/>
  <c r="M31" i="2"/>
  <c r="N31" i="2"/>
  <c r="O31" i="2"/>
  <c r="P31" i="2"/>
  <c r="L32" i="2"/>
  <c r="M32" i="2"/>
  <c r="N32" i="2"/>
  <c r="O32" i="2"/>
  <c r="P32" i="2"/>
  <c r="L33" i="2"/>
  <c r="M33" i="2"/>
  <c r="N33" i="2"/>
  <c r="O33" i="2"/>
  <c r="P33" i="2"/>
  <c r="L34" i="2"/>
  <c r="M34" i="2"/>
  <c r="N34" i="2"/>
  <c r="O34" i="2"/>
  <c r="P34" i="2"/>
  <c r="L35" i="2"/>
  <c r="M35" i="2"/>
  <c r="N35" i="2"/>
  <c r="O35" i="2"/>
  <c r="P35" i="2"/>
  <c r="L36" i="2"/>
  <c r="M36" i="2"/>
  <c r="N36" i="2"/>
  <c r="O36" i="2"/>
  <c r="P36" i="2"/>
  <c r="L37" i="2"/>
  <c r="M37" i="2"/>
  <c r="N37" i="2"/>
  <c r="O37" i="2"/>
  <c r="P37" i="2"/>
  <c r="L38" i="2"/>
  <c r="M38" i="2"/>
  <c r="N38" i="2"/>
  <c r="O38" i="2"/>
  <c r="P38" i="2"/>
  <c r="L39" i="2"/>
  <c r="M39" i="2"/>
  <c r="N39" i="2"/>
  <c r="O39" i="2"/>
  <c r="P39" i="2"/>
  <c r="L40" i="2"/>
  <c r="M40" i="2"/>
  <c r="N40" i="2"/>
  <c r="O40" i="2"/>
  <c r="P40" i="2"/>
  <c r="L41" i="2"/>
  <c r="M41" i="2"/>
  <c r="N41" i="2"/>
  <c r="O41" i="2"/>
  <c r="P41" i="2"/>
  <c r="L42" i="2"/>
  <c r="M42" i="2"/>
  <c r="N42" i="2"/>
  <c r="O42" i="2"/>
  <c r="P42" i="2"/>
  <c r="L43" i="2"/>
  <c r="M43" i="2"/>
  <c r="N43" i="2"/>
  <c r="O43" i="2"/>
  <c r="P43" i="2"/>
  <c r="L44" i="2"/>
  <c r="M44" i="2"/>
  <c r="N44" i="2"/>
  <c r="O44" i="2"/>
  <c r="P44" i="2"/>
  <c r="L45" i="2"/>
  <c r="M45" i="2"/>
  <c r="N45" i="2"/>
  <c r="O45" i="2"/>
  <c r="P45" i="2"/>
  <c r="L46" i="2"/>
  <c r="M46" i="2"/>
  <c r="N46" i="2"/>
  <c r="O46" i="2"/>
  <c r="P46" i="2"/>
  <c r="L47" i="2"/>
  <c r="M47" i="2"/>
  <c r="N47" i="2"/>
  <c r="O47" i="2"/>
  <c r="P47" i="2"/>
  <c r="L48" i="2"/>
  <c r="M48" i="2"/>
  <c r="N48" i="2"/>
  <c r="O48" i="2"/>
  <c r="P48" i="2"/>
  <c r="L49" i="2"/>
  <c r="M49" i="2"/>
  <c r="N49" i="2"/>
  <c r="O49" i="2"/>
  <c r="P49" i="2"/>
  <c r="L50" i="2"/>
  <c r="M50" i="2"/>
  <c r="N50" i="2"/>
  <c r="O50" i="2"/>
  <c r="P50" i="2"/>
  <c r="L51" i="2"/>
  <c r="M51" i="2"/>
  <c r="N51" i="2"/>
  <c r="O51" i="2"/>
  <c r="P51" i="2"/>
  <c r="L52" i="2"/>
  <c r="M52" i="2"/>
  <c r="N52" i="2"/>
  <c r="O52" i="2"/>
  <c r="P52" i="2"/>
  <c r="L53" i="2"/>
  <c r="M53" i="2"/>
  <c r="N53" i="2"/>
  <c r="O53" i="2"/>
  <c r="P53" i="2"/>
  <c r="L54" i="2"/>
  <c r="M54" i="2"/>
  <c r="N54" i="2"/>
  <c r="O54" i="2"/>
  <c r="P54" i="2"/>
  <c r="L55" i="2"/>
  <c r="M55" i="2"/>
  <c r="N55" i="2"/>
  <c r="O55" i="2"/>
  <c r="P55" i="2"/>
  <c r="L56" i="2"/>
  <c r="M56" i="2"/>
  <c r="N56" i="2"/>
  <c r="O56" i="2"/>
  <c r="P56" i="2"/>
  <c r="L57" i="2"/>
  <c r="M57" i="2"/>
  <c r="N57" i="2"/>
  <c r="O57" i="2"/>
  <c r="P57" i="2"/>
  <c r="L58" i="2"/>
  <c r="M58" i="2"/>
  <c r="N58" i="2"/>
  <c r="O58" i="2"/>
  <c r="P58" i="2"/>
  <c r="L59" i="2"/>
  <c r="M59" i="2"/>
  <c r="N59" i="2"/>
  <c r="O59" i="2"/>
  <c r="P59" i="2"/>
  <c r="L60" i="2"/>
  <c r="M60" i="2"/>
  <c r="N60" i="2"/>
  <c r="O60" i="2"/>
  <c r="P60" i="2"/>
  <c r="L61" i="2"/>
  <c r="M61" i="2"/>
  <c r="N61" i="2"/>
  <c r="O61" i="2"/>
  <c r="P61" i="2"/>
  <c r="L62" i="2"/>
  <c r="M62" i="2"/>
  <c r="N62" i="2"/>
  <c r="O62" i="2"/>
  <c r="P62" i="2"/>
  <c r="L63" i="2"/>
  <c r="M63" i="2"/>
  <c r="N63" i="2"/>
  <c r="O63" i="2"/>
  <c r="P63" i="2"/>
  <c r="L64" i="2"/>
  <c r="M64" i="2"/>
  <c r="N64" i="2"/>
  <c r="O64" i="2"/>
  <c r="P64" i="2"/>
  <c r="L65" i="2"/>
  <c r="M65" i="2"/>
  <c r="N65" i="2"/>
  <c r="O65" i="2"/>
  <c r="P65" i="2"/>
  <c r="L66" i="2"/>
  <c r="M66" i="2"/>
  <c r="N66" i="2"/>
  <c r="O66" i="2"/>
  <c r="P66" i="2"/>
  <c r="L67" i="2"/>
  <c r="M67" i="2"/>
  <c r="N67" i="2"/>
  <c r="O67" i="2"/>
  <c r="P67" i="2"/>
  <c r="L68" i="2"/>
  <c r="M68" i="2"/>
  <c r="N68" i="2"/>
  <c r="O68" i="2"/>
  <c r="P68" i="2"/>
  <c r="L69" i="2"/>
  <c r="M69" i="2"/>
  <c r="N69" i="2"/>
  <c r="O69" i="2"/>
  <c r="P69" i="2"/>
  <c r="L70" i="2"/>
  <c r="M70" i="2"/>
  <c r="N70" i="2"/>
  <c r="O70" i="2"/>
  <c r="P70" i="2"/>
  <c r="L71" i="2"/>
  <c r="M71" i="2"/>
  <c r="N71" i="2"/>
  <c r="O71" i="2"/>
  <c r="P71" i="2"/>
  <c r="L72" i="2"/>
  <c r="M72" i="2"/>
  <c r="N72" i="2"/>
  <c r="O72" i="2"/>
  <c r="P72" i="2"/>
  <c r="L73" i="2"/>
  <c r="M73" i="2"/>
  <c r="N73" i="2"/>
  <c r="O73" i="2"/>
  <c r="P73" i="2"/>
  <c r="L74" i="2"/>
  <c r="M74" i="2"/>
  <c r="N74" i="2"/>
  <c r="O74" i="2"/>
  <c r="P74" i="2"/>
  <c r="L75" i="2"/>
  <c r="M75" i="2"/>
  <c r="N75" i="2"/>
  <c r="O75" i="2"/>
  <c r="P75" i="2"/>
  <c r="L76" i="2"/>
  <c r="M76" i="2"/>
  <c r="N76" i="2"/>
  <c r="O76" i="2"/>
  <c r="P76" i="2"/>
  <c r="L77" i="2"/>
  <c r="M77" i="2"/>
  <c r="N77" i="2"/>
  <c r="O77" i="2"/>
  <c r="P77" i="2"/>
  <c r="L78" i="2"/>
  <c r="M78" i="2"/>
  <c r="N78" i="2"/>
  <c r="O78" i="2"/>
  <c r="P78" i="2"/>
  <c r="L79" i="2"/>
  <c r="M79" i="2"/>
  <c r="N79" i="2"/>
  <c r="O79" i="2"/>
  <c r="P79" i="2"/>
  <c r="L80" i="2"/>
  <c r="M80" i="2"/>
  <c r="N80" i="2"/>
  <c r="O80" i="2"/>
  <c r="P80" i="2"/>
  <c r="L81" i="2"/>
  <c r="M81" i="2"/>
  <c r="N81" i="2"/>
  <c r="O81" i="2"/>
  <c r="P81" i="2"/>
  <c r="L82" i="2"/>
  <c r="M82" i="2"/>
  <c r="N82" i="2"/>
  <c r="O82" i="2"/>
  <c r="P82" i="2"/>
  <c r="L83" i="2"/>
  <c r="M83" i="2"/>
  <c r="N83" i="2"/>
  <c r="O83" i="2"/>
  <c r="P83" i="2"/>
  <c r="L84" i="2"/>
  <c r="M84" i="2"/>
  <c r="N84" i="2"/>
  <c r="O84" i="2"/>
  <c r="P84" i="2"/>
  <c r="L85" i="2"/>
  <c r="M85" i="2"/>
  <c r="N85" i="2"/>
  <c r="O85" i="2"/>
  <c r="P85" i="2"/>
  <c r="L86" i="2"/>
  <c r="M86" i="2"/>
  <c r="N86" i="2"/>
  <c r="O86" i="2"/>
  <c r="P86" i="2"/>
  <c r="L87" i="2"/>
  <c r="M87" i="2"/>
  <c r="N87" i="2"/>
  <c r="O87" i="2"/>
  <c r="P87" i="2"/>
  <c r="L88" i="2"/>
  <c r="M88" i="2"/>
  <c r="N88" i="2"/>
  <c r="O88" i="2"/>
  <c r="P88" i="2"/>
  <c r="M2" i="2"/>
  <c r="N2" i="2"/>
  <c r="O2" i="2"/>
  <c r="P2" i="2"/>
  <c r="G2" i="2"/>
  <c r="K2" i="2"/>
  <c r="K3" i="2"/>
  <c r="G3" i="2"/>
  <c r="H3" i="2"/>
  <c r="I3" i="2"/>
  <c r="J3" i="2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J23" i="2"/>
  <c r="K23" i="2"/>
  <c r="G24" i="2"/>
  <c r="H24" i="2"/>
  <c r="I24" i="2"/>
  <c r="J24" i="2"/>
  <c r="K24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G30" i="2"/>
  <c r="H30" i="2"/>
  <c r="I30" i="2"/>
  <c r="J30" i="2"/>
  <c r="K30" i="2"/>
  <c r="G31" i="2"/>
  <c r="H31" i="2"/>
  <c r="I31" i="2"/>
  <c r="J31" i="2"/>
  <c r="K31" i="2"/>
  <c r="G32" i="2"/>
  <c r="H32" i="2"/>
  <c r="I32" i="2"/>
  <c r="J32" i="2"/>
  <c r="K32" i="2"/>
  <c r="G33" i="2"/>
  <c r="H33" i="2"/>
  <c r="I33" i="2"/>
  <c r="J33" i="2"/>
  <c r="K33" i="2"/>
  <c r="G34" i="2"/>
  <c r="H34" i="2"/>
  <c r="I34" i="2"/>
  <c r="J34" i="2"/>
  <c r="K34" i="2"/>
  <c r="G35" i="2"/>
  <c r="H35" i="2"/>
  <c r="I35" i="2"/>
  <c r="J35" i="2"/>
  <c r="K35" i="2"/>
  <c r="G36" i="2"/>
  <c r="H36" i="2"/>
  <c r="I36" i="2"/>
  <c r="J36" i="2"/>
  <c r="K36" i="2"/>
  <c r="G37" i="2"/>
  <c r="H37" i="2"/>
  <c r="I37" i="2"/>
  <c r="J37" i="2"/>
  <c r="K37" i="2"/>
  <c r="G38" i="2"/>
  <c r="H38" i="2"/>
  <c r="I38" i="2"/>
  <c r="J38" i="2"/>
  <c r="K38" i="2"/>
  <c r="G39" i="2"/>
  <c r="H39" i="2"/>
  <c r="I39" i="2"/>
  <c r="J39" i="2"/>
  <c r="K39" i="2"/>
  <c r="G40" i="2"/>
  <c r="H40" i="2"/>
  <c r="I40" i="2"/>
  <c r="J40" i="2"/>
  <c r="K40" i="2"/>
  <c r="G41" i="2"/>
  <c r="H41" i="2"/>
  <c r="I41" i="2"/>
  <c r="J41" i="2"/>
  <c r="K41" i="2"/>
  <c r="G42" i="2"/>
  <c r="H42" i="2"/>
  <c r="I42" i="2"/>
  <c r="J42" i="2"/>
  <c r="K42" i="2"/>
  <c r="G43" i="2"/>
  <c r="H43" i="2"/>
  <c r="I43" i="2"/>
  <c r="J43" i="2"/>
  <c r="K43" i="2"/>
  <c r="G44" i="2"/>
  <c r="H44" i="2"/>
  <c r="I44" i="2"/>
  <c r="J44" i="2"/>
  <c r="K44" i="2"/>
  <c r="G45" i="2"/>
  <c r="H45" i="2"/>
  <c r="I45" i="2"/>
  <c r="J45" i="2"/>
  <c r="K45" i="2"/>
  <c r="G46" i="2"/>
  <c r="H46" i="2"/>
  <c r="I46" i="2"/>
  <c r="J46" i="2"/>
  <c r="K46" i="2"/>
  <c r="G47" i="2"/>
  <c r="H47" i="2"/>
  <c r="I47" i="2"/>
  <c r="J47" i="2"/>
  <c r="K47" i="2"/>
  <c r="G48" i="2"/>
  <c r="H48" i="2"/>
  <c r="I48" i="2"/>
  <c r="J48" i="2"/>
  <c r="K48" i="2"/>
  <c r="G49" i="2"/>
  <c r="H49" i="2"/>
  <c r="I49" i="2"/>
  <c r="J49" i="2"/>
  <c r="K49" i="2"/>
  <c r="G50" i="2"/>
  <c r="H50" i="2"/>
  <c r="I50" i="2"/>
  <c r="J50" i="2"/>
  <c r="K50" i="2"/>
  <c r="G51" i="2"/>
  <c r="H51" i="2"/>
  <c r="I51" i="2"/>
  <c r="J51" i="2"/>
  <c r="K51" i="2"/>
  <c r="G52" i="2"/>
  <c r="H52" i="2"/>
  <c r="I52" i="2"/>
  <c r="J52" i="2"/>
  <c r="K52" i="2"/>
  <c r="G53" i="2"/>
  <c r="H53" i="2"/>
  <c r="I53" i="2"/>
  <c r="J53" i="2"/>
  <c r="K53" i="2"/>
  <c r="G54" i="2"/>
  <c r="H54" i="2"/>
  <c r="I54" i="2"/>
  <c r="J54" i="2"/>
  <c r="K54" i="2"/>
  <c r="G55" i="2"/>
  <c r="H55" i="2"/>
  <c r="I55" i="2"/>
  <c r="J55" i="2"/>
  <c r="K55" i="2"/>
  <c r="G56" i="2"/>
  <c r="H56" i="2"/>
  <c r="I56" i="2"/>
  <c r="J56" i="2"/>
  <c r="K56" i="2"/>
  <c r="G57" i="2"/>
  <c r="H57" i="2"/>
  <c r="I57" i="2"/>
  <c r="J57" i="2"/>
  <c r="K57" i="2"/>
  <c r="G58" i="2"/>
  <c r="H58" i="2"/>
  <c r="I58" i="2"/>
  <c r="J58" i="2"/>
  <c r="K58" i="2"/>
  <c r="G59" i="2"/>
  <c r="H59" i="2"/>
  <c r="I59" i="2"/>
  <c r="J59" i="2"/>
  <c r="K59" i="2"/>
  <c r="G60" i="2"/>
  <c r="H60" i="2"/>
  <c r="I60" i="2"/>
  <c r="J60" i="2"/>
  <c r="K60" i="2"/>
  <c r="G61" i="2"/>
  <c r="H61" i="2"/>
  <c r="I61" i="2"/>
  <c r="J61" i="2"/>
  <c r="K61" i="2"/>
  <c r="G62" i="2"/>
  <c r="H62" i="2"/>
  <c r="I62" i="2"/>
  <c r="J62" i="2"/>
  <c r="K62" i="2"/>
  <c r="G63" i="2"/>
  <c r="H63" i="2"/>
  <c r="I63" i="2"/>
  <c r="J63" i="2"/>
  <c r="K63" i="2"/>
  <c r="G64" i="2"/>
  <c r="H64" i="2"/>
  <c r="I64" i="2"/>
  <c r="J64" i="2"/>
  <c r="K64" i="2"/>
  <c r="G65" i="2"/>
  <c r="H65" i="2"/>
  <c r="I65" i="2"/>
  <c r="J65" i="2"/>
  <c r="K65" i="2"/>
  <c r="G66" i="2"/>
  <c r="H66" i="2"/>
  <c r="I66" i="2"/>
  <c r="J66" i="2"/>
  <c r="K66" i="2"/>
  <c r="G67" i="2"/>
  <c r="H67" i="2"/>
  <c r="I67" i="2"/>
  <c r="J67" i="2"/>
  <c r="K67" i="2"/>
  <c r="G68" i="2"/>
  <c r="H68" i="2"/>
  <c r="I68" i="2"/>
  <c r="J68" i="2"/>
  <c r="K68" i="2"/>
  <c r="G69" i="2"/>
  <c r="H69" i="2"/>
  <c r="I69" i="2"/>
  <c r="J69" i="2"/>
  <c r="K69" i="2"/>
  <c r="G70" i="2"/>
  <c r="H70" i="2"/>
  <c r="I70" i="2"/>
  <c r="J70" i="2"/>
  <c r="K70" i="2"/>
  <c r="G71" i="2"/>
  <c r="H71" i="2"/>
  <c r="I71" i="2"/>
  <c r="J71" i="2"/>
  <c r="K71" i="2"/>
  <c r="G72" i="2"/>
  <c r="H72" i="2"/>
  <c r="I72" i="2"/>
  <c r="J72" i="2"/>
  <c r="K72" i="2"/>
  <c r="G73" i="2"/>
  <c r="H73" i="2"/>
  <c r="I73" i="2"/>
  <c r="J73" i="2"/>
  <c r="K73" i="2"/>
  <c r="G74" i="2"/>
  <c r="H74" i="2"/>
  <c r="I74" i="2"/>
  <c r="J74" i="2"/>
  <c r="K74" i="2"/>
  <c r="G75" i="2"/>
  <c r="H75" i="2"/>
  <c r="I75" i="2"/>
  <c r="J75" i="2"/>
  <c r="K75" i="2"/>
  <c r="G76" i="2"/>
  <c r="H76" i="2"/>
  <c r="I76" i="2"/>
  <c r="J76" i="2"/>
  <c r="K76" i="2"/>
  <c r="G77" i="2"/>
  <c r="H77" i="2"/>
  <c r="I77" i="2"/>
  <c r="J77" i="2"/>
  <c r="K77" i="2"/>
  <c r="G78" i="2"/>
  <c r="H78" i="2"/>
  <c r="I78" i="2"/>
  <c r="J78" i="2"/>
  <c r="K78" i="2"/>
  <c r="G79" i="2"/>
  <c r="H79" i="2"/>
  <c r="I79" i="2"/>
  <c r="J79" i="2"/>
  <c r="K79" i="2"/>
  <c r="G80" i="2"/>
  <c r="H80" i="2"/>
  <c r="I80" i="2"/>
  <c r="J80" i="2"/>
  <c r="K80" i="2"/>
  <c r="G81" i="2"/>
  <c r="H81" i="2"/>
  <c r="I81" i="2"/>
  <c r="J81" i="2"/>
  <c r="K81" i="2"/>
  <c r="G82" i="2"/>
  <c r="H82" i="2"/>
  <c r="I82" i="2"/>
  <c r="J82" i="2"/>
  <c r="K82" i="2"/>
  <c r="G83" i="2"/>
  <c r="H83" i="2"/>
  <c r="I83" i="2"/>
  <c r="J83" i="2"/>
  <c r="K83" i="2"/>
  <c r="G84" i="2"/>
  <c r="H84" i="2"/>
  <c r="I84" i="2"/>
  <c r="J84" i="2"/>
  <c r="K84" i="2"/>
  <c r="G85" i="2"/>
  <c r="H85" i="2"/>
  <c r="I85" i="2"/>
  <c r="J85" i="2"/>
  <c r="K85" i="2"/>
  <c r="G86" i="2"/>
  <c r="H86" i="2"/>
  <c r="I86" i="2"/>
  <c r="J86" i="2"/>
  <c r="K86" i="2"/>
  <c r="G87" i="2"/>
  <c r="H87" i="2"/>
  <c r="I87" i="2"/>
  <c r="J87" i="2"/>
  <c r="K87" i="2"/>
  <c r="G88" i="2"/>
  <c r="H88" i="2"/>
  <c r="I88" i="2"/>
  <c r="J88" i="2"/>
  <c r="K88" i="2"/>
  <c r="J2" i="2"/>
  <c r="I2" i="2"/>
  <c r="H2" i="2"/>
</calcChain>
</file>

<file path=xl/sharedStrings.xml><?xml version="1.0" encoding="utf-8"?>
<sst xmlns="http://schemas.openxmlformats.org/spreadsheetml/2006/main" count="452" uniqueCount="266">
  <si>
    <t xml:space="preserve">Lista de los exportadores para el producto seleccionado </t>
  </si>
  <si>
    <t>Producto: 100850 Quinua "Chenopodium quinoa"</t>
  </si>
  <si>
    <t>Fuentes: Cálculos del ITC basados en estadísticas de UN COMTRADE e del ITC.</t>
  </si>
  <si>
    <t>La agregación mundial representa la suma de los países que reportan los datos y de los que no los reportan</t>
  </si>
  <si>
    <t>Los datos basados en la información reportada por los socios comerciales (datos espejo) son presentados en naranja.</t>
  </si>
  <si>
    <t>Unidad : Dólar Americano miles</t>
  </si>
  <si>
    <t>Exportadores</t>
  </si>
  <si>
    <t>Valor exportado en 2020</t>
  </si>
  <si>
    <t>Valor exportado en 2021</t>
  </si>
  <si>
    <t>Valor exportado en 2022</t>
  </si>
  <si>
    <t>Valor exportado en 2023</t>
  </si>
  <si>
    <t>Valor exportado en 2024</t>
  </si>
  <si>
    <t>Mundo</t>
  </si>
  <si>
    <t>Perú</t>
  </si>
  <si>
    <t>Bolivia, Estado Plurinacional de</t>
  </si>
  <si>
    <t>Estados Unidos de América</t>
  </si>
  <si>
    <t>Países Bajos</t>
  </si>
  <si>
    <t>Alemania</t>
  </si>
  <si>
    <t>España</t>
  </si>
  <si>
    <t>Canadá</t>
  </si>
  <si>
    <t>Italia</t>
  </si>
  <si>
    <t>India</t>
  </si>
  <si>
    <t>Bélgica</t>
  </si>
  <si>
    <t>Francia</t>
  </si>
  <si>
    <t>Ecuador</t>
  </si>
  <si>
    <t>Eslovenia</t>
  </si>
  <si>
    <t>Austria</t>
  </si>
  <si>
    <t>Polonia</t>
  </si>
  <si>
    <t>Suecia</t>
  </si>
  <si>
    <t>Reino Unido</t>
  </si>
  <si>
    <t>Bulgaria</t>
  </si>
  <si>
    <t>Hungría</t>
  </si>
  <si>
    <t>Nueva Zelandia</t>
  </si>
  <si>
    <t>Grecia</t>
  </si>
  <si>
    <t>República Checa</t>
  </si>
  <si>
    <t>Israel</t>
  </si>
  <si>
    <t>Marruecos</t>
  </si>
  <si>
    <t>China</t>
  </si>
  <si>
    <t>Rusia, Federación de</t>
  </si>
  <si>
    <t>Brasil</t>
  </si>
  <si>
    <t>Portugal</t>
  </si>
  <si>
    <t>Dinamarca</t>
  </si>
  <si>
    <t>Australia</t>
  </si>
  <si>
    <t>Letonia</t>
  </si>
  <si>
    <t>Chile</t>
  </si>
  <si>
    <t>Lituania</t>
  </si>
  <si>
    <t>Eslovaquia</t>
  </si>
  <si>
    <t>Suiza</t>
  </si>
  <si>
    <t>Croacia</t>
  </si>
  <si>
    <t>Emiratos Árabes Unidos</t>
  </si>
  <si>
    <t>Türkiye</t>
  </si>
  <si>
    <t>Costa Rica</t>
  </si>
  <si>
    <t>Malasia</t>
  </si>
  <si>
    <t>Hong Kong, China</t>
  </si>
  <si>
    <t>Tailandia</t>
  </si>
  <si>
    <t>Irlanda</t>
  </si>
  <si>
    <t>México</t>
  </si>
  <si>
    <t>Irán, República Islámica del</t>
  </si>
  <si>
    <t>Luxemburgo</t>
  </si>
  <si>
    <t>Sudáfrica</t>
  </si>
  <si>
    <t>Estonia</t>
  </si>
  <si>
    <t>Singapur</t>
  </si>
  <si>
    <t>Serbia</t>
  </si>
  <si>
    <t>Finlandia</t>
  </si>
  <si>
    <t>Líbano</t>
  </si>
  <si>
    <t>Noruega</t>
  </si>
  <si>
    <t>Armenia</t>
  </si>
  <si>
    <t>Lao, República Democrática Popular</t>
  </si>
  <si>
    <t>Trinidad y Tobago</t>
  </si>
  <si>
    <t>Macedonia del Norte</t>
  </si>
  <si>
    <t>Panamá</t>
  </si>
  <si>
    <t>Colombia</t>
  </si>
  <si>
    <t>Bosnia y Herzegovina</t>
  </si>
  <si>
    <t>Kazajstán</t>
  </si>
  <si>
    <t>Uruguay</t>
  </si>
  <si>
    <t>Arabia Saudita</t>
  </si>
  <si>
    <t>Taipei Chino</t>
  </si>
  <si>
    <t>Corea, República de</t>
  </si>
  <si>
    <t>Bahrein</t>
  </si>
  <si>
    <t>Zona franca</t>
  </si>
  <si>
    <t>Zambia</t>
  </si>
  <si>
    <t>Ucrania</t>
  </si>
  <si>
    <t>República Dominicana</t>
  </si>
  <si>
    <t>Malta</t>
  </si>
  <si>
    <t>Pakistán</t>
  </si>
  <si>
    <t>Rumania</t>
  </si>
  <si>
    <t>Omán</t>
  </si>
  <si>
    <t>Ruanda</t>
  </si>
  <si>
    <t>Viet Nam</t>
  </si>
  <si>
    <t>Malawi</t>
  </si>
  <si>
    <t>Libia Estado de</t>
  </si>
  <si>
    <t>Fiji</t>
  </si>
  <si>
    <t>Kuwait</t>
  </si>
  <si>
    <t>Guinea</t>
  </si>
  <si>
    <t>Bermudas</t>
  </si>
  <si>
    <t>Bhután</t>
  </si>
  <si>
    <t>Belarús</t>
  </si>
  <si>
    <t>Venezuela, República Bolivariana de</t>
  </si>
  <si>
    <t>Egipto</t>
  </si>
  <si>
    <t>Japón</t>
  </si>
  <si>
    <t>Indonesia</t>
  </si>
  <si>
    <t>Iraq</t>
  </si>
  <si>
    <t>Qatar</t>
  </si>
  <si>
    <t>Argentina</t>
  </si>
  <si>
    <t>Filipinas</t>
  </si>
  <si>
    <t>Bangladesh</t>
  </si>
  <si>
    <t>Nigeria</t>
  </si>
  <si>
    <t>Argelia</t>
  </si>
  <si>
    <t>Angola</t>
  </si>
  <si>
    <t>Uzbekistán</t>
  </si>
  <si>
    <t>Congo, República Democrática del</t>
  </si>
  <si>
    <t>Camboya</t>
  </si>
  <si>
    <t>Azerbaiyán</t>
  </si>
  <si>
    <t>Guyana</t>
  </si>
  <si>
    <t>Côte d'Ivoire</t>
  </si>
  <si>
    <t>Túnez</t>
  </si>
  <si>
    <t>Ghana</t>
  </si>
  <si>
    <t>Mongolia</t>
  </si>
  <si>
    <t>Myanmar</t>
  </si>
  <si>
    <t>Guatemala</t>
  </si>
  <si>
    <t>Papua Nueva Guinea</t>
  </si>
  <si>
    <t>Turkmenistán</t>
  </si>
  <si>
    <t>Sri Lanka</t>
  </si>
  <si>
    <t>Brunei Darussalam</t>
  </si>
  <si>
    <t>Paraguay</t>
  </si>
  <si>
    <t>Jordania</t>
  </si>
  <si>
    <t>Rancho de naves y aeronaves</t>
  </si>
  <si>
    <t>Kenya</t>
  </si>
  <si>
    <t>Mozambique</t>
  </si>
  <si>
    <t>Congo</t>
  </si>
  <si>
    <t>Gabón</t>
  </si>
  <si>
    <t>Tanzanía, República Unida de</t>
  </si>
  <si>
    <t>Nicaragua</t>
  </si>
  <si>
    <t>Kirguistán</t>
  </si>
  <si>
    <t>Honduras</t>
  </si>
  <si>
    <t>Islandia</t>
  </si>
  <si>
    <t>Camerún</t>
  </si>
  <si>
    <t>Namibia</t>
  </si>
  <si>
    <t>El Salvador</t>
  </si>
  <si>
    <t>Burkina Faso</t>
  </si>
  <si>
    <t>Senegal</t>
  </si>
  <si>
    <t>Chipre</t>
  </si>
  <si>
    <t>Guinea Ecuatorial</t>
  </si>
  <si>
    <t>Mauritania</t>
  </si>
  <si>
    <t>Zimbabwe</t>
  </si>
  <si>
    <t>Albania</t>
  </si>
  <si>
    <t>Botsuana</t>
  </si>
  <si>
    <t>Moldova, República de</t>
  </si>
  <si>
    <t>Chad</t>
  </si>
  <si>
    <t>Etiopía</t>
  </si>
  <si>
    <t>Uganda</t>
  </si>
  <si>
    <t>Georgia</t>
  </si>
  <si>
    <t>Sudán</t>
  </si>
  <si>
    <t>Madagascar</t>
  </si>
  <si>
    <t>Bahamas</t>
  </si>
  <si>
    <t>Liberia</t>
  </si>
  <si>
    <t>Islas Caimanes</t>
  </si>
  <si>
    <t>Macao, China</t>
  </si>
  <si>
    <t>Eswatini</t>
  </si>
  <si>
    <t>Islas Marshall</t>
  </si>
  <si>
    <t>Tayikistán</t>
  </si>
  <si>
    <t>Mauricio</t>
  </si>
  <si>
    <t>Afganistán</t>
  </si>
  <si>
    <t>Islas Feroe</t>
  </si>
  <si>
    <t>Groenlandia</t>
  </si>
  <si>
    <t>Sierra Leona</t>
  </si>
  <si>
    <t>Suriname</t>
  </si>
  <si>
    <t>Nueva Caledonia</t>
  </si>
  <si>
    <t>Togo</t>
  </si>
  <si>
    <t>Cuba</t>
  </si>
  <si>
    <t>Níger</t>
  </si>
  <si>
    <t>Nepal</t>
  </si>
  <si>
    <t>Jamaica</t>
  </si>
  <si>
    <t>Benin</t>
  </si>
  <si>
    <t>Lesoto</t>
  </si>
  <si>
    <t>República Árabe Siria</t>
  </si>
  <si>
    <t>Haití</t>
  </si>
  <si>
    <t>Islas Salomon</t>
  </si>
  <si>
    <t>Montenegro</t>
  </si>
  <si>
    <t>Malí</t>
  </si>
  <si>
    <t>Seychelles</t>
  </si>
  <si>
    <t>Eritrea</t>
  </si>
  <si>
    <t>Yemen</t>
  </si>
  <si>
    <t>Barbados</t>
  </si>
  <si>
    <t>Sudán del Sur</t>
  </si>
  <si>
    <t>Somalia</t>
  </si>
  <si>
    <t>Corea, República Popular Democrática de</t>
  </si>
  <si>
    <t>Micronesia, Estados Federados de</t>
  </si>
  <si>
    <t>Islas (Malvinas) Falkland</t>
  </si>
  <si>
    <t>Vanuatu</t>
  </si>
  <si>
    <t>Antigua y Barbuda</t>
  </si>
  <si>
    <t>Belice</t>
  </si>
  <si>
    <t>Maldivas</t>
  </si>
  <si>
    <t>Islas Vírgenes Británicas</t>
  </si>
  <si>
    <t>Curaçao</t>
  </si>
  <si>
    <t>Guinea-Bissau</t>
  </si>
  <si>
    <t>Djibouti</t>
  </si>
  <si>
    <t>Polinesia Francesa</t>
  </si>
  <si>
    <t>Nauru</t>
  </si>
  <si>
    <t>Burundi</t>
  </si>
  <si>
    <t>Gibraltar</t>
  </si>
  <si>
    <t>Aruba</t>
  </si>
  <si>
    <t>Kiribati</t>
  </si>
  <si>
    <t>Andorra</t>
  </si>
  <si>
    <t>Estados Unidos Minor periferico Islas</t>
  </si>
  <si>
    <t>Palestina, Estado de</t>
  </si>
  <si>
    <t>Timor-Leste</t>
  </si>
  <si>
    <t>Montserrat</t>
  </si>
  <si>
    <t>República Centroafricana</t>
  </si>
  <si>
    <t>Santa Lucía</t>
  </si>
  <si>
    <t>Tuvalu</t>
  </si>
  <si>
    <t>Cabo Verde</t>
  </si>
  <si>
    <t>San Vicente y las Granadinas</t>
  </si>
  <si>
    <t>Gambia</t>
  </si>
  <si>
    <t>Sao Tomé y Príncipe</t>
  </si>
  <si>
    <t>Comoras</t>
  </si>
  <si>
    <t>Saint Kitts y Nevis</t>
  </si>
  <si>
    <t>Bonaire, San Estaquio y Saba</t>
  </si>
  <si>
    <t>Samoa</t>
  </si>
  <si>
    <t>Islas Cook</t>
  </si>
  <si>
    <t>Tokelau</t>
  </si>
  <si>
    <t>Santa Helena</t>
  </si>
  <si>
    <t>Dominica</t>
  </si>
  <si>
    <t>Granada</t>
  </si>
  <si>
    <t>Islas Turks y Caicos</t>
  </si>
  <si>
    <t>Tonga</t>
  </si>
  <si>
    <t>Palau</t>
  </si>
  <si>
    <t>Tierras Australes y Antárticas Francesas</t>
  </si>
  <si>
    <t>Territorio Británico del Océano Índico</t>
  </si>
  <si>
    <t>Isla de Navidad</t>
  </si>
  <si>
    <t>San Pedro y Miquelón</t>
  </si>
  <si>
    <t>Samoa Americana</t>
  </si>
  <si>
    <t>Niué</t>
  </si>
  <si>
    <t>San Martin (parte Holandesa)</t>
  </si>
  <si>
    <t>Anguila</t>
  </si>
  <si>
    <t>Sahara occidental</t>
  </si>
  <si>
    <t>Islas Cocos (Keeling)</t>
  </si>
  <si>
    <t>Guam</t>
  </si>
  <si>
    <t>Isla Norfolk</t>
  </si>
  <si>
    <t>Islas Marianas del Norte</t>
  </si>
  <si>
    <t>Pitcairn</t>
  </si>
  <si>
    <t>Islas Wallis y Fortuna</t>
  </si>
  <si>
    <t>Zona Neutral</t>
  </si>
  <si>
    <t>Bouvet Island</t>
  </si>
  <si>
    <t>Otros Asia del Oeste</t>
  </si>
  <si>
    <t>Territorio Antártico Británico</t>
  </si>
  <si>
    <t>expo total 2020</t>
  </si>
  <si>
    <t>expo total 2021</t>
  </si>
  <si>
    <t>expo total 2022</t>
  </si>
  <si>
    <t>expo total 2023</t>
  </si>
  <si>
    <t>expo total 2024</t>
  </si>
  <si>
    <t>VCR2020</t>
  </si>
  <si>
    <t>VCR2021</t>
  </si>
  <si>
    <t>VCR2022</t>
  </si>
  <si>
    <t>VCR2023</t>
  </si>
  <si>
    <t>VCR2024</t>
  </si>
  <si>
    <t>PARTICIPACION 2020</t>
  </si>
  <si>
    <t>PARTICIPACION 2021</t>
  </si>
  <si>
    <t>PARTICIPACION 2022</t>
  </si>
  <si>
    <t>PARTICIPACION 2023</t>
  </si>
  <si>
    <t>PARTICIPACION 2024</t>
  </si>
  <si>
    <t>VCR Normalizado 2020</t>
  </si>
  <si>
    <t>VCR Normalizado 2021</t>
  </si>
  <si>
    <t>VCR Normalizado 2022</t>
  </si>
  <si>
    <t>VCR Normalizado 2023</t>
  </si>
  <si>
    <t>VCR Normalizado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</si>
</sst>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  <font>
      <sz val="8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/>
      <top style="thin">
        <color rgb="FF002B54"/>
      </top>
      <bottom style="thin">
        <color rgb="FF002B5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2B54"/>
      </left>
      <right style="thin">
        <color rgb="FF002B54"/>
      </right>
      <top style="thin">
        <color rgb="FF002B54"/>
      </top>
      <bottom/>
      <diagonal/>
    </border>
    <border>
      <left style="thin">
        <color rgb="FF002B54"/>
      </left>
      <right/>
      <top style="thin">
        <color rgb="FF002B5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22" fillId="34" borderId="11" xfId="0" applyFont="1" applyFill="1" applyBorder="1" applyAlignment="1">
      <alignment horizontal="right" wrapText="1"/>
    </xf>
    <xf numFmtId="0" fontId="21" fillId="35" borderId="10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right" wrapText="1"/>
    </xf>
    <xf numFmtId="0" fontId="23" fillId="34" borderId="11" xfId="0" applyFont="1" applyFill="1" applyBorder="1" applyAlignment="1">
      <alignment horizontal="right" wrapText="1"/>
    </xf>
    <xf numFmtId="0" fontId="23" fillId="35" borderId="11" xfId="0" applyFont="1" applyFill="1" applyBorder="1" applyAlignment="1">
      <alignment horizontal="right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left" wrapText="1"/>
    </xf>
    <xf numFmtId="0" fontId="21" fillId="35" borderId="15" xfId="0" applyFont="1" applyFill="1" applyBorder="1" applyAlignment="1">
      <alignment horizontal="left" wrapText="1"/>
    </xf>
    <xf numFmtId="0" fontId="21" fillId="35" borderId="16" xfId="0" applyFont="1" applyFill="1" applyBorder="1" applyAlignment="1">
      <alignment horizontal="right" wrapText="1"/>
    </xf>
    <xf numFmtId="0" fontId="21" fillId="34" borderId="16" xfId="0" applyFont="1" applyFill="1" applyBorder="1" applyAlignment="1">
      <alignment horizontal="right" wrapText="1"/>
    </xf>
    <xf numFmtId="0" fontId="21" fillId="34" borderId="17" xfId="0" applyFont="1" applyFill="1" applyBorder="1" applyAlignment="1">
      <alignment horizontal="left" wrapText="1"/>
    </xf>
    <xf numFmtId="0" fontId="21" fillId="34" borderId="18" xfId="0" applyFont="1" applyFill="1" applyBorder="1" applyAlignment="1">
      <alignment horizontal="right" wrapText="1"/>
    </xf>
    <xf numFmtId="0" fontId="21" fillId="34" borderId="19" xfId="0" applyFont="1" applyFill="1" applyBorder="1" applyAlignment="1">
      <alignment horizontal="right" wrapText="1"/>
    </xf>
    <xf numFmtId="0" fontId="20" fillId="33" borderId="24" xfId="0" applyFont="1" applyFill="1" applyBorder="1" applyAlignment="1">
      <alignment vertical="center" wrapText="1"/>
    </xf>
    <xf numFmtId="0" fontId="20" fillId="33" borderId="25" xfId="0" applyFont="1" applyFill="1" applyBorder="1" applyAlignment="1">
      <alignment vertical="center" wrapText="1"/>
    </xf>
    <xf numFmtId="0" fontId="20" fillId="33" borderId="26" xfId="0" applyFont="1" applyFill="1" applyBorder="1" applyAlignment="1">
      <alignment vertical="center" wrapText="1"/>
    </xf>
    <xf numFmtId="0" fontId="21" fillId="34" borderId="21" xfId="0" applyFont="1" applyFill="1" applyBorder="1" applyAlignment="1">
      <alignment wrapText="1"/>
    </xf>
    <xf numFmtId="0" fontId="22" fillId="34" borderId="11" xfId="0" applyFont="1" applyFill="1" applyBorder="1" applyAlignment="1">
      <alignment wrapText="1"/>
    </xf>
    <xf numFmtId="0" fontId="22" fillId="34" borderId="22" xfId="0" applyFont="1" applyFill="1" applyBorder="1" applyAlignment="1">
      <alignment wrapText="1"/>
    </xf>
    <xf numFmtId="0" fontId="21" fillId="35" borderId="21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21" fillId="35" borderId="23" xfId="0" applyFont="1" applyFill="1" applyBorder="1" applyAlignment="1">
      <alignment wrapText="1"/>
    </xf>
    <xf numFmtId="0" fontId="21" fillId="34" borderId="10" xfId="0" applyFont="1" applyFill="1" applyBorder="1" applyAlignment="1">
      <alignment wrapText="1"/>
    </xf>
    <xf numFmtId="0" fontId="21" fillId="34" borderId="23" xfId="0" applyFont="1" applyFill="1" applyBorder="1" applyAlignment="1">
      <alignment wrapText="1"/>
    </xf>
    <xf numFmtId="0" fontId="23" fillId="34" borderId="22" xfId="0" applyFont="1" applyFill="1" applyBorder="1" applyAlignment="1">
      <alignment wrapText="1"/>
    </xf>
    <xf numFmtId="0" fontId="23" fillId="35" borderId="22" xfId="0" applyFont="1" applyFill="1" applyBorder="1" applyAlignment="1">
      <alignment wrapText="1"/>
    </xf>
    <xf numFmtId="0" fontId="23" fillId="34" borderId="11" xfId="0" applyFont="1" applyFill="1" applyBorder="1" applyAlignment="1">
      <alignment wrapText="1"/>
    </xf>
    <xf numFmtId="0" fontId="23" fillId="35" borderId="11" xfId="0" applyFont="1" applyFill="1" applyBorder="1" applyAlignment="1">
      <alignment wrapText="1"/>
    </xf>
    <xf numFmtId="0" fontId="21" fillId="35" borderId="27" xfId="0" applyFont="1" applyFill="1" applyBorder="1" applyAlignment="1">
      <alignment wrapText="1"/>
    </xf>
    <xf numFmtId="0" fontId="23" fillId="35" borderId="28" xfId="0" applyFont="1" applyFill="1" applyBorder="1" applyAlignment="1">
      <alignment wrapText="1"/>
    </xf>
    <xf numFmtId="0" fontId="23" fillId="35" borderId="29" xfId="0" applyFont="1" applyFill="1" applyBorder="1" applyAlignment="1">
      <alignment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7" borderId="20" xfId="0" applyFont="1" applyFill="1" applyBorder="1" applyAlignment="1">
      <alignment horizontal="center" vertical="center" wrapText="1"/>
    </xf>
    <xf numFmtId="0" fontId="20" fillId="38" borderId="20" xfId="0" applyFont="1" applyFill="1" applyBorder="1" applyAlignment="1">
      <alignment horizontal="center" vertical="center" wrapText="1"/>
    </xf>
    <xf numFmtId="0" fontId="20" fillId="39" borderId="2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DAA520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Narrow"/>
        <family val="2"/>
        <scheme val="minor"/>
      </font>
      <fill>
        <patternFill patternType="solid">
          <fgColor indexed="64"/>
          <bgColor rgb="FF5D7B9D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DAA520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2B54"/>
        </left>
        <right/>
        <top style="thin">
          <color rgb="FF002B54"/>
        </top>
        <bottom style="thin">
          <color rgb="FF002B5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DAA520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2B54"/>
        </left>
        <right style="thin">
          <color rgb="FF002B54"/>
        </right>
        <top style="thin">
          <color rgb="FF002B54"/>
        </top>
        <bottom style="thin">
          <color rgb="FF002B5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DAA520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2B54"/>
        </left>
        <right style="thin">
          <color rgb="FF002B54"/>
        </right>
        <top style="thin">
          <color rgb="FF002B54"/>
        </top>
        <bottom style="thin">
          <color rgb="FF002B5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DAA520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2B54"/>
        </left>
        <right style="thin">
          <color rgb="FF002B54"/>
        </right>
        <top style="thin">
          <color rgb="FF002B54"/>
        </top>
        <bottom style="thin">
          <color rgb="FF002B5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DAA520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2B54"/>
        </left>
        <right style="thin">
          <color rgb="FF002B54"/>
        </right>
        <top style="thin">
          <color rgb="FF002B54"/>
        </top>
        <bottom style="thin">
          <color rgb="FF002B5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2B54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2B54"/>
        </left>
        <right style="thin">
          <color rgb="FF002B54"/>
        </right>
        <top style="thin">
          <color rgb="FF002B54"/>
        </top>
        <bottom style="thin">
          <color rgb="FF002B5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5420C8-9723-4B3B-BF2B-D5DC70C50922}" name="Tabla1" displayName="Tabla1" ref="A1:F235" totalsRowShown="0" headerRowDxfId="1" dataDxfId="0" headerRowBorderDxfId="8" tableBorderDxfId="9">
  <autoFilter ref="A1:F235" xr:uid="{245420C8-9723-4B3B-BF2B-D5DC70C50922}"/>
  <tableColumns count="6">
    <tableColumn id="1" xr3:uid="{1C441F5D-9972-4C91-A3A7-C6C746243ADD}" name="Exportadores" dataDxfId="7"/>
    <tableColumn id="2" xr3:uid="{876614DC-91CF-4DD8-B70B-F22B22C482D7}" name="Valor exportado en 2020" dataDxfId="6"/>
    <tableColumn id="3" xr3:uid="{95A6117C-EA11-4913-9236-82714428B144}" name="Valor exportado en 2021" dataDxfId="5"/>
    <tableColumn id="4" xr3:uid="{A542787B-707B-4ACF-B221-474404C34705}" name="Valor exportado en 2022" dataDxfId="4"/>
    <tableColumn id="5" xr3:uid="{A25B5831-A0E4-4D06-9A6C-F701E5322FCE}" name="Valor exportado en 2023" dataDxfId="3"/>
    <tableColumn id="6" xr3:uid="{3B8283C7-4714-4406-90E2-1A6D4DE276BA}" name="Valor exportado en 2024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FFC4-4FF2-4EFF-B758-ACBBE25240B1}">
  <dimension ref="A1:F101"/>
  <sheetViews>
    <sheetView showGridLines="0" topLeftCell="A65" workbookViewId="0">
      <selection activeCell="A14" sqref="A14:F101"/>
    </sheetView>
  </sheetViews>
  <sheetFormatPr baseColWidth="10" defaultRowHeight="15" x14ac:dyDescent="0.25"/>
  <cols>
    <col min="1" max="1" width="45.7109375" bestFit="1" customWidth="1"/>
    <col min="2" max="6" width="17.42578125" bestFit="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/>
    </row>
    <row r="4" spans="1:6" ht="27" x14ac:dyDescent="0.25">
      <c r="A4" s="4" t="s">
        <v>2</v>
      </c>
    </row>
    <row r="5" spans="1:6" ht="27" x14ac:dyDescent="0.25">
      <c r="A5" s="4" t="s">
        <v>3</v>
      </c>
    </row>
    <row r="6" spans="1:6" ht="40.5" x14ac:dyDescent="0.25">
      <c r="A6" s="4" t="s">
        <v>4</v>
      </c>
    </row>
    <row r="7" spans="1:6" x14ac:dyDescent="0.25">
      <c r="A7" s="3"/>
    </row>
    <row r="8" spans="1:6" x14ac:dyDescent="0.25">
      <c r="A8" s="3"/>
    </row>
    <row r="9" spans="1:6" x14ac:dyDescent="0.25">
      <c r="A9" s="3"/>
    </row>
    <row r="10" spans="1:6" x14ac:dyDescent="0.25">
      <c r="A10" s="3"/>
    </row>
    <row r="11" spans="1:6" x14ac:dyDescent="0.25">
      <c r="A11" s="3"/>
    </row>
    <row r="12" spans="1:6" x14ac:dyDescent="0.25">
      <c r="A12" s="4" t="s">
        <v>5</v>
      </c>
    </row>
    <row r="13" spans="1:6" x14ac:dyDescent="0.25">
      <c r="A13" s="3"/>
    </row>
    <row r="14" spans="1:6" x14ac:dyDescent="0.25">
      <c r="A14" s="10" t="s">
        <v>6</v>
      </c>
      <c r="B14" s="11" t="s">
        <v>7</v>
      </c>
      <c r="C14" s="11" t="s">
        <v>8</v>
      </c>
      <c r="D14" s="11" t="s">
        <v>9</v>
      </c>
      <c r="E14" s="11" t="s">
        <v>10</v>
      </c>
      <c r="F14" s="12" t="s">
        <v>11</v>
      </c>
    </row>
    <row r="15" spans="1:6" x14ac:dyDescent="0.25">
      <c r="A15" s="13" t="s">
        <v>12</v>
      </c>
      <c r="B15" s="5">
        <v>305933</v>
      </c>
      <c r="C15" s="5">
        <v>244317</v>
      </c>
      <c r="D15" s="5">
        <v>210556</v>
      </c>
      <c r="E15" s="5">
        <v>219130</v>
      </c>
      <c r="F15" s="5">
        <v>303466</v>
      </c>
    </row>
    <row r="16" spans="1:6" x14ac:dyDescent="0.25">
      <c r="A16" s="14" t="s">
        <v>13</v>
      </c>
      <c r="B16" s="6">
        <v>124706</v>
      </c>
      <c r="C16" s="6">
        <v>104832</v>
      </c>
      <c r="D16" s="6">
        <v>90654</v>
      </c>
      <c r="E16" s="6">
        <v>98016</v>
      </c>
      <c r="F16" s="15">
        <v>133797</v>
      </c>
    </row>
    <row r="17" spans="1:6" x14ac:dyDescent="0.25">
      <c r="A17" s="13" t="s">
        <v>14</v>
      </c>
      <c r="B17" s="7">
        <v>92414</v>
      </c>
      <c r="C17" s="7">
        <v>61709</v>
      </c>
      <c r="D17" s="7">
        <v>46462</v>
      </c>
      <c r="E17" s="7">
        <v>57058</v>
      </c>
      <c r="F17" s="16">
        <v>84551</v>
      </c>
    </row>
    <row r="18" spans="1:6" x14ac:dyDescent="0.25">
      <c r="A18" s="14" t="s">
        <v>15</v>
      </c>
      <c r="B18" s="6">
        <v>13829</v>
      </c>
      <c r="C18" s="6">
        <v>12125</v>
      </c>
      <c r="D18" s="6">
        <v>10486</v>
      </c>
      <c r="E18" s="6">
        <v>10343</v>
      </c>
      <c r="F18" s="15">
        <v>12213</v>
      </c>
    </row>
    <row r="19" spans="1:6" x14ac:dyDescent="0.25">
      <c r="A19" s="13" t="s">
        <v>16</v>
      </c>
      <c r="B19" s="7">
        <v>14023</v>
      </c>
      <c r="C19" s="7">
        <v>12597</v>
      </c>
      <c r="D19" s="7">
        <v>17157</v>
      </c>
      <c r="E19" s="7">
        <v>8856</v>
      </c>
      <c r="F19" s="16">
        <v>11518</v>
      </c>
    </row>
    <row r="20" spans="1:6" x14ac:dyDescent="0.25">
      <c r="A20" s="14" t="s">
        <v>17</v>
      </c>
      <c r="B20" s="6">
        <v>8745</v>
      </c>
      <c r="C20" s="6">
        <v>8306</v>
      </c>
      <c r="D20" s="6">
        <v>6450</v>
      </c>
      <c r="E20" s="6">
        <v>7075</v>
      </c>
      <c r="F20" s="15">
        <v>9309</v>
      </c>
    </row>
    <row r="21" spans="1:6" x14ac:dyDescent="0.25">
      <c r="A21" s="13" t="s">
        <v>18</v>
      </c>
      <c r="B21" s="7">
        <v>9225</v>
      </c>
      <c r="C21" s="7">
        <v>7969</v>
      </c>
      <c r="D21" s="7">
        <v>5488</v>
      </c>
      <c r="E21" s="7">
        <v>5609</v>
      </c>
      <c r="F21" s="16">
        <v>8856</v>
      </c>
    </row>
    <row r="22" spans="1:6" x14ac:dyDescent="0.25">
      <c r="A22" s="14" t="s">
        <v>19</v>
      </c>
      <c r="B22" s="6">
        <v>7611</v>
      </c>
      <c r="C22" s="6">
        <v>7938</v>
      </c>
      <c r="D22" s="6">
        <v>6340</v>
      </c>
      <c r="E22" s="6">
        <v>5038</v>
      </c>
      <c r="F22" s="15">
        <v>7741</v>
      </c>
    </row>
    <row r="23" spans="1:6" x14ac:dyDescent="0.25">
      <c r="A23" s="13" t="s">
        <v>20</v>
      </c>
      <c r="B23" s="7">
        <v>4324</v>
      </c>
      <c r="C23" s="7">
        <v>4831</v>
      </c>
      <c r="D23" s="7">
        <v>4741</v>
      </c>
      <c r="E23" s="7">
        <v>4957</v>
      </c>
      <c r="F23" s="16">
        <v>7325</v>
      </c>
    </row>
    <row r="24" spans="1:6" x14ac:dyDescent="0.25">
      <c r="A24" s="14" t="s">
        <v>21</v>
      </c>
      <c r="B24" s="6">
        <v>1009</v>
      </c>
      <c r="C24" s="6">
        <v>1372</v>
      </c>
      <c r="D24" s="6">
        <v>1637</v>
      </c>
      <c r="E24" s="6">
        <v>2327</v>
      </c>
      <c r="F24" s="15">
        <v>5509</v>
      </c>
    </row>
    <row r="25" spans="1:6" x14ac:dyDescent="0.25">
      <c r="A25" s="13" t="s">
        <v>22</v>
      </c>
      <c r="B25" s="7">
        <v>4687</v>
      </c>
      <c r="C25" s="7">
        <v>3563</v>
      </c>
      <c r="D25" s="7">
        <v>3195</v>
      </c>
      <c r="E25" s="7">
        <v>2208</v>
      </c>
      <c r="F25" s="16">
        <v>4446</v>
      </c>
    </row>
    <row r="26" spans="1:6" x14ac:dyDescent="0.25">
      <c r="A26" s="14" t="s">
        <v>23</v>
      </c>
      <c r="B26" s="6">
        <v>6781</v>
      </c>
      <c r="C26" s="6">
        <v>4664</v>
      </c>
      <c r="D26" s="6">
        <v>4029</v>
      </c>
      <c r="E26" s="6">
        <v>3496</v>
      </c>
      <c r="F26" s="15">
        <v>4325</v>
      </c>
    </row>
    <row r="27" spans="1:6" x14ac:dyDescent="0.25">
      <c r="A27" s="13" t="s">
        <v>24</v>
      </c>
      <c r="B27" s="7">
        <v>4572</v>
      </c>
      <c r="C27" s="7">
        <v>3380</v>
      </c>
      <c r="D27" s="7">
        <v>3316</v>
      </c>
      <c r="E27" s="7">
        <v>1937</v>
      </c>
      <c r="F27" s="16">
        <v>1597</v>
      </c>
    </row>
    <row r="28" spans="1:6" x14ac:dyDescent="0.25">
      <c r="A28" s="14" t="s">
        <v>25</v>
      </c>
      <c r="B28" s="6">
        <v>1721</v>
      </c>
      <c r="C28" s="6">
        <v>2100</v>
      </c>
      <c r="D28" s="6">
        <v>1510</v>
      </c>
      <c r="E28" s="6">
        <v>2389</v>
      </c>
      <c r="F28" s="15">
        <v>1561</v>
      </c>
    </row>
    <row r="29" spans="1:6" x14ac:dyDescent="0.25">
      <c r="A29" s="13" t="s">
        <v>26</v>
      </c>
      <c r="B29" s="7">
        <v>2634</v>
      </c>
      <c r="C29" s="7">
        <v>1314</v>
      </c>
      <c r="D29" s="7">
        <v>2313</v>
      </c>
      <c r="E29" s="7">
        <v>1453</v>
      </c>
      <c r="F29" s="16">
        <v>1436</v>
      </c>
    </row>
    <row r="30" spans="1:6" x14ac:dyDescent="0.25">
      <c r="A30" s="14" t="s">
        <v>27</v>
      </c>
      <c r="B30" s="6">
        <v>610</v>
      </c>
      <c r="C30" s="6">
        <v>419</v>
      </c>
      <c r="D30" s="6">
        <v>420</v>
      </c>
      <c r="E30" s="6">
        <v>472</v>
      </c>
      <c r="F30" s="15">
        <v>1191</v>
      </c>
    </row>
    <row r="31" spans="1:6" x14ac:dyDescent="0.25">
      <c r="A31" s="13" t="s">
        <v>28</v>
      </c>
      <c r="B31" s="7">
        <v>650</v>
      </c>
      <c r="C31" s="7">
        <v>744</v>
      </c>
      <c r="D31" s="7">
        <v>853</v>
      </c>
      <c r="E31" s="7">
        <v>1056</v>
      </c>
      <c r="F31" s="16">
        <v>1104</v>
      </c>
    </row>
    <row r="32" spans="1:6" x14ac:dyDescent="0.25">
      <c r="A32" s="14" t="s">
        <v>29</v>
      </c>
      <c r="B32" s="6">
        <v>1674</v>
      </c>
      <c r="C32" s="6">
        <v>753</v>
      </c>
      <c r="D32" s="6">
        <v>710</v>
      </c>
      <c r="E32" s="6">
        <v>856</v>
      </c>
      <c r="F32" s="15">
        <v>885</v>
      </c>
    </row>
    <row r="33" spans="1:6" x14ac:dyDescent="0.25">
      <c r="A33" s="13" t="s">
        <v>30</v>
      </c>
      <c r="B33" s="7">
        <v>312</v>
      </c>
      <c r="C33" s="7">
        <v>451</v>
      </c>
      <c r="D33" s="7">
        <v>315</v>
      </c>
      <c r="E33" s="7">
        <v>350</v>
      </c>
      <c r="F33" s="16">
        <v>751</v>
      </c>
    </row>
    <row r="34" spans="1:6" x14ac:dyDescent="0.25">
      <c r="A34" s="14" t="s">
        <v>31</v>
      </c>
      <c r="B34" s="6">
        <v>360</v>
      </c>
      <c r="C34" s="6">
        <v>373</v>
      </c>
      <c r="D34" s="6">
        <v>365</v>
      </c>
      <c r="E34" s="6">
        <v>442</v>
      </c>
      <c r="F34" s="15">
        <v>728</v>
      </c>
    </row>
    <row r="35" spans="1:6" x14ac:dyDescent="0.25">
      <c r="A35" s="13" t="s">
        <v>32</v>
      </c>
      <c r="B35" s="7">
        <v>24</v>
      </c>
      <c r="C35" s="7">
        <v>13</v>
      </c>
      <c r="D35" s="7">
        <v>8</v>
      </c>
      <c r="E35" s="7">
        <v>8</v>
      </c>
      <c r="F35" s="16">
        <v>706</v>
      </c>
    </row>
    <row r="36" spans="1:6" x14ac:dyDescent="0.25">
      <c r="A36" s="14" t="s">
        <v>33</v>
      </c>
      <c r="B36" s="6">
        <v>214</v>
      </c>
      <c r="C36" s="6">
        <v>328</v>
      </c>
      <c r="D36" s="6">
        <v>256</v>
      </c>
      <c r="E36" s="6">
        <v>249</v>
      </c>
      <c r="F36" s="15">
        <v>376</v>
      </c>
    </row>
    <row r="37" spans="1:6" x14ac:dyDescent="0.25">
      <c r="A37" s="13" t="s">
        <v>34</v>
      </c>
      <c r="B37" s="7">
        <v>267</v>
      </c>
      <c r="C37" s="7">
        <v>241</v>
      </c>
      <c r="D37" s="7">
        <v>208</v>
      </c>
      <c r="E37" s="7">
        <v>219</v>
      </c>
      <c r="F37" s="16">
        <v>306</v>
      </c>
    </row>
    <row r="38" spans="1:6" x14ac:dyDescent="0.25">
      <c r="A38" s="14" t="s">
        <v>35</v>
      </c>
      <c r="B38" s="6">
        <v>430</v>
      </c>
      <c r="C38" s="6">
        <v>785</v>
      </c>
      <c r="D38" s="6">
        <v>191</v>
      </c>
      <c r="E38" s="6">
        <v>124</v>
      </c>
      <c r="F38" s="15">
        <v>292</v>
      </c>
    </row>
    <row r="39" spans="1:6" x14ac:dyDescent="0.25">
      <c r="A39" s="13" t="s">
        <v>36</v>
      </c>
      <c r="B39" s="7">
        <v>22</v>
      </c>
      <c r="C39" s="7">
        <v>1</v>
      </c>
      <c r="D39" s="7">
        <v>4</v>
      </c>
      <c r="E39" s="7">
        <v>0</v>
      </c>
      <c r="F39" s="8">
        <v>231</v>
      </c>
    </row>
    <row r="40" spans="1:6" x14ac:dyDescent="0.25">
      <c r="A40" s="14" t="s">
        <v>37</v>
      </c>
      <c r="B40" s="6">
        <v>12</v>
      </c>
      <c r="C40" s="6">
        <v>18</v>
      </c>
      <c r="D40" s="6">
        <v>0</v>
      </c>
      <c r="E40" s="6">
        <v>53</v>
      </c>
      <c r="F40" s="15">
        <v>225</v>
      </c>
    </row>
    <row r="41" spans="1:6" x14ac:dyDescent="0.25">
      <c r="A41" s="13" t="s">
        <v>38</v>
      </c>
      <c r="B41" s="7">
        <v>225</v>
      </c>
      <c r="C41" s="7">
        <v>408</v>
      </c>
      <c r="D41" s="8">
        <v>171</v>
      </c>
      <c r="E41" s="8">
        <v>195</v>
      </c>
      <c r="F41" s="8">
        <v>218</v>
      </c>
    </row>
    <row r="42" spans="1:6" x14ac:dyDescent="0.25">
      <c r="A42" s="14" t="s">
        <v>39</v>
      </c>
      <c r="B42" s="6">
        <v>3</v>
      </c>
      <c r="C42" s="6">
        <v>2</v>
      </c>
      <c r="D42" s="6">
        <v>2</v>
      </c>
      <c r="E42" s="6">
        <v>2</v>
      </c>
      <c r="F42" s="15">
        <v>202</v>
      </c>
    </row>
    <row r="43" spans="1:6" x14ac:dyDescent="0.25">
      <c r="A43" s="13" t="s">
        <v>40</v>
      </c>
      <c r="B43" s="7">
        <v>35</v>
      </c>
      <c r="C43" s="7">
        <v>55</v>
      </c>
      <c r="D43" s="7">
        <v>144</v>
      </c>
      <c r="E43" s="7">
        <v>229</v>
      </c>
      <c r="F43" s="16">
        <v>200</v>
      </c>
    </row>
    <row r="44" spans="1:6" x14ac:dyDescent="0.25">
      <c r="A44" s="14" t="s">
        <v>41</v>
      </c>
      <c r="B44" s="6">
        <v>171</v>
      </c>
      <c r="C44" s="6">
        <v>254</v>
      </c>
      <c r="D44" s="6">
        <v>339</v>
      </c>
      <c r="E44" s="6">
        <v>253</v>
      </c>
      <c r="F44" s="15">
        <v>169</v>
      </c>
    </row>
    <row r="45" spans="1:6" x14ac:dyDescent="0.25">
      <c r="A45" s="13" t="s">
        <v>42</v>
      </c>
      <c r="B45" s="7">
        <v>372</v>
      </c>
      <c r="C45" s="7">
        <v>305</v>
      </c>
      <c r="D45" s="7">
        <v>187</v>
      </c>
      <c r="E45" s="7">
        <v>134</v>
      </c>
      <c r="F45" s="16">
        <v>137</v>
      </c>
    </row>
    <row r="46" spans="1:6" x14ac:dyDescent="0.25">
      <c r="A46" s="14" t="s">
        <v>43</v>
      </c>
      <c r="B46" s="6">
        <v>197</v>
      </c>
      <c r="C46" s="6">
        <v>116</v>
      </c>
      <c r="D46" s="6">
        <v>99</v>
      </c>
      <c r="E46" s="6">
        <v>128</v>
      </c>
      <c r="F46" s="15">
        <v>134</v>
      </c>
    </row>
    <row r="47" spans="1:6" x14ac:dyDescent="0.25">
      <c r="A47" s="13" t="s">
        <v>44</v>
      </c>
      <c r="B47" s="7">
        <v>374</v>
      </c>
      <c r="C47" s="7">
        <v>401</v>
      </c>
      <c r="D47" s="7">
        <v>237</v>
      </c>
      <c r="E47" s="7">
        <v>229</v>
      </c>
      <c r="F47" s="16">
        <v>133</v>
      </c>
    </row>
    <row r="48" spans="1:6" x14ac:dyDescent="0.25">
      <c r="A48" s="14" t="s">
        <v>45</v>
      </c>
      <c r="B48" s="6">
        <v>133</v>
      </c>
      <c r="C48" s="6">
        <v>128</v>
      </c>
      <c r="D48" s="6">
        <v>143</v>
      </c>
      <c r="E48" s="6">
        <v>166</v>
      </c>
      <c r="F48" s="15">
        <v>124</v>
      </c>
    </row>
    <row r="49" spans="1:6" x14ac:dyDescent="0.25">
      <c r="A49" s="13" t="s">
        <v>46</v>
      </c>
      <c r="B49" s="7">
        <v>47</v>
      </c>
      <c r="C49" s="7">
        <v>116</v>
      </c>
      <c r="D49" s="7">
        <v>85</v>
      </c>
      <c r="E49" s="7">
        <v>113</v>
      </c>
      <c r="F49" s="16">
        <v>123</v>
      </c>
    </row>
    <row r="50" spans="1:6" x14ac:dyDescent="0.25">
      <c r="A50" s="14" t="s">
        <v>47</v>
      </c>
      <c r="B50" s="6">
        <v>322</v>
      </c>
      <c r="C50" s="6">
        <v>45</v>
      </c>
      <c r="D50" s="6">
        <v>22</v>
      </c>
      <c r="E50" s="6">
        <v>78</v>
      </c>
      <c r="F50" s="15">
        <v>121</v>
      </c>
    </row>
    <row r="51" spans="1:6" x14ac:dyDescent="0.25">
      <c r="A51" s="13" t="s">
        <v>48</v>
      </c>
      <c r="B51" s="7">
        <v>5</v>
      </c>
      <c r="C51" s="7">
        <v>38</v>
      </c>
      <c r="D51" s="7">
        <v>81</v>
      </c>
      <c r="E51" s="7">
        <v>1246</v>
      </c>
      <c r="F51" s="16">
        <v>109</v>
      </c>
    </row>
    <row r="52" spans="1:6" x14ac:dyDescent="0.25">
      <c r="A52" s="14" t="s">
        <v>49</v>
      </c>
      <c r="B52" s="6">
        <v>431</v>
      </c>
      <c r="C52" s="6">
        <v>540</v>
      </c>
      <c r="D52" s="6">
        <v>1017</v>
      </c>
      <c r="E52" s="6">
        <v>974</v>
      </c>
      <c r="F52" s="9">
        <v>105</v>
      </c>
    </row>
    <row r="53" spans="1:6" x14ac:dyDescent="0.25">
      <c r="A53" s="13" t="s">
        <v>50</v>
      </c>
      <c r="B53" s="7">
        <v>177</v>
      </c>
      <c r="C53" s="7">
        <v>95</v>
      </c>
      <c r="D53" s="7">
        <v>214</v>
      </c>
      <c r="E53" s="7">
        <v>125</v>
      </c>
      <c r="F53" s="16">
        <v>94</v>
      </c>
    </row>
    <row r="54" spans="1:6" x14ac:dyDescent="0.25">
      <c r="A54" s="14" t="s">
        <v>51</v>
      </c>
      <c r="B54" s="6">
        <v>39</v>
      </c>
      <c r="C54" s="6">
        <v>61</v>
      </c>
      <c r="D54" s="6">
        <v>39</v>
      </c>
      <c r="E54" s="6">
        <v>42</v>
      </c>
      <c r="F54" s="15">
        <v>77</v>
      </c>
    </row>
    <row r="55" spans="1:6" x14ac:dyDescent="0.25">
      <c r="A55" s="13" t="s">
        <v>52</v>
      </c>
      <c r="B55" s="7">
        <v>84</v>
      </c>
      <c r="C55" s="7">
        <v>63</v>
      </c>
      <c r="D55" s="7">
        <v>25</v>
      </c>
      <c r="E55" s="7">
        <v>66</v>
      </c>
      <c r="F55" s="16">
        <v>58</v>
      </c>
    </row>
    <row r="56" spans="1:6" x14ac:dyDescent="0.25">
      <c r="A56" s="14" t="s">
        <v>53</v>
      </c>
      <c r="B56" s="6">
        <v>156</v>
      </c>
      <c r="C56" s="6">
        <v>156</v>
      </c>
      <c r="D56" s="6">
        <v>123</v>
      </c>
      <c r="E56" s="6">
        <v>59</v>
      </c>
      <c r="F56" s="15">
        <v>51</v>
      </c>
    </row>
    <row r="57" spans="1:6" x14ac:dyDescent="0.25">
      <c r="A57" s="13" t="s">
        <v>54</v>
      </c>
      <c r="B57" s="7">
        <v>6</v>
      </c>
      <c r="C57" s="7">
        <v>6</v>
      </c>
      <c r="D57" s="7">
        <v>39</v>
      </c>
      <c r="E57" s="7">
        <v>38</v>
      </c>
      <c r="F57" s="16">
        <v>50</v>
      </c>
    </row>
    <row r="58" spans="1:6" x14ac:dyDescent="0.25">
      <c r="A58" s="14" t="s">
        <v>55</v>
      </c>
      <c r="B58" s="6">
        <v>1243</v>
      </c>
      <c r="C58" s="6">
        <v>194</v>
      </c>
      <c r="D58" s="6">
        <v>44</v>
      </c>
      <c r="E58" s="6">
        <v>23</v>
      </c>
      <c r="F58" s="15">
        <v>46</v>
      </c>
    </row>
    <row r="59" spans="1:6" x14ac:dyDescent="0.25">
      <c r="A59" s="13" t="s">
        <v>56</v>
      </c>
      <c r="B59" s="7">
        <v>44</v>
      </c>
      <c r="C59" s="7">
        <v>0</v>
      </c>
      <c r="D59" s="7">
        <v>0</v>
      </c>
      <c r="E59" s="7">
        <v>0</v>
      </c>
      <c r="F59" s="8">
        <v>44</v>
      </c>
    </row>
    <row r="60" spans="1:6" x14ac:dyDescent="0.25">
      <c r="A60" s="14" t="s">
        <v>57</v>
      </c>
      <c r="B60" s="6">
        <v>0</v>
      </c>
      <c r="C60" s="6">
        <v>0</v>
      </c>
      <c r="D60" s="6">
        <v>0</v>
      </c>
      <c r="E60" s="6">
        <v>0</v>
      </c>
      <c r="F60" s="9">
        <v>44</v>
      </c>
    </row>
    <row r="61" spans="1:6" x14ac:dyDescent="0.25">
      <c r="A61" s="13" t="s">
        <v>58</v>
      </c>
      <c r="B61" s="7">
        <v>25</v>
      </c>
      <c r="C61" s="7">
        <v>27</v>
      </c>
      <c r="D61" s="7">
        <v>37</v>
      </c>
      <c r="E61" s="7">
        <v>32</v>
      </c>
      <c r="F61" s="16">
        <v>35</v>
      </c>
    </row>
    <row r="62" spans="1:6" x14ac:dyDescent="0.25">
      <c r="A62" s="14" t="s">
        <v>59</v>
      </c>
      <c r="B62" s="6">
        <v>24</v>
      </c>
      <c r="C62" s="6">
        <v>57</v>
      </c>
      <c r="D62" s="6">
        <v>25</v>
      </c>
      <c r="E62" s="6">
        <v>32</v>
      </c>
      <c r="F62" s="15">
        <v>34</v>
      </c>
    </row>
    <row r="63" spans="1:6" x14ac:dyDescent="0.25">
      <c r="A63" s="13" t="s">
        <v>60</v>
      </c>
      <c r="B63" s="7">
        <v>1</v>
      </c>
      <c r="C63" s="7">
        <v>1</v>
      </c>
      <c r="D63" s="7">
        <v>3</v>
      </c>
      <c r="E63" s="7">
        <v>14</v>
      </c>
      <c r="F63" s="16">
        <v>31</v>
      </c>
    </row>
    <row r="64" spans="1:6" x14ac:dyDescent="0.25">
      <c r="A64" s="14" t="s">
        <v>61</v>
      </c>
      <c r="B64" s="6">
        <v>119</v>
      </c>
      <c r="C64" s="6">
        <v>138</v>
      </c>
      <c r="D64" s="6">
        <v>41</v>
      </c>
      <c r="E64" s="6">
        <v>52</v>
      </c>
      <c r="F64" s="15">
        <v>30</v>
      </c>
    </row>
    <row r="65" spans="1:6" x14ac:dyDescent="0.25">
      <c r="A65" s="13" t="s">
        <v>62</v>
      </c>
      <c r="B65" s="7">
        <v>25</v>
      </c>
      <c r="C65" s="7">
        <v>25</v>
      </c>
      <c r="D65" s="7">
        <v>30</v>
      </c>
      <c r="E65" s="7">
        <v>20</v>
      </c>
      <c r="F65" s="16">
        <v>24</v>
      </c>
    </row>
    <row r="66" spans="1:6" x14ac:dyDescent="0.25">
      <c r="A66" s="14" t="s">
        <v>63</v>
      </c>
      <c r="B66" s="6">
        <v>16</v>
      </c>
      <c r="C66" s="6">
        <v>13</v>
      </c>
      <c r="D66" s="6">
        <v>11</v>
      </c>
      <c r="E66" s="6">
        <v>8</v>
      </c>
      <c r="F66" s="15">
        <v>15</v>
      </c>
    </row>
    <row r="67" spans="1:6" x14ac:dyDescent="0.25">
      <c r="A67" s="13" t="s">
        <v>64</v>
      </c>
      <c r="B67" s="7">
        <v>30</v>
      </c>
      <c r="C67" s="7">
        <v>55</v>
      </c>
      <c r="D67" s="7">
        <v>75</v>
      </c>
      <c r="E67" s="7">
        <v>100</v>
      </c>
      <c r="F67" s="8">
        <v>13</v>
      </c>
    </row>
    <row r="68" spans="1:6" x14ac:dyDescent="0.25">
      <c r="A68" s="14" t="s">
        <v>65</v>
      </c>
      <c r="B68" s="6">
        <v>0</v>
      </c>
      <c r="C68" s="6">
        <v>1</v>
      </c>
      <c r="D68" s="6">
        <v>3</v>
      </c>
      <c r="E68" s="6">
        <v>26</v>
      </c>
      <c r="F68" s="15">
        <v>9</v>
      </c>
    </row>
    <row r="69" spans="1:6" x14ac:dyDescent="0.25">
      <c r="A69" s="13" t="s">
        <v>66</v>
      </c>
      <c r="B69" s="7">
        <v>1</v>
      </c>
      <c r="C69" s="7">
        <v>0</v>
      </c>
      <c r="D69" s="7">
        <v>2</v>
      </c>
      <c r="E69" s="7">
        <v>2</v>
      </c>
      <c r="F69" s="16">
        <v>9</v>
      </c>
    </row>
    <row r="70" spans="1:6" x14ac:dyDescent="0.25">
      <c r="A70" s="14" t="s">
        <v>67</v>
      </c>
      <c r="B70" s="6">
        <v>0</v>
      </c>
      <c r="C70" s="6">
        <v>0</v>
      </c>
      <c r="D70" s="6"/>
      <c r="E70" s="6"/>
      <c r="F70" s="9">
        <v>8</v>
      </c>
    </row>
    <row r="71" spans="1:6" x14ac:dyDescent="0.25">
      <c r="A71" s="13" t="s">
        <v>68</v>
      </c>
      <c r="B71" s="7">
        <v>1</v>
      </c>
      <c r="C71" s="7">
        <v>2</v>
      </c>
      <c r="D71" s="7">
        <v>6</v>
      </c>
      <c r="E71" s="7">
        <v>7</v>
      </c>
      <c r="F71" s="16">
        <v>8</v>
      </c>
    </row>
    <row r="72" spans="1:6" x14ac:dyDescent="0.25">
      <c r="A72" s="14" t="s">
        <v>69</v>
      </c>
      <c r="B72" s="6">
        <v>10</v>
      </c>
      <c r="C72" s="6">
        <v>15</v>
      </c>
      <c r="D72" s="6">
        <v>36</v>
      </c>
      <c r="E72" s="6">
        <v>8</v>
      </c>
      <c r="F72" s="15">
        <v>6</v>
      </c>
    </row>
    <row r="73" spans="1:6" x14ac:dyDescent="0.25">
      <c r="A73" s="13" t="s">
        <v>70</v>
      </c>
      <c r="B73" s="7">
        <v>4</v>
      </c>
      <c r="C73" s="7">
        <v>15</v>
      </c>
      <c r="D73" s="7">
        <v>7</v>
      </c>
      <c r="E73" s="7">
        <v>11</v>
      </c>
      <c r="F73" s="16">
        <v>5</v>
      </c>
    </row>
    <row r="74" spans="1:6" x14ac:dyDescent="0.25">
      <c r="A74" s="14" t="s">
        <v>71</v>
      </c>
      <c r="B74" s="6">
        <v>31</v>
      </c>
      <c r="C74" s="6">
        <v>40</v>
      </c>
      <c r="D74" s="6">
        <v>10</v>
      </c>
      <c r="E74" s="6">
        <v>18</v>
      </c>
      <c r="F74" s="15">
        <v>4</v>
      </c>
    </row>
    <row r="75" spans="1:6" x14ac:dyDescent="0.25">
      <c r="A75" s="13" t="s">
        <v>72</v>
      </c>
      <c r="B75" s="7">
        <v>6</v>
      </c>
      <c r="C75" s="7">
        <v>0</v>
      </c>
      <c r="D75" s="7">
        <v>3</v>
      </c>
      <c r="E75" s="7">
        <v>5</v>
      </c>
      <c r="F75" s="16">
        <v>4</v>
      </c>
    </row>
    <row r="76" spans="1:6" x14ac:dyDescent="0.25">
      <c r="A76" s="14" t="s">
        <v>73</v>
      </c>
      <c r="B76" s="6">
        <v>0</v>
      </c>
      <c r="C76" s="6">
        <v>0</v>
      </c>
      <c r="D76" s="6">
        <v>2</v>
      </c>
      <c r="E76" s="6">
        <v>4</v>
      </c>
      <c r="F76" s="15">
        <v>4</v>
      </c>
    </row>
    <row r="77" spans="1:6" x14ac:dyDescent="0.25">
      <c r="A77" s="13" t="s">
        <v>74</v>
      </c>
      <c r="B77" s="7">
        <v>5</v>
      </c>
      <c r="C77" s="7">
        <v>4</v>
      </c>
      <c r="D77" s="7">
        <v>1</v>
      </c>
      <c r="E77" s="7">
        <v>1</v>
      </c>
      <c r="F77" s="16">
        <v>3</v>
      </c>
    </row>
    <row r="78" spans="1:6" x14ac:dyDescent="0.25">
      <c r="A78" s="14" t="s">
        <v>75</v>
      </c>
      <c r="B78" s="6">
        <v>0</v>
      </c>
      <c r="C78" s="6">
        <v>8</v>
      </c>
      <c r="D78" s="6">
        <v>9</v>
      </c>
      <c r="E78" s="6">
        <v>12</v>
      </c>
      <c r="F78" s="15">
        <v>2</v>
      </c>
    </row>
    <row r="79" spans="1:6" x14ac:dyDescent="0.25">
      <c r="A79" s="13" t="s">
        <v>76</v>
      </c>
      <c r="B79" s="7">
        <v>20</v>
      </c>
      <c r="C79" s="7">
        <v>6</v>
      </c>
      <c r="D79" s="7">
        <v>70</v>
      </c>
      <c r="E79" s="7">
        <v>1</v>
      </c>
      <c r="F79" s="16">
        <v>1</v>
      </c>
    </row>
    <row r="80" spans="1:6" x14ac:dyDescent="0.25">
      <c r="A80" s="14" t="s">
        <v>77</v>
      </c>
      <c r="B80" s="6">
        <v>0</v>
      </c>
      <c r="C80" s="6">
        <v>0</v>
      </c>
      <c r="D80" s="6">
        <v>17</v>
      </c>
      <c r="E80" s="6">
        <v>0</v>
      </c>
      <c r="F80" s="15">
        <v>1</v>
      </c>
    </row>
    <row r="81" spans="1:6" x14ac:dyDescent="0.25">
      <c r="A81" s="13" t="s">
        <v>78</v>
      </c>
      <c r="B81" s="7">
        <v>8</v>
      </c>
      <c r="C81" s="7">
        <v>27</v>
      </c>
      <c r="D81" s="7">
        <v>17</v>
      </c>
      <c r="E81" s="7">
        <v>12</v>
      </c>
      <c r="F81" s="8">
        <v>1</v>
      </c>
    </row>
    <row r="82" spans="1:6" x14ac:dyDescent="0.25">
      <c r="A82" s="14" t="s">
        <v>79</v>
      </c>
      <c r="B82" s="6"/>
      <c r="C82" s="6"/>
      <c r="D82" s="6"/>
      <c r="E82" s="6"/>
      <c r="F82" s="9">
        <v>1</v>
      </c>
    </row>
    <row r="83" spans="1:6" x14ac:dyDescent="0.25">
      <c r="A83" s="13" t="s">
        <v>80</v>
      </c>
      <c r="B83" s="7">
        <v>380</v>
      </c>
      <c r="C83" s="7">
        <v>41</v>
      </c>
      <c r="D83" s="7">
        <v>24</v>
      </c>
      <c r="E83" s="7">
        <v>0</v>
      </c>
      <c r="F83" s="16">
        <v>0</v>
      </c>
    </row>
    <row r="84" spans="1:6" x14ac:dyDescent="0.25">
      <c r="A84" s="14" t="s">
        <v>81</v>
      </c>
      <c r="B84" s="6">
        <v>2</v>
      </c>
      <c r="C84" s="6">
        <v>0</v>
      </c>
      <c r="D84" s="6">
        <v>0</v>
      </c>
      <c r="E84" s="6">
        <v>0</v>
      </c>
      <c r="F84" s="15">
        <v>0</v>
      </c>
    </row>
    <row r="85" spans="1:6" x14ac:dyDescent="0.25">
      <c r="A85" s="13" t="s">
        <v>82</v>
      </c>
      <c r="B85" s="7">
        <v>28</v>
      </c>
      <c r="C85" s="7">
        <v>0</v>
      </c>
      <c r="D85" s="7">
        <v>1</v>
      </c>
      <c r="E85" s="7">
        <v>5</v>
      </c>
      <c r="F85" s="16">
        <v>0</v>
      </c>
    </row>
    <row r="86" spans="1:6" x14ac:dyDescent="0.25">
      <c r="A86" s="14" t="s">
        <v>83</v>
      </c>
      <c r="B86" s="6">
        <v>2</v>
      </c>
      <c r="C86" s="6">
        <v>0</v>
      </c>
      <c r="D86" s="6">
        <v>0</v>
      </c>
      <c r="E86" s="6">
        <v>0</v>
      </c>
      <c r="F86" s="15">
        <v>0</v>
      </c>
    </row>
    <row r="87" spans="1:6" x14ac:dyDescent="0.25">
      <c r="A87" s="13" t="s">
        <v>84</v>
      </c>
      <c r="B87" s="7">
        <v>0</v>
      </c>
      <c r="C87" s="7">
        <v>1</v>
      </c>
      <c r="D87" s="7">
        <v>0</v>
      </c>
      <c r="E87" s="7">
        <v>10</v>
      </c>
      <c r="F87" s="16">
        <v>0</v>
      </c>
    </row>
    <row r="88" spans="1:6" x14ac:dyDescent="0.25">
      <c r="A88" s="14" t="s">
        <v>85</v>
      </c>
      <c r="B88" s="6">
        <v>6</v>
      </c>
      <c r="C88" s="6">
        <v>4</v>
      </c>
      <c r="D88" s="6">
        <v>1</v>
      </c>
      <c r="E88" s="6">
        <v>0</v>
      </c>
      <c r="F88" s="15">
        <v>0</v>
      </c>
    </row>
    <row r="89" spans="1:6" x14ac:dyDescent="0.25">
      <c r="A89" s="13" t="s">
        <v>86</v>
      </c>
      <c r="B89" s="7">
        <v>6</v>
      </c>
      <c r="C89" s="7">
        <v>23</v>
      </c>
      <c r="D89" s="7">
        <v>5</v>
      </c>
      <c r="E89" s="7">
        <v>12</v>
      </c>
      <c r="F89" s="16"/>
    </row>
    <row r="90" spans="1:6" x14ac:dyDescent="0.25">
      <c r="A90" s="14" t="s">
        <v>87</v>
      </c>
      <c r="B90" s="6">
        <v>1</v>
      </c>
      <c r="C90" s="6">
        <v>0</v>
      </c>
      <c r="D90" s="6">
        <v>0</v>
      </c>
      <c r="E90" s="9">
        <v>15</v>
      </c>
      <c r="F90" s="15"/>
    </row>
    <row r="91" spans="1:6" x14ac:dyDescent="0.25">
      <c r="A91" s="13" t="s">
        <v>88</v>
      </c>
      <c r="B91" s="7">
        <v>0</v>
      </c>
      <c r="C91" s="7">
        <v>0</v>
      </c>
      <c r="D91" s="7">
        <v>0</v>
      </c>
      <c r="E91" s="7">
        <v>1</v>
      </c>
      <c r="F91" s="16"/>
    </row>
    <row r="92" spans="1:6" x14ac:dyDescent="0.25">
      <c r="A92" s="14" t="s">
        <v>89</v>
      </c>
      <c r="B92" s="6">
        <v>0</v>
      </c>
      <c r="C92" s="6">
        <v>1</v>
      </c>
      <c r="D92" s="6">
        <v>0</v>
      </c>
      <c r="E92" s="6">
        <v>0</v>
      </c>
      <c r="F92" s="15"/>
    </row>
    <row r="93" spans="1:6" x14ac:dyDescent="0.25">
      <c r="A93" s="13" t="s">
        <v>90</v>
      </c>
      <c r="B93" s="8">
        <v>3</v>
      </c>
      <c r="C93" s="7"/>
      <c r="D93" s="7"/>
      <c r="E93" s="7"/>
      <c r="F93" s="16"/>
    </row>
    <row r="94" spans="1:6" x14ac:dyDescent="0.25">
      <c r="A94" s="14" t="s">
        <v>91</v>
      </c>
      <c r="B94" s="6">
        <v>0</v>
      </c>
      <c r="C94" s="6">
        <v>0</v>
      </c>
      <c r="D94" s="6">
        <v>0</v>
      </c>
      <c r="E94" s="6">
        <v>1</v>
      </c>
      <c r="F94" s="15"/>
    </row>
    <row r="95" spans="1:6" x14ac:dyDescent="0.25">
      <c r="A95" s="13" t="s">
        <v>92</v>
      </c>
      <c r="B95" s="7">
        <v>0</v>
      </c>
      <c r="C95" s="7">
        <v>2</v>
      </c>
      <c r="D95" s="7">
        <v>0</v>
      </c>
      <c r="E95" s="7">
        <v>1</v>
      </c>
      <c r="F95" s="16"/>
    </row>
    <row r="96" spans="1:6" x14ac:dyDescent="0.25">
      <c r="A96" s="14" t="s">
        <v>93</v>
      </c>
      <c r="B96" s="6"/>
      <c r="C96" s="9">
        <v>2</v>
      </c>
      <c r="D96" s="6"/>
      <c r="E96" s="6"/>
      <c r="F96" s="15"/>
    </row>
    <row r="97" spans="1:6" x14ac:dyDescent="0.25">
      <c r="A97" s="13" t="s">
        <v>94</v>
      </c>
      <c r="B97" s="7">
        <v>0</v>
      </c>
      <c r="C97" s="7">
        <v>0</v>
      </c>
      <c r="D97" s="7">
        <v>1</v>
      </c>
      <c r="E97" s="7">
        <v>1</v>
      </c>
      <c r="F97" s="16"/>
    </row>
    <row r="98" spans="1:6" x14ac:dyDescent="0.25">
      <c r="A98" s="14" t="s">
        <v>95</v>
      </c>
      <c r="B98" s="6">
        <v>0</v>
      </c>
      <c r="C98" s="6">
        <v>0</v>
      </c>
      <c r="D98" s="6">
        <v>0</v>
      </c>
      <c r="E98" s="6">
        <v>27</v>
      </c>
      <c r="F98" s="15"/>
    </row>
    <row r="99" spans="1:6" x14ac:dyDescent="0.25">
      <c r="A99" s="13" t="s">
        <v>96</v>
      </c>
      <c r="B99" s="7">
        <v>2</v>
      </c>
      <c r="C99" s="7">
        <v>0</v>
      </c>
      <c r="D99" s="7"/>
      <c r="E99" s="7"/>
      <c r="F99" s="16"/>
    </row>
    <row r="100" spans="1:6" x14ac:dyDescent="0.25">
      <c r="A100" s="14" t="s">
        <v>97</v>
      </c>
      <c r="B100" s="9">
        <v>257</v>
      </c>
      <c r="C100" s="6"/>
      <c r="D100" s="6"/>
      <c r="E100" s="6"/>
      <c r="F100" s="15"/>
    </row>
    <row r="101" spans="1:6" x14ac:dyDescent="0.25">
      <c r="A101" s="17" t="s">
        <v>98</v>
      </c>
      <c r="B101" s="18">
        <v>0</v>
      </c>
      <c r="C101" s="18">
        <v>0</v>
      </c>
      <c r="D101" s="18">
        <v>0</v>
      </c>
      <c r="E101" s="18">
        <v>1</v>
      </c>
      <c r="F101" s="19"/>
    </row>
  </sheetData>
  <mergeCells count="2">
    <mergeCell ref="A1:F1"/>
    <mergeCell ref="A2:F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2F70-A819-41ED-BFE2-3FBBDDFE5CFF}">
  <dimension ref="A1:Z88"/>
  <sheetViews>
    <sheetView tabSelected="1" topLeftCell="D1" workbookViewId="0">
      <selection activeCell="D2" sqref="D2"/>
    </sheetView>
  </sheetViews>
  <sheetFormatPr baseColWidth="10" defaultRowHeight="15" x14ac:dyDescent="0.25"/>
  <cols>
    <col min="7" max="13" width="12" bestFit="1" customWidth="1"/>
  </cols>
  <sheetData>
    <row r="1" spans="1:26" ht="33.75" x14ac:dyDescent="0.25">
      <c r="A1" s="10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2" t="s">
        <v>11</v>
      </c>
      <c r="G1" s="38" t="s">
        <v>246</v>
      </c>
      <c r="H1" s="38" t="s">
        <v>247</v>
      </c>
      <c r="I1" s="38" t="s">
        <v>248</v>
      </c>
      <c r="J1" s="38" t="s">
        <v>249</v>
      </c>
      <c r="K1" s="38" t="s">
        <v>250</v>
      </c>
      <c r="L1" s="41" t="s">
        <v>256</v>
      </c>
      <c r="M1" s="41" t="s">
        <v>257</v>
      </c>
      <c r="N1" s="41" t="s">
        <v>258</v>
      </c>
      <c r="O1" s="41" t="s">
        <v>259</v>
      </c>
      <c r="P1" s="41" t="s">
        <v>260</v>
      </c>
      <c r="Q1" s="39" t="s">
        <v>251</v>
      </c>
      <c r="R1" s="39" t="s">
        <v>252</v>
      </c>
      <c r="S1" s="39" t="s">
        <v>253</v>
      </c>
      <c r="T1" s="39" t="s">
        <v>254</v>
      </c>
      <c r="U1" s="39" t="s">
        <v>255</v>
      </c>
      <c r="V1" s="40" t="s">
        <v>261</v>
      </c>
      <c r="W1" s="40" t="s">
        <v>262</v>
      </c>
      <c r="X1" s="40" t="s">
        <v>263</v>
      </c>
      <c r="Y1" s="40" t="s">
        <v>264</v>
      </c>
      <c r="Z1" s="40" t="s">
        <v>265</v>
      </c>
    </row>
    <row r="2" spans="1:26" x14ac:dyDescent="0.25">
      <c r="A2" s="13" t="s">
        <v>12</v>
      </c>
      <c r="B2" s="5">
        <v>305933</v>
      </c>
      <c r="C2" s="5">
        <v>244317</v>
      </c>
      <c r="D2" s="5">
        <v>210556</v>
      </c>
      <c r="E2" s="5">
        <v>219130</v>
      </c>
      <c r="F2" s="5">
        <v>303466</v>
      </c>
      <c r="G2">
        <f>VLOOKUP(A2,expototal,2,FALSE)</f>
        <v>17507541851</v>
      </c>
      <c r="H2">
        <f>VLOOKUP(A2,expototal,3,FALSE)</f>
        <v>22166126034</v>
      </c>
      <c r="I2">
        <f>VLOOKUP(A2,expototal,4,FALSE)</f>
        <v>24722312663</v>
      </c>
      <c r="J2">
        <f>VLOOKUP(A2,expototal,5,FALSE)</f>
        <v>23669609969</v>
      </c>
      <c r="K2">
        <f>VLOOKUP(A2,expototal,6,FALSE)</f>
        <v>23879911094</v>
      </c>
      <c r="L2">
        <f>B2/G2</f>
        <v>1.7474354915366125E-5</v>
      </c>
      <c r="M2">
        <f>C2/H2</f>
        <v>1.1022088371474971E-5</v>
      </c>
      <c r="N2">
        <f t="shared" ref="M2:P2" si="0">D2/I2</f>
        <v>8.5168407531356526E-6</v>
      </c>
      <c r="O2">
        <f t="shared" si="0"/>
        <v>9.2578627314515841E-6</v>
      </c>
      <c r="P2">
        <f t="shared" si="0"/>
        <v>1.2708003761213669E-5</v>
      </c>
    </row>
    <row r="3" spans="1:26" x14ac:dyDescent="0.25">
      <c r="A3" s="14" t="s">
        <v>13</v>
      </c>
      <c r="B3" s="6">
        <v>124706</v>
      </c>
      <c r="C3" s="6">
        <v>104832</v>
      </c>
      <c r="D3" s="6">
        <v>90654</v>
      </c>
      <c r="E3" s="6">
        <v>98016</v>
      </c>
      <c r="F3" s="15">
        <v>133797</v>
      </c>
      <c r="G3">
        <f>VLOOKUP(A3,expototal,2,FALSE)</f>
        <v>38757234</v>
      </c>
      <c r="H3">
        <f>VLOOKUP(A3,expototal,3,FALSE)</f>
        <v>56260115</v>
      </c>
      <c r="I3">
        <f>VLOOKUP(A3,expototal,4,FALSE)</f>
        <v>63648101</v>
      </c>
      <c r="J3">
        <f>VLOOKUP(A3,expototal,5,FALSE)</f>
        <v>64605821</v>
      </c>
      <c r="K3">
        <f>VLOOKUP(A3,expototal,6,FALSE)</f>
        <v>74664216</v>
      </c>
      <c r="L3">
        <f>B3/G3</f>
        <v>3.217618677328728E-3</v>
      </c>
      <c r="M3">
        <f t="shared" ref="M3:M66" si="1">C3/H3</f>
        <v>1.8633449291740694E-3</v>
      </c>
      <c r="N3">
        <f t="shared" ref="N3:N66" si="2">D3/I3</f>
        <v>1.4243001531184724E-3</v>
      </c>
      <c r="O3">
        <f t="shared" ref="O3:O66" si="3">E3/J3</f>
        <v>1.5171388349046753E-3</v>
      </c>
      <c r="P3">
        <f t="shared" ref="P3:P66" si="4">F3/K3</f>
        <v>1.791982922582352E-3</v>
      </c>
      <c r="Q3">
        <f>L3/$L$2</f>
        <v>184.13376018243201</v>
      </c>
      <c r="R3">
        <f>M3/$M$2</f>
        <v>169.05552435928414</v>
      </c>
      <c r="S3">
        <f>N3/$N$2</f>
        <v>167.23339022090869</v>
      </c>
      <c r="T3">
        <f>O3/$O$2</f>
        <v>163.87571072430407</v>
      </c>
      <c r="U3">
        <f>P3/$P$2</f>
        <v>141.0121492135292</v>
      </c>
      <c r="V3">
        <f>(Q3-1)/(Q3+1)</f>
        <v>0.98919700006077127</v>
      </c>
      <c r="W3">
        <f t="shared" ref="W3:Z3" si="5">(R3-1)/(R3+1)</f>
        <v>0.98823913537925112</v>
      </c>
      <c r="X3">
        <f t="shared" si="5"/>
        <v>0.98811175357416392</v>
      </c>
      <c r="Y3">
        <f t="shared" si="5"/>
        <v>0.98786965047056396</v>
      </c>
      <c r="Z3">
        <f t="shared" si="5"/>
        <v>0.98591669789467939</v>
      </c>
    </row>
    <row r="4" spans="1:26" ht="23.25" x14ac:dyDescent="0.25">
      <c r="A4" s="13" t="s">
        <v>14</v>
      </c>
      <c r="B4" s="7">
        <v>92414</v>
      </c>
      <c r="C4" s="7">
        <v>61709</v>
      </c>
      <c r="D4" s="7">
        <v>46462</v>
      </c>
      <c r="E4" s="7">
        <v>57058</v>
      </c>
      <c r="F4" s="16">
        <v>84551</v>
      </c>
      <c r="G4">
        <f>VLOOKUP(A4,expototal,2,FALSE)</f>
        <v>7015198</v>
      </c>
      <c r="H4">
        <f>VLOOKUP(A4,expototal,3,FALSE)</f>
        <v>11030013</v>
      </c>
      <c r="I4">
        <f>VLOOKUP(A4,expototal,4,FALSE)</f>
        <v>13652813</v>
      </c>
      <c r="J4">
        <f>VLOOKUP(A4,expototal,5,FALSE)</f>
        <v>10910868</v>
      </c>
      <c r="K4">
        <f>VLOOKUP(A4,expototal,6,FALSE)</f>
        <v>9059167</v>
      </c>
      <c r="L4">
        <f t="shared" ref="L3:L66" si="6">B4/G4</f>
        <v>1.3173398669574258E-2</v>
      </c>
      <c r="M4">
        <f t="shared" si="1"/>
        <v>5.5946443580800857E-3</v>
      </c>
      <c r="N4">
        <f t="shared" si="2"/>
        <v>3.4031082092752609E-3</v>
      </c>
      <c r="O4">
        <f t="shared" si="3"/>
        <v>5.229464786852888E-3</v>
      </c>
      <c r="P4">
        <f t="shared" si="4"/>
        <v>9.3331980743924913E-3</v>
      </c>
      <c r="Q4">
        <f t="shared" ref="Q4:Q67" si="7">L4/$L$2</f>
        <v>753.87038510876255</v>
      </c>
      <c r="R4">
        <f t="shared" ref="R4:R67" si="8">M4/$M$2</f>
        <v>507.58478516276068</v>
      </c>
      <c r="S4">
        <f t="shared" ref="S4:S67" si="9">N4/$N$2</f>
        <v>399.57400964933339</v>
      </c>
      <c r="T4">
        <f t="shared" ref="T4:T67" si="10">O4/$O$2</f>
        <v>564.86739310650114</v>
      </c>
      <c r="U4">
        <f t="shared" ref="U4:U67" si="11">P4/$P$2</f>
        <v>734.43463267445009</v>
      </c>
      <c r="V4">
        <f t="shared" ref="V4:V67" si="12">(Q4-1)/(Q4+1)</f>
        <v>0.99735053853025135</v>
      </c>
      <c r="W4">
        <f t="shared" ref="W4:W67" si="13">(R4-1)/(R4+1)</f>
        <v>0.99606751900892998</v>
      </c>
      <c r="X4">
        <f t="shared" ref="X4:X67" si="14">(S4-1)/(S4+1)</f>
        <v>0.99500716483890006</v>
      </c>
      <c r="Y4">
        <f t="shared" ref="Y4:Y67" si="15">(T4-1)/(T4+1)</f>
        <v>0.99646560302932385</v>
      </c>
      <c r="Z4">
        <f t="shared" ref="Z4:Z67" si="16">(U4-1)/(U4+1)</f>
        <v>0.99728051969387554</v>
      </c>
    </row>
    <row r="5" spans="1:26" ht="23.25" x14ac:dyDescent="0.25">
      <c r="A5" s="14" t="s">
        <v>15</v>
      </c>
      <c r="B5" s="6">
        <v>13829</v>
      </c>
      <c r="C5" s="6">
        <v>12125</v>
      </c>
      <c r="D5" s="6">
        <v>10486</v>
      </c>
      <c r="E5" s="6">
        <v>10343</v>
      </c>
      <c r="F5" s="15">
        <v>12213</v>
      </c>
      <c r="G5">
        <f>VLOOKUP(A5,expototal,2,FALSE)</f>
        <v>1424934919</v>
      </c>
      <c r="H5">
        <f>VLOOKUP(A5,expototal,3,FALSE)</f>
        <v>1754300368</v>
      </c>
      <c r="I5">
        <f>VLOOKUP(A5,expototal,4,FALSE)</f>
        <v>2062937261</v>
      </c>
      <c r="J5">
        <f>VLOOKUP(A5,expototal,5,FALSE)</f>
        <v>2019159665</v>
      </c>
      <c r="K5">
        <f>VLOOKUP(A5,expototal,6,FALSE)</f>
        <v>2064516772</v>
      </c>
      <c r="L5">
        <f t="shared" si="6"/>
        <v>9.7050046395838232E-6</v>
      </c>
      <c r="M5">
        <f t="shared" si="1"/>
        <v>6.9115872179991471E-6</v>
      </c>
      <c r="N5">
        <f t="shared" si="2"/>
        <v>5.0830435797727347E-6</v>
      </c>
      <c r="O5">
        <f t="shared" si="3"/>
        <v>5.1224279977878813E-6</v>
      </c>
      <c r="P5">
        <f t="shared" si="4"/>
        <v>5.9156700326385143E-6</v>
      </c>
      <c r="Q5">
        <f t="shared" si="7"/>
        <v>0.55538557426515922</v>
      </c>
      <c r="R5">
        <f t="shared" si="8"/>
        <v>0.62706693913707401</v>
      </c>
      <c r="S5">
        <f t="shared" si="9"/>
        <v>0.59682266313378074</v>
      </c>
      <c r="T5">
        <f t="shared" si="10"/>
        <v>0.5533056760914743</v>
      </c>
      <c r="U5">
        <f t="shared" si="11"/>
        <v>0.46550741908763349</v>
      </c>
      <c r="V5">
        <f t="shared" si="12"/>
        <v>-0.28585479580836315</v>
      </c>
      <c r="W5">
        <f t="shared" si="13"/>
        <v>-0.22920572712313458</v>
      </c>
      <c r="X5">
        <f t="shared" si="14"/>
        <v>-0.25248723366374298</v>
      </c>
      <c r="Y5">
        <f t="shared" si="15"/>
        <v>-0.2875765734871491</v>
      </c>
      <c r="Z5">
        <f t="shared" si="16"/>
        <v>-0.36471502904101316</v>
      </c>
    </row>
    <row r="6" spans="1:26" x14ac:dyDescent="0.25">
      <c r="A6" s="13" t="s">
        <v>16</v>
      </c>
      <c r="B6" s="7">
        <v>14023</v>
      </c>
      <c r="C6" s="7">
        <v>12597</v>
      </c>
      <c r="D6" s="7">
        <v>17157</v>
      </c>
      <c r="E6" s="7">
        <v>8856</v>
      </c>
      <c r="F6" s="16">
        <v>11518</v>
      </c>
      <c r="G6">
        <f>VLOOKUP(A6,expototal,2,FALSE)</f>
        <v>551352792</v>
      </c>
      <c r="H6">
        <f>VLOOKUP(A6,expototal,3,FALSE)</f>
        <v>696873257</v>
      </c>
      <c r="I6">
        <f>VLOOKUP(A6,expototal,4,FALSE)</f>
        <v>768259270</v>
      </c>
      <c r="J6">
        <f>VLOOKUP(A6,expototal,5,FALSE)</f>
        <v>741804035</v>
      </c>
      <c r="K6">
        <f>VLOOKUP(A6,expototal,6,FALSE)</f>
        <v>725520286</v>
      </c>
      <c r="L6">
        <f t="shared" si="6"/>
        <v>2.5433806091980395E-5</v>
      </c>
      <c r="M6">
        <f t="shared" si="1"/>
        <v>1.8076457768273924E-5</v>
      </c>
      <c r="N6">
        <f t="shared" si="2"/>
        <v>2.2332304561713911E-5</v>
      </c>
      <c r="O6">
        <f t="shared" si="3"/>
        <v>1.193846296616599E-5</v>
      </c>
      <c r="P6">
        <f t="shared" si="4"/>
        <v>1.5875503720925593E-5</v>
      </c>
      <c r="Q6">
        <f t="shared" si="7"/>
        <v>1.4554932765852835</v>
      </c>
      <c r="R6">
        <f t="shared" si="8"/>
        <v>1.6400211247675691</v>
      </c>
      <c r="S6">
        <f t="shared" si="9"/>
        <v>2.6221348043277439</v>
      </c>
      <c r="T6">
        <f t="shared" si="10"/>
        <v>1.2895484965020758</v>
      </c>
      <c r="U6">
        <f t="shared" si="11"/>
        <v>1.2492523624662049</v>
      </c>
      <c r="V6">
        <f t="shared" si="12"/>
        <v>0.18549970424627366</v>
      </c>
      <c r="W6">
        <f t="shared" si="13"/>
        <v>0.24243030434990076</v>
      </c>
      <c r="X6">
        <f t="shared" si="14"/>
        <v>0.44783943501760604</v>
      </c>
      <c r="Y6">
        <f t="shared" si="15"/>
        <v>0.12646532578123676</v>
      </c>
      <c r="Z6">
        <f t="shared" si="16"/>
        <v>0.11081564995797571</v>
      </c>
    </row>
    <row r="7" spans="1:26" x14ac:dyDescent="0.25">
      <c r="A7" s="14" t="s">
        <v>17</v>
      </c>
      <c r="B7" s="6">
        <v>8745</v>
      </c>
      <c r="C7" s="6">
        <v>8306</v>
      </c>
      <c r="D7" s="6">
        <v>6450</v>
      </c>
      <c r="E7" s="6">
        <v>7075</v>
      </c>
      <c r="F7" s="15">
        <v>9309</v>
      </c>
      <c r="G7">
        <f>VLOOKUP(A7,expototal,2,FALSE)</f>
        <v>1379900278</v>
      </c>
      <c r="H7">
        <f>VLOOKUP(A7,expototal,3,FALSE)</f>
        <v>1631098969</v>
      </c>
      <c r="I7">
        <f>VLOOKUP(A7,expototal,4,FALSE)</f>
        <v>1645377162</v>
      </c>
      <c r="J7">
        <f>VLOOKUP(A7,expototal,5,FALSE)</f>
        <v>1681974764</v>
      </c>
      <c r="K7">
        <f>VLOOKUP(A7,expototal,6,FALSE)</f>
        <v>1684013664</v>
      </c>
      <c r="L7">
        <f t="shared" si="6"/>
        <v>6.3374144780047653E-6</v>
      </c>
      <c r="M7">
        <f t="shared" si="1"/>
        <v>5.0922722396742561E-6</v>
      </c>
      <c r="N7">
        <f t="shared" si="2"/>
        <v>3.9200738584215257E-6</v>
      </c>
      <c r="O7">
        <f t="shared" si="3"/>
        <v>4.2063651318849393E-6</v>
      </c>
      <c r="P7">
        <f t="shared" si="4"/>
        <v>5.5278648855428766E-6</v>
      </c>
      <c r="Q7">
        <f t="shared" si="7"/>
        <v>0.3626694380822002</v>
      </c>
      <c r="R7">
        <f t="shared" si="8"/>
        <v>0.46200611608712866</v>
      </c>
      <c r="S7">
        <f t="shared" si="9"/>
        <v>0.46027323652591118</v>
      </c>
      <c r="T7">
        <f t="shared" si="10"/>
        <v>0.45435596248308202</v>
      </c>
      <c r="U7">
        <f t="shared" si="11"/>
        <v>0.43499081283045998</v>
      </c>
      <c r="V7">
        <f t="shared" si="12"/>
        <v>-0.46770738677075557</v>
      </c>
      <c r="W7">
        <f t="shared" si="13"/>
        <v>-0.36798333330693767</v>
      </c>
      <c r="X7">
        <f t="shared" si="14"/>
        <v>-0.36960669412673425</v>
      </c>
      <c r="Y7">
        <f t="shared" si="15"/>
        <v>-0.37517915255445267</v>
      </c>
      <c r="Z7">
        <f t="shared" si="16"/>
        <v>-0.39373714599265114</v>
      </c>
    </row>
    <row r="8" spans="1:26" x14ac:dyDescent="0.25">
      <c r="A8" s="13" t="s">
        <v>18</v>
      </c>
      <c r="B8" s="7">
        <v>9225</v>
      </c>
      <c r="C8" s="7">
        <v>7969</v>
      </c>
      <c r="D8" s="7">
        <v>5488</v>
      </c>
      <c r="E8" s="7">
        <v>5609</v>
      </c>
      <c r="F8" s="16">
        <v>8856</v>
      </c>
      <c r="G8">
        <f>VLOOKUP(A8,expototal,2,FALSE)</f>
        <v>312080513</v>
      </c>
      <c r="H8">
        <f>VLOOKUP(A8,expototal,3,FALSE)</f>
        <v>391558519</v>
      </c>
      <c r="I8">
        <f>VLOOKUP(A8,expototal,4,FALSE)</f>
        <v>424286055</v>
      </c>
      <c r="J8">
        <f>VLOOKUP(A8,expototal,5,FALSE)</f>
        <v>420169591</v>
      </c>
      <c r="K8">
        <f>VLOOKUP(A8,expototal,6,FALSE)</f>
        <v>403702939</v>
      </c>
      <c r="L8">
        <f t="shared" si="6"/>
        <v>2.9559679684325565E-5</v>
      </c>
      <c r="M8">
        <f t="shared" si="1"/>
        <v>2.035200260832532E-5</v>
      </c>
      <c r="N8">
        <f t="shared" si="2"/>
        <v>1.2934669747748367E-5</v>
      </c>
      <c r="O8">
        <f t="shared" si="3"/>
        <v>1.3349371587435989E-5</v>
      </c>
      <c r="P8">
        <f t="shared" si="4"/>
        <v>2.1936922287305915E-5</v>
      </c>
      <c r="Q8">
        <f t="shared" si="7"/>
        <v>1.6916034856504016</v>
      </c>
      <c r="R8">
        <f t="shared" si="8"/>
        <v>1.8464742726066372</v>
      </c>
      <c r="S8">
        <f t="shared" si="9"/>
        <v>1.5187168719793427</v>
      </c>
      <c r="T8">
        <f t="shared" si="10"/>
        <v>1.4419496134981986</v>
      </c>
      <c r="U8">
        <f t="shared" si="11"/>
        <v>1.7262288160678705</v>
      </c>
      <c r="V8">
        <f t="shared" si="12"/>
        <v>0.25694850275588865</v>
      </c>
      <c r="W8">
        <f t="shared" si="13"/>
        <v>0.29737640025514256</v>
      </c>
      <c r="X8">
        <f t="shared" si="14"/>
        <v>0.20594489112692815</v>
      </c>
      <c r="Y8">
        <f t="shared" si="15"/>
        <v>0.18098228196653354</v>
      </c>
      <c r="Z8">
        <f t="shared" si="16"/>
        <v>0.266385863060216</v>
      </c>
    </row>
    <row r="9" spans="1:26" x14ac:dyDescent="0.25">
      <c r="A9" s="14" t="s">
        <v>19</v>
      </c>
      <c r="B9" s="6">
        <v>7611</v>
      </c>
      <c r="C9" s="6">
        <v>7938</v>
      </c>
      <c r="D9" s="6">
        <v>6340</v>
      </c>
      <c r="E9" s="6">
        <v>5038</v>
      </c>
      <c r="F9" s="15">
        <v>7741</v>
      </c>
      <c r="G9">
        <f>VLOOKUP(A9,expototal,2,FALSE)</f>
        <v>389926388</v>
      </c>
      <c r="H9">
        <f>VLOOKUP(A9,expototal,3,FALSE)</f>
        <v>503963502</v>
      </c>
      <c r="I9">
        <f>VLOOKUP(A9,expototal,4,FALSE)</f>
        <v>598582866</v>
      </c>
      <c r="J9">
        <f>VLOOKUP(A9,expototal,5,FALSE)</f>
        <v>568413103</v>
      </c>
      <c r="K9">
        <f>VLOOKUP(A9,expototal,6,FALSE)</f>
        <v>569244052</v>
      </c>
      <c r="L9">
        <f t="shared" si="6"/>
        <v>1.9519068814598924E-5</v>
      </c>
      <c r="M9">
        <f t="shared" si="1"/>
        <v>1.5751140645101717E-5</v>
      </c>
      <c r="N9">
        <f t="shared" si="2"/>
        <v>1.0591683056962075E-5</v>
      </c>
      <c r="O9">
        <f t="shared" si="3"/>
        <v>8.8632721051119052E-6</v>
      </c>
      <c r="P9">
        <f t="shared" si="4"/>
        <v>1.359873673304539E-5</v>
      </c>
      <c r="Q9">
        <f t="shared" si="7"/>
        <v>1.1170122679284014</v>
      </c>
      <c r="R9">
        <f t="shared" si="8"/>
        <v>1.4290522915662223</v>
      </c>
      <c r="S9">
        <f t="shared" si="9"/>
        <v>1.2436164258516311</v>
      </c>
      <c r="T9">
        <f t="shared" si="10"/>
        <v>0.95737778385942762</v>
      </c>
      <c r="U9">
        <f t="shared" si="11"/>
        <v>1.070092281098495</v>
      </c>
      <c r="V9">
        <f t="shared" si="12"/>
        <v>5.5272361762411286E-2</v>
      </c>
      <c r="W9">
        <f t="shared" si="13"/>
        <v>0.17663361676317588</v>
      </c>
      <c r="X9">
        <f t="shared" si="14"/>
        <v>0.10858202990698791</v>
      </c>
      <c r="Y9">
        <f t="shared" si="15"/>
        <v>-2.1775160876983449E-2</v>
      </c>
      <c r="Z9">
        <f t="shared" si="16"/>
        <v>3.3859495897110674E-2</v>
      </c>
    </row>
    <row r="10" spans="1:26" x14ac:dyDescent="0.25">
      <c r="A10" s="13" t="s">
        <v>20</v>
      </c>
      <c r="B10" s="7">
        <v>4324</v>
      </c>
      <c r="C10" s="7">
        <v>4831</v>
      </c>
      <c r="D10" s="7">
        <v>4741</v>
      </c>
      <c r="E10" s="7">
        <v>4957</v>
      </c>
      <c r="F10" s="16">
        <v>7325</v>
      </c>
      <c r="G10">
        <f>VLOOKUP(A10,expototal,2,FALSE)</f>
        <v>498803832</v>
      </c>
      <c r="H10">
        <f>VLOOKUP(A10,expototal,3,FALSE)</f>
        <v>615910260</v>
      </c>
      <c r="I10">
        <f>VLOOKUP(A10,expototal,4,FALSE)</f>
        <v>659387209</v>
      </c>
      <c r="J10">
        <f>VLOOKUP(A10,expototal,5,FALSE)</f>
        <v>677095229</v>
      </c>
      <c r="K10">
        <f>VLOOKUP(A10,expototal,6,FALSE)</f>
        <v>674873608</v>
      </c>
      <c r="L10">
        <f t="shared" si="6"/>
        <v>8.6687385352725195E-6</v>
      </c>
      <c r="M10">
        <f t="shared" si="1"/>
        <v>7.8436751483893125E-6</v>
      </c>
      <c r="N10">
        <f t="shared" si="2"/>
        <v>7.1900090497509183E-6</v>
      </c>
      <c r="O10">
        <f t="shared" si="3"/>
        <v>7.3209790701390392E-6</v>
      </c>
      <c r="P10">
        <f t="shared" si="4"/>
        <v>1.0853884213531135E-5</v>
      </c>
      <c r="Q10">
        <f t="shared" si="7"/>
        <v>0.4960834650124703</v>
      </c>
      <c r="R10">
        <f t="shared" si="8"/>
        <v>0.71163239524450261</v>
      </c>
      <c r="S10">
        <f t="shared" si="9"/>
        <v>0.84421081221975025</v>
      </c>
      <c r="T10">
        <f t="shared" si="10"/>
        <v>0.79078500972666166</v>
      </c>
      <c r="U10">
        <f t="shared" si="11"/>
        <v>0.85409828463054704</v>
      </c>
      <c r="V10">
        <f t="shared" si="12"/>
        <v>-0.33682381148656659</v>
      </c>
      <c r="W10">
        <f t="shared" si="13"/>
        <v>-0.16847519686860377</v>
      </c>
      <c r="X10">
        <f t="shared" si="14"/>
        <v>-8.4474717720983847E-2</v>
      </c>
      <c r="Y10">
        <f t="shared" si="15"/>
        <v>-0.11682864728986762</v>
      </c>
      <c r="Z10">
        <f t="shared" si="16"/>
        <v>-7.8691467749524263E-2</v>
      </c>
    </row>
    <row r="11" spans="1:26" x14ac:dyDescent="0.25">
      <c r="A11" s="14" t="s">
        <v>21</v>
      </c>
      <c r="B11" s="6">
        <v>1009</v>
      </c>
      <c r="C11" s="6">
        <v>1372</v>
      </c>
      <c r="D11" s="6">
        <v>1637</v>
      </c>
      <c r="E11" s="6">
        <v>2327</v>
      </c>
      <c r="F11" s="15">
        <v>5509</v>
      </c>
      <c r="G11">
        <f>VLOOKUP(A11,expototal,2,FALSE)</f>
        <v>275488745</v>
      </c>
      <c r="H11">
        <f>VLOOKUP(A11,expototal,3,FALSE)</f>
        <v>394813673</v>
      </c>
      <c r="I11">
        <f>VLOOKUP(A11,expototal,4,FALSE)</f>
        <v>452684214</v>
      </c>
      <c r="J11">
        <f>VLOOKUP(A11,expototal,5,FALSE)</f>
        <v>431245536</v>
      </c>
      <c r="K11">
        <f>VLOOKUP(A11,expototal,6,FALSE)</f>
        <v>441700612</v>
      </c>
      <c r="L11">
        <f t="shared" si="6"/>
        <v>3.662581569348686E-6</v>
      </c>
      <c r="M11">
        <f t="shared" si="1"/>
        <v>3.475056954271186E-6</v>
      </c>
      <c r="N11">
        <f t="shared" si="2"/>
        <v>3.6162073899930604E-6</v>
      </c>
      <c r="O11">
        <f t="shared" si="3"/>
        <v>5.3959978846018712E-6</v>
      </c>
      <c r="P11">
        <f t="shared" si="4"/>
        <v>1.2472248963060075E-5</v>
      </c>
      <c r="Q11">
        <f t="shared" si="7"/>
        <v>0.20959752660900713</v>
      </c>
      <c r="R11">
        <f t="shared" si="8"/>
        <v>0.31528117332687977</v>
      </c>
      <c r="S11">
        <f t="shared" si="9"/>
        <v>0.42459492842597513</v>
      </c>
      <c r="T11">
        <f t="shared" si="10"/>
        <v>0.58285568074693273</v>
      </c>
      <c r="U11">
        <f t="shared" si="11"/>
        <v>0.98144832165747808</v>
      </c>
      <c r="V11">
        <f t="shared" si="12"/>
        <v>-0.65344253439969568</v>
      </c>
      <c r="W11">
        <f t="shared" si="13"/>
        <v>-0.52058741549625354</v>
      </c>
      <c r="X11">
        <f t="shared" si="14"/>
        <v>-0.40390784783277717</v>
      </c>
      <c r="Y11">
        <f t="shared" si="15"/>
        <v>-0.26353907328823645</v>
      </c>
      <c r="Z11">
        <f t="shared" si="16"/>
        <v>-9.3626859402537784E-3</v>
      </c>
    </row>
    <row r="12" spans="1:26" x14ac:dyDescent="0.25">
      <c r="A12" s="13" t="s">
        <v>22</v>
      </c>
      <c r="B12" s="7">
        <v>4687</v>
      </c>
      <c r="C12" s="7">
        <v>3563</v>
      </c>
      <c r="D12" s="7">
        <v>3195</v>
      </c>
      <c r="E12" s="7">
        <v>2208</v>
      </c>
      <c r="F12" s="16">
        <v>4446</v>
      </c>
      <c r="G12">
        <f>VLOOKUP(A12,expototal,2,FALSE)</f>
        <v>419478288</v>
      </c>
      <c r="H12">
        <f>VLOOKUP(A12,expototal,3,FALSE)</f>
        <v>549499377</v>
      </c>
      <c r="I12">
        <f>VLOOKUP(A12,expototal,4,FALSE)</f>
        <v>636424483</v>
      </c>
      <c r="J12">
        <f>VLOOKUP(A12,expototal,5,FALSE)</f>
        <v>568505277</v>
      </c>
      <c r="K12">
        <f>VLOOKUP(A12,expototal,6,FALSE)</f>
        <v>549570742</v>
      </c>
      <c r="L12">
        <f t="shared" si="6"/>
        <v>1.1173403091604111E-5</v>
      </c>
      <c r="M12">
        <f t="shared" si="1"/>
        <v>6.4840837845026344E-6</v>
      </c>
      <c r="N12">
        <f t="shared" si="2"/>
        <v>5.0202342702771227E-6</v>
      </c>
      <c r="O12">
        <f t="shared" si="3"/>
        <v>3.883868961870692E-6</v>
      </c>
      <c r="P12">
        <f t="shared" si="4"/>
        <v>8.0899503198079639E-6</v>
      </c>
      <c r="Q12">
        <f t="shared" si="7"/>
        <v>0.63941719998938251</v>
      </c>
      <c r="R12">
        <f t="shared" si="8"/>
        <v>0.58828087436527576</v>
      </c>
      <c r="S12">
        <f t="shared" si="9"/>
        <v>0.58944794387858179</v>
      </c>
      <c r="T12">
        <f t="shared" si="10"/>
        <v>0.41952112215663862</v>
      </c>
      <c r="U12">
        <f t="shared" si="11"/>
        <v>0.63660276403910498</v>
      </c>
      <c r="V12">
        <f t="shared" si="12"/>
        <v>-0.21994572218282982</v>
      </c>
      <c r="W12">
        <f t="shared" si="13"/>
        <v>-0.25922312122486485</v>
      </c>
      <c r="X12">
        <f t="shared" si="14"/>
        <v>-0.25829852289442473</v>
      </c>
      <c r="Y12">
        <f t="shared" si="15"/>
        <v>-0.40892584744456362</v>
      </c>
      <c r="Z12">
        <f t="shared" si="16"/>
        <v>-0.22204364061077195</v>
      </c>
    </row>
    <row r="13" spans="1:26" x14ac:dyDescent="0.25">
      <c r="A13" s="14" t="s">
        <v>23</v>
      </c>
      <c r="B13" s="6">
        <v>6781</v>
      </c>
      <c r="C13" s="6">
        <v>4664</v>
      </c>
      <c r="D13" s="6">
        <v>4029</v>
      </c>
      <c r="E13" s="6">
        <v>3496</v>
      </c>
      <c r="F13" s="15">
        <v>4325</v>
      </c>
      <c r="G13">
        <f>VLOOKUP(A13,expototal,2,FALSE)</f>
        <v>478282779</v>
      </c>
      <c r="H13">
        <f>VLOOKUP(A13,expototal,3,FALSE)</f>
        <v>573227524</v>
      </c>
      <c r="I13">
        <f>VLOOKUP(A13,expototal,4,FALSE)</f>
        <v>608745460</v>
      </c>
      <c r="J13">
        <f>VLOOKUP(A13,expototal,5,FALSE)</f>
        <v>637660373</v>
      </c>
      <c r="K13">
        <f>VLOOKUP(A13,expototal,6,FALSE)</f>
        <v>626820762</v>
      </c>
      <c r="L13">
        <f t="shared" si="6"/>
        <v>1.4177805051182911E-5</v>
      </c>
      <c r="M13">
        <f t="shared" si="1"/>
        <v>8.1363853002983159E-6</v>
      </c>
      <c r="N13">
        <f t="shared" si="2"/>
        <v>6.6185298531836274E-6</v>
      </c>
      <c r="O13">
        <f t="shared" si="3"/>
        <v>5.4825423501736088E-6</v>
      </c>
      <c r="P13">
        <f t="shared" si="4"/>
        <v>6.8998990815176601E-6</v>
      </c>
      <c r="Q13">
        <f t="shared" si="7"/>
        <v>0.81134926696009924</v>
      </c>
      <c r="R13">
        <f t="shared" si="8"/>
        <v>0.7381890823299132</v>
      </c>
      <c r="S13">
        <f t="shared" si="9"/>
        <v>0.77711090826100948</v>
      </c>
      <c r="T13">
        <f t="shared" si="10"/>
        <v>0.59220389297281961</v>
      </c>
      <c r="U13">
        <f t="shared" si="11"/>
        <v>0.54295695934376165</v>
      </c>
      <c r="V13">
        <f t="shared" si="12"/>
        <v>-0.10414928610455357</v>
      </c>
      <c r="W13">
        <f t="shared" si="13"/>
        <v>-0.15062280642054701</v>
      </c>
      <c r="X13">
        <f t="shared" si="14"/>
        <v>-0.12542216172489676</v>
      </c>
      <c r="Y13">
        <f t="shared" si="15"/>
        <v>-0.25612053131322282</v>
      </c>
      <c r="Z13">
        <f t="shared" si="16"/>
        <v>-0.29621243670375896</v>
      </c>
    </row>
    <row r="14" spans="1:26" x14ac:dyDescent="0.25">
      <c r="A14" s="13" t="s">
        <v>24</v>
      </c>
      <c r="B14" s="7">
        <v>4572</v>
      </c>
      <c r="C14" s="7">
        <v>3380</v>
      </c>
      <c r="D14" s="7">
        <v>3316</v>
      </c>
      <c r="E14" s="7">
        <v>1937</v>
      </c>
      <c r="F14" s="16">
        <v>1597</v>
      </c>
      <c r="G14">
        <f>VLOOKUP(A14,expototal,2,FALSE)</f>
        <v>20226568</v>
      </c>
      <c r="H14">
        <f>VLOOKUP(A14,expototal,3,FALSE)</f>
        <v>26269228</v>
      </c>
      <c r="I14">
        <f>VLOOKUP(A14,expototal,4,FALSE)</f>
        <v>35380362</v>
      </c>
      <c r="J14">
        <f>VLOOKUP(A14,expototal,5,FALSE)</f>
        <v>31126424</v>
      </c>
      <c r="K14">
        <f>VLOOKUP(A14,expototal,6,FALSE)</f>
        <v>34420386</v>
      </c>
      <c r="L14">
        <f t="shared" si="6"/>
        <v>2.2603933598621377E-4</v>
      </c>
      <c r="M14">
        <f t="shared" si="1"/>
        <v>1.2866765631635617E-4</v>
      </c>
      <c r="N14">
        <f t="shared" si="2"/>
        <v>9.3724309547765512E-5</v>
      </c>
      <c r="O14">
        <f t="shared" si="3"/>
        <v>6.223008463805544E-5</v>
      </c>
      <c r="P14">
        <f t="shared" si="4"/>
        <v>4.63969230327632E-5</v>
      </c>
      <c r="Q14">
        <f t="shared" si="7"/>
        <v>12.935489583506481</v>
      </c>
      <c r="R14">
        <f t="shared" si="8"/>
        <v>11.673618644661431</v>
      </c>
      <c r="S14">
        <f t="shared" si="9"/>
        <v>11.004586355951172</v>
      </c>
      <c r="T14">
        <f t="shared" si="10"/>
        <v>6.7218629659135258</v>
      </c>
      <c r="U14">
        <f t="shared" si="11"/>
        <v>3.6510001023427532</v>
      </c>
      <c r="V14">
        <f t="shared" si="12"/>
        <v>0.85648154031365176</v>
      </c>
      <c r="W14">
        <f t="shared" si="13"/>
        <v>0.84219187462749878</v>
      </c>
      <c r="X14">
        <f t="shared" si="14"/>
        <v>0.83339700838517294</v>
      </c>
      <c r="Y14">
        <f t="shared" si="15"/>
        <v>0.74099514471720584</v>
      </c>
      <c r="Z14">
        <f t="shared" si="16"/>
        <v>0.56998495893548129</v>
      </c>
    </row>
    <row r="15" spans="1:26" x14ac:dyDescent="0.25">
      <c r="A15" s="14" t="s">
        <v>25</v>
      </c>
      <c r="B15" s="6">
        <v>1721</v>
      </c>
      <c r="C15" s="6">
        <v>2100</v>
      </c>
      <c r="D15" s="6">
        <v>1510</v>
      </c>
      <c r="E15" s="6">
        <v>2389</v>
      </c>
      <c r="F15" s="15">
        <v>1561</v>
      </c>
      <c r="G15">
        <f>VLOOKUP(A15,expototal,2,FALSE)</f>
        <v>44791710</v>
      </c>
      <c r="H15">
        <f>VLOOKUP(A15,expototal,3,FALSE)</f>
        <v>57453555</v>
      </c>
      <c r="I15">
        <f>VLOOKUP(A15,expototal,4,FALSE)</f>
        <v>69988673</v>
      </c>
      <c r="J15">
        <f>VLOOKUP(A15,expototal,5,FALSE)</f>
        <v>73097825</v>
      </c>
      <c r="K15">
        <f>VLOOKUP(A15,expototal,6,FALSE)</f>
        <v>79073154</v>
      </c>
      <c r="L15">
        <f t="shared" si="6"/>
        <v>3.8422288410065164E-5</v>
      </c>
      <c r="M15">
        <f t="shared" si="1"/>
        <v>3.6551263015839491E-5</v>
      </c>
      <c r="N15">
        <f t="shared" si="2"/>
        <v>2.1574919701649436E-5</v>
      </c>
      <c r="O15">
        <f t="shared" si="3"/>
        <v>3.2682230969252502E-5</v>
      </c>
      <c r="P15">
        <f t="shared" si="4"/>
        <v>1.9741213307363458E-5</v>
      </c>
      <c r="Q15">
        <f t="shared" si="7"/>
        <v>2.1987815055924274</v>
      </c>
      <c r="R15">
        <f t="shared" si="8"/>
        <v>3.3161830847259139</v>
      </c>
      <c r="S15">
        <f t="shared" si="9"/>
        <v>2.5332068929087561</v>
      </c>
      <c r="T15">
        <f t="shared" si="10"/>
        <v>3.530213389125084</v>
      </c>
      <c r="U15">
        <f t="shared" si="11"/>
        <v>1.553447235168121</v>
      </c>
      <c r="V15">
        <f t="shared" si="12"/>
        <v>0.37476192215585796</v>
      </c>
      <c r="W15">
        <f t="shared" si="13"/>
        <v>0.53662762659962471</v>
      </c>
      <c r="X15">
        <f t="shared" si="14"/>
        <v>0.43394200775107306</v>
      </c>
      <c r="Y15">
        <f t="shared" si="15"/>
        <v>0.55851969251579603</v>
      </c>
      <c r="Z15">
        <f t="shared" si="16"/>
        <v>0.21674512304213783</v>
      </c>
    </row>
    <row r="16" spans="1:26" x14ac:dyDescent="0.25">
      <c r="A16" s="13" t="s">
        <v>26</v>
      </c>
      <c r="B16" s="7">
        <v>2634</v>
      </c>
      <c r="C16" s="7">
        <v>1314</v>
      </c>
      <c r="D16" s="7">
        <v>2313</v>
      </c>
      <c r="E16" s="7">
        <v>1453</v>
      </c>
      <c r="F16" s="16">
        <v>1436</v>
      </c>
      <c r="G16">
        <f>VLOOKUP(A16,expototal,2,FALSE)</f>
        <v>169238399</v>
      </c>
      <c r="H16">
        <f>VLOOKUP(A16,expototal,3,FALSE)</f>
        <v>203023624</v>
      </c>
      <c r="I16">
        <f>VLOOKUP(A16,expototal,4,FALSE)</f>
        <v>212249157</v>
      </c>
      <c r="J16">
        <f>VLOOKUP(A16,expototal,5,FALSE)</f>
        <v>224181574</v>
      </c>
      <c r="K16">
        <f>VLOOKUP(A16,expototal,6,FALSE)</f>
        <v>213878140</v>
      </c>
      <c r="L16">
        <f t="shared" si="6"/>
        <v>1.5563843758649595E-5</v>
      </c>
      <c r="M16">
        <f t="shared" si="1"/>
        <v>6.4721532110962613E-6</v>
      </c>
      <c r="N16">
        <f t="shared" si="2"/>
        <v>1.089756978398741E-5</v>
      </c>
      <c r="O16">
        <f t="shared" si="3"/>
        <v>6.4813533693897606E-6</v>
      </c>
      <c r="P16">
        <f t="shared" si="4"/>
        <v>6.7141036479931987E-6</v>
      </c>
      <c r="Q16">
        <f t="shared" si="7"/>
        <v>0.89066771471852635</v>
      </c>
      <c r="R16">
        <f t="shared" si="8"/>
        <v>0.58719845032690121</v>
      </c>
      <c r="S16">
        <f t="shared" si="9"/>
        <v>1.2795319414625947</v>
      </c>
      <c r="T16">
        <f t="shared" si="10"/>
        <v>0.70009175523533806</v>
      </c>
      <c r="U16">
        <f t="shared" si="11"/>
        <v>0.52833661164670387</v>
      </c>
      <c r="V16">
        <f t="shared" si="12"/>
        <v>-5.7827340272613971E-2</v>
      </c>
      <c r="W16">
        <f t="shared" si="13"/>
        <v>-0.26008187545046918</v>
      </c>
      <c r="X16">
        <f t="shared" si="14"/>
        <v>0.12262690264530415</v>
      </c>
      <c r="Y16">
        <f t="shared" si="15"/>
        <v>-0.17640709322959255</v>
      </c>
      <c r="Z16">
        <f t="shared" si="16"/>
        <v>-0.30861224206695093</v>
      </c>
    </row>
    <row r="17" spans="1:26" x14ac:dyDescent="0.25">
      <c r="A17" s="14" t="s">
        <v>27</v>
      </c>
      <c r="B17" s="6">
        <v>610</v>
      </c>
      <c r="C17" s="6">
        <v>419</v>
      </c>
      <c r="D17" s="6">
        <v>420</v>
      </c>
      <c r="E17" s="6">
        <v>472</v>
      </c>
      <c r="F17" s="15">
        <v>1191</v>
      </c>
      <c r="G17">
        <f>VLOOKUP(A17,expototal,2,FALSE)</f>
        <v>254169032</v>
      </c>
      <c r="H17">
        <f>VLOOKUP(A17,expototal,3,FALSE)</f>
        <v>317832125</v>
      </c>
      <c r="I17">
        <f>VLOOKUP(A17,expototal,4,FALSE)</f>
        <v>365750694</v>
      </c>
      <c r="J17">
        <f>VLOOKUP(A17,expototal,5,FALSE)</f>
        <v>381932840</v>
      </c>
      <c r="K17">
        <f>VLOOKUP(A17,expototal,6,FALSE)</f>
        <v>380333187</v>
      </c>
      <c r="L17">
        <f t="shared" si="6"/>
        <v>2.3999776652570327E-6</v>
      </c>
      <c r="M17">
        <f t="shared" si="1"/>
        <v>1.3183060082425588E-6</v>
      </c>
      <c r="N17">
        <f t="shared" si="2"/>
        <v>1.1483231799417994E-6</v>
      </c>
      <c r="O17">
        <f t="shared" si="3"/>
        <v>1.2358193655198647E-6</v>
      </c>
      <c r="P17">
        <f t="shared" si="4"/>
        <v>3.1314648332279245E-6</v>
      </c>
      <c r="Q17">
        <f t="shared" si="7"/>
        <v>0.13734284766910654</v>
      </c>
      <c r="R17">
        <f t="shared" si="8"/>
        <v>0.11960582820714073</v>
      </c>
      <c r="S17">
        <f t="shared" si="9"/>
        <v>0.13482971130099153</v>
      </c>
      <c r="T17">
        <f t="shared" si="10"/>
        <v>0.13348862489842672</v>
      </c>
      <c r="U17">
        <f t="shared" si="11"/>
        <v>0.24641673799196737</v>
      </c>
      <c r="V17">
        <f t="shared" si="12"/>
        <v>-0.75848470327029405</v>
      </c>
      <c r="W17">
        <f t="shared" si="13"/>
        <v>-0.78634296965268702</v>
      </c>
      <c r="X17">
        <f t="shared" si="14"/>
        <v>-0.76237895437823877</v>
      </c>
      <c r="Y17">
        <f t="shared" si="15"/>
        <v>-0.76446411200573139</v>
      </c>
      <c r="Z17">
        <f t="shared" si="16"/>
        <v>-0.60459976108960856</v>
      </c>
    </row>
    <row r="18" spans="1:26" x14ac:dyDescent="0.25">
      <c r="A18" s="13" t="s">
        <v>28</v>
      </c>
      <c r="B18" s="7">
        <v>650</v>
      </c>
      <c r="C18" s="7">
        <v>744</v>
      </c>
      <c r="D18" s="7">
        <v>853</v>
      </c>
      <c r="E18" s="7">
        <v>1056</v>
      </c>
      <c r="F18" s="16">
        <v>1104</v>
      </c>
      <c r="G18">
        <f>VLOOKUP(A18,expototal,2,FALSE)</f>
        <v>154935587</v>
      </c>
      <c r="H18">
        <f>VLOOKUP(A18,expototal,3,FALSE)</f>
        <v>189635063</v>
      </c>
      <c r="I18">
        <f>VLOOKUP(A18,expototal,4,FALSE)</f>
        <v>197527811</v>
      </c>
      <c r="J18">
        <f>VLOOKUP(A18,expototal,5,FALSE)</f>
        <v>197533884</v>
      </c>
      <c r="K18">
        <f>VLOOKUP(A18,expototal,6,FALSE)</f>
        <v>195761855</v>
      </c>
      <c r="L18">
        <f t="shared" si="6"/>
        <v>4.1952918150431122E-6</v>
      </c>
      <c r="M18">
        <f t="shared" si="1"/>
        <v>3.9233250867746963E-6</v>
      </c>
      <c r="N18">
        <f t="shared" si="2"/>
        <v>4.318379248378346E-6</v>
      </c>
      <c r="O18">
        <f t="shared" si="3"/>
        <v>5.3459182729379231E-6</v>
      </c>
      <c r="P18">
        <f t="shared" si="4"/>
        <v>5.6395052039121718E-6</v>
      </c>
      <c r="Q18">
        <f t="shared" si="7"/>
        <v>0.2400827861950984</v>
      </c>
      <c r="R18">
        <f t="shared" si="8"/>
        <v>0.35595115503956704</v>
      </c>
      <c r="S18">
        <f t="shared" si="9"/>
        <v>0.50704003673996656</v>
      </c>
      <c r="T18">
        <f t="shared" si="10"/>
        <v>0.57744626681235223</v>
      </c>
      <c r="U18">
        <f t="shared" si="11"/>
        <v>0.44377585259492991</v>
      </c>
      <c r="V18">
        <f t="shared" si="12"/>
        <v>-0.61279555063942814</v>
      </c>
      <c r="W18">
        <f t="shared" si="13"/>
        <v>-0.47497938444666127</v>
      </c>
      <c r="X18">
        <f t="shared" si="14"/>
        <v>-0.32710475584073129</v>
      </c>
      <c r="Y18">
        <f t="shared" si="15"/>
        <v>-0.26787202967079787</v>
      </c>
      <c r="Z18">
        <f t="shared" si="16"/>
        <v>-0.38525658010234504</v>
      </c>
    </row>
    <row r="19" spans="1:26" x14ac:dyDescent="0.25">
      <c r="A19" s="14" t="s">
        <v>29</v>
      </c>
      <c r="B19" s="6">
        <v>1674</v>
      </c>
      <c r="C19" s="6">
        <v>753</v>
      </c>
      <c r="D19" s="6">
        <v>710</v>
      </c>
      <c r="E19" s="6">
        <v>856</v>
      </c>
      <c r="F19" s="15">
        <v>885</v>
      </c>
      <c r="G19">
        <f>VLOOKUP(A19,expototal,2,FALSE)</f>
        <v>402566008</v>
      </c>
      <c r="H19">
        <f>VLOOKUP(A19,expototal,3,FALSE)</f>
        <v>468502713</v>
      </c>
      <c r="I19">
        <f>VLOOKUP(A19,expototal,4,FALSE)</f>
        <v>530481545</v>
      </c>
      <c r="J19">
        <f>VLOOKUP(A19,expototal,5,FALSE)</f>
        <v>519684227</v>
      </c>
      <c r="K19">
        <f>VLOOKUP(A19,expototal,6,FALSE)</f>
        <v>512910100</v>
      </c>
      <c r="L19">
        <f t="shared" si="6"/>
        <v>4.1583242666628721E-6</v>
      </c>
      <c r="M19">
        <f t="shared" si="1"/>
        <v>1.6072478965559373E-6</v>
      </c>
      <c r="N19">
        <f t="shared" si="2"/>
        <v>1.3384065981032385E-6</v>
      </c>
      <c r="O19">
        <f t="shared" si="3"/>
        <v>1.6471540899777971E-6</v>
      </c>
      <c r="P19">
        <f t="shared" si="4"/>
        <v>1.7254485727615813E-6</v>
      </c>
      <c r="Q19">
        <f t="shared" si="7"/>
        <v>0.23796725468854005</v>
      </c>
      <c r="R19">
        <f t="shared" si="8"/>
        <v>0.14582063238718673</v>
      </c>
      <c r="S19">
        <f t="shared" si="9"/>
        <v>0.1571482474426302</v>
      </c>
      <c r="T19">
        <f t="shared" si="10"/>
        <v>0.1779194764232081</v>
      </c>
      <c r="U19">
        <f t="shared" si="11"/>
        <v>0.13577652361324086</v>
      </c>
      <c r="V19">
        <f t="shared" si="12"/>
        <v>-0.6155516169150852</v>
      </c>
      <c r="W19">
        <f t="shared" si="13"/>
        <v>-0.74547389309374534</v>
      </c>
      <c r="X19">
        <f t="shared" si="14"/>
        <v>-0.72838701041126297</v>
      </c>
      <c r="Y19">
        <f t="shared" si="15"/>
        <v>-0.6979089318338354</v>
      </c>
      <c r="Z19">
        <f t="shared" si="16"/>
        <v>-0.76090979027934891</v>
      </c>
    </row>
    <row r="20" spans="1:26" x14ac:dyDescent="0.25">
      <c r="A20" s="13" t="s">
        <v>30</v>
      </c>
      <c r="B20" s="7">
        <v>312</v>
      </c>
      <c r="C20" s="7">
        <v>451</v>
      </c>
      <c r="D20" s="7">
        <v>315</v>
      </c>
      <c r="E20" s="7">
        <v>350</v>
      </c>
      <c r="F20" s="16">
        <v>751</v>
      </c>
      <c r="G20">
        <f>VLOOKUP(A20,expototal,2,FALSE)</f>
        <v>31918087</v>
      </c>
      <c r="H20">
        <f>VLOOKUP(A20,expototal,3,FALSE)</f>
        <v>41213065</v>
      </c>
      <c r="I20">
        <f>VLOOKUP(A20,expototal,4,FALSE)</f>
        <v>50068471</v>
      </c>
      <c r="J20">
        <f>VLOOKUP(A20,expototal,5,FALSE)</f>
        <v>48001673</v>
      </c>
      <c r="K20">
        <f>VLOOKUP(A20,expototal,6,FALSE)</f>
        <v>46416985</v>
      </c>
      <c r="L20">
        <f t="shared" si="6"/>
        <v>9.775021917823583E-6</v>
      </c>
      <c r="M20">
        <f t="shared" si="1"/>
        <v>1.0943131747177746E-5</v>
      </c>
      <c r="N20">
        <f t="shared" si="2"/>
        <v>6.2913844523033271E-6</v>
      </c>
      <c r="O20">
        <f t="shared" si="3"/>
        <v>7.2914125305590914E-6</v>
      </c>
      <c r="P20">
        <f t="shared" si="4"/>
        <v>1.6179422252436259E-5</v>
      </c>
      <c r="Q20">
        <f t="shared" si="7"/>
        <v>0.55939243337834976</v>
      </c>
      <c r="R20">
        <f t="shared" si="8"/>
        <v>0.99283650959453718</v>
      </c>
      <c r="S20">
        <f t="shared" si="9"/>
        <v>0.73869931758287521</v>
      </c>
      <c r="T20">
        <f t="shared" si="10"/>
        <v>0.78759134176704693</v>
      </c>
      <c r="U20">
        <f t="shared" si="11"/>
        <v>1.2731678835206022</v>
      </c>
      <c r="V20">
        <f t="shared" si="12"/>
        <v>-0.28255079169974862</v>
      </c>
      <c r="W20">
        <f t="shared" si="13"/>
        <v>-3.5946202164473134E-3</v>
      </c>
      <c r="X20">
        <f t="shared" si="14"/>
        <v>-0.15028514693407871</v>
      </c>
      <c r="Y20">
        <f t="shared" si="15"/>
        <v>-0.11882394665381718</v>
      </c>
      <c r="Z20">
        <f t="shared" si="16"/>
        <v>0.12017057143070725</v>
      </c>
    </row>
    <row r="21" spans="1:26" x14ac:dyDescent="0.25">
      <c r="A21" s="14" t="s">
        <v>31</v>
      </c>
      <c r="B21" s="6">
        <v>360</v>
      </c>
      <c r="C21" s="6">
        <v>373</v>
      </c>
      <c r="D21" s="6">
        <v>365</v>
      </c>
      <c r="E21" s="6">
        <v>442</v>
      </c>
      <c r="F21" s="15">
        <v>728</v>
      </c>
      <c r="G21">
        <f>VLOOKUP(A21,expototal,2,FALSE)</f>
        <v>119970720</v>
      </c>
      <c r="H21">
        <f>VLOOKUP(A21,expototal,3,FALSE)</f>
        <v>141157092</v>
      </c>
      <c r="I21">
        <f>VLOOKUP(A21,expototal,4,FALSE)</f>
        <v>149934115</v>
      </c>
      <c r="J21">
        <f>VLOOKUP(A21,expototal,5,FALSE)</f>
        <v>158075487</v>
      </c>
      <c r="K21">
        <f>VLOOKUP(A21,expototal,6,FALSE)</f>
        <v>167705355</v>
      </c>
      <c r="L21">
        <f t="shared" si="6"/>
        <v>3.0007321786515911E-6</v>
      </c>
      <c r="M21">
        <f t="shared" si="1"/>
        <v>2.642446048690207E-6</v>
      </c>
      <c r="N21">
        <f t="shared" si="2"/>
        <v>2.434402604103809E-6</v>
      </c>
      <c r="O21">
        <f t="shared" si="3"/>
        <v>2.7961324579060128E-6</v>
      </c>
      <c r="P21">
        <f t="shared" si="4"/>
        <v>4.3409466561160199E-6</v>
      </c>
      <c r="Q21">
        <f t="shared" si="7"/>
        <v>0.17172205744847774</v>
      </c>
      <c r="R21">
        <f t="shared" si="8"/>
        <v>0.23974096011866725</v>
      </c>
      <c r="S21">
        <f t="shared" si="9"/>
        <v>0.28583399345673255</v>
      </c>
      <c r="T21">
        <f t="shared" si="10"/>
        <v>0.30202785880662913</v>
      </c>
      <c r="U21">
        <f t="shared" si="11"/>
        <v>0.34159154637371941</v>
      </c>
      <c r="V21">
        <f t="shared" si="12"/>
        <v>-0.70688943447490138</v>
      </c>
      <c r="W21">
        <f t="shared" si="13"/>
        <v>-0.6132402367415215</v>
      </c>
      <c r="X21">
        <f t="shared" si="14"/>
        <v>-0.5554107374493662</v>
      </c>
      <c r="Y21">
        <f t="shared" si="15"/>
        <v>-0.53606544320264826</v>
      </c>
      <c r="Z21">
        <f t="shared" si="16"/>
        <v>-0.490766698259197</v>
      </c>
    </row>
    <row r="22" spans="1:26" x14ac:dyDescent="0.25">
      <c r="A22" s="13" t="s">
        <v>32</v>
      </c>
      <c r="B22" s="7">
        <v>24</v>
      </c>
      <c r="C22" s="7">
        <v>13</v>
      </c>
      <c r="D22" s="7">
        <v>8</v>
      </c>
      <c r="E22" s="7">
        <v>8</v>
      </c>
      <c r="F22" s="16">
        <v>706</v>
      </c>
      <c r="G22">
        <f>VLOOKUP(A22,expototal,2,FALSE)</f>
        <v>37468046</v>
      </c>
      <c r="H22">
        <f>VLOOKUP(A22,expototal,3,FALSE)</f>
        <v>43361858</v>
      </c>
      <c r="I22">
        <f>VLOOKUP(A22,expototal,4,FALSE)</f>
        <v>43996272</v>
      </c>
      <c r="J22">
        <f>VLOOKUP(A22,expototal,5,FALSE)</f>
        <v>39763418</v>
      </c>
      <c r="K22">
        <f>VLOOKUP(A22,expototal,6,FALSE)</f>
        <v>42530609</v>
      </c>
      <c r="L22">
        <f t="shared" si="6"/>
        <v>6.4054581335786762E-7</v>
      </c>
      <c r="M22">
        <f t="shared" si="1"/>
        <v>2.9980265144542467E-7</v>
      </c>
      <c r="N22">
        <f t="shared" si="2"/>
        <v>1.8183358808219023E-7</v>
      </c>
      <c r="O22">
        <f t="shared" si="3"/>
        <v>2.011899480069847E-7</v>
      </c>
      <c r="P22">
        <f t="shared" si="4"/>
        <v>1.6599809327912517E-5</v>
      </c>
      <c r="Q22">
        <f t="shared" si="7"/>
        <v>3.6656335324550482E-2</v>
      </c>
      <c r="R22">
        <f t="shared" si="8"/>
        <v>2.7200167639855825E-2</v>
      </c>
      <c r="S22">
        <f t="shared" si="9"/>
        <v>2.1349887047640806E-2</v>
      </c>
      <c r="T22">
        <f t="shared" si="10"/>
        <v>2.173179208236534E-2</v>
      </c>
      <c r="U22">
        <f t="shared" si="11"/>
        <v>1.3062483801411122</v>
      </c>
      <c r="V22">
        <f t="shared" si="12"/>
        <v>-0.92927967721708971</v>
      </c>
      <c r="W22">
        <f t="shared" si="13"/>
        <v>-0.94704018068386375</v>
      </c>
      <c r="X22">
        <f t="shared" si="14"/>
        <v>-0.95819280480001667</v>
      </c>
      <c r="Y22">
        <f t="shared" si="15"/>
        <v>-0.95746086741986491</v>
      </c>
      <c r="Z22">
        <f t="shared" si="16"/>
        <v>0.1327907188046995</v>
      </c>
    </row>
    <row r="23" spans="1:26" x14ac:dyDescent="0.25">
      <c r="A23" s="14" t="s">
        <v>33</v>
      </c>
      <c r="B23" s="6">
        <v>214</v>
      </c>
      <c r="C23" s="6">
        <v>328</v>
      </c>
      <c r="D23" s="6">
        <v>256</v>
      </c>
      <c r="E23" s="6">
        <v>249</v>
      </c>
      <c r="F23" s="15">
        <v>376</v>
      </c>
      <c r="G23">
        <f>VLOOKUP(A23,expototal,2,FALSE)</f>
        <v>35070462</v>
      </c>
      <c r="H23">
        <f>VLOOKUP(A23,expototal,3,FALSE)</f>
        <v>47244277</v>
      </c>
      <c r="I23">
        <f>VLOOKUP(A23,expototal,4,FALSE)</f>
        <v>57568025</v>
      </c>
      <c r="J23">
        <f>VLOOKUP(A23,expototal,5,FALSE)</f>
        <v>55051587</v>
      </c>
      <c r="K23">
        <f>VLOOKUP(A23,expototal,6,FALSE)</f>
        <v>53357149</v>
      </c>
      <c r="L23">
        <f t="shared" si="6"/>
        <v>6.1020011655392509E-6</v>
      </c>
      <c r="M23">
        <f t="shared" si="1"/>
        <v>6.9426398460918346E-6</v>
      </c>
      <c r="N23">
        <f t="shared" si="2"/>
        <v>4.4469130215948868E-6</v>
      </c>
      <c r="O23">
        <f t="shared" si="3"/>
        <v>4.5230303714950127E-6</v>
      </c>
      <c r="P23">
        <f t="shared" si="4"/>
        <v>7.0468532717143493E-6</v>
      </c>
      <c r="Q23">
        <f t="shared" si="7"/>
        <v>0.34919750657996756</v>
      </c>
      <c r="R23">
        <f t="shared" si="8"/>
        <v>0.62988424807582755</v>
      </c>
      <c r="S23">
        <f t="shared" si="9"/>
        <v>0.5221317564212602</v>
      </c>
      <c r="T23">
        <f t="shared" si="10"/>
        <v>0.48856096733093657</v>
      </c>
      <c r="U23">
        <f t="shared" si="11"/>
        <v>0.55452086764580444</v>
      </c>
      <c r="V23">
        <f t="shared" si="12"/>
        <v>-0.48236265650218141</v>
      </c>
      <c r="W23">
        <f t="shared" si="13"/>
        <v>-0.22708100428672495</v>
      </c>
      <c r="X23">
        <f t="shared" si="14"/>
        <v>-0.31394670110705353</v>
      </c>
      <c r="Y23">
        <f t="shared" si="15"/>
        <v>-0.34357949986160052</v>
      </c>
      <c r="Z23">
        <f t="shared" si="16"/>
        <v>-0.2865700561671054</v>
      </c>
    </row>
    <row r="24" spans="1:26" x14ac:dyDescent="0.25">
      <c r="A24" s="13" t="s">
        <v>34</v>
      </c>
      <c r="B24" s="7">
        <v>267</v>
      </c>
      <c r="C24" s="7">
        <v>241</v>
      </c>
      <c r="D24" s="7">
        <v>208</v>
      </c>
      <c r="E24" s="7">
        <v>219</v>
      </c>
      <c r="F24" s="16">
        <v>306</v>
      </c>
      <c r="G24">
        <f>VLOOKUP(A24,expototal,2,FALSE)</f>
        <v>192307380</v>
      </c>
      <c r="H24">
        <f>VLOOKUP(A24,expototal,3,FALSE)</f>
        <v>227168411</v>
      </c>
      <c r="I24">
        <f>VLOOKUP(A24,expototal,4,FALSE)</f>
        <v>241689131</v>
      </c>
      <c r="J24">
        <f>VLOOKUP(A24,expototal,5,FALSE)</f>
        <v>253327521</v>
      </c>
      <c r="K24">
        <f>VLOOKUP(A24,expototal,6,FALSE)</f>
        <v>259292432</v>
      </c>
      <c r="L24">
        <f t="shared" si="6"/>
        <v>1.3884022547652617E-6</v>
      </c>
      <c r="M24">
        <f t="shared" si="1"/>
        <v>1.0608869381931804E-6</v>
      </c>
      <c r="N24">
        <f t="shared" si="2"/>
        <v>8.6060965645989267E-7</v>
      </c>
      <c r="O24">
        <f t="shared" si="3"/>
        <v>8.6449351864932194E-7</v>
      </c>
      <c r="P24">
        <f t="shared" si="4"/>
        <v>1.1801347136888283E-6</v>
      </c>
      <c r="Q24">
        <f t="shared" si="7"/>
        <v>7.9453705815736075E-2</v>
      </c>
      <c r="R24">
        <f t="shared" si="8"/>
        <v>9.6250991866363794E-2</v>
      </c>
      <c r="S24">
        <f t="shared" si="9"/>
        <v>0.10104799202016795</v>
      </c>
      <c r="T24">
        <f t="shared" si="10"/>
        <v>9.3379383960014051E-2</v>
      </c>
      <c r="U24">
        <f t="shared" si="11"/>
        <v>9.2865467768489265E-2</v>
      </c>
      <c r="V24">
        <f t="shared" si="12"/>
        <v>-0.85278904433295089</v>
      </c>
      <c r="W24">
        <f t="shared" si="13"/>
        <v>-0.82439971761850483</v>
      </c>
      <c r="X24">
        <f t="shared" si="14"/>
        <v>-0.81645124871483898</v>
      </c>
      <c r="Y24">
        <f t="shared" si="15"/>
        <v>-0.82919124810674305</v>
      </c>
      <c r="Z24">
        <f t="shared" si="16"/>
        <v>-0.83005141893977075</v>
      </c>
    </row>
    <row r="25" spans="1:26" x14ac:dyDescent="0.25">
      <c r="A25" s="14" t="s">
        <v>35</v>
      </c>
      <c r="B25" s="6">
        <v>430</v>
      </c>
      <c r="C25" s="6">
        <v>785</v>
      </c>
      <c r="D25" s="6">
        <v>191</v>
      </c>
      <c r="E25" s="6">
        <v>124</v>
      </c>
      <c r="F25" s="15">
        <v>292</v>
      </c>
      <c r="G25">
        <f>VLOOKUP(A25,expototal,2,FALSE)</f>
        <v>50153246</v>
      </c>
      <c r="H25">
        <f>VLOOKUP(A25,expototal,3,FALSE)</f>
        <v>60159734</v>
      </c>
      <c r="I25">
        <f>VLOOKUP(A25,expototal,4,FALSE)</f>
        <v>72568881</v>
      </c>
      <c r="J25">
        <f>VLOOKUP(A25,expototal,5,FALSE)</f>
        <v>59915951</v>
      </c>
      <c r="K25">
        <f>VLOOKUP(A25,expototal,6,FALSE)</f>
        <v>61702646</v>
      </c>
      <c r="L25">
        <f t="shared" si="6"/>
        <v>8.573722227271192E-6</v>
      </c>
      <c r="M25">
        <f t="shared" si="1"/>
        <v>1.3048594928960291E-5</v>
      </c>
      <c r="N25">
        <f t="shared" si="2"/>
        <v>2.6319821577516125E-6</v>
      </c>
      <c r="O25">
        <f t="shared" si="3"/>
        <v>2.0695657488604329E-6</v>
      </c>
      <c r="P25">
        <f t="shared" si="4"/>
        <v>4.732374037897824E-6</v>
      </c>
      <c r="Q25">
        <f t="shared" si="7"/>
        <v>0.49064599344562154</v>
      </c>
      <c r="R25">
        <f t="shared" si="8"/>
        <v>1.1838586744350457</v>
      </c>
      <c r="S25">
        <f t="shared" si="9"/>
        <v>0.30903268407156648</v>
      </c>
      <c r="T25">
        <f t="shared" si="10"/>
        <v>0.22354681732637183</v>
      </c>
      <c r="U25">
        <f t="shared" si="11"/>
        <v>0.37239318832605239</v>
      </c>
      <c r="V25">
        <f t="shared" si="12"/>
        <v>-0.3417001815280159</v>
      </c>
      <c r="W25">
        <f t="shared" si="13"/>
        <v>8.4189822623301894E-2</v>
      </c>
      <c r="X25">
        <f t="shared" si="14"/>
        <v>-0.52784573245281741</v>
      </c>
      <c r="Y25">
        <f t="shared" si="15"/>
        <v>-0.63459213139901882</v>
      </c>
      <c r="Z25">
        <f t="shared" si="16"/>
        <v>-0.45730831150470647</v>
      </c>
    </row>
    <row r="26" spans="1:26" x14ac:dyDescent="0.25">
      <c r="A26" s="13" t="s">
        <v>36</v>
      </c>
      <c r="B26" s="7">
        <v>22</v>
      </c>
      <c r="C26" s="7">
        <v>1</v>
      </c>
      <c r="D26" s="7">
        <v>4</v>
      </c>
      <c r="E26" s="7">
        <v>0</v>
      </c>
      <c r="F26" s="8">
        <v>231</v>
      </c>
      <c r="G26">
        <f>VLOOKUP(A26,expototal,2,FALSE)</f>
        <v>27704922</v>
      </c>
      <c r="H26">
        <f>VLOOKUP(A26,expototal,3,FALSE)</f>
        <v>36578743</v>
      </c>
      <c r="I26">
        <f>VLOOKUP(A26,expototal,4,FALSE)</f>
        <v>42331463</v>
      </c>
      <c r="J26">
        <f>VLOOKUP(A26,expototal,5,FALSE)</f>
        <v>42477876</v>
      </c>
      <c r="K26">
        <f>VLOOKUP(A26,expototal,6,FALSE)</f>
        <v>47487556</v>
      </c>
      <c r="L26">
        <f t="shared" si="6"/>
        <v>7.940827265277989E-7</v>
      </c>
      <c r="M26">
        <f t="shared" si="1"/>
        <v>2.7338282236762481E-8</v>
      </c>
      <c r="N26">
        <f t="shared" si="2"/>
        <v>9.4492363753173375E-8</v>
      </c>
      <c r="O26">
        <f t="shared" si="3"/>
        <v>0</v>
      </c>
      <c r="P26">
        <f t="shared" si="4"/>
        <v>4.8644322735834202E-6</v>
      </c>
      <c r="Q26">
        <f t="shared" si="7"/>
        <v>4.54427491242907E-2</v>
      </c>
      <c r="R26">
        <f t="shared" si="8"/>
        <v>2.4803178232097665E-3</v>
      </c>
      <c r="S26">
        <f t="shared" si="9"/>
        <v>1.1094767002469084E-2</v>
      </c>
      <c r="T26">
        <f t="shared" si="10"/>
        <v>0</v>
      </c>
      <c r="U26">
        <f t="shared" si="11"/>
        <v>0.3827849255467049</v>
      </c>
      <c r="V26">
        <f t="shared" si="12"/>
        <v>-0.91306506422784872</v>
      </c>
      <c r="W26">
        <f t="shared" si="13"/>
        <v>-0.99505163786438111</v>
      </c>
      <c r="X26">
        <f t="shared" si="14"/>
        <v>-0.9780539522811279</v>
      </c>
      <c r="Y26">
        <f t="shared" si="15"/>
        <v>-1</v>
      </c>
      <c r="Z26">
        <f t="shared" si="16"/>
        <v>-0.44635652519083535</v>
      </c>
    </row>
    <row r="27" spans="1:26" x14ac:dyDescent="0.25">
      <c r="A27" s="14" t="s">
        <v>37</v>
      </c>
      <c r="B27" s="6">
        <v>12</v>
      </c>
      <c r="C27" s="6">
        <v>18</v>
      </c>
      <c r="D27" s="6">
        <v>0</v>
      </c>
      <c r="E27" s="6">
        <v>53</v>
      </c>
      <c r="F27" s="15">
        <v>225</v>
      </c>
      <c r="G27">
        <f>VLOOKUP(A27,expototal,2,FALSE)</f>
        <v>2588402392</v>
      </c>
      <c r="H27">
        <f>VLOOKUP(A27,expototal,3,FALSE)</f>
        <v>3361814264</v>
      </c>
      <c r="I27">
        <f>VLOOKUP(A27,expototal,4,FALSE)</f>
        <v>3593601450</v>
      </c>
      <c r="J27">
        <f>VLOOKUP(A27,expototal,5,FALSE)</f>
        <v>3388716312</v>
      </c>
      <c r="K27">
        <f>VLOOKUP(A27,expototal,6,FALSE)</f>
        <v>3575457663</v>
      </c>
      <c r="L27">
        <f t="shared" si="6"/>
        <v>4.63606432952176E-9</v>
      </c>
      <c r="M27">
        <f t="shared" si="1"/>
        <v>5.3542517779025047E-9</v>
      </c>
      <c r="N27">
        <f t="shared" si="2"/>
        <v>0</v>
      </c>
      <c r="O27">
        <f t="shared" si="3"/>
        <v>1.5640140725949324E-8</v>
      </c>
      <c r="P27">
        <f t="shared" si="4"/>
        <v>6.2929006915219062E-8</v>
      </c>
      <c r="Q27">
        <f t="shared" si="7"/>
        <v>2.6530675106324088E-4</v>
      </c>
      <c r="R27">
        <f t="shared" si="8"/>
        <v>4.8577470960578056E-4</v>
      </c>
      <c r="S27">
        <f t="shared" si="9"/>
        <v>0</v>
      </c>
      <c r="T27">
        <f t="shared" si="10"/>
        <v>1.6893900006548306E-3</v>
      </c>
      <c r="U27">
        <f t="shared" si="11"/>
        <v>4.9519191288946449E-3</v>
      </c>
      <c r="V27">
        <f t="shared" si="12"/>
        <v>-0.99946952723587912</v>
      </c>
      <c r="W27">
        <f t="shared" si="13"/>
        <v>-0.99902892230577334</v>
      </c>
      <c r="X27">
        <f t="shared" si="14"/>
        <v>-1</v>
      </c>
      <c r="Y27">
        <f t="shared" si="15"/>
        <v>-0.99662691844893403</v>
      </c>
      <c r="Z27">
        <f t="shared" si="16"/>
        <v>-0.99014496308801103</v>
      </c>
    </row>
    <row r="28" spans="1:26" ht="23.25" x14ac:dyDescent="0.25">
      <c r="A28" s="13" t="s">
        <v>38</v>
      </c>
      <c r="B28" s="7">
        <v>225</v>
      </c>
      <c r="C28" s="7">
        <v>408</v>
      </c>
      <c r="D28" s="8">
        <v>171</v>
      </c>
      <c r="E28" s="8">
        <v>195</v>
      </c>
      <c r="F28" s="8">
        <v>218</v>
      </c>
      <c r="G28">
        <f>VLOOKUP(A28,expototal,2,FALSE)</f>
        <v>337105352</v>
      </c>
      <c r="H28">
        <f>VLOOKUP(A28,expototal,3,FALSE)</f>
        <v>492314339</v>
      </c>
      <c r="I28">
        <f>VLOOKUP(A28,expototal,4,FALSE)</f>
        <v>575226571</v>
      </c>
      <c r="J28">
        <f>VLOOKUP(A28,expototal,5,FALSE)</f>
        <v>421884417</v>
      </c>
      <c r="K28">
        <f>VLOOKUP(A28,expototal,6,FALSE)</f>
        <v>386035772</v>
      </c>
      <c r="L28">
        <f t="shared" si="6"/>
        <v>6.6744713088981153E-7</v>
      </c>
      <c r="M28">
        <f t="shared" si="1"/>
        <v>8.287388111196168E-7</v>
      </c>
      <c r="N28">
        <f t="shared" si="2"/>
        <v>2.9727416746887375E-7</v>
      </c>
      <c r="O28">
        <f t="shared" si="3"/>
        <v>4.6221190483079636E-7</v>
      </c>
      <c r="P28">
        <f t="shared" si="4"/>
        <v>5.6471450526610786E-7</v>
      </c>
      <c r="Q28">
        <f t="shared" si="7"/>
        <v>3.8195809466070187E-2</v>
      </c>
      <c r="R28">
        <f t="shared" si="8"/>
        <v>7.518891004942245E-2</v>
      </c>
      <c r="S28">
        <f t="shared" si="9"/>
        <v>3.4904276842258213E-2</v>
      </c>
      <c r="T28">
        <f t="shared" si="10"/>
        <v>4.9926415873561343E-2</v>
      </c>
      <c r="U28">
        <f t="shared" si="11"/>
        <v>4.4437703661190542E-2</v>
      </c>
      <c r="V28">
        <f t="shared" si="12"/>
        <v>-0.92641887182011695</v>
      </c>
      <c r="W28">
        <f t="shared" si="13"/>
        <v>-0.86013823366915809</v>
      </c>
      <c r="X28">
        <f t="shared" si="14"/>
        <v>-0.93254588347289558</v>
      </c>
      <c r="Y28">
        <f t="shared" si="15"/>
        <v>-0.90489540006092428</v>
      </c>
      <c r="Z28">
        <f t="shared" si="16"/>
        <v>-0.91490597571225596</v>
      </c>
    </row>
    <row r="29" spans="1:26" x14ac:dyDescent="0.25">
      <c r="A29" s="14" t="s">
        <v>39</v>
      </c>
      <c r="B29" s="6">
        <v>3</v>
      </c>
      <c r="C29" s="6">
        <v>2</v>
      </c>
      <c r="D29" s="6">
        <v>2</v>
      </c>
      <c r="E29" s="6">
        <v>2</v>
      </c>
      <c r="F29" s="15">
        <v>202</v>
      </c>
      <c r="G29">
        <f>VLOOKUP(A29,expototal,2,FALSE)</f>
        <v>209180242</v>
      </c>
      <c r="H29">
        <f>VLOOKUP(A29,expototal,3,FALSE)</f>
        <v>280814577</v>
      </c>
      <c r="I29">
        <f>VLOOKUP(A29,expototal,4,FALSE)</f>
        <v>334463079</v>
      </c>
      <c r="J29">
        <f>VLOOKUP(A29,expototal,5,FALSE)</f>
        <v>339695766</v>
      </c>
      <c r="K29">
        <f>VLOOKUP(A29,expototal,6,FALSE)</f>
        <v>337046162</v>
      </c>
      <c r="L29">
        <f t="shared" si="6"/>
        <v>1.4341698677258438E-8</v>
      </c>
      <c r="M29">
        <f t="shared" si="1"/>
        <v>7.1221373953105005E-9</v>
      </c>
      <c r="N29">
        <f t="shared" si="2"/>
        <v>5.9797332667621589E-9</v>
      </c>
      <c r="O29">
        <f t="shared" si="3"/>
        <v>5.8876212192765454E-9</v>
      </c>
      <c r="P29">
        <f t="shared" si="4"/>
        <v>5.9932443319143922E-7</v>
      </c>
      <c r="Q29">
        <f t="shared" si="7"/>
        <v>8.207283614599715E-4</v>
      </c>
      <c r="R29">
        <f t="shared" si="8"/>
        <v>6.4616950574833941E-4</v>
      </c>
      <c r="S29">
        <f t="shared" si="9"/>
        <v>7.0210697136266118E-4</v>
      </c>
      <c r="T29">
        <f t="shared" si="10"/>
        <v>6.3595901020163399E-4</v>
      </c>
      <c r="U29">
        <f t="shared" si="11"/>
        <v>4.7161178455159755E-2</v>
      </c>
      <c r="V29">
        <f t="shared" si="12"/>
        <v>-0.99835988936239617</v>
      </c>
      <c r="W29">
        <f t="shared" si="13"/>
        <v>-0.9987084955193154</v>
      </c>
      <c r="X29">
        <f t="shared" si="14"/>
        <v>-0.99859677127394575</v>
      </c>
      <c r="Y29">
        <f t="shared" si="15"/>
        <v>-0.99872889035322954</v>
      </c>
      <c r="Z29">
        <f t="shared" si="16"/>
        <v>-0.90992565533276359</v>
      </c>
    </row>
    <row r="30" spans="1:26" x14ac:dyDescent="0.25">
      <c r="A30" s="13" t="s">
        <v>40</v>
      </c>
      <c r="B30" s="7">
        <v>35</v>
      </c>
      <c r="C30" s="7">
        <v>55</v>
      </c>
      <c r="D30" s="7">
        <v>144</v>
      </c>
      <c r="E30" s="7">
        <v>229</v>
      </c>
      <c r="F30" s="16">
        <v>200</v>
      </c>
      <c r="G30">
        <f>VLOOKUP(A30,expototal,2,FALSE)</f>
        <v>61400262</v>
      </c>
      <c r="H30">
        <f>VLOOKUP(A30,expototal,3,FALSE)</f>
        <v>75242767</v>
      </c>
      <c r="I30">
        <f>VLOOKUP(A30,expototal,4,FALSE)</f>
        <v>82559524</v>
      </c>
      <c r="J30">
        <f>VLOOKUP(A30,expototal,5,FALSE)</f>
        <v>83908918</v>
      </c>
      <c r="K30">
        <f>VLOOKUP(A30,expototal,6,FALSE)</f>
        <v>85813704</v>
      </c>
      <c r="L30">
        <f t="shared" si="6"/>
        <v>5.7003014091373098E-7</v>
      </c>
      <c r="M30">
        <f t="shared" si="1"/>
        <v>7.3096727024937829E-7</v>
      </c>
      <c r="N30">
        <f t="shared" si="2"/>
        <v>1.7441961026810183E-6</v>
      </c>
      <c r="O30">
        <f t="shared" si="3"/>
        <v>2.7291497192229318E-6</v>
      </c>
      <c r="P30">
        <f t="shared" si="4"/>
        <v>2.3306300821136911E-6</v>
      </c>
      <c r="Q30">
        <f t="shared" si="7"/>
        <v>3.262095474623062E-2</v>
      </c>
      <c r="R30">
        <f t="shared" si="8"/>
        <v>6.6318400434994929E-2</v>
      </c>
      <c r="S30">
        <f t="shared" si="9"/>
        <v>0.20479379070682471</v>
      </c>
      <c r="T30">
        <f t="shared" si="10"/>
        <v>0.29479263177571607</v>
      </c>
      <c r="U30">
        <f t="shared" si="11"/>
        <v>0.18339859870257907</v>
      </c>
      <c r="V30">
        <f t="shared" si="12"/>
        <v>-0.93681911141489993</v>
      </c>
      <c r="W30">
        <f t="shared" si="13"/>
        <v>-0.8756123866793617</v>
      </c>
      <c r="X30">
        <f t="shared" si="14"/>
        <v>-0.66003511590696873</v>
      </c>
      <c r="Y30">
        <f t="shared" si="15"/>
        <v>-0.54464888887816887</v>
      </c>
      <c r="Z30">
        <f t="shared" si="16"/>
        <v>-0.69004763246526002</v>
      </c>
    </row>
    <row r="31" spans="1:26" x14ac:dyDescent="0.25">
      <c r="A31" s="14" t="s">
        <v>41</v>
      </c>
      <c r="B31" s="6">
        <v>171</v>
      </c>
      <c r="C31" s="6">
        <v>254</v>
      </c>
      <c r="D31" s="6">
        <v>339</v>
      </c>
      <c r="E31" s="6">
        <v>253</v>
      </c>
      <c r="F31" s="15">
        <v>169</v>
      </c>
      <c r="G31">
        <f>VLOOKUP(A31,expototal,2,FALSE)</f>
        <v>106871154</v>
      </c>
      <c r="H31">
        <f>VLOOKUP(A31,expototal,3,FALSE)</f>
        <v>125384922</v>
      </c>
      <c r="I31">
        <f>VLOOKUP(A31,expototal,4,FALSE)</f>
        <v>129811334</v>
      </c>
      <c r="J31">
        <f>VLOOKUP(A31,expototal,5,FALSE)</f>
        <v>136074398</v>
      </c>
      <c r="K31">
        <f>VLOOKUP(A31,expototal,6,FALSE)</f>
        <v>133654778</v>
      </c>
      <c r="L31">
        <f t="shared" si="6"/>
        <v>1.6000575796159178E-6</v>
      </c>
      <c r="M31">
        <f t="shared" si="1"/>
        <v>2.0257619173699369E-6</v>
      </c>
      <c r="N31">
        <f t="shared" si="2"/>
        <v>2.6114822916772428E-6</v>
      </c>
      <c r="O31">
        <f t="shared" si="3"/>
        <v>1.8592770110950628E-6</v>
      </c>
      <c r="P31">
        <f t="shared" si="4"/>
        <v>1.2644516157888497E-6</v>
      </c>
      <c r="Q31">
        <f t="shared" si="7"/>
        <v>9.1566045634617538E-2</v>
      </c>
      <c r="R31">
        <f t="shared" si="8"/>
        <v>0.18379111553964528</v>
      </c>
      <c r="S31">
        <f t="shared" si="9"/>
        <v>0.30662570398721745</v>
      </c>
      <c r="T31">
        <f t="shared" si="10"/>
        <v>0.20083220771664412</v>
      </c>
      <c r="U31">
        <f t="shared" si="11"/>
        <v>9.9500412460382298E-2</v>
      </c>
      <c r="V31">
        <f t="shared" si="12"/>
        <v>-0.83222994888709168</v>
      </c>
      <c r="W31">
        <f t="shared" si="13"/>
        <v>-0.68948725306852487</v>
      </c>
      <c r="X31">
        <f t="shared" si="14"/>
        <v>-0.5306602295492312</v>
      </c>
      <c r="Y31">
        <f t="shared" si="15"/>
        <v>-0.66551162364553484</v>
      </c>
      <c r="Z31">
        <f t="shared" si="16"/>
        <v>-0.81900795791840142</v>
      </c>
    </row>
    <row r="32" spans="1:26" x14ac:dyDescent="0.25">
      <c r="A32" s="13" t="s">
        <v>42</v>
      </c>
      <c r="B32" s="7">
        <v>372</v>
      </c>
      <c r="C32" s="7">
        <v>305</v>
      </c>
      <c r="D32" s="7">
        <v>187</v>
      </c>
      <c r="E32" s="7">
        <v>134</v>
      </c>
      <c r="F32" s="16">
        <v>137</v>
      </c>
      <c r="G32">
        <f>VLOOKUP(A32,expototal,2,FALSE)</f>
        <v>254531426</v>
      </c>
      <c r="H32">
        <f>VLOOKUP(A32,expototal,3,FALSE)</f>
        <v>345599938</v>
      </c>
      <c r="I32">
        <f>VLOOKUP(A32,expototal,4,FALSE)</f>
        <v>402166083</v>
      </c>
      <c r="J32">
        <f>VLOOKUP(A32,expototal,5,FALSE)</f>
        <v>370869477</v>
      </c>
      <c r="K32">
        <f>VLOOKUP(A32,expototal,6,FALSE)</f>
        <v>345858153</v>
      </c>
      <c r="L32">
        <f t="shared" si="6"/>
        <v>1.4615091183278877E-6</v>
      </c>
      <c r="M32">
        <f t="shared" si="1"/>
        <v>8.8252330647119508E-7</v>
      </c>
      <c r="N32">
        <f t="shared" si="2"/>
        <v>4.6498202584627206E-7</v>
      </c>
      <c r="O32">
        <f t="shared" si="3"/>
        <v>3.6131309883989184E-7</v>
      </c>
      <c r="P32">
        <f t="shared" si="4"/>
        <v>3.9611614996394201E-7</v>
      </c>
      <c r="Q32">
        <f t="shared" si="7"/>
        <v>8.3637371760299173E-2</v>
      </c>
      <c r="R32">
        <f t="shared" si="8"/>
        <v>8.0068611022495031E-2</v>
      </c>
      <c r="S32">
        <f t="shared" si="9"/>
        <v>5.4595599392307438E-2</v>
      </c>
      <c r="T32">
        <f t="shared" si="10"/>
        <v>3.9027701027841859E-2</v>
      </c>
      <c r="U32">
        <f t="shared" si="11"/>
        <v>3.1170603771218212E-2</v>
      </c>
      <c r="V32">
        <f t="shared" si="12"/>
        <v>-0.84563586686857128</v>
      </c>
      <c r="W32">
        <f t="shared" si="13"/>
        <v>-0.85173421353909262</v>
      </c>
      <c r="X32">
        <f t="shared" si="14"/>
        <v>-0.89646154521455002</v>
      </c>
      <c r="Y32">
        <f t="shared" si="15"/>
        <v>-0.92487649561366969</v>
      </c>
      <c r="Z32">
        <f t="shared" si="16"/>
        <v>-0.93954326537777466</v>
      </c>
    </row>
    <row r="33" spans="1:26" x14ac:dyDescent="0.25">
      <c r="A33" s="14" t="s">
        <v>43</v>
      </c>
      <c r="B33" s="6">
        <v>197</v>
      </c>
      <c r="C33" s="6">
        <v>116</v>
      </c>
      <c r="D33" s="6">
        <v>99</v>
      </c>
      <c r="E33" s="6">
        <v>128</v>
      </c>
      <c r="F33" s="15">
        <v>134</v>
      </c>
      <c r="G33">
        <f>VLOOKUP(A33,expototal,2,FALSE)</f>
        <v>15196527</v>
      </c>
      <c r="H33">
        <f>VLOOKUP(A33,expototal,3,FALSE)</f>
        <v>19458822</v>
      </c>
      <c r="I33">
        <f>VLOOKUP(A33,expototal,4,FALSE)</f>
        <v>22494202</v>
      </c>
      <c r="J33">
        <f>VLOOKUP(A33,expototal,5,FALSE)</f>
        <v>20594420</v>
      </c>
      <c r="K33">
        <f>VLOOKUP(A33,expototal,6,FALSE)</f>
        <v>20220063</v>
      </c>
      <c r="L33">
        <f t="shared" si="6"/>
        <v>1.2963488302294334E-5</v>
      </c>
      <c r="M33">
        <f t="shared" si="1"/>
        <v>5.961306393573054E-6</v>
      </c>
      <c r="N33">
        <f t="shared" si="2"/>
        <v>4.4011341233621001E-6</v>
      </c>
      <c r="O33">
        <f t="shared" si="3"/>
        <v>6.2152757882960527E-6</v>
      </c>
      <c r="P33">
        <f t="shared" si="4"/>
        <v>6.6270812311514561E-6</v>
      </c>
      <c r="Q33">
        <f t="shared" si="7"/>
        <v>0.74185790348660319</v>
      </c>
      <c r="R33">
        <f t="shared" si="8"/>
        <v>0.54085089800230979</v>
      </c>
      <c r="S33">
        <f t="shared" si="9"/>
        <v>0.51675665319229203</v>
      </c>
      <c r="T33">
        <f t="shared" si="10"/>
        <v>0.67135104165899961</v>
      </c>
      <c r="U33">
        <f t="shared" si="11"/>
        <v>0.52148876847031567</v>
      </c>
      <c r="V33">
        <f t="shared" si="12"/>
        <v>-0.14819928537034202</v>
      </c>
      <c r="W33">
        <f t="shared" si="13"/>
        <v>-0.29798412201529051</v>
      </c>
      <c r="X33">
        <f t="shared" si="14"/>
        <v>-0.31860308361966561</v>
      </c>
      <c r="Y33">
        <f t="shared" si="15"/>
        <v>-0.19663670297221353</v>
      </c>
      <c r="Z33">
        <f t="shared" si="16"/>
        <v>-0.31450198085311737</v>
      </c>
    </row>
    <row r="34" spans="1:26" x14ac:dyDescent="0.25">
      <c r="A34" s="13" t="s">
        <v>44</v>
      </c>
      <c r="B34" s="7">
        <v>374</v>
      </c>
      <c r="C34" s="7">
        <v>401</v>
      </c>
      <c r="D34" s="7">
        <v>237</v>
      </c>
      <c r="E34" s="7">
        <v>229</v>
      </c>
      <c r="F34" s="16">
        <v>133</v>
      </c>
      <c r="G34">
        <f>VLOOKUP(A34,expototal,2,FALSE)</f>
        <v>69964786</v>
      </c>
      <c r="H34">
        <f>VLOOKUP(A34,expototal,3,FALSE)</f>
        <v>92887987</v>
      </c>
      <c r="I34">
        <f>VLOOKUP(A34,expototal,4,FALSE)</f>
        <v>102625791</v>
      </c>
      <c r="J34">
        <f>VLOOKUP(A34,expototal,5,FALSE)</f>
        <v>100290449</v>
      </c>
      <c r="K34">
        <f>VLOOKUP(A34,expototal,6,FALSE)</f>
        <v>103312004</v>
      </c>
      <c r="L34">
        <f t="shared" si="6"/>
        <v>5.3455462580847454E-6</v>
      </c>
      <c r="M34">
        <f t="shared" si="1"/>
        <v>4.3170275613788463E-6</v>
      </c>
      <c r="N34">
        <f t="shared" si="2"/>
        <v>2.3093610065329485E-6</v>
      </c>
      <c r="O34">
        <f t="shared" si="3"/>
        <v>2.2833679805342181E-6</v>
      </c>
      <c r="P34">
        <f t="shared" si="4"/>
        <v>1.287362502425178E-6</v>
      </c>
      <c r="Q34">
        <f t="shared" si="7"/>
        <v>0.30590807408770915</v>
      </c>
      <c r="R34">
        <f t="shared" si="8"/>
        <v>0.39167056331640931</v>
      </c>
      <c r="S34">
        <f t="shared" si="9"/>
        <v>0.27115230558733988</v>
      </c>
      <c r="T34">
        <f t="shared" si="10"/>
        <v>0.24664094151849647</v>
      </c>
      <c r="U34">
        <f t="shared" si="11"/>
        <v>0.10130328308167177</v>
      </c>
      <c r="V34">
        <f t="shared" si="12"/>
        <v>-0.53150136650864543</v>
      </c>
      <c r="W34">
        <f t="shared" si="13"/>
        <v>-0.43712172457964205</v>
      </c>
      <c r="X34">
        <f t="shared" si="14"/>
        <v>-0.57337558309025261</v>
      </c>
      <c r="Y34">
        <f t="shared" si="15"/>
        <v>-0.60431118006108409</v>
      </c>
      <c r="Z34">
        <f t="shared" si="16"/>
        <v>-0.8160301805362743</v>
      </c>
    </row>
    <row r="35" spans="1:26" x14ac:dyDescent="0.25">
      <c r="A35" s="14" t="s">
        <v>45</v>
      </c>
      <c r="B35" s="6">
        <v>133</v>
      </c>
      <c r="C35" s="6">
        <v>128</v>
      </c>
      <c r="D35" s="6">
        <v>143</v>
      </c>
      <c r="E35" s="6">
        <v>166</v>
      </c>
      <c r="F35" s="15">
        <v>124</v>
      </c>
      <c r="G35">
        <f>VLOOKUP(A35,expototal,2,FALSE)</f>
        <v>32790372</v>
      </c>
      <c r="H35">
        <f>VLOOKUP(A35,expototal,3,FALSE)</f>
        <v>40698383</v>
      </c>
      <c r="I35">
        <f>VLOOKUP(A35,expototal,4,FALSE)</f>
        <v>46501899</v>
      </c>
      <c r="J35">
        <f>VLOOKUP(A35,expototal,5,FALSE)</f>
        <v>42625692</v>
      </c>
      <c r="K35">
        <f>VLOOKUP(A35,expototal,6,FALSE)</f>
        <v>39720644</v>
      </c>
      <c r="L35">
        <f t="shared" si="6"/>
        <v>4.0560686533229937E-6</v>
      </c>
      <c r="M35">
        <f t="shared" si="1"/>
        <v>3.1450880984632732E-6</v>
      </c>
      <c r="N35">
        <f t="shared" si="2"/>
        <v>3.0751432323226197E-6</v>
      </c>
      <c r="O35">
        <f t="shared" si="3"/>
        <v>3.8943649290198033E-6</v>
      </c>
      <c r="P35">
        <f t="shared" si="4"/>
        <v>3.1218023554703693E-6</v>
      </c>
      <c r="Q35">
        <f t="shared" si="7"/>
        <v>0.23211550142868381</v>
      </c>
      <c r="R35">
        <f t="shared" si="8"/>
        <v>0.28534411923267849</v>
      </c>
      <c r="S35">
        <f t="shared" si="9"/>
        <v>0.36106618891405734</v>
      </c>
      <c r="T35">
        <f t="shared" si="10"/>
        <v>0.42065485760439519</v>
      </c>
      <c r="U35">
        <f t="shared" si="11"/>
        <v>0.24565639215487797</v>
      </c>
      <c r="V35">
        <f t="shared" si="12"/>
        <v>-0.6232244442026138</v>
      </c>
      <c r="W35">
        <f t="shared" si="13"/>
        <v>-0.55600354027678989</v>
      </c>
      <c r="X35">
        <f t="shared" si="14"/>
        <v>-0.4694362524688997</v>
      </c>
      <c r="Y35">
        <f t="shared" si="15"/>
        <v>-0.40780147218342394</v>
      </c>
      <c r="Z35">
        <f t="shared" si="16"/>
        <v>-0.60557920514514652</v>
      </c>
    </row>
    <row r="36" spans="1:26" x14ac:dyDescent="0.25">
      <c r="A36" s="13" t="s">
        <v>46</v>
      </c>
      <c r="B36" s="7">
        <v>47</v>
      </c>
      <c r="C36" s="7">
        <v>116</v>
      </c>
      <c r="D36" s="7">
        <v>85</v>
      </c>
      <c r="E36" s="7">
        <v>113</v>
      </c>
      <c r="F36" s="16">
        <v>123</v>
      </c>
      <c r="G36">
        <f>VLOOKUP(A36,expototal,2,FALSE)</f>
        <v>86265125</v>
      </c>
      <c r="H36">
        <f>VLOOKUP(A36,expototal,3,FALSE)</f>
        <v>103994252</v>
      </c>
      <c r="I36">
        <f>VLOOKUP(A36,expototal,4,FALSE)</f>
        <v>108594464</v>
      </c>
      <c r="J36">
        <f>VLOOKUP(A36,expototal,5,FALSE)</f>
        <v>117590707</v>
      </c>
      <c r="K36">
        <f>VLOOKUP(A36,expototal,6,FALSE)</f>
        <v>115616351</v>
      </c>
      <c r="L36">
        <f t="shared" si="6"/>
        <v>5.448319932301727E-7</v>
      </c>
      <c r="M36">
        <f t="shared" si="1"/>
        <v>1.1154462652416597E-6</v>
      </c>
      <c r="N36">
        <f t="shared" si="2"/>
        <v>7.8272866653681354E-7</v>
      </c>
      <c r="O36">
        <f t="shared" si="3"/>
        <v>9.6096029085019443E-7</v>
      </c>
      <c r="P36">
        <f t="shared" si="4"/>
        <v>1.063863363063586E-6</v>
      </c>
      <c r="Q36">
        <f t="shared" si="7"/>
        <v>3.1178947427185029E-2</v>
      </c>
      <c r="R36">
        <f t="shared" si="8"/>
        <v>0.10120099092368202</v>
      </c>
      <c r="S36">
        <f t="shared" si="9"/>
        <v>9.1903640002736417E-2</v>
      </c>
      <c r="T36">
        <f t="shared" si="10"/>
        <v>0.10379936695167664</v>
      </c>
      <c r="U36">
        <f t="shared" si="11"/>
        <v>8.371600945780508E-2</v>
      </c>
      <c r="V36">
        <f t="shared" si="12"/>
        <v>-0.93952757180511248</v>
      </c>
      <c r="W36">
        <f t="shared" si="13"/>
        <v>-0.81619887421496939</v>
      </c>
      <c r="X36">
        <f t="shared" si="14"/>
        <v>-0.83166346070152108</v>
      </c>
      <c r="Y36">
        <f t="shared" si="15"/>
        <v>-0.81192348888850041</v>
      </c>
      <c r="Z36">
        <f t="shared" si="16"/>
        <v>-0.84550194197151496</v>
      </c>
    </row>
    <row r="37" spans="1:26" x14ac:dyDescent="0.25">
      <c r="A37" s="14" t="s">
        <v>47</v>
      </c>
      <c r="B37" s="6">
        <v>322</v>
      </c>
      <c r="C37" s="6">
        <v>45</v>
      </c>
      <c r="D37" s="6">
        <v>22</v>
      </c>
      <c r="E37" s="6">
        <v>78</v>
      </c>
      <c r="F37" s="15">
        <v>121</v>
      </c>
      <c r="G37">
        <f>VLOOKUP(A37,expototal,2,FALSE)</f>
        <v>318985767</v>
      </c>
      <c r="H37">
        <f>VLOOKUP(A37,expototal,3,FALSE)</f>
        <v>380557523</v>
      </c>
      <c r="I37">
        <f>VLOOKUP(A37,expototal,4,FALSE)</f>
        <v>402112025</v>
      </c>
      <c r="J37">
        <f>VLOOKUP(A37,expototal,5,FALSE)</f>
        <v>420656666</v>
      </c>
      <c r="K37">
        <f>VLOOKUP(A37,expototal,6,FALSE)</f>
        <v>446846629</v>
      </c>
      <c r="L37">
        <f t="shared" si="6"/>
        <v>1.0094494278799593E-6</v>
      </c>
      <c r="M37">
        <f t="shared" si="1"/>
        <v>1.1824756385120784E-7</v>
      </c>
      <c r="N37">
        <f t="shared" si="2"/>
        <v>5.4711121857149136E-8</v>
      </c>
      <c r="O37">
        <f t="shared" si="3"/>
        <v>1.8542437646762502E-7</v>
      </c>
      <c r="P37">
        <f t="shared" si="4"/>
        <v>2.7078642233642094E-7</v>
      </c>
      <c r="Q37">
        <f t="shared" si="7"/>
        <v>5.77674788436566E-2</v>
      </c>
      <c r="R37">
        <f t="shared" si="8"/>
        <v>1.0728235871999638E-2</v>
      </c>
      <c r="S37">
        <f t="shared" si="9"/>
        <v>6.4238751719064482E-3</v>
      </c>
      <c r="T37">
        <f t="shared" si="10"/>
        <v>2.0028853510398879E-2</v>
      </c>
      <c r="U37">
        <f t="shared" si="11"/>
        <v>2.1308336653384784E-2</v>
      </c>
      <c r="V37">
        <f t="shared" si="12"/>
        <v>-0.89077471183589874</v>
      </c>
      <c r="W37">
        <f t="shared" si="13"/>
        <v>-0.97877127502479655</v>
      </c>
      <c r="X37">
        <f t="shared" si="14"/>
        <v>-0.98723425520721253</v>
      </c>
      <c r="Y37">
        <f t="shared" si="15"/>
        <v>-0.96072884910761058</v>
      </c>
      <c r="Z37">
        <f t="shared" si="16"/>
        <v>-0.95827247093036017</v>
      </c>
    </row>
    <row r="38" spans="1:26" x14ac:dyDescent="0.25">
      <c r="A38" s="13" t="s">
        <v>48</v>
      </c>
      <c r="B38" s="7">
        <v>5</v>
      </c>
      <c r="C38" s="7">
        <v>38</v>
      </c>
      <c r="D38" s="7">
        <v>81</v>
      </c>
      <c r="E38" s="7">
        <v>1246</v>
      </c>
      <c r="F38" s="16">
        <v>109</v>
      </c>
      <c r="G38">
        <f>VLOOKUP(A38,expototal,2,FALSE)</f>
        <v>17144989</v>
      </c>
      <c r="H38">
        <f>VLOOKUP(A38,expototal,3,FALSE)</f>
        <v>21919900</v>
      </c>
      <c r="I38">
        <f>VLOOKUP(A38,expototal,4,FALSE)</f>
        <v>25592614</v>
      </c>
      <c r="J38">
        <f>VLOOKUP(A38,expototal,5,FALSE)</f>
        <v>24975484</v>
      </c>
      <c r="K38">
        <f>VLOOKUP(A38,expototal,6,FALSE)</f>
        <v>25968345</v>
      </c>
      <c r="L38">
        <f t="shared" si="6"/>
        <v>2.9163039999617379E-7</v>
      </c>
      <c r="M38">
        <f t="shared" si="1"/>
        <v>1.7335845510244117E-6</v>
      </c>
      <c r="N38">
        <f t="shared" si="2"/>
        <v>3.1649756449263058E-6</v>
      </c>
      <c r="O38">
        <f t="shared" si="3"/>
        <v>4.9888923073522818E-5</v>
      </c>
      <c r="P38">
        <f t="shared" si="4"/>
        <v>4.1974180487820842E-6</v>
      </c>
      <c r="Q38">
        <f t="shared" si="7"/>
        <v>1.668905097834128E-2</v>
      </c>
      <c r="R38">
        <f t="shared" si="8"/>
        <v>0.15728276644114986</v>
      </c>
      <c r="S38">
        <f t="shared" si="9"/>
        <v>0.37161381040981117</v>
      </c>
      <c r="T38">
        <f t="shared" si="10"/>
        <v>5.3888164602004744</v>
      </c>
      <c r="U38">
        <f t="shared" si="11"/>
        <v>0.3302971991236815</v>
      </c>
      <c r="V38">
        <f t="shared" si="12"/>
        <v>-0.9671698028767366</v>
      </c>
      <c r="W38">
        <f t="shared" si="13"/>
        <v>-0.728186108007428</v>
      </c>
      <c r="X38">
        <f t="shared" si="14"/>
        <v>-0.45813638272017643</v>
      </c>
      <c r="Y38">
        <f t="shared" si="15"/>
        <v>0.68695297283008161</v>
      </c>
      <c r="Z38">
        <f t="shared" si="16"/>
        <v>-0.50342344651817494</v>
      </c>
    </row>
    <row r="39" spans="1:26" ht="23.25" x14ac:dyDescent="0.25">
      <c r="A39" s="14" t="s">
        <v>49</v>
      </c>
      <c r="B39" s="6">
        <v>431</v>
      </c>
      <c r="C39" s="6">
        <v>540</v>
      </c>
      <c r="D39" s="6">
        <v>1017</v>
      </c>
      <c r="E39" s="6">
        <v>974</v>
      </c>
      <c r="F39" s="9">
        <v>105</v>
      </c>
      <c r="G39">
        <f>VLOOKUP(A39,expototal,2,FALSE)</f>
        <v>335296908</v>
      </c>
      <c r="H39">
        <f>VLOOKUP(A39,expototal,3,FALSE)</f>
        <v>425159797</v>
      </c>
      <c r="I39">
        <f>VLOOKUP(A39,expototal,4,FALSE)</f>
        <v>515621189</v>
      </c>
      <c r="J39">
        <f>VLOOKUP(A39,expototal,5,FALSE)</f>
        <v>570245384</v>
      </c>
      <c r="K39">
        <f>VLOOKUP(A39,expototal,6,FALSE)</f>
        <v>296147744</v>
      </c>
      <c r="L39">
        <f t="shared" si="6"/>
        <v>1.2854278990249442E-6</v>
      </c>
      <c r="M39">
        <f t="shared" si="1"/>
        <v>1.2701106826429312E-6</v>
      </c>
      <c r="N39">
        <f t="shared" si="2"/>
        <v>1.972378214270787E-6</v>
      </c>
      <c r="O39">
        <f t="shared" si="3"/>
        <v>1.7080366230548917E-6</v>
      </c>
      <c r="P39">
        <f t="shared" si="4"/>
        <v>3.545527599899596E-7</v>
      </c>
      <c r="Q39">
        <f t="shared" si="7"/>
        <v>7.3560821286432695E-2</v>
      </c>
      <c r="R39">
        <f t="shared" si="8"/>
        <v>0.11523321532514311</v>
      </c>
      <c r="S39">
        <f t="shared" si="9"/>
        <v>0.23158566321022439</v>
      </c>
      <c r="T39">
        <f t="shared" si="10"/>
        <v>0.18449578186682408</v>
      </c>
      <c r="U39">
        <f t="shared" si="11"/>
        <v>2.7899957117741542E-2</v>
      </c>
      <c r="V39">
        <f t="shared" si="12"/>
        <v>-0.86295919182615877</v>
      </c>
      <c r="W39">
        <f t="shared" si="13"/>
        <v>-0.79334687356572819</v>
      </c>
      <c r="X39">
        <f t="shared" si="14"/>
        <v>-0.62392276862564588</v>
      </c>
      <c r="Y39">
        <f t="shared" si="15"/>
        <v>-0.68848216314278543</v>
      </c>
      <c r="Z39">
        <f t="shared" si="16"/>
        <v>-0.9457146448454502</v>
      </c>
    </row>
    <row r="40" spans="1:26" x14ac:dyDescent="0.25">
      <c r="A40" s="13" t="s">
        <v>50</v>
      </c>
      <c r="B40" s="7">
        <v>177</v>
      </c>
      <c r="C40" s="7">
        <v>95</v>
      </c>
      <c r="D40" s="7">
        <v>214</v>
      </c>
      <c r="E40" s="7">
        <v>125</v>
      </c>
      <c r="F40" s="16">
        <v>94</v>
      </c>
      <c r="G40">
        <f>VLOOKUP(A40,expototal,2,FALSE)</f>
        <v>169657940</v>
      </c>
      <c r="H40">
        <f>VLOOKUP(A40,expototal,3,FALSE)</f>
        <v>225264314</v>
      </c>
      <c r="I40">
        <f>VLOOKUP(A40,expototal,4,FALSE)</f>
        <v>254171899</v>
      </c>
      <c r="J40">
        <f>VLOOKUP(A40,expototal,5,FALSE)</f>
        <v>255627429</v>
      </c>
      <c r="K40">
        <f>VLOOKUP(A40,expototal,6,FALSE)</f>
        <v>261801501</v>
      </c>
      <c r="L40">
        <f t="shared" si="6"/>
        <v>1.0432756639624411E-6</v>
      </c>
      <c r="M40">
        <f t="shared" si="1"/>
        <v>4.2172680755816476E-7</v>
      </c>
      <c r="N40">
        <f t="shared" si="2"/>
        <v>8.4194988054127886E-7</v>
      </c>
      <c r="O40">
        <f t="shared" si="3"/>
        <v>4.8899290850357062E-7</v>
      </c>
      <c r="P40">
        <f t="shared" si="4"/>
        <v>3.5905065341852259E-7</v>
      </c>
      <c r="Q40">
        <f t="shared" si="7"/>
        <v>5.9703243353780897E-2</v>
      </c>
      <c r="R40">
        <f t="shared" si="8"/>
        <v>3.8261969360506E-2</v>
      </c>
      <c r="S40">
        <f t="shared" si="9"/>
        <v>9.8857065072080572E-2</v>
      </c>
      <c r="T40">
        <f t="shared" si="10"/>
        <v>5.2819200574482819E-2</v>
      </c>
      <c r="U40">
        <f t="shared" si="11"/>
        <v>2.8253898894363541E-2</v>
      </c>
      <c r="V40">
        <f t="shared" si="12"/>
        <v>-0.88732082547028868</v>
      </c>
      <c r="W40">
        <f t="shared" si="13"/>
        <v>-0.92629611699237613</v>
      </c>
      <c r="X40">
        <f t="shared" si="14"/>
        <v>-0.82007293175005258</v>
      </c>
      <c r="Y40">
        <f t="shared" si="15"/>
        <v>-0.89966140331471656</v>
      </c>
      <c r="Z40">
        <f t="shared" si="16"/>
        <v>-0.94504489810397274</v>
      </c>
    </row>
    <row r="41" spans="1:26" x14ac:dyDescent="0.25">
      <c r="A41" s="14" t="s">
        <v>51</v>
      </c>
      <c r="B41" s="6">
        <v>39</v>
      </c>
      <c r="C41" s="6">
        <v>61</v>
      </c>
      <c r="D41" s="6">
        <v>39</v>
      </c>
      <c r="E41" s="6">
        <v>42</v>
      </c>
      <c r="F41" s="15">
        <v>77</v>
      </c>
      <c r="G41">
        <f>VLOOKUP(A41,expototal,2,FALSE)</f>
        <v>11625662</v>
      </c>
      <c r="H41">
        <f>VLOOKUP(A41,expototal,3,FALSE)</f>
        <v>14345396</v>
      </c>
      <c r="I41">
        <f>VLOOKUP(A41,expototal,4,FALSE)</f>
        <v>15319907</v>
      </c>
      <c r="J41">
        <f>VLOOKUP(A41,expototal,5,FALSE)</f>
        <v>18106174</v>
      </c>
      <c r="K41">
        <f>VLOOKUP(A41,expototal,6,FALSE)</f>
        <v>19882386</v>
      </c>
      <c r="L41">
        <f t="shared" si="6"/>
        <v>3.3546476751173398E-6</v>
      </c>
      <c r="M41">
        <f t="shared" si="1"/>
        <v>4.2522353513280497E-6</v>
      </c>
      <c r="N41">
        <f t="shared" si="2"/>
        <v>2.5457073597117789E-6</v>
      </c>
      <c r="O41">
        <f t="shared" si="3"/>
        <v>2.3196507445471363E-6</v>
      </c>
      <c r="P41">
        <f t="shared" si="4"/>
        <v>3.8727746257415987E-6</v>
      </c>
      <c r="Q41">
        <f t="shared" si="7"/>
        <v>0.19197548014590343</v>
      </c>
      <c r="R41">
        <f t="shared" si="8"/>
        <v>0.38579216642218028</v>
      </c>
      <c r="S41">
        <f t="shared" si="9"/>
        <v>0.29890277786097191</v>
      </c>
      <c r="T41">
        <f t="shared" si="10"/>
        <v>0.25056007113462864</v>
      </c>
      <c r="U41">
        <f t="shared" si="11"/>
        <v>0.30475082463870251</v>
      </c>
      <c r="V41">
        <f t="shared" si="12"/>
        <v>-0.67788686370896689</v>
      </c>
      <c r="W41">
        <f t="shared" si="13"/>
        <v>-0.44321785651565143</v>
      </c>
      <c r="X41">
        <f t="shared" si="14"/>
        <v>-0.53976112307157609</v>
      </c>
      <c r="Y41">
        <f t="shared" si="15"/>
        <v>-0.5992834300118085</v>
      </c>
      <c r="Z41">
        <f t="shared" si="16"/>
        <v>-0.53285973247330065</v>
      </c>
    </row>
    <row r="42" spans="1:26" x14ac:dyDescent="0.25">
      <c r="A42" s="13" t="s">
        <v>52</v>
      </c>
      <c r="B42" s="7">
        <v>84</v>
      </c>
      <c r="C42" s="7">
        <v>63</v>
      </c>
      <c r="D42" s="7">
        <v>25</v>
      </c>
      <c r="E42" s="7">
        <v>66</v>
      </c>
      <c r="F42" s="16">
        <v>58</v>
      </c>
      <c r="G42">
        <f>VLOOKUP(A42,expototal,2,FALSE)</f>
        <v>233553703</v>
      </c>
      <c r="H42">
        <f>VLOOKUP(A42,expototal,3,FALSE)</f>
        <v>299288393</v>
      </c>
      <c r="I42">
        <f>VLOOKUP(A42,expototal,4,FALSE)</f>
        <v>353149561</v>
      </c>
      <c r="J42">
        <f>VLOOKUP(A42,expototal,5,FALSE)</f>
        <v>312964855</v>
      </c>
      <c r="K42">
        <f>VLOOKUP(A42,expototal,6,FALSE)</f>
        <v>330045621</v>
      </c>
      <c r="L42">
        <f t="shared" si="6"/>
        <v>3.5966032189179205E-7</v>
      </c>
      <c r="M42">
        <f t="shared" si="1"/>
        <v>2.1049930927324668E-7</v>
      </c>
      <c r="N42">
        <f t="shared" si="2"/>
        <v>7.0791536393839669E-8</v>
      </c>
      <c r="O42">
        <f t="shared" si="3"/>
        <v>2.1088629903827379E-7</v>
      </c>
      <c r="P42">
        <f t="shared" si="4"/>
        <v>1.7573328143020567E-7</v>
      </c>
      <c r="Q42">
        <f t="shared" si="7"/>
        <v>2.0582180208296198E-2</v>
      </c>
      <c r="R42">
        <f t="shared" si="8"/>
        <v>1.9097951511440999E-2</v>
      </c>
      <c r="S42">
        <f t="shared" si="9"/>
        <v>8.3119478743073003E-3</v>
      </c>
      <c r="T42">
        <f t="shared" si="10"/>
        <v>2.2779155962405151E-2</v>
      </c>
      <c r="U42">
        <f t="shared" si="11"/>
        <v>1.3828551260471328E-2</v>
      </c>
      <c r="V42">
        <f t="shared" si="12"/>
        <v>-0.95966580524834277</v>
      </c>
      <c r="W42">
        <f t="shared" si="13"/>
        <v>-0.96251989029490936</v>
      </c>
      <c r="X42">
        <f t="shared" si="14"/>
        <v>-0.9835131421544091</v>
      </c>
      <c r="Y42">
        <f t="shared" si="15"/>
        <v>-0.95545635471819801</v>
      </c>
      <c r="Z42">
        <f t="shared" si="16"/>
        <v>-0.97272013844297733</v>
      </c>
    </row>
    <row r="43" spans="1:26" ht="23.25" x14ac:dyDescent="0.25">
      <c r="A43" s="14" t="s">
        <v>53</v>
      </c>
      <c r="B43" s="6">
        <v>156</v>
      </c>
      <c r="C43" s="6">
        <v>156</v>
      </c>
      <c r="D43" s="6">
        <v>123</v>
      </c>
      <c r="E43" s="6">
        <v>59</v>
      </c>
      <c r="F43" s="15">
        <v>51</v>
      </c>
      <c r="G43">
        <f>VLOOKUP(A43,expototal,2,FALSE)</f>
        <v>551515756</v>
      </c>
      <c r="H43">
        <f>VLOOKUP(A43,expototal,3,FALSE)</f>
        <v>672153980</v>
      </c>
      <c r="I43">
        <f>VLOOKUP(A43,expototal,4,FALSE)</f>
        <v>611481903</v>
      </c>
      <c r="J43">
        <f>VLOOKUP(A43,expototal,5,FALSE)</f>
        <v>576144442</v>
      </c>
      <c r="K43">
        <f>VLOOKUP(A43,expototal,6,FALSE)</f>
        <v>640570014</v>
      </c>
      <c r="L43">
        <f t="shared" si="6"/>
        <v>2.8285683283362079E-7</v>
      </c>
      <c r="M43">
        <f t="shared" si="1"/>
        <v>2.320896768326805E-7</v>
      </c>
      <c r="N43">
        <f t="shared" si="2"/>
        <v>2.0115067902508311E-7</v>
      </c>
      <c r="O43">
        <f t="shared" si="3"/>
        <v>1.0240487575509753E-7</v>
      </c>
      <c r="P43">
        <f t="shared" si="4"/>
        <v>7.9616589733156007E-8</v>
      </c>
      <c r="Q43">
        <f t="shared" si="7"/>
        <v>1.6186968514922965E-2</v>
      </c>
      <c r="R43">
        <f t="shared" si="8"/>
        <v>2.1056778807301686E-2</v>
      </c>
      <c r="S43">
        <f t="shared" si="9"/>
        <v>2.3617992264446802E-2</v>
      </c>
      <c r="T43">
        <f t="shared" si="10"/>
        <v>1.1061394916474527E-2</v>
      </c>
      <c r="U43">
        <f t="shared" si="11"/>
        <v>6.2650744545854845E-3</v>
      </c>
      <c r="V43">
        <f t="shared" si="12"/>
        <v>-0.96814175143659054</v>
      </c>
      <c r="W43">
        <f t="shared" si="13"/>
        <v>-0.95875493068681605</v>
      </c>
      <c r="X43">
        <f t="shared" si="14"/>
        <v>-0.95385389384921004</v>
      </c>
      <c r="Y43">
        <f t="shared" si="15"/>
        <v>-0.97811924187375709</v>
      </c>
      <c r="Z43">
        <f t="shared" si="16"/>
        <v>-0.98754786464594069</v>
      </c>
    </row>
    <row r="44" spans="1:26" x14ac:dyDescent="0.25">
      <c r="A44" s="13" t="s">
        <v>54</v>
      </c>
      <c r="B44" s="7">
        <v>6</v>
      </c>
      <c r="C44" s="7">
        <v>6</v>
      </c>
      <c r="D44" s="7">
        <v>39</v>
      </c>
      <c r="E44" s="7">
        <v>38</v>
      </c>
      <c r="F44" s="16">
        <v>50</v>
      </c>
      <c r="G44">
        <f>VLOOKUP(A44,expototal,2,FALSE)</f>
        <v>229277734</v>
      </c>
      <c r="H44">
        <f>VLOOKUP(A44,expototal,3,FALSE)</f>
        <v>267492416</v>
      </c>
      <c r="I44">
        <f>VLOOKUP(A44,expototal,4,FALSE)</f>
        <v>284106705</v>
      </c>
      <c r="J44">
        <f>VLOOKUP(A44,expototal,5,FALSE)</f>
        <v>280087768</v>
      </c>
      <c r="K44">
        <f>VLOOKUP(A44,expototal,6,FALSE)</f>
        <v>299249160</v>
      </c>
      <c r="L44">
        <f t="shared" si="6"/>
        <v>2.6169135115405494E-8</v>
      </c>
      <c r="M44">
        <f t="shared" si="1"/>
        <v>2.2430542479380051E-8</v>
      </c>
      <c r="N44">
        <f t="shared" si="2"/>
        <v>1.3727236743673473E-7</v>
      </c>
      <c r="O44">
        <f t="shared" si="3"/>
        <v>1.3567175843252106E-7</v>
      </c>
      <c r="P44">
        <f t="shared" si="4"/>
        <v>1.6708484662078919E-7</v>
      </c>
      <c r="Q44">
        <f t="shared" si="7"/>
        <v>1.4975737440466881E-3</v>
      </c>
      <c r="R44">
        <f t="shared" si="8"/>
        <v>2.0350537687059394E-3</v>
      </c>
      <c r="S44">
        <f t="shared" si="9"/>
        <v>1.6117756738165505E-2</v>
      </c>
      <c r="T44">
        <f t="shared" si="10"/>
        <v>1.4654760214969016E-2</v>
      </c>
      <c r="U44">
        <f t="shared" si="11"/>
        <v>1.3148001036225054E-2</v>
      </c>
      <c r="V44">
        <f t="shared" si="12"/>
        <v>-0.99700933125889035</v>
      </c>
      <c r="W44">
        <f t="shared" si="13"/>
        <v>-0.99593815852838286</v>
      </c>
      <c r="X44">
        <f t="shared" si="14"/>
        <v>-0.96827580931189516</v>
      </c>
      <c r="Y44">
        <f t="shared" si="15"/>
        <v>-0.97111379990596181</v>
      </c>
      <c r="Z44">
        <f t="shared" si="16"/>
        <v>-0.97404525099437089</v>
      </c>
    </row>
    <row r="45" spans="1:26" x14ac:dyDescent="0.25">
      <c r="A45" s="14" t="s">
        <v>55</v>
      </c>
      <c r="B45" s="6">
        <v>1243</v>
      </c>
      <c r="C45" s="6">
        <v>194</v>
      </c>
      <c r="D45" s="6">
        <v>44</v>
      </c>
      <c r="E45" s="6">
        <v>23</v>
      </c>
      <c r="F45" s="15">
        <v>46</v>
      </c>
      <c r="G45">
        <f>VLOOKUP(A45,expototal,2,FALSE)</f>
        <v>185185365</v>
      </c>
      <c r="H45">
        <f>VLOOKUP(A45,expototal,3,FALSE)</f>
        <v>195997876</v>
      </c>
      <c r="I45">
        <f>VLOOKUP(A45,expototal,4,FALSE)</f>
        <v>219836715</v>
      </c>
      <c r="J45">
        <f>VLOOKUP(A45,expototal,5,FALSE)</f>
        <v>212869514</v>
      </c>
      <c r="K45">
        <f>VLOOKUP(A45,expototal,6,FALSE)</f>
        <v>242218972</v>
      </c>
      <c r="L45">
        <f t="shared" si="6"/>
        <v>6.7121934824601284E-6</v>
      </c>
      <c r="M45">
        <f t="shared" si="1"/>
        <v>9.8980664463935317E-7</v>
      </c>
      <c r="N45">
        <f t="shared" si="2"/>
        <v>2.001485511644404E-7</v>
      </c>
      <c r="O45">
        <f t="shared" si="3"/>
        <v>1.080474116176166E-7</v>
      </c>
      <c r="P45">
        <f t="shared" si="4"/>
        <v>1.8991080517012516E-7</v>
      </c>
      <c r="Q45">
        <f t="shared" si="7"/>
        <v>0.38411681089055488</v>
      </c>
      <c r="R45">
        <f t="shared" si="8"/>
        <v>8.9802096597316403E-2</v>
      </c>
      <c r="S45">
        <f t="shared" si="9"/>
        <v>2.3500327993188266E-2</v>
      </c>
      <c r="T45">
        <f t="shared" si="10"/>
        <v>1.1670880715324166E-2</v>
      </c>
      <c r="U45">
        <f t="shared" si="11"/>
        <v>1.4944188618337949E-2</v>
      </c>
      <c r="V45">
        <f t="shared" si="12"/>
        <v>-0.4449647488301075</v>
      </c>
      <c r="W45">
        <f t="shared" si="13"/>
        <v>-0.83519558848766207</v>
      </c>
      <c r="X45">
        <f t="shared" si="14"/>
        <v>-0.95407851399663712</v>
      </c>
      <c r="Y45">
        <f t="shared" si="15"/>
        <v>-0.97692751479202011</v>
      </c>
      <c r="Z45">
        <f t="shared" si="16"/>
        <v>-0.97055170365834265</v>
      </c>
    </row>
    <row r="46" spans="1:26" x14ac:dyDescent="0.25">
      <c r="A46" s="13" t="s">
        <v>56</v>
      </c>
      <c r="B46" s="7">
        <v>44</v>
      </c>
      <c r="C46" s="7">
        <v>0</v>
      </c>
      <c r="D46" s="7">
        <v>0</v>
      </c>
      <c r="E46" s="7">
        <v>0</v>
      </c>
      <c r="F46" s="8">
        <v>44</v>
      </c>
      <c r="G46">
        <f>VLOOKUP(A46,expototal,2,FALSE)</f>
        <v>416982170</v>
      </c>
      <c r="H46">
        <f>VLOOKUP(A46,expototal,3,FALSE)</f>
        <v>494460765</v>
      </c>
      <c r="I46">
        <f>VLOOKUP(A46,expototal,4,FALSE)</f>
        <v>577730713</v>
      </c>
      <c r="J46">
        <f>VLOOKUP(A46,expototal,5,FALSE)</f>
        <v>592997234</v>
      </c>
      <c r="K46">
        <f>VLOOKUP(A46,expototal,6,FALSE)</f>
        <v>669295575</v>
      </c>
      <c r="L46">
        <f t="shared" si="6"/>
        <v>1.0552009933662152E-7</v>
      </c>
      <c r="M46">
        <f t="shared" si="1"/>
        <v>0</v>
      </c>
      <c r="N46">
        <f t="shared" si="2"/>
        <v>0</v>
      </c>
      <c r="O46">
        <f t="shared" si="3"/>
        <v>0</v>
      </c>
      <c r="P46">
        <f t="shared" si="4"/>
        <v>6.5740760350910737E-8</v>
      </c>
      <c r="Q46">
        <f t="shared" si="7"/>
        <v>6.0385690829612322E-3</v>
      </c>
      <c r="R46">
        <f t="shared" si="8"/>
        <v>0</v>
      </c>
      <c r="S46">
        <f t="shared" si="9"/>
        <v>0</v>
      </c>
      <c r="T46">
        <f t="shared" si="10"/>
        <v>0</v>
      </c>
      <c r="U46">
        <f t="shared" si="11"/>
        <v>5.1731775962767113E-3</v>
      </c>
      <c r="V46">
        <f t="shared" si="12"/>
        <v>-0.98799535272595851</v>
      </c>
      <c r="W46">
        <f t="shared" si="13"/>
        <v>-1</v>
      </c>
      <c r="X46">
        <f t="shared" si="14"/>
        <v>-1</v>
      </c>
      <c r="Y46">
        <f t="shared" si="15"/>
        <v>-1</v>
      </c>
      <c r="Z46">
        <f t="shared" si="16"/>
        <v>-0.98970689287860314</v>
      </c>
    </row>
    <row r="47" spans="1:26" ht="23.25" x14ac:dyDescent="0.25">
      <c r="A47" s="14" t="s">
        <v>57</v>
      </c>
      <c r="B47" s="6">
        <v>0</v>
      </c>
      <c r="C47" s="6">
        <v>0</v>
      </c>
      <c r="D47" s="6">
        <v>0</v>
      </c>
      <c r="E47" s="6">
        <v>0</v>
      </c>
      <c r="F47" s="9">
        <v>44</v>
      </c>
      <c r="G47">
        <f>VLOOKUP(A47,expototal,2,FALSE)</f>
        <v>33036571</v>
      </c>
      <c r="H47">
        <f>VLOOKUP(A47,expototal,3,FALSE)</f>
        <v>69495784</v>
      </c>
      <c r="I47">
        <f>VLOOKUP(A47,expototal,4,FALSE)</f>
        <v>93458233</v>
      </c>
      <c r="J47">
        <f>VLOOKUP(A47,expototal,5,FALSE)</f>
        <v>104487285</v>
      </c>
      <c r="K47">
        <f>VLOOKUP(A47,expototal,6,FALSE)</f>
        <v>12301138</v>
      </c>
      <c r="L47">
        <f t="shared" si="6"/>
        <v>0</v>
      </c>
      <c r="M47">
        <f t="shared" si="1"/>
        <v>0</v>
      </c>
      <c r="N47">
        <f t="shared" si="2"/>
        <v>0</v>
      </c>
      <c r="O47">
        <f t="shared" si="3"/>
        <v>0</v>
      </c>
      <c r="P47">
        <f t="shared" si="4"/>
        <v>3.5769048359590796E-6</v>
      </c>
      <c r="Q47">
        <f t="shared" si="7"/>
        <v>0</v>
      </c>
      <c r="R47">
        <f t="shared" si="8"/>
        <v>0</v>
      </c>
      <c r="S47">
        <f t="shared" si="9"/>
        <v>0</v>
      </c>
      <c r="T47">
        <f t="shared" si="10"/>
        <v>0</v>
      </c>
      <c r="U47">
        <f t="shared" si="11"/>
        <v>0.28146866362097062</v>
      </c>
      <c r="V47">
        <f t="shared" si="12"/>
        <v>-1</v>
      </c>
      <c r="W47">
        <f t="shared" si="13"/>
        <v>-1</v>
      </c>
      <c r="X47">
        <f t="shared" si="14"/>
        <v>-1</v>
      </c>
      <c r="Y47">
        <f t="shared" si="15"/>
        <v>-1</v>
      </c>
      <c r="Z47">
        <f t="shared" si="16"/>
        <v>-0.56070925242035774</v>
      </c>
    </row>
    <row r="48" spans="1:26" x14ac:dyDescent="0.25">
      <c r="A48" s="13" t="s">
        <v>58</v>
      </c>
      <c r="B48" s="7">
        <v>25</v>
      </c>
      <c r="C48" s="7">
        <v>27</v>
      </c>
      <c r="D48" s="7">
        <v>37</v>
      </c>
      <c r="E48" s="7">
        <v>32</v>
      </c>
      <c r="F48" s="16">
        <v>35</v>
      </c>
      <c r="G48">
        <f>VLOOKUP(A48,expototal,2,FALSE)</f>
        <v>13824679</v>
      </c>
      <c r="H48">
        <f>VLOOKUP(A48,expototal,3,FALSE)</f>
        <v>16816056</v>
      </c>
      <c r="I48">
        <f>VLOOKUP(A48,expototal,4,FALSE)</f>
        <v>17395555</v>
      </c>
      <c r="J48">
        <f>VLOOKUP(A48,expototal,5,FALSE)</f>
        <v>17197406</v>
      </c>
      <c r="K48">
        <f>VLOOKUP(A48,expototal,6,FALSE)</f>
        <v>16215423</v>
      </c>
      <c r="L48">
        <f t="shared" si="6"/>
        <v>1.8083602519812576E-6</v>
      </c>
      <c r="M48">
        <f t="shared" si="1"/>
        <v>1.6056083543013891E-6</v>
      </c>
      <c r="N48">
        <f t="shared" si="2"/>
        <v>2.1269801394666624E-6</v>
      </c>
      <c r="O48">
        <f t="shared" si="3"/>
        <v>1.8607457427009631E-6</v>
      </c>
      <c r="P48">
        <f t="shared" si="4"/>
        <v>2.1584389133727809E-6</v>
      </c>
      <c r="Q48">
        <f t="shared" si="7"/>
        <v>0.10348652415151936</v>
      </c>
      <c r="R48">
        <f t="shared" si="8"/>
        <v>0.14567188178754617</v>
      </c>
      <c r="S48">
        <f t="shared" si="9"/>
        <v>0.24973816008988664</v>
      </c>
      <c r="T48">
        <f t="shared" si="10"/>
        <v>0.20099085465800678</v>
      </c>
      <c r="U48">
        <f t="shared" si="11"/>
        <v>0.1698487782920392</v>
      </c>
      <c r="V48">
        <f t="shared" si="12"/>
        <v>-0.81243717637405488</v>
      </c>
      <c r="W48">
        <f t="shared" si="13"/>
        <v>-0.74570052018687905</v>
      </c>
      <c r="X48">
        <f t="shared" si="14"/>
        <v>-0.60033522530523609</v>
      </c>
      <c r="Y48">
        <f t="shared" si="15"/>
        <v>-0.66529161503858281</v>
      </c>
      <c r="Z48">
        <f t="shared" si="16"/>
        <v>-0.70962267697536807</v>
      </c>
    </row>
    <row r="49" spans="1:26" x14ac:dyDescent="0.25">
      <c r="A49" s="14" t="s">
        <v>59</v>
      </c>
      <c r="B49" s="6">
        <v>24</v>
      </c>
      <c r="C49" s="6">
        <v>57</v>
      </c>
      <c r="D49" s="6">
        <v>25</v>
      </c>
      <c r="E49" s="6">
        <v>32</v>
      </c>
      <c r="F49" s="15">
        <v>34</v>
      </c>
      <c r="G49">
        <f>VLOOKUP(A49,expototal,2,FALSE)</f>
        <v>85686133</v>
      </c>
      <c r="H49">
        <f>VLOOKUP(A49,expototal,3,FALSE)</f>
        <v>123734050</v>
      </c>
      <c r="I49">
        <f>VLOOKUP(A49,expototal,4,FALSE)</f>
        <v>123614816</v>
      </c>
      <c r="J49">
        <f>VLOOKUP(A49,expototal,5,FALSE)</f>
        <v>110662795</v>
      </c>
      <c r="K49">
        <f>VLOOKUP(A49,expototal,6,FALSE)</f>
        <v>110390555</v>
      </c>
      <c r="L49">
        <f t="shared" si="6"/>
        <v>2.8009199574918381E-7</v>
      </c>
      <c r="M49">
        <f t="shared" si="1"/>
        <v>4.6066543526216106E-7</v>
      </c>
      <c r="N49">
        <f t="shared" si="2"/>
        <v>2.0224112941283672E-7</v>
      </c>
      <c r="O49">
        <f t="shared" si="3"/>
        <v>2.8916674298710782E-7</v>
      </c>
      <c r="P49">
        <f t="shared" si="4"/>
        <v>3.0799736444843494E-7</v>
      </c>
      <c r="Q49">
        <f t="shared" si="7"/>
        <v>1.6028745959765535E-2</v>
      </c>
      <c r="R49">
        <f t="shared" si="8"/>
        <v>4.1794750662166487E-2</v>
      </c>
      <c r="S49">
        <f t="shared" si="9"/>
        <v>2.374602687485702E-2</v>
      </c>
      <c r="T49">
        <f t="shared" si="10"/>
        <v>3.1234719219234739E-2</v>
      </c>
      <c r="U49">
        <f t="shared" si="11"/>
        <v>2.4236486724097402E-2</v>
      </c>
      <c r="V49">
        <f t="shared" si="12"/>
        <v>-0.96844824317519806</v>
      </c>
      <c r="W49">
        <f t="shared" si="13"/>
        <v>-0.91976394460501609</v>
      </c>
      <c r="X49">
        <f t="shared" si="14"/>
        <v>-0.95360953546780447</v>
      </c>
      <c r="Y49">
        <f t="shared" si="15"/>
        <v>-0.93942267722932549</v>
      </c>
      <c r="Z49">
        <f t="shared" si="16"/>
        <v>-0.95267404151630053</v>
      </c>
    </row>
    <row r="50" spans="1:26" x14ac:dyDescent="0.25">
      <c r="A50" s="13" t="s">
        <v>60</v>
      </c>
      <c r="B50" s="7">
        <v>1</v>
      </c>
      <c r="C50" s="7">
        <v>1</v>
      </c>
      <c r="D50" s="7">
        <v>3</v>
      </c>
      <c r="E50" s="7">
        <v>14</v>
      </c>
      <c r="F50" s="16">
        <v>31</v>
      </c>
      <c r="G50">
        <f>VLOOKUP(A50,expototal,2,FALSE)</f>
        <v>16901599</v>
      </c>
      <c r="H50">
        <f>VLOOKUP(A50,expototal,3,FALSE)</f>
        <v>22303231</v>
      </c>
      <c r="I50">
        <f>VLOOKUP(A50,expototal,4,FALSE)</f>
        <v>23600194</v>
      </c>
      <c r="J50">
        <f>VLOOKUP(A50,expototal,5,FALSE)</f>
        <v>20108197</v>
      </c>
      <c r="K50">
        <f>VLOOKUP(A50,expototal,6,FALSE)</f>
        <v>19773052</v>
      </c>
      <c r="L50">
        <f t="shared" si="6"/>
        <v>5.9165999619325958E-8</v>
      </c>
      <c r="M50">
        <f t="shared" si="1"/>
        <v>4.4836553053680878E-8</v>
      </c>
      <c r="N50">
        <f t="shared" si="2"/>
        <v>1.2711759911804115E-7</v>
      </c>
      <c r="O50">
        <f t="shared" si="3"/>
        <v>6.962334813011828E-7</v>
      </c>
      <c r="P50">
        <f t="shared" si="4"/>
        <v>1.5677903441512216E-6</v>
      </c>
      <c r="Q50">
        <f t="shared" si="7"/>
        <v>3.3858760398244037E-3</v>
      </c>
      <c r="R50">
        <f t="shared" si="8"/>
        <v>4.0678818335114541E-3</v>
      </c>
      <c r="S50">
        <f t="shared" si="9"/>
        <v>1.4925440407141598E-2</v>
      </c>
      <c r="T50">
        <f t="shared" si="10"/>
        <v>7.5204558708337754E-2</v>
      </c>
      <c r="U50">
        <f t="shared" si="11"/>
        <v>0.12337030847726874</v>
      </c>
      <c r="V50">
        <f t="shared" si="12"/>
        <v>-0.993251098863006</v>
      </c>
      <c r="W50">
        <f t="shared" si="13"/>
        <v>-0.99189719757575923</v>
      </c>
      <c r="X50">
        <f t="shared" si="14"/>
        <v>-0.97058810467662693</v>
      </c>
      <c r="Y50">
        <f t="shared" si="15"/>
        <v>-0.86011116098934282</v>
      </c>
      <c r="Z50">
        <f t="shared" si="16"/>
        <v>-0.78035682882789115</v>
      </c>
    </row>
    <row r="51" spans="1:26" x14ac:dyDescent="0.25">
      <c r="A51" s="14" t="s">
        <v>61</v>
      </c>
      <c r="B51" s="6">
        <v>119</v>
      </c>
      <c r="C51" s="6">
        <v>138</v>
      </c>
      <c r="D51" s="6">
        <v>41</v>
      </c>
      <c r="E51" s="6">
        <v>52</v>
      </c>
      <c r="F51" s="15">
        <v>30</v>
      </c>
      <c r="G51">
        <f>VLOOKUP(A51,expototal,2,FALSE)</f>
        <v>373909153</v>
      </c>
      <c r="H51">
        <f>VLOOKUP(A51,expototal,3,FALSE)</f>
        <v>457749966</v>
      </c>
      <c r="I51">
        <f>VLOOKUP(A51,expototal,4,FALSE)</f>
        <v>515077895</v>
      </c>
      <c r="J51">
        <f>VLOOKUP(A51,expototal,5,FALSE)</f>
        <v>475472598</v>
      </c>
      <c r="K51">
        <f>VLOOKUP(A51,expototal,6,FALSE)</f>
        <v>504878086</v>
      </c>
      <c r="L51">
        <f t="shared" si="6"/>
        <v>3.1825912536567407E-7</v>
      </c>
      <c r="M51">
        <f t="shared" si="1"/>
        <v>3.0147462643394277E-7</v>
      </c>
      <c r="N51">
        <f t="shared" si="2"/>
        <v>7.9599610851092723E-8</v>
      </c>
      <c r="O51">
        <f t="shared" si="3"/>
        <v>1.0936487237903876E-7</v>
      </c>
      <c r="P51">
        <f t="shared" si="4"/>
        <v>5.9420285474620499E-8</v>
      </c>
      <c r="Q51">
        <f t="shared" si="7"/>
        <v>1.8212925564755011E-2</v>
      </c>
      <c r="R51">
        <f t="shared" si="8"/>
        <v>2.735186076117439E-2</v>
      </c>
      <c r="S51">
        <f t="shared" si="9"/>
        <v>9.3461429135899329E-3</v>
      </c>
      <c r="T51">
        <f t="shared" si="10"/>
        <v>1.1813187941045538E-2</v>
      </c>
      <c r="U51">
        <f t="shared" si="11"/>
        <v>4.6758158551997164E-3</v>
      </c>
      <c r="V51">
        <f t="shared" si="12"/>
        <v>-0.96422570347031666</v>
      </c>
      <c r="W51">
        <f t="shared" si="13"/>
        <v>-0.94675269144709751</v>
      </c>
      <c r="X51">
        <f t="shared" si="14"/>
        <v>-0.98148079728801207</v>
      </c>
      <c r="Y51">
        <f t="shared" si="15"/>
        <v>-0.97664946833696764</v>
      </c>
      <c r="Z51">
        <f t="shared" si="16"/>
        <v>-0.99069189129188007</v>
      </c>
    </row>
    <row r="52" spans="1:26" x14ac:dyDescent="0.25">
      <c r="A52" s="13" t="s">
        <v>62</v>
      </c>
      <c r="B52" s="7">
        <v>25</v>
      </c>
      <c r="C52" s="7">
        <v>25</v>
      </c>
      <c r="D52" s="7">
        <v>30</v>
      </c>
      <c r="E52" s="7">
        <v>20</v>
      </c>
      <c r="F52" s="16">
        <v>24</v>
      </c>
      <c r="G52">
        <f>VLOOKUP(A52,expototal,2,FALSE)</f>
        <v>19384734</v>
      </c>
      <c r="H52">
        <f>VLOOKUP(A52,expototal,3,FALSE)</f>
        <v>25566161</v>
      </c>
      <c r="I52">
        <f>VLOOKUP(A52,expototal,4,FALSE)</f>
        <v>28565681</v>
      </c>
      <c r="J52">
        <f>VLOOKUP(A52,expototal,5,FALSE)</f>
        <v>30790286</v>
      </c>
      <c r="K52">
        <f>VLOOKUP(A52,expototal,6,FALSE)</f>
        <v>31115484</v>
      </c>
      <c r="L52">
        <f t="shared" si="6"/>
        <v>1.2896746481019549E-6</v>
      </c>
      <c r="M52">
        <f t="shared" si="1"/>
        <v>9.7785506396521557E-7</v>
      </c>
      <c r="N52">
        <f t="shared" si="2"/>
        <v>1.0502112657492743E-6</v>
      </c>
      <c r="O52">
        <f t="shared" si="3"/>
        <v>6.4955551241063498E-7</v>
      </c>
      <c r="P52">
        <f t="shared" si="4"/>
        <v>7.7132015687109354E-7</v>
      </c>
      <c r="Q52">
        <f t="shared" si="7"/>
        <v>7.3803848802903485E-2</v>
      </c>
      <c r="R52">
        <f t="shared" si="8"/>
        <v>8.8717766634487563E-2</v>
      </c>
      <c r="S52">
        <f t="shared" si="9"/>
        <v>0.12330995684786253</v>
      </c>
      <c r="T52">
        <f t="shared" si="10"/>
        <v>7.0162577611343355E-2</v>
      </c>
      <c r="U52">
        <f t="shared" si="11"/>
        <v>6.0695619183341286E-2</v>
      </c>
      <c r="V52">
        <f t="shared" si="12"/>
        <v>-0.8625375595641952</v>
      </c>
      <c r="W52">
        <f t="shared" si="13"/>
        <v>-0.83702338778076979</v>
      </c>
      <c r="X52">
        <f t="shared" si="14"/>
        <v>-0.78045248135450607</v>
      </c>
      <c r="Y52">
        <f t="shared" si="15"/>
        <v>-0.86887491848584408</v>
      </c>
      <c r="Z52">
        <f t="shared" si="16"/>
        <v>-0.88555506766385539</v>
      </c>
    </row>
    <row r="53" spans="1:26" x14ac:dyDescent="0.25">
      <c r="A53" s="14" t="s">
        <v>63</v>
      </c>
      <c r="B53" s="6">
        <v>16</v>
      </c>
      <c r="C53" s="6">
        <v>13</v>
      </c>
      <c r="D53" s="6">
        <v>11</v>
      </c>
      <c r="E53" s="6">
        <v>8</v>
      </c>
      <c r="F53" s="15">
        <v>15</v>
      </c>
      <c r="G53">
        <f>VLOOKUP(A53,expototal,2,FALSE)</f>
        <v>65606976</v>
      </c>
      <c r="H53">
        <f>VLOOKUP(A53,expototal,3,FALSE)</f>
        <v>81500265</v>
      </c>
      <c r="I53">
        <f>VLOOKUP(A53,expototal,4,FALSE)</f>
        <v>86228240</v>
      </c>
      <c r="J53">
        <f>VLOOKUP(A53,expototal,5,FALSE)</f>
        <v>82567753</v>
      </c>
      <c r="K53">
        <f>VLOOKUP(A53,expototal,6,FALSE)</f>
        <v>78154637</v>
      </c>
      <c r="L53">
        <f t="shared" si="6"/>
        <v>2.4387650483997309E-7</v>
      </c>
      <c r="M53">
        <f t="shared" si="1"/>
        <v>1.5950868380612013E-7</v>
      </c>
      <c r="N53">
        <f t="shared" si="2"/>
        <v>1.2756841610126797E-7</v>
      </c>
      <c r="O53">
        <f t="shared" si="3"/>
        <v>9.6890126100440211E-8</v>
      </c>
      <c r="P53">
        <f t="shared" si="4"/>
        <v>1.9192719172887977E-7</v>
      </c>
      <c r="Q53">
        <f t="shared" si="7"/>
        <v>1.3956252234840417E-2</v>
      </c>
      <c r="R53">
        <f t="shared" si="8"/>
        <v>1.447172971493557E-2</v>
      </c>
      <c r="S53">
        <f t="shared" si="9"/>
        <v>1.4978372826132859E-2</v>
      </c>
      <c r="T53">
        <f t="shared" si="10"/>
        <v>1.0465712109910312E-2</v>
      </c>
      <c r="U53">
        <f t="shared" si="11"/>
        <v>1.5102859216540702E-2</v>
      </c>
      <c r="V53">
        <f t="shared" si="12"/>
        <v>-0.97247168760174862</v>
      </c>
      <c r="W53">
        <f t="shared" si="13"/>
        <v>-0.97146942730675778</v>
      </c>
      <c r="X53">
        <f t="shared" si="14"/>
        <v>-0.97048533598912723</v>
      </c>
      <c r="Y53">
        <f t="shared" si="15"/>
        <v>-0.97928536914318975</v>
      </c>
      <c r="Z53">
        <f t="shared" si="16"/>
        <v>-0.97024368697336316</v>
      </c>
    </row>
    <row r="54" spans="1:26" x14ac:dyDescent="0.25">
      <c r="A54" s="13" t="s">
        <v>64</v>
      </c>
      <c r="B54" s="7">
        <v>30</v>
      </c>
      <c r="C54" s="7">
        <v>55</v>
      </c>
      <c r="D54" s="7">
        <v>75</v>
      </c>
      <c r="E54" s="7">
        <v>100</v>
      </c>
      <c r="F54" s="8">
        <v>13</v>
      </c>
      <c r="G54">
        <f>VLOOKUP(A54,expototal,2,FALSE)</f>
        <v>3807461</v>
      </c>
      <c r="H54">
        <f>VLOOKUP(A54,expototal,3,FALSE)</f>
        <v>4229977</v>
      </c>
      <c r="I54">
        <f>VLOOKUP(A54,expototal,4,FALSE)</f>
        <v>3491761</v>
      </c>
      <c r="J54">
        <f>VLOOKUP(A54,expototal,5,FALSE)</f>
        <v>4560694</v>
      </c>
      <c r="K54">
        <f>VLOOKUP(A54,expototal,6,FALSE)</f>
        <v>1521500</v>
      </c>
      <c r="L54">
        <f t="shared" si="6"/>
        <v>7.8792665243320947E-6</v>
      </c>
      <c r="M54">
        <f t="shared" si="1"/>
        <v>1.3002434765011724E-5</v>
      </c>
      <c r="N54">
        <f t="shared" si="2"/>
        <v>2.1479133308379352E-5</v>
      </c>
      <c r="O54">
        <f t="shared" si="3"/>
        <v>2.1926487503875508E-5</v>
      </c>
      <c r="P54">
        <f t="shared" si="4"/>
        <v>8.544199802826158E-6</v>
      </c>
      <c r="Q54">
        <f t="shared" si="7"/>
        <v>0.45090457201389672</v>
      </c>
      <c r="R54">
        <f t="shared" si="8"/>
        <v>1.1796707054773636</v>
      </c>
      <c r="S54">
        <f t="shared" si="9"/>
        <v>2.5219601881685247</v>
      </c>
      <c r="T54">
        <f t="shared" si="10"/>
        <v>2.3684178670510003</v>
      </c>
      <c r="U54">
        <f t="shared" si="11"/>
        <v>0.67234791265203009</v>
      </c>
      <c r="V54">
        <f t="shared" si="12"/>
        <v>-0.37845040850890926</v>
      </c>
      <c r="W54">
        <f t="shared" si="13"/>
        <v>8.2430206097583197E-2</v>
      </c>
      <c r="X54">
        <f t="shared" si="14"/>
        <v>0.43213441005986164</v>
      </c>
      <c r="Y54">
        <f t="shared" si="15"/>
        <v>0.40624943847867362</v>
      </c>
      <c r="Z54">
        <f t="shared" si="16"/>
        <v>-0.19592339899439654</v>
      </c>
    </row>
    <row r="55" spans="1:26" x14ac:dyDescent="0.25">
      <c r="A55" s="14" t="s">
        <v>65</v>
      </c>
      <c r="B55" s="6">
        <v>0</v>
      </c>
      <c r="C55" s="6">
        <v>1</v>
      </c>
      <c r="D55" s="6">
        <v>3</v>
      </c>
      <c r="E55" s="6">
        <v>26</v>
      </c>
      <c r="F55" s="15">
        <v>9</v>
      </c>
      <c r="G55">
        <f>VLOOKUP(A55,expototal,2,FALSE)</f>
        <v>82429462</v>
      </c>
      <c r="H55">
        <f>VLOOKUP(A55,expototal,3,FALSE)</f>
        <v>160479746</v>
      </c>
      <c r="I55">
        <f>VLOOKUP(A55,expototal,4,FALSE)</f>
        <v>271667221</v>
      </c>
      <c r="J55">
        <f>VLOOKUP(A55,expototal,5,FALSE)</f>
        <v>177454635</v>
      </c>
      <c r="K55">
        <f>VLOOKUP(A55,expototal,6,FALSE)</f>
        <v>168052921</v>
      </c>
      <c r="L55">
        <f t="shared" si="6"/>
        <v>0</v>
      </c>
      <c r="M55">
        <f t="shared" si="1"/>
        <v>6.2313159443809186E-9</v>
      </c>
      <c r="N55">
        <f t="shared" si="2"/>
        <v>1.104292225229484E-8</v>
      </c>
      <c r="O55">
        <f t="shared" si="3"/>
        <v>1.4651631950892689E-7</v>
      </c>
      <c r="P55">
        <f t="shared" si="4"/>
        <v>5.3554558566702923E-8</v>
      </c>
      <c r="Q55">
        <f t="shared" si="7"/>
        <v>0</v>
      </c>
      <c r="R55">
        <f t="shared" si="8"/>
        <v>5.6534802973522581E-4</v>
      </c>
      <c r="S55">
        <f t="shared" si="9"/>
        <v>1.2965984186365299E-3</v>
      </c>
      <c r="T55">
        <f t="shared" si="10"/>
        <v>1.5826149486011434E-2</v>
      </c>
      <c r="U55">
        <f t="shared" si="11"/>
        <v>4.2142384888299899E-3</v>
      </c>
      <c r="V55">
        <f t="shared" si="12"/>
        <v>-1</v>
      </c>
      <c r="W55">
        <f t="shared" si="13"/>
        <v>-0.99886994281613206</v>
      </c>
      <c r="X55">
        <f t="shared" si="14"/>
        <v>-0.99741016114369252</v>
      </c>
      <c r="Y55">
        <f t="shared" si="15"/>
        <v>-0.96884083069919158</v>
      </c>
      <c r="Z55">
        <f t="shared" si="16"/>
        <v>-0.9916068935744794</v>
      </c>
    </row>
    <row r="56" spans="1:26" x14ac:dyDescent="0.25">
      <c r="A56" s="13" t="s">
        <v>66</v>
      </c>
      <c r="B56" s="7">
        <v>1</v>
      </c>
      <c r="C56" s="7">
        <v>0</v>
      </c>
      <c r="D56" s="7">
        <v>2</v>
      </c>
      <c r="E56" s="7">
        <v>2</v>
      </c>
      <c r="F56" s="16">
        <v>9</v>
      </c>
      <c r="G56">
        <f>VLOOKUP(A56,expototal,2,FALSE)</f>
        <v>2512497</v>
      </c>
      <c r="H56">
        <f>VLOOKUP(A56,expototal,3,FALSE)</f>
        <v>2964798</v>
      </c>
      <c r="I56">
        <f>VLOOKUP(A56,expototal,4,FALSE)</f>
        <v>5306984</v>
      </c>
      <c r="J56">
        <f>VLOOKUP(A56,expototal,5,FALSE)</f>
        <v>8371155</v>
      </c>
      <c r="K56">
        <f>VLOOKUP(A56,expototal,6,FALSE)</f>
        <v>13028124</v>
      </c>
      <c r="L56">
        <f t="shared" si="6"/>
        <v>3.9801042548508514E-7</v>
      </c>
      <c r="M56">
        <f t="shared" si="1"/>
        <v>0</v>
      </c>
      <c r="N56">
        <f t="shared" si="2"/>
        <v>3.7686188614851676E-7</v>
      </c>
      <c r="O56">
        <f t="shared" si="3"/>
        <v>2.3891565739733643E-7</v>
      </c>
      <c r="P56">
        <f t="shared" si="4"/>
        <v>6.9081319766376184E-7</v>
      </c>
      <c r="Q56">
        <f t="shared" si="7"/>
        <v>2.2776830813656734E-2</v>
      </c>
      <c r="R56">
        <f t="shared" si="8"/>
        <v>0</v>
      </c>
      <c r="S56">
        <f t="shared" si="9"/>
        <v>4.424902344331931E-2</v>
      </c>
      <c r="T56">
        <f t="shared" si="10"/>
        <v>2.5806783307087952E-2</v>
      </c>
      <c r="U56">
        <f t="shared" si="11"/>
        <v>5.4360481051493346E-2</v>
      </c>
      <c r="V56">
        <f t="shared" si="12"/>
        <v>-0.95546080019130486</v>
      </c>
      <c r="W56">
        <f t="shared" si="13"/>
        <v>-1</v>
      </c>
      <c r="X56">
        <f t="shared" si="14"/>
        <v>-0.91525197065080888</v>
      </c>
      <c r="Y56">
        <f t="shared" si="15"/>
        <v>-0.94968490416121121</v>
      </c>
      <c r="Z56">
        <f t="shared" si="16"/>
        <v>-0.89688444886082852</v>
      </c>
    </row>
    <row r="57" spans="1:26" ht="34.5" x14ac:dyDescent="0.25">
      <c r="A57" s="14" t="s">
        <v>67</v>
      </c>
      <c r="B57" s="6">
        <v>0</v>
      </c>
      <c r="C57" s="6">
        <v>0</v>
      </c>
      <c r="D57" s="6"/>
      <c r="E57" s="6"/>
      <c r="F57" s="9">
        <v>8</v>
      </c>
      <c r="G57">
        <f>VLOOKUP(A57,expototal,2,FALSE)</f>
        <v>6132785</v>
      </c>
      <c r="H57">
        <f>VLOOKUP(A57,expototal,3,FALSE)</f>
        <v>7164608</v>
      </c>
      <c r="I57">
        <f>VLOOKUP(A57,expototal,4,FALSE)</f>
        <v>10222849</v>
      </c>
      <c r="J57">
        <f>VLOOKUP(A57,expototal,5,FALSE)</f>
        <v>10293431</v>
      </c>
      <c r="K57">
        <f>VLOOKUP(A57,expototal,6,FALSE)</f>
        <v>10940546</v>
      </c>
      <c r="L57">
        <f t="shared" si="6"/>
        <v>0</v>
      </c>
      <c r="M57">
        <f t="shared" si="1"/>
        <v>0</v>
      </c>
      <c r="N57">
        <f t="shared" si="2"/>
        <v>0</v>
      </c>
      <c r="O57">
        <f t="shared" si="3"/>
        <v>0</v>
      </c>
      <c r="P57">
        <f t="shared" si="4"/>
        <v>7.3122493155277624E-7</v>
      </c>
      <c r="Q57">
        <f t="shared" si="7"/>
        <v>0</v>
      </c>
      <c r="R57">
        <f t="shared" si="8"/>
        <v>0</v>
      </c>
      <c r="S57">
        <f t="shared" si="9"/>
        <v>0</v>
      </c>
      <c r="T57">
        <f t="shared" si="10"/>
        <v>0</v>
      </c>
      <c r="U57">
        <f t="shared" si="11"/>
        <v>5.754050323659498E-2</v>
      </c>
      <c r="V57">
        <f t="shared" si="12"/>
        <v>-1</v>
      </c>
      <c r="W57">
        <f t="shared" si="13"/>
        <v>-1</v>
      </c>
      <c r="X57">
        <f t="shared" si="14"/>
        <v>-1</v>
      </c>
      <c r="Y57">
        <f t="shared" si="15"/>
        <v>-1</v>
      </c>
      <c r="Z57">
        <f t="shared" si="16"/>
        <v>-0.89118052110440649</v>
      </c>
    </row>
    <row r="58" spans="1:26" x14ac:dyDescent="0.25">
      <c r="A58" s="13" t="s">
        <v>68</v>
      </c>
      <c r="B58" s="7">
        <v>1</v>
      </c>
      <c r="C58" s="7">
        <v>2</v>
      </c>
      <c r="D58" s="7">
        <v>6</v>
      </c>
      <c r="E58" s="7">
        <v>7</v>
      </c>
      <c r="F58" s="16">
        <v>8</v>
      </c>
      <c r="G58">
        <f>VLOOKUP(A58,expototal,2,FALSE)</f>
        <v>5505147</v>
      </c>
      <c r="H58">
        <f>VLOOKUP(A58,expototal,3,FALSE)</f>
        <v>8579957</v>
      </c>
      <c r="I58">
        <f>VLOOKUP(A58,expototal,4,FALSE)</f>
        <v>13220758</v>
      </c>
      <c r="J58">
        <f>VLOOKUP(A58,expototal,5,FALSE)</f>
        <v>7820638</v>
      </c>
      <c r="K58">
        <f>VLOOKUP(A58,expototal,6,FALSE)</f>
        <v>7910706</v>
      </c>
      <c r="L58">
        <f t="shared" si="6"/>
        <v>1.8164819213728535E-7</v>
      </c>
      <c r="M58">
        <f t="shared" si="1"/>
        <v>2.3310140132403927E-7</v>
      </c>
      <c r="N58">
        <f t="shared" si="2"/>
        <v>4.5383176970639657E-7</v>
      </c>
      <c r="O58">
        <f t="shared" si="3"/>
        <v>8.9506764026157452E-7</v>
      </c>
      <c r="P58">
        <f t="shared" si="4"/>
        <v>1.0112877409424645E-6</v>
      </c>
      <c r="Q58">
        <f t="shared" si="7"/>
        <v>1.039513006443245E-2</v>
      </c>
      <c r="R58">
        <f t="shared" si="8"/>
        <v>2.1148569442366552E-2</v>
      </c>
      <c r="S58">
        <f t="shared" si="9"/>
        <v>5.3286398426471565E-2</v>
      </c>
      <c r="T58">
        <f t="shared" si="10"/>
        <v>9.668188719419829E-2</v>
      </c>
      <c r="U58">
        <f t="shared" si="11"/>
        <v>7.9578804031285727E-2</v>
      </c>
      <c r="V58">
        <f t="shared" si="12"/>
        <v>-0.97942363387327569</v>
      </c>
      <c r="W58">
        <f t="shared" si="13"/>
        <v>-0.95857885899225137</v>
      </c>
      <c r="X58">
        <f t="shared" si="14"/>
        <v>-0.89881878564827711</v>
      </c>
      <c r="Y58">
        <f t="shared" si="15"/>
        <v>-0.82368289597350097</v>
      </c>
      <c r="Z58">
        <f t="shared" si="16"/>
        <v>-0.85257434893288342</v>
      </c>
    </row>
    <row r="59" spans="1:26" ht="23.25" x14ac:dyDescent="0.25">
      <c r="A59" s="14" t="s">
        <v>69</v>
      </c>
      <c r="B59" s="6">
        <v>10</v>
      </c>
      <c r="C59" s="6">
        <v>15</v>
      </c>
      <c r="D59" s="6">
        <v>36</v>
      </c>
      <c r="E59" s="6">
        <v>8</v>
      </c>
      <c r="F59" s="15">
        <v>6</v>
      </c>
      <c r="G59">
        <f>VLOOKUP(A59,expototal,2,FALSE)</f>
        <v>6633216</v>
      </c>
      <c r="H59">
        <f>VLOOKUP(A59,expototal,3,FALSE)</f>
        <v>8186315</v>
      </c>
      <c r="I59">
        <f>VLOOKUP(A59,expototal,4,FALSE)</f>
        <v>8729356</v>
      </c>
      <c r="J59">
        <f>VLOOKUP(A59,expototal,5,FALSE)</f>
        <v>8994858</v>
      </c>
      <c r="K59">
        <f>VLOOKUP(A59,expototal,6,FALSE)</f>
        <v>8423005</v>
      </c>
      <c r="L59">
        <f t="shared" si="6"/>
        <v>1.5075643549071823E-6</v>
      </c>
      <c r="M59">
        <f t="shared" si="1"/>
        <v>1.8323262664581072E-6</v>
      </c>
      <c r="N59">
        <f t="shared" si="2"/>
        <v>4.1240155631182869E-6</v>
      </c>
      <c r="O59">
        <f t="shared" si="3"/>
        <v>8.8939703105930082E-7</v>
      </c>
      <c r="P59">
        <f t="shared" si="4"/>
        <v>7.1233484961720902E-7</v>
      </c>
      <c r="Q59">
        <f t="shared" si="7"/>
        <v>8.6272961846591611E-2</v>
      </c>
      <c r="R59">
        <f t="shared" si="8"/>
        <v>0.16624129699414722</v>
      </c>
      <c r="S59">
        <f t="shared" si="9"/>
        <v>0.48421893547791706</v>
      </c>
      <c r="T59">
        <f t="shared" si="10"/>
        <v>9.6069369017296721E-2</v>
      </c>
      <c r="U59">
        <f t="shared" si="11"/>
        <v>5.6054032010231167E-2</v>
      </c>
      <c r="V59">
        <f t="shared" si="12"/>
        <v>-0.84115785833436685</v>
      </c>
      <c r="W59">
        <f t="shared" si="13"/>
        <v>-0.71491097524566305</v>
      </c>
      <c r="X59">
        <f t="shared" si="14"/>
        <v>-0.34751009584445297</v>
      </c>
      <c r="Y59">
        <f t="shared" si="15"/>
        <v>-0.82470202756705147</v>
      </c>
      <c r="Z59">
        <f t="shared" si="16"/>
        <v>-0.89384249231352186</v>
      </c>
    </row>
    <row r="60" spans="1:26" x14ac:dyDescent="0.25">
      <c r="A60" s="13" t="s">
        <v>70</v>
      </c>
      <c r="B60" s="7">
        <v>4</v>
      </c>
      <c r="C60" s="7">
        <v>15</v>
      </c>
      <c r="D60" s="7">
        <v>7</v>
      </c>
      <c r="E60" s="7">
        <v>11</v>
      </c>
      <c r="F60" s="16">
        <v>5</v>
      </c>
      <c r="G60">
        <f>VLOOKUP(A60,expototal,2,FALSE)</f>
        <v>9656808</v>
      </c>
      <c r="H60">
        <f>VLOOKUP(A60,expototal,3,FALSE)</f>
        <v>13373218</v>
      </c>
      <c r="I60">
        <f>VLOOKUP(A60,expototal,4,FALSE)</f>
        <v>15466804</v>
      </c>
      <c r="J60">
        <f>VLOOKUP(A60,expototal,5,FALSE)</f>
        <v>16738253</v>
      </c>
      <c r="K60">
        <f>VLOOKUP(A60,expototal,6,FALSE)</f>
        <v>13181447</v>
      </c>
      <c r="L60">
        <f t="shared" si="6"/>
        <v>4.1421554617219269E-7</v>
      </c>
      <c r="M60">
        <f t="shared" si="1"/>
        <v>1.121644767923472E-6</v>
      </c>
      <c r="N60">
        <f t="shared" si="2"/>
        <v>4.5258218827884546E-7</v>
      </c>
      <c r="O60">
        <f t="shared" si="3"/>
        <v>6.57177305182327E-7</v>
      </c>
      <c r="P60">
        <f t="shared" si="4"/>
        <v>3.7932102598447653E-7</v>
      </c>
      <c r="Q60">
        <f t="shared" si="7"/>
        <v>2.3704196703018265E-2</v>
      </c>
      <c r="R60">
        <f t="shared" si="8"/>
        <v>0.101763361907556</v>
      </c>
      <c r="S60">
        <f t="shared" si="9"/>
        <v>5.3139679535773622E-2</v>
      </c>
      <c r="T60">
        <f t="shared" si="10"/>
        <v>7.0985855401561465E-2</v>
      </c>
      <c r="U60">
        <f t="shared" si="11"/>
        <v>2.9848985970732021E-2</v>
      </c>
      <c r="V60">
        <f t="shared" si="12"/>
        <v>-0.95368936304186125</v>
      </c>
      <c r="W60">
        <f t="shared" si="13"/>
        <v>-0.81527183526711888</v>
      </c>
      <c r="X60">
        <f t="shared" si="14"/>
        <v>-0.89908332091485199</v>
      </c>
      <c r="Y60">
        <f t="shared" si="15"/>
        <v>-0.86743829520522364</v>
      </c>
      <c r="Z60">
        <f t="shared" si="16"/>
        <v>-0.94203230497411905</v>
      </c>
    </row>
    <row r="61" spans="1:26" x14ac:dyDescent="0.25">
      <c r="A61" s="14" t="s">
        <v>71</v>
      </c>
      <c r="B61" s="6">
        <v>31</v>
      </c>
      <c r="C61" s="6">
        <v>40</v>
      </c>
      <c r="D61" s="6">
        <v>10</v>
      </c>
      <c r="E61" s="6">
        <v>18</v>
      </c>
      <c r="F61" s="15">
        <v>4</v>
      </c>
      <c r="G61">
        <f>VLOOKUP(A61,expototal,2,FALSE)</f>
        <v>31045676</v>
      </c>
      <c r="H61">
        <f>VLOOKUP(A61,expototal,3,FALSE)</f>
        <v>40488600</v>
      </c>
      <c r="I61">
        <f>VLOOKUP(A61,expototal,4,FALSE)</f>
        <v>57259330</v>
      </c>
      <c r="J61">
        <f>VLOOKUP(A61,expototal,5,FALSE)</f>
        <v>49542894</v>
      </c>
      <c r="K61">
        <f>VLOOKUP(A61,expototal,6,FALSE)</f>
        <v>49551988</v>
      </c>
      <c r="L61">
        <f t="shared" si="6"/>
        <v>9.9852874841572138E-7</v>
      </c>
      <c r="M61">
        <f t="shared" si="1"/>
        <v>9.8793240566480442E-7</v>
      </c>
      <c r="N61">
        <f t="shared" si="2"/>
        <v>1.7464402744495962E-7</v>
      </c>
      <c r="O61">
        <f t="shared" si="3"/>
        <v>3.6332152901685557E-7</v>
      </c>
      <c r="P61">
        <f t="shared" si="4"/>
        <v>8.0723300142872175E-8</v>
      </c>
      <c r="Q61">
        <f t="shared" si="7"/>
        <v>5.7142524187697608E-2</v>
      </c>
      <c r="R61">
        <f t="shared" si="8"/>
        <v>8.9632052689902333E-2</v>
      </c>
      <c r="S61">
        <f t="shared" si="9"/>
        <v>2.0505728885521404E-2</v>
      </c>
      <c r="T61">
        <f t="shared" si="10"/>
        <v>3.9244644207409703E-2</v>
      </c>
      <c r="U61">
        <f t="shared" si="11"/>
        <v>6.3521621223664761E-3</v>
      </c>
      <c r="V61">
        <f t="shared" si="12"/>
        <v>-0.89189248775777785</v>
      </c>
      <c r="W61">
        <f t="shared" si="13"/>
        <v>-0.83548198225514081</v>
      </c>
      <c r="X61">
        <f t="shared" si="14"/>
        <v>-0.95981261387348527</v>
      </c>
      <c r="Y61">
        <f t="shared" si="15"/>
        <v>-0.92447467605216282</v>
      </c>
      <c r="Z61">
        <f t="shared" si="16"/>
        <v>-0.98737586629918894</v>
      </c>
    </row>
    <row r="62" spans="1:26" ht="23.25" x14ac:dyDescent="0.25">
      <c r="A62" s="13" t="s">
        <v>72</v>
      </c>
      <c r="B62" s="7">
        <v>6</v>
      </c>
      <c r="C62" s="7">
        <v>0</v>
      </c>
      <c r="D62" s="7">
        <v>3</v>
      </c>
      <c r="E62" s="7">
        <v>5</v>
      </c>
      <c r="F62" s="16">
        <v>4</v>
      </c>
      <c r="G62">
        <f>VLOOKUP(A62,expototal,2,FALSE)</f>
        <v>6148985</v>
      </c>
      <c r="H62">
        <f>VLOOKUP(A62,expototal,3,FALSE)</f>
        <v>8614111</v>
      </c>
      <c r="I62">
        <f>VLOOKUP(A62,expototal,4,FALSE)</f>
        <v>9678153</v>
      </c>
      <c r="J62">
        <f>VLOOKUP(A62,expototal,5,FALSE)</f>
        <v>9228186</v>
      </c>
      <c r="K62">
        <f>VLOOKUP(A62,expototal,6,FALSE)</f>
        <v>8893857</v>
      </c>
      <c r="L62">
        <f t="shared" si="6"/>
        <v>9.7577079794470145E-7</v>
      </c>
      <c r="M62">
        <f t="shared" si="1"/>
        <v>0</v>
      </c>
      <c r="N62">
        <f t="shared" si="2"/>
        <v>3.0997650068148336E-7</v>
      </c>
      <c r="O62">
        <f t="shared" si="3"/>
        <v>5.4181829451638709E-7</v>
      </c>
      <c r="P62">
        <f t="shared" si="4"/>
        <v>4.4974862986890838E-7</v>
      </c>
      <c r="Q62">
        <f t="shared" si="7"/>
        <v>5.584016134905527E-2</v>
      </c>
      <c r="R62">
        <f t="shared" si="8"/>
        <v>0</v>
      </c>
      <c r="S62">
        <f t="shared" si="9"/>
        <v>3.6395714052462357E-2</v>
      </c>
      <c r="T62">
        <f t="shared" si="10"/>
        <v>5.8525202871681899E-2</v>
      </c>
      <c r="U62">
        <f t="shared" si="11"/>
        <v>3.5390973934206288E-2</v>
      </c>
      <c r="V62">
        <f t="shared" si="12"/>
        <v>-0.89422610847136585</v>
      </c>
      <c r="W62">
        <f t="shared" si="13"/>
        <v>-1</v>
      </c>
      <c r="X62">
        <f t="shared" si="14"/>
        <v>-0.92976483102163809</v>
      </c>
      <c r="Y62">
        <f t="shared" si="15"/>
        <v>-0.88942123869529344</v>
      </c>
      <c r="Z62">
        <f t="shared" si="16"/>
        <v>-0.93163746869507635</v>
      </c>
    </row>
    <row r="63" spans="1:26" x14ac:dyDescent="0.25">
      <c r="A63" s="14" t="s">
        <v>73</v>
      </c>
      <c r="B63" s="6">
        <v>0</v>
      </c>
      <c r="C63" s="6">
        <v>0</v>
      </c>
      <c r="D63" s="6">
        <v>2</v>
      </c>
      <c r="E63" s="6">
        <v>4</v>
      </c>
      <c r="F63" s="15">
        <v>4</v>
      </c>
      <c r="G63">
        <f>VLOOKUP(A63,expototal,2,FALSE)</f>
        <v>46949697</v>
      </c>
      <c r="H63">
        <f>VLOOKUP(A63,expototal,3,FALSE)</f>
        <v>60321024</v>
      </c>
      <c r="I63">
        <f>VLOOKUP(A63,expototal,4,FALSE)</f>
        <v>76139805</v>
      </c>
      <c r="J63">
        <f>VLOOKUP(A63,expototal,5,FALSE)</f>
        <v>78735591</v>
      </c>
      <c r="K63">
        <f>VLOOKUP(A63,expototal,6,FALSE)</f>
        <v>81618417</v>
      </c>
      <c r="L63">
        <f t="shared" si="6"/>
        <v>0</v>
      </c>
      <c r="M63">
        <f t="shared" si="1"/>
        <v>0</v>
      </c>
      <c r="N63">
        <f t="shared" si="2"/>
        <v>2.6267469426799818E-8</v>
      </c>
      <c r="O63">
        <f t="shared" si="3"/>
        <v>5.0802946281307521E-8</v>
      </c>
      <c r="P63">
        <f t="shared" si="4"/>
        <v>4.9008546686221565E-8</v>
      </c>
      <c r="Q63">
        <f t="shared" si="7"/>
        <v>0</v>
      </c>
      <c r="R63">
        <f t="shared" si="8"/>
        <v>0</v>
      </c>
      <c r="S63">
        <f t="shared" si="9"/>
        <v>3.0841799427949739E-3</v>
      </c>
      <c r="T63">
        <f t="shared" si="10"/>
        <v>5.4875458575028889E-3</v>
      </c>
      <c r="U63">
        <f t="shared" si="11"/>
        <v>3.8565102440244353E-3</v>
      </c>
      <c r="V63">
        <f t="shared" si="12"/>
        <v>-1</v>
      </c>
      <c r="W63">
        <f t="shared" si="13"/>
        <v>-1</v>
      </c>
      <c r="X63">
        <f t="shared" si="14"/>
        <v>-0.99385060595219266</v>
      </c>
      <c r="Y63">
        <f t="shared" si="15"/>
        <v>-0.98908480591308956</v>
      </c>
      <c r="Z63">
        <f t="shared" si="16"/>
        <v>-0.99231661058195064</v>
      </c>
    </row>
    <row r="64" spans="1:26" x14ac:dyDescent="0.25">
      <c r="A64" s="13" t="s">
        <v>74</v>
      </c>
      <c r="B64" s="7">
        <v>5</v>
      </c>
      <c r="C64" s="7">
        <v>4</v>
      </c>
      <c r="D64" s="7">
        <v>1</v>
      </c>
      <c r="E64" s="7">
        <v>1</v>
      </c>
      <c r="F64" s="16">
        <v>3</v>
      </c>
      <c r="G64">
        <f>VLOOKUP(A64,expototal,2,FALSE)</f>
        <v>7010245</v>
      </c>
      <c r="H64">
        <f>VLOOKUP(A64,expototal,3,FALSE)</f>
        <v>9541027</v>
      </c>
      <c r="I64">
        <f>VLOOKUP(A64,expototal,4,FALSE)</f>
        <v>11190032</v>
      </c>
      <c r="J64">
        <f>VLOOKUP(A64,expototal,5,FALSE)</f>
        <v>9189874</v>
      </c>
      <c r="K64">
        <f>VLOOKUP(A64,expototal,6,FALSE)</f>
        <v>10248403</v>
      </c>
      <c r="L64">
        <f t="shared" si="6"/>
        <v>7.1324183391593307E-7</v>
      </c>
      <c r="M64">
        <f t="shared" si="1"/>
        <v>4.1924207949521576E-7</v>
      </c>
      <c r="N64">
        <f t="shared" si="2"/>
        <v>8.9365249357642585E-8</v>
      </c>
      <c r="O64">
        <f t="shared" si="3"/>
        <v>1.0881542010260424E-7</v>
      </c>
      <c r="P64">
        <f t="shared" si="4"/>
        <v>2.9272853536302194E-7</v>
      </c>
      <c r="Q64">
        <f t="shared" si="7"/>
        <v>4.0816490071901981E-2</v>
      </c>
      <c r="R64">
        <f t="shared" si="8"/>
        <v>3.803653766560329E-2</v>
      </c>
      <c r="S64">
        <f t="shared" si="9"/>
        <v>1.049276978963601E-2</v>
      </c>
      <c r="T64">
        <f t="shared" si="10"/>
        <v>1.1753838143757241E-2</v>
      </c>
      <c r="U64">
        <f t="shared" si="11"/>
        <v>2.3034973931662192E-2</v>
      </c>
      <c r="V64">
        <f t="shared" si="12"/>
        <v>-0.9215683255189735</v>
      </c>
      <c r="W64">
        <f t="shared" si="13"/>
        <v>-0.92671445313256107</v>
      </c>
      <c r="X64">
        <f t="shared" si="14"/>
        <v>-0.97923237037743405</v>
      </c>
      <c r="Y64">
        <f t="shared" si="15"/>
        <v>-0.97676541921437787</v>
      </c>
      <c r="Z64">
        <f t="shared" si="16"/>
        <v>-0.9549673774237929</v>
      </c>
    </row>
    <row r="65" spans="1:26" x14ac:dyDescent="0.25">
      <c r="A65" s="14" t="s">
        <v>75</v>
      </c>
      <c r="B65" s="6">
        <v>0</v>
      </c>
      <c r="C65" s="6">
        <v>8</v>
      </c>
      <c r="D65" s="6">
        <v>9</v>
      </c>
      <c r="E65" s="6">
        <v>12</v>
      </c>
      <c r="F65" s="15">
        <v>2</v>
      </c>
      <c r="G65">
        <f>VLOOKUP(A65,expototal,2,FALSE)</f>
        <v>173110415</v>
      </c>
      <c r="H65">
        <f>VLOOKUP(A65,expototal,3,FALSE)</f>
        <v>276204569</v>
      </c>
      <c r="I65">
        <f>VLOOKUP(A65,expototal,4,FALSE)</f>
        <v>411184942</v>
      </c>
      <c r="J65">
        <f>VLOOKUP(A65,expototal,5,FALSE)</f>
        <v>320978141</v>
      </c>
      <c r="K65">
        <f>VLOOKUP(A65,expototal,6,FALSE)</f>
        <v>305358131</v>
      </c>
      <c r="L65">
        <f t="shared" si="6"/>
        <v>0</v>
      </c>
      <c r="M65">
        <f t="shared" si="1"/>
        <v>2.896403933129723E-8</v>
      </c>
      <c r="N65">
        <f t="shared" si="2"/>
        <v>2.1887961062542995E-8</v>
      </c>
      <c r="O65">
        <f t="shared" si="3"/>
        <v>3.7385723409744594E-8</v>
      </c>
      <c r="P65">
        <f t="shared" si="4"/>
        <v>6.5496864074007577E-9</v>
      </c>
      <c r="Q65">
        <f t="shared" si="7"/>
        <v>0</v>
      </c>
      <c r="R65">
        <f t="shared" si="8"/>
        <v>2.6278177379030826E-3</v>
      </c>
      <c r="S65">
        <f t="shared" si="9"/>
        <v>2.5699624657751744E-3</v>
      </c>
      <c r="T65">
        <f t="shared" si="10"/>
        <v>4.0382671999158824E-3</v>
      </c>
      <c r="U65">
        <f t="shared" si="11"/>
        <v>5.1539852603688834E-4</v>
      </c>
      <c r="V65">
        <f t="shared" si="12"/>
        <v>-1</v>
      </c>
      <c r="W65">
        <f t="shared" si="13"/>
        <v>-0.99475813917903877</v>
      </c>
      <c r="X65">
        <f t="shared" si="14"/>
        <v>-0.99487325062192289</v>
      </c>
      <c r="Y65">
        <f t="shared" si="15"/>
        <v>-0.99195594962495226</v>
      </c>
      <c r="Z65">
        <f t="shared" si="16"/>
        <v>-0.99896973394553212</v>
      </c>
    </row>
    <row r="66" spans="1:26" x14ac:dyDescent="0.25">
      <c r="A66" s="13" t="s">
        <v>76</v>
      </c>
      <c r="B66" s="7">
        <v>20</v>
      </c>
      <c r="C66" s="7">
        <v>6</v>
      </c>
      <c r="D66" s="7">
        <v>70</v>
      </c>
      <c r="E66" s="7">
        <v>1</v>
      </c>
      <c r="F66" s="16">
        <v>1</v>
      </c>
      <c r="G66">
        <f>VLOOKUP(A66,expototal,2,FALSE)</f>
        <v>346633936</v>
      </c>
      <c r="H66">
        <f>VLOOKUP(A66,expototal,3,FALSE)</f>
        <v>447557398</v>
      </c>
      <c r="I66">
        <f>VLOOKUP(A66,expototal,4,FALSE)</f>
        <v>478224690</v>
      </c>
      <c r="J66">
        <f>VLOOKUP(A66,expototal,5,FALSE)</f>
        <v>432943057</v>
      </c>
      <c r="K66">
        <f>VLOOKUP(A66,expototal,6,FALSE)</f>
        <v>474618994</v>
      </c>
      <c r="L66">
        <f t="shared" si="6"/>
        <v>5.7697755248060881E-8</v>
      </c>
      <c r="M66">
        <f t="shared" si="1"/>
        <v>1.340610171301425E-8</v>
      </c>
      <c r="N66">
        <f t="shared" si="2"/>
        <v>1.4637470934426242E-7</v>
      </c>
      <c r="O66">
        <f t="shared" si="3"/>
        <v>2.3097725759348534E-9</v>
      </c>
      <c r="P66">
        <f t="shared" si="4"/>
        <v>2.10695318274599E-9</v>
      </c>
      <c r="Q66">
        <f t="shared" si="7"/>
        <v>3.3018532316362757E-3</v>
      </c>
      <c r="R66">
        <f t="shared" si="8"/>
        <v>1.2162941596176161E-3</v>
      </c>
      <c r="S66">
        <f t="shared" si="9"/>
        <v>1.7186503022305722E-2</v>
      </c>
      <c r="T66">
        <f t="shared" si="10"/>
        <v>2.4949306799374994E-4</v>
      </c>
      <c r="U66">
        <f t="shared" si="11"/>
        <v>1.6579733704334118E-4</v>
      </c>
      <c r="V66">
        <f t="shared" si="12"/>
        <v>-0.99341802624803099</v>
      </c>
      <c r="W66">
        <f t="shared" si="13"/>
        <v>-0.99757036682940015</v>
      </c>
      <c r="X66">
        <f t="shared" si="14"/>
        <v>-0.96620776431610034</v>
      </c>
      <c r="Y66">
        <f t="shared" si="15"/>
        <v>-0.99950113832654197</v>
      </c>
      <c r="Z66">
        <f t="shared" si="16"/>
        <v>-0.99966846029431367</v>
      </c>
    </row>
    <row r="67" spans="1:26" ht="23.25" x14ac:dyDescent="0.25">
      <c r="A67" s="14" t="s">
        <v>77</v>
      </c>
      <c r="B67" s="6">
        <v>0</v>
      </c>
      <c r="C67" s="6">
        <v>0</v>
      </c>
      <c r="D67" s="6">
        <v>17</v>
      </c>
      <c r="E67" s="6">
        <v>0</v>
      </c>
      <c r="F67" s="15">
        <v>1</v>
      </c>
      <c r="G67">
        <f>VLOOKUP(A67,expototal,2,FALSE)</f>
        <v>512788606</v>
      </c>
      <c r="H67">
        <f>VLOOKUP(A67,expototal,3,FALSE)</f>
        <v>644438622</v>
      </c>
      <c r="I67">
        <f>VLOOKUP(A67,expototal,4,FALSE)</f>
        <v>683584759</v>
      </c>
      <c r="J67">
        <f>VLOOKUP(A67,expototal,5,FALSE)</f>
        <v>632225745</v>
      </c>
      <c r="K67">
        <f>VLOOKUP(A67,expototal,6,FALSE)</f>
        <v>683691488</v>
      </c>
      <c r="L67">
        <f t="shared" ref="L67:L88" si="17">B67/G67</f>
        <v>0</v>
      </c>
      <c r="M67">
        <f t="shared" ref="M67:M88" si="18">C67/H67</f>
        <v>0</v>
      </c>
      <c r="N67">
        <f t="shared" ref="N67:N88" si="19">D67/I67</f>
        <v>2.4868898517967106E-8</v>
      </c>
      <c r="O67">
        <f t="shared" ref="O67:O88" si="20">E67/J67</f>
        <v>0</v>
      </c>
      <c r="P67">
        <f t="shared" ref="P67:P88" si="21">F67/K67</f>
        <v>1.4626480182242667E-9</v>
      </c>
      <c r="Q67">
        <f t="shared" si="7"/>
        <v>0</v>
      </c>
      <c r="R67">
        <f t="shared" si="8"/>
        <v>0</v>
      </c>
      <c r="S67">
        <f t="shared" si="9"/>
        <v>2.9199675371188666E-3</v>
      </c>
      <c r="T67">
        <f t="shared" si="10"/>
        <v>0</v>
      </c>
      <c r="U67">
        <f t="shared" si="11"/>
        <v>1.1509659941150171E-4</v>
      </c>
      <c r="V67">
        <f t="shared" si="12"/>
        <v>-1</v>
      </c>
      <c r="W67">
        <f t="shared" si="13"/>
        <v>-1</v>
      </c>
      <c r="X67">
        <f t="shared" si="14"/>
        <v>-0.99417706769905201</v>
      </c>
      <c r="Y67">
        <f t="shared" si="15"/>
        <v>-1</v>
      </c>
      <c r="Z67">
        <f t="shared" si="16"/>
        <v>-0.99976983329258229</v>
      </c>
    </row>
    <row r="68" spans="1:26" x14ac:dyDescent="0.25">
      <c r="A68" s="13" t="s">
        <v>78</v>
      </c>
      <c r="B68" s="7">
        <v>8</v>
      </c>
      <c r="C68" s="7">
        <v>27</v>
      </c>
      <c r="D68" s="7">
        <v>17</v>
      </c>
      <c r="E68" s="7">
        <v>12</v>
      </c>
      <c r="F68" s="8">
        <v>1</v>
      </c>
      <c r="G68">
        <f>VLOOKUP(A68,expototal,2,FALSE)</f>
        <v>11559667</v>
      </c>
      <c r="H68">
        <f>VLOOKUP(A68,expototal,3,FALSE)</f>
        <v>19331738</v>
      </c>
      <c r="I68">
        <f>VLOOKUP(A68,expototal,4,FALSE)</f>
        <v>22252183</v>
      </c>
      <c r="J68">
        <f>VLOOKUP(A68,expototal,5,FALSE)</f>
        <v>12406928</v>
      </c>
      <c r="K68">
        <f>VLOOKUP(A68,expototal,6,FALSE)</f>
        <v>12403360</v>
      </c>
      <c r="L68">
        <f t="shared" si="17"/>
        <v>6.9206145817176225E-7</v>
      </c>
      <c r="M68">
        <f t="shared" si="18"/>
        <v>1.3966669732436887E-6</v>
      </c>
      <c r="N68">
        <f t="shared" si="19"/>
        <v>7.6396998892198572E-7</v>
      </c>
      <c r="O68">
        <f t="shared" si="20"/>
        <v>9.6720155061752592E-7</v>
      </c>
      <c r="P68">
        <f t="shared" si="21"/>
        <v>8.0623314972717067E-8</v>
      </c>
      <c r="Q68">
        <f t="shared" ref="Q68:Q88" si="22">L68/$L$2</f>
        <v>3.9604406658994659E-2</v>
      </c>
      <c r="R68">
        <f t="shared" ref="R68:R88" si="23">M68/$M$2</f>
        <v>0.12671527628632026</v>
      </c>
      <c r="S68">
        <f t="shared" ref="S68:S88" si="24">N68/$N$2</f>
        <v>8.9701100568390243E-2</v>
      </c>
      <c r="T68">
        <f t="shared" ref="T68:T88" si="25">O68/$O$2</f>
        <v>0.10447352468639096</v>
      </c>
      <c r="U68">
        <f t="shared" ref="U68:U88" si="26">P68/$P$2</f>
        <v>6.3442942328038147E-3</v>
      </c>
      <c r="V68">
        <f t="shared" ref="V68:V88" si="27">(Q68-1)/(Q68+1)</f>
        <v>-0.92380869799066656</v>
      </c>
      <c r="W68">
        <f t="shared" ref="W68:W88" si="28">(R68-1)/(R68+1)</f>
        <v>-0.77507134419269308</v>
      </c>
      <c r="X68">
        <f t="shared" ref="X68:X88" si="29">(S68-1)/(S68+1)</f>
        <v>-0.83536567867720424</v>
      </c>
      <c r="Y68">
        <f t="shared" ref="Y68:Y88" si="30">(T68-1)/(T68+1)</f>
        <v>-0.81081751196153729</v>
      </c>
      <c r="Z68">
        <f t="shared" ref="Z68:Z88" si="31">(U68-1)/(U68+1)</f>
        <v>-0.98739140417616134</v>
      </c>
    </row>
    <row r="69" spans="1:26" x14ac:dyDescent="0.25">
      <c r="A69" s="14" t="s">
        <v>79</v>
      </c>
      <c r="B69" s="6"/>
      <c r="C69" s="6"/>
      <c r="D69" s="6"/>
      <c r="E69" s="6"/>
      <c r="F69" s="9">
        <v>1</v>
      </c>
      <c r="G69">
        <f>VLOOKUP(A69,expototal,2,FALSE)</f>
        <v>3090593</v>
      </c>
      <c r="H69">
        <f>VLOOKUP(A69,expototal,3,FALSE)</f>
        <v>4050906</v>
      </c>
      <c r="I69">
        <f>VLOOKUP(A69,expototal,4,FALSE)</f>
        <v>5809851</v>
      </c>
      <c r="J69">
        <f>VLOOKUP(A69,expototal,5,FALSE)</f>
        <v>5094780</v>
      </c>
      <c r="K69">
        <f>VLOOKUP(A69,expototal,6,FALSE)</f>
        <v>4480113</v>
      </c>
      <c r="L69">
        <f t="shared" si="17"/>
        <v>0</v>
      </c>
      <c r="M69">
        <f t="shared" si="18"/>
        <v>0</v>
      </c>
      <c r="N69">
        <f t="shared" si="19"/>
        <v>0</v>
      </c>
      <c r="O69">
        <f t="shared" si="20"/>
        <v>0</v>
      </c>
      <c r="P69">
        <f t="shared" si="21"/>
        <v>2.2320865567453322E-7</v>
      </c>
      <c r="Q69">
        <f t="shared" si="22"/>
        <v>0</v>
      </c>
      <c r="R69">
        <f t="shared" si="23"/>
        <v>0</v>
      </c>
      <c r="S69">
        <f t="shared" si="24"/>
        <v>0</v>
      </c>
      <c r="T69">
        <f t="shared" si="25"/>
        <v>0</v>
      </c>
      <c r="U69">
        <f t="shared" si="26"/>
        <v>1.7564415298317149E-2</v>
      </c>
      <c r="V69">
        <f t="shared" si="27"/>
        <v>-1</v>
      </c>
      <c r="W69">
        <f t="shared" si="28"/>
        <v>-1</v>
      </c>
      <c r="X69">
        <f t="shared" si="29"/>
        <v>-1</v>
      </c>
      <c r="Y69">
        <f t="shared" si="30"/>
        <v>-1</v>
      </c>
      <c r="Z69">
        <f t="shared" si="31"/>
        <v>-0.96547753629303579</v>
      </c>
    </row>
    <row r="70" spans="1:26" x14ac:dyDescent="0.25">
      <c r="A70" s="13" t="s">
        <v>80</v>
      </c>
      <c r="B70" s="7">
        <v>380</v>
      </c>
      <c r="C70" s="7">
        <v>41</v>
      </c>
      <c r="D70" s="7">
        <v>24</v>
      </c>
      <c r="E70" s="7">
        <v>0</v>
      </c>
      <c r="F70" s="16">
        <v>0</v>
      </c>
      <c r="G70">
        <f>VLOOKUP(A70,expototal,2,FALSE)</f>
        <v>8060547</v>
      </c>
      <c r="H70">
        <f>VLOOKUP(A70,expototal,3,FALSE)</f>
        <v>11217517</v>
      </c>
      <c r="I70">
        <f>VLOOKUP(A70,expototal,4,FALSE)</f>
        <v>11689732</v>
      </c>
      <c r="J70">
        <f>VLOOKUP(A70,expototal,5,FALSE)</f>
        <v>10535675</v>
      </c>
      <c r="K70">
        <f>VLOOKUP(A70,expototal,6,FALSE)</f>
        <v>11275830</v>
      </c>
      <c r="L70">
        <f t="shared" si="17"/>
        <v>4.7143202564292474E-5</v>
      </c>
      <c r="M70">
        <f t="shared" si="18"/>
        <v>3.6549978038811975E-6</v>
      </c>
      <c r="N70">
        <f t="shared" si="19"/>
        <v>2.0530838517084908E-6</v>
      </c>
      <c r="O70">
        <f t="shared" si="20"/>
        <v>0</v>
      </c>
      <c r="P70">
        <f t="shared" si="21"/>
        <v>0</v>
      </c>
      <c r="Q70">
        <f t="shared" si="22"/>
        <v>2.697850810094109</v>
      </c>
      <c r="R70">
        <f t="shared" si="23"/>
        <v>0.33160665027330821</v>
      </c>
      <c r="S70">
        <f t="shared" si="24"/>
        <v>0.24106166960473049</v>
      </c>
      <c r="T70">
        <f t="shared" si="25"/>
        <v>0</v>
      </c>
      <c r="U70">
        <f t="shared" si="26"/>
        <v>0</v>
      </c>
      <c r="V70">
        <f t="shared" si="27"/>
        <v>0.45914529744127219</v>
      </c>
      <c r="W70">
        <f t="shared" si="28"/>
        <v>-0.50194503728973283</v>
      </c>
      <c r="X70">
        <f t="shared" si="29"/>
        <v>-0.61152346332393459</v>
      </c>
      <c r="Y70">
        <f t="shared" si="30"/>
        <v>-1</v>
      </c>
      <c r="Z70">
        <f t="shared" si="31"/>
        <v>-1</v>
      </c>
    </row>
    <row r="71" spans="1:26" x14ac:dyDescent="0.25">
      <c r="A71" s="14" t="s">
        <v>81</v>
      </c>
      <c r="B71" s="6">
        <v>2</v>
      </c>
      <c r="C71" s="6">
        <v>0</v>
      </c>
      <c r="D71" s="6">
        <v>0</v>
      </c>
      <c r="E71" s="6">
        <v>0</v>
      </c>
      <c r="F71" s="15">
        <v>0</v>
      </c>
      <c r="G71">
        <f>VLOOKUP(A71,expototal,2,FALSE)</f>
        <v>49191564</v>
      </c>
      <c r="H71">
        <f>VLOOKUP(A71,expototal,3,FALSE)</f>
        <v>68072095</v>
      </c>
      <c r="I71">
        <f>VLOOKUP(A71,expototal,4,FALSE)</f>
        <v>44443214</v>
      </c>
      <c r="J71">
        <f>VLOOKUP(A71,expototal,5,FALSE)</f>
        <v>36185539</v>
      </c>
      <c r="K71">
        <f>VLOOKUP(A71,expototal,6,FALSE)</f>
        <v>40409549</v>
      </c>
      <c r="L71">
        <f t="shared" si="17"/>
        <v>4.0657377756885304E-8</v>
      </c>
      <c r="M71">
        <f t="shared" si="18"/>
        <v>0</v>
      </c>
      <c r="N71">
        <f t="shared" si="19"/>
        <v>0</v>
      </c>
      <c r="O71">
        <f t="shared" si="20"/>
        <v>0</v>
      </c>
      <c r="P71">
        <f t="shared" si="21"/>
        <v>0</v>
      </c>
      <c r="Q71">
        <f t="shared" si="22"/>
        <v>2.326688335781318E-3</v>
      </c>
      <c r="R71">
        <f t="shared" si="23"/>
        <v>0</v>
      </c>
      <c r="S71">
        <f t="shared" si="24"/>
        <v>0</v>
      </c>
      <c r="T71">
        <f t="shared" si="25"/>
        <v>0</v>
      </c>
      <c r="U71">
        <f t="shared" si="26"/>
        <v>0</v>
      </c>
      <c r="V71">
        <f t="shared" si="27"/>
        <v>-0.99535742515318149</v>
      </c>
      <c r="W71">
        <f t="shared" si="28"/>
        <v>-1</v>
      </c>
      <c r="X71">
        <f t="shared" si="29"/>
        <v>-1</v>
      </c>
      <c r="Y71">
        <f t="shared" si="30"/>
        <v>-1</v>
      </c>
      <c r="Z71">
        <f t="shared" si="31"/>
        <v>-1</v>
      </c>
    </row>
    <row r="72" spans="1:26" ht="23.25" x14ac:dyDescent="0.25">
      <c r="A72" s="13" t="s">
        <v>82</v>
      </c>
      <c r="B72" s="7">
        <v>28</v>
      </c>
      <c r="C72" s="7">
        <v>0</v>
      </c>
      <c r="D72" s="7">
        <v>1</v>
      </c>
      <c r="E72" s="7">
        <v>5</v>
      </c>
      <c r="F72" s="16">
        <v>0</v>
      </c>
      <c r="G72">
        <f>VLOOKUP(A72,expototal,2,FALSE)</f>
        <v>9848863</v>
      </c>
      <c r="H72">
        <f>VLOOKUP(A72,expototal,3,FALSE)</f>
        <v>11831534</v>
      </c>
      <c r="I72">
        <f>VLOOKUP(A72,expototal,4,FALSE)</f>
        <v>12390307</v>
      </c>
      <c r="J72">
        <f>VLOOKUP(A72,expototal,5,FALSE)</f>
        <v>11931954</v>
      </c>
      <c r="K72">
        <f>VLOOKUP(A72,expototal,6,FALSE)</f>
        <v>12923946</v>
      </c>
      <c r="L72">
        <f t="shared" si="17"/>
        <v>2.8429677618624608E-6</v>
      </c>
      <c r="M72">
        <f t="shared" si="18"/>
        <v>0</v>
      </c>
      <c r="N72">
        <f t="shared" si="19"/>
        <v>8.0708250408968885E-8</v>
      </c>
      <c r="O72">
        <f t="shared" si="20"/>
        <v>4.1904284914273054E-7</v>
      </c>
      <c r="P72">
        <f t="shared" si="21"/>
        <v>0</v>
      </c>
      <c r="Q72">
        <f t="shared" si="22"/>
        <v>0.16269371748667466</v>
      </c>
      <c r="R72">
        <f t="shared" si="23"/>
        <v>0</v>
      </c>
      <c r="S72">
        <f t="shared" si="24"/>
        <v>9.4763131950370751E-3</v>
      </c>
      <c r="T72">
        <f t="shared" si="25"/>
        <v>4.5263454568096287E-2</v>
      </c>
      <c r="U72">
        <f t="shared" si="26"/>
        <v>0</v>
      </c>
      <c r="V72">
        <f t="shared" si="27"/>
        <v>-0.72014346505912152</v>
      </c>
      <c r="W72">
        <f t="shared" si="28"/>
        <v>-1</v>
      </c>
      <c r="X72">
        <f t="shared" si="29"/>
        <v>-0.98122528865477965</v>
      </c>
      <c r="Y72">
        <f t="shared" si="30"/>
        <v>-0.91339321322240385</v>
      </c>
      <c r="Z72">
        <f t="shared" si="31"/>
        <v>-1</v>
      </c>
    </row>
    <row r="73" spans="1:26" x14ac:dyDescent="0.25">
      <c r="A73" s="14" t="s">
        <v>83</v>
      </c>
      <c r="B73" s="6">
        <v>2</v>
      </c>
      <c r="C73" s="6">
        <v>0</v>
      </c>
      <c r="D73" s="6">
        <v>0</v>
      </c>
      <c r="E73" s="6">
        <v>0</v>
      </c>
      <c r="F73" s="15">
        <v>0</v>
      </c>
      <c r="G73">
        <f>VLOOKUP(A73,expototal,2,FALSE)</f>
        <v>2829642</v>
      </c>
      <c r="H73">
        <f>VLOOKUP(A73,expototal,3,FALSE)</f>
        <v>3068873</v>
      </c>
      <c r="I73">
        <f>VLOOKUP(A73,expototal,4,FALSE)</f>
        <v>3268742</v>
      </c>
      <c r="J73">
        <f>VLOOKUP(A73,expototal,5,FALSE)</f>
        <v>3467883</v>
      </c>
      <c r="K73">
        <f>VLOOKUP(A73,expototal,6,FALSE)</f>
        <v>3772880</v>
      </c>
      <c r="L73">
        <f t="shared" si="17"/>
        <v>7.0680319277138241E-7</v>
      </c>
      <c r="M73">
        <f t="shared" si="18"/>
        <v>0</v>
      </c>
      <c r="N73">
        <f t="shared" si="19"/>
        <v>0</v>
      </c>
      <c r="O73">
        <f t="shared" si="20"/>
        <v>0</v>
      </c>
      <c r="P73">
        <f t="shared" si="21"/>
        <v>0</v>
      </c>
      <c r="Q73">
        <f t="shared" si="22"/>
        <v>4.0448027763809062E-2</v>
      </c>
      <c r="R73">
        <f t="shared" si="23"/>
        <v>0</v>
      </c>
      <c r="S73">
        <f t="shared" si="24"/>
        <v>0</v>
      </c>
      <c r="T73">
        <f t="shared" si="25"/>
        <v>0</v>
      </c>
      <c r="U73">
        <f t="shared" si="26"/>
        <v>0</v>
      </c>
      <c r="V73">
        <f t="shared" si="27"/>
        <v>-0.92224882611245407</v>
      </c>
      <c r="W73">
        <f t="shared" si="28"/>
        <v>-1</v>
      </c>
      <c r="X73">
        <f t="shared" si="29"/>
        <v>-1</v>
      </c>
      <c r="Y73">
        <f t="shared" si="30"/>
        <v>-1</v>
      </c>
      <c r="Z73">
        <f t="shared" si="31"/>
        <v>-1</v>
      </c>
    </row>
    <row r="74" spans="1:26" x14ac:dyDescent="0.25">
      <c r="A74" s="13" t="s">
        <v>84</v>
      </c>
      <c r="B74" s="7">
        <v>0</v>
      </c>
      <c r="C74" s="7">
        <v>1</v>
      </c>
      <c r="D74" s="7">
        <v>0</v>
      </c>
      <c r="E74" s="7">
        <v>10</v>
      </c>
      <c r="F74" s="16">
        <v>0</v>
      </c>
      <c r="G74">
        <f>VLOOKUP(A74,expototal,2,FALSE)</f>
        <v>22245688</v>
      </c>
      <c r="H74">
        <f>VLOOKUP(A74,expototal,3,FALSE)</f>
        <v>28880006</v>
      </c>
      <c r="I74">
        <f>VLOOKUP(A74,expototal,4,FALSE)</f>
        <v>31175925</v>
      </c>
      <c r="J74">
        <f>VLOOKUP(A74,expototal,5,FALSE)</f>
        <v>28950086</v>
      </c>
      <c r="K74">
        <f>VLOOKUP(A74,expototal,6,FALSE)</f>
        <v>32460566</v>
      </c>
      <c r="L74">
        <f t="shared" si="17"/>
        <v>0</v>
      </c>
      <c r="M74">
        <f t="shared" si="18"/>
        <v>3.4626031587389557E-8</v>
      </c>
      <c r="N74">
        <f t="shared" si="19"/>
        <v>0</v>
      </c>
      <c r="O74">
        <f t="shared" si="20"/>
        <v>3.4542211722618028E-7</v>
      </c>
      <c r="P74">
        <f t="shared" si="21"/>
        <v>0</v>
      </c>
      <c r="Q74">
        <f t="shared" si="22"/>
        <v>0</v>
      </c>
      <c r="R74">
        <f t="shared" si="23"/>
        <v>3.1415127896271731E-3</v>
      </c>
      <c r="S74">
        <f t="shared" si="24"/>
        <v>0</v>
      </c>
      <c r="T74">
        <f t="shared" si="25"/>
        <v>3.7311216124719958E-2</v>
      </c>
      <c r="U74">
        <f t="shared" si="26"/>
        <v>0</v>
      </c>
      <c r="V74">
        <f t="shared" si="27"/>
        <v>-1</v>
      </c>
      <c r="W74">
        <f t="shared" si="28"/>
        <v>-0.99373665081232454</v>
      </c>
      <c r="X74">
        <f t="shared" si="29"/>
        <v>-1</v>
      </c>
      <c r="Y74">
        <f t="shared" si="30"/>
        <v>-0.92806167417313667</v>
      </c>
      <c r="Z74">
        <f t="shared" si="31"/>
        <v>-1</v>
      </c>
    </row>
    <row r="75" spans="1:26" x14ac:dyDescent="0.25">
      <c r="A75" s="14" t="s">
        <v>85</v>
      </c>
      <c r="B75" s="6">
        <v>6</v>
      </c>
      <c r="C75" s="6">
        <v>4</v>
      </c>
      <c r="D75" s="6">
        <v>1</v>
      </c>
      <c r="E75" s="6">
        <v>0</v>
      </c>
      <c r="F75" s="15">
        <v>0</v>
      </c>
      <c r="G75">
        <f>VLOOKUP(A75,expototal,2,FALSE)</f>
        <v>70503421</v>
      </c>
      <c r="H75">
        <f>VLOOKUP(A75,expototal,3,FALSE)</f>
        <v>87489809</v>
      </c>
      <c r="I75">
        <f>VLOOKUP(A75,expototal,4,FALSE)</f>
        <v>96928059</v>
      </c>
      <c r="J75">
        <f>VLOOKUP(A75,expototal,5,FALSE)</f>
        <v>100671174</v>
      </c>
      <c r="K75">
        <f>VLOOKUP(A75,expototal,6,FALSE)</f>
        <v>100300263</v>
      </c>
      <c r="L75">
        <f t="shared" si="17"/>
        <v>8.5102253406965881E-8</v>
      </c>
      <c r="M75">
        <f t="shared" si="18"/>
        <v>4.5719610612019967E-8</v>
      </c>
      <c r="N75">
        <f t="shared" si="19"/>
        <v>1.0316930002694059E-8</v>
      </c>
      <c r="O75">
        <f t="shared" si="20"/>
        <v>0</v>
      </c>
      <c r="P75">
        <f t="shared" si="21"/>
        <v>0</v>
      </c>
      <c r="Q75">
        <f t="shared" si="22"/>
        <v>4.87012274954602E-3</v>
      </c>
      <c r="R75">
        <f t="shared" si="23"/>
        <v>4.1479989155541299E-3</v>
      </c>
      <c r="S75">
        <f t="shared" si="24"/>
        <v>1.2113564526723911E-3</v>
      </c>
      <c r="T75">
        <f t="shared" si="25"/>
        <v>0</v>
      </c>
      <c r="U75">
        <f t="shared" si="26"/>
        <v>0</v>
      </c>
      <c r="V75">
        <f t="shared" si="27"/>
        <v>-0.99030696079166869</v>
      </c>
      <c r="W75">
        <f t="shared" si="28"/>
        <v>-0.99173827180847074</v>
      </c>
      <c r="X75">
        <f t="shared" si="29"/>
        <v>-0.99758021831281618</v>
      </c>
      <c r="Y75">
        <f t="shared" si="30"/>
        <v>-1</v>
      </c>
      <c r="Z75">
        <f t="shared" si="31"/>
        <v>-1</v>
      </c>
    </row>
    <row r="76" spans="1:26" x14ac:dyDescent="0.25">
      <c r="A76" s="13" t="s">
        <v>86</v>
      </c>
      <c r="B76" s="7">
        <v>6</v>
      </c>
      <c r="C76" s="7">
        <v>23</v>
      </c>
      <c r="D76" s="7">
        <v>5</v>
      </c>
      <c r="E76" s="7">
        <v>12</v>
      </c>
      <c r="F76" s="16"/>
      <c r="G76">
        <f>VLOOKUP(A76,expototal,2,FALSE)</f>
        <v>33479359</v>
      </c>
      <c r="H76">
        <f>VLOOKUP(A76,expototal,3,FALSE)</f>
        <v>44590927</v>
      </c>
      <c r="I76">
        <f>VLOOKUP(A76,expototal,4,FALSE)</f>
        <v>66063353</v>
      </c>
      <c r="J76">
        <f>VLOOKUP(A76,expototal,5,FALSE)</f>
        <v>59010531</v>
      </c>
      <c r="K76">
        <f>VLOOKUP(A76,expototal,6,FALSE)</f>
        <v>67321553</v>
      </c>
      <c r="L76">
        <f t="shared" si="17"/>
        <v>1.7921490073928836E-7</v>
      </c>
      <c r="M76">
        <f t="shared" si="18"/>
        <v>5.1579999671233564E-7</v>
      </c>
      <c r="N76">
        <f t="shared" si="19"/>
        <v>7.568492625555957E-8</v>
      </c>
      <c r="O76">
        <f t="shared" si="20"/>
        <v>2.0335353362605736E-7</v>
      </c>
      <c r="P76">
        <f t="shared" si="21"/>
        <v>0</v>
      </c>
      <c r="Q76">
        <f t="shared" si="22"/>
        <v>1.0255880781138033E-2</v>
      </c>
      <c r="R76">
        <f t="shared" si="23"/>
        <v>4.6796938958248574E-2</v>
      </c>
      <c r="S76">
        <f t="shared" si="24"/>
        <v>8.8865024542926427E-3</v>
      </c>
      <c r="T76">
        <f t="shared" si="25"/>
        <v>2.1965494577404758E-2</v>
      </c>
      <c r="U76">
        <f t="shared" si="26"/>
        <v>0</v>
      </c>
      <c r="V76">
        <f t="shared" si="27"/>
        <v>-0.97969646903078045</v>
      </c>
      <c r="W76">
        <f t="shared" si="28"/>
        <v>-0.91059022582771421</v>
      </c>
      <c r="X76">
        <f t="shared" si="29"/>
        <v>-0.9823835437729127</v>
      </c>
      <c r="Y76">
        <f t="shared" si="30"/>
        <v>-0.95701323636863544</v>
      </c>
      <c r="Z76">
        <f t="shared" si="31"/>
        <v>-1</v>
      </c>
    </row>
    <row r="77" spans="1:26" x14ac:dyDescent="0.25">
      <c r="A77" s="14" t="s">
        <v>87</v>
      </c>
      <c r="B77" s="6">
        <v>1</v>
      </c>
      <c r="C77" s="6">
        <v>0</v>
      </c>
      <c r="D77" s="6">
        <v>0</v>
      </c>
      <c r="E77" s="9">
        <v>15</v>
      </c>
      <c r="F77" s="15"/>
      <c r="G77">
        <f>VLOOKUP(A77,expototal,2,FALSE)</f>
        <v>1431176</v>
      </c>
      <c r="H77">
        <f>VLOOKUP(A77,expototal,3,FALSE)</f>
        <v>1562504</v>
      </c>
      <c r="I77">
        <f>VLOOKUP(A77,expototal,4,FALSE)</f>
        <v>1435898</v>
      </c>
      <c r="J77">
        <f>VLOOKUP(A77,expototal,5,FALSE)</f>
        <v>1393861</v>
      </c>
      <c r="K77">
        <f>VLOOKUP(A77,expototal,6,FALSE)</f>
        <v>587484</v>
      </c>
      <c r="L77">
        <f t="shared" si="17"/>
        <v>6.987260826061924E-7</v>
      </c>
      <c r="M77">
        <f t="shared" si="18"/>
        <v>0</v>
      </c>
      <c r="N77">
        <f t="shared" si="19"/>
        <v>0</v>
      </c>
      <c r="O77">
        <f t="shared" si="20"/>
        <v>1.0761474781201281E-5</v>
      </c>
      <c r="P77">
        <f t="shared" si="21"/>
        <v>0</v>
      </c>
      <c r="Q77">
        <f t="shared" si="22"/>
        <v>3.9985801249336282E-2</v>
      </c>
      <c r="R77">
        <f t="shared" si="23"/>
        <v>0</v>
      </c>
      <c r="S77">
        <f t="shared" si="24"/>
        <v>0</v>
      </c>
      <c r="T77">
        <f t="shared" si="25"/>
        <v>1.1624145975551681</v>
      </c>
      <c r="U77">
        <f t="shared" si="26"/>
        <v>0</v>
      </c>
      <c r="V77">
        <f t="shared" si="27"/>
        <v>-0.92310317852166579</v>
      </c>
      <c r="W77">
        <f t="shared" si="28"/>
        <v>-1</v>
      </c>
      <c r="X77">
        <f t="shared" si="29"/>
        <v>-1</v>
      </c>
      <c r="Y77">
        <f t="shared" si="30"/>
        <v>7.5107982409476179E-2</v>
      </c>
      <c r="Z77">
        <f t="shared" si="31"/>
        <v>-1</v>
      </c>
    </row>
    <row r="78" spans="1:26" x14ac:dyDescent="0.25">
      <c r="A78" s="13" t="s">
        <v>88</v>
      </c>
      <c r="B78" s="7">
        <v>0</v>
      </c>
      <c r="C78" s="7">
        <v>0</v>
      </c>
      <c r="D78" s="7">
        <v>0</v>
      </c>
      <c r="E78" s="7">
        <v>1</v>
      </c>
      <c r="F78" s="16"/>
      <c r="G78">
        <f>VLOOKUP(A78,expototal,2,FALSE)</f>
        <v>281441457</v>
      </c>
      <c r="H78">
        <f>VLOOKUP(A78,expototal,3,FALSE)</f>
        <v>335792598</v>
      </c>
      <c r="I78">
        <f>VLOOKUP(A78,expototal,4,FALSE)</f>
        <v>370909157</v>
      </c>
      <c r="J78">
        <f>VLOOKUP(A78,expototal,5,FALSE)</f>
        <v>353077513</v>
      </c>
      <c r="K78">
        <f>VLOOKUP(A78,expototal,6,FALSE)</f>
        <v>499816774</v>
      </c>
      <c r="L78">
        <f t="shared" si="17"/>
        <v>0</v>
      </c>
      <c r="M78">
        <f t="shared" si="18"/>
        <v>0</v>
      </c>
      <c r="N78">
        <f t="shared" si="19"/>
        <v>0</v>
      </c>
      <c r="O78">
        <f t="shared" si="20"/>
        <v>2.8322392765919363E-9</v>
      </c>
      <c r="P78">
        <f t="shared" si="21"/>
        <v>0</v>
      </c>
      <c r="Q78">
        <f t="shared" si="22"/>
        <v>0</v>
      </c>
      <c r="R78">
        <f t="shared" si="23"/>
        <v>0</v>
      </c>
      <c r="S78">
        <f t="shared" si="24"/>
        <v>0</v>
      </c>
      <c r="T78">
        <f t="shared" si="25"/>
        <v>3.0592798346102242E-4</v>
      </c>
      <c r="U78">
        <f t="shared" si="26"/>
        <v>0</v>
      </c>
      <c r="V78">
        <f t="shared" si="27"/>
        <v>-1</v>
      </c>
      <c r="W78">
        <f t="shared" si="28"/>
        <v>-1</v>
      </c>
      <c r="X78">
        <f t="shared" si="29"/>
        <v>-1</v>
      </c>
      <c r="Y78">
        <f t="shared" si="30"/>
        <v>-0.99938833115969283</v>
      </c>
      <c r="Z78">
        <f t="shared" si="31"/>
        <v>-1</v>
      </c>
    </row>
    <row r="79" spans="1:26" x14ac:dyDescent="0.25">
      <c r="A79" s="14" t="s">
        <v>89</v>
      </c>
      <c r="B79" s="6">
        <v>0</v>
      </c>
      <c r="C79" s="6">
        <v>1</v>
      </c>
      <c r="D79" s="6">
        <v>0</v>
      </c>
      <c r="E79" s="6">
        <v>0</v>
      </c>
      <c r="F79" s="15"/>
      <c r="G79">
        <f>VLOOKUP(A79,expototal,2,FALSE)</f>
        <v>781981</v>
      </c>
      <c r="H79">
        <f>VLOOKUP(A79,expototal,3,FALSE)</f>
        <v>1019154</v>
      </c>
      <c r="I79">
        <f>VLOOKUP(A79,expototal,4,FALSE)</f>
        <v>944241</v>
      </c>
      <c r="J79">
        <f>VLOOKUP(A79,expototal,5,FALSE)</f>
        <v>1032089</v>
      </c>
      <c r="K79">
        <f>VLOOKUP(A79,expototal,6,FALSE)</f>
        <v>824060</v>
      </c>
      <c r="L79">
        <f t="shared" si="17"/>
        <v>0</v>
      </c>
      <c r="M79">
        <f t="shared" si="18"/>
        <v>9.8120598064669326E-7</v>
      </c>
      <c r="N79">
        <f t="shared" si="19"/>
        <v>0</v>
      </c>
      <c r="O79">
        <f t="shared" si="20"/>
        <v>0</v>
      </c>
      <c r="P79">
        <f t="shared" si="21"/>
        <v>0</v>
      </c>
      <c r="Q79">
        <f t="shared" si="22"/>
        <v>0</v>
      </c>
      <c r="R79">
        <f t="shared" si="23"/>
        <v>8.9021784944679119E-2</v>
      </c>
      <c r="S79">
        <f t="shared" si="24"/>
        <v>0</v>
      </c>
      <c r="T79">
        <f t="shared" si="25"/>
        <v>0</v>
      </c>
      <c r="U79">
        <f t="shared" si="26"/>
        <v>0</v>
      </c>
      <c r="V79">
        <f t="shared" si="27"/>
        <v>-1</v>
      </c>
      <c r="W79">
        <f t="shared" si="28"/>
        <v>-0.83651055254289275</v>
      </c>
      <c r="X79">
        <f t="shared" si="29"/>
        <v>-1</v>
      </c>
      <c r="Y79">
        <f t="shared" si="30"/>
        <v>-1</v>
      </c>
      <c r="Z79">
        <f t="shared" si="31"/>
        <v>-1</v>
      </c>
    </row>
    <row r="80" spans="1:26" x14ac:dyDescent="0.25">
      <c r="A80" s="13" t="s">
        <v>90</v>
      </c>
      <c r="B80" s="8">
        <v>3</v>
      </c>
      <c r="C80" s="7"/>
      <c r="D80" s="7"/>
      <c r="E80" s="7"/>
      <c r="F80" s="16"/>
      <c r="G80">
        <f>VLOOKUP(A80,expototal,2,FALSE)</f>
        <v>9465167</v>
      </c>
      <c r="H80">
        <f>VLOOKUP(A80,expototal,3,FALSE)</f>
        <v>33190868</v>
      </c>
      <c r="I80">
        <f>VLOOKUP(A80,expototal,4,FALSE)</f>
        <v>40248130</v>
      </c>
      <c r="J80">
        <f>VLOOKUP(A80,expototal,5,FALSE)</f>
        <v>35743253</v>
      </c>
      <c r="K80">
        <f>VLOOKUP(A80,expototal,6,FALSE)</f>
        <v>29754476</v>
      </c>
      <c r="L80">
        <f t="shared" si="17"/>
        <v>3.1695161849759229E-7</v>
      </c>
      <c r="M80">
        <f t="shared" si="18"/>
        <v>0</v>
      </c>
      <c r="N80">
        <f t="shared" si="19"/>
        <v>0</v>
      </c>
      <c r="O80">
        <f t="shared" si="20"/>
        <v>0</v>
      </c>
      <c r="P80">
        <f t="shared" si="21"/>
        <v>0</v>
      </c>
      <c r="Q80">
        <f t="shared" si="22"/>
        <v>1.8138101236508591E-2</v>
      </c>
      <c r="R80">
        <f t="shared" si="23"/>
        <v>0</v>
      </c>
      <c r="S80">
        <f t="shared" si="24"/>
        <v>0</v>
      </c>
      <c r="T80">
        <f t="shared" si="25"/>
        <v>0</v>
      </c>
      <c r="U80">
        <f t="shared" si="26"/>
        <v>0</v>
      </c>
      <c r="V80">
        <f t="shared" si="27"/>
        <v>-0.96437005703945233</v>
      </c>
      <c r="W80">
        <f t="shared" si="28"/>
        <v>-1</v>
      </c>
      <c r="X80">
        <f t="shared" si="29"/>
        <v>-1</v>
      </c>
      <c r="Y80">
        <f t="shared" si="30"/>
        <v>-1</v>
      </c>
      <c r="Z80">
        <f t="shared" si="31"/>
        <v>-1</v>
      </c>
    </row>
    <row r="81" spans="1:26" x14ac:dyDescent="0.25">
      <c r="A81" s="14" t="s">
        <v>91</v>
      </c>
      <c r="B81" s="6">
        <v>0</v>
      </c>
      <c r="C81" s="6">
        <v>0</v>
      </c>
      <c r="D81" s="6">
        <v>0</v>
      </c>
      <c r="E81" s="6">
        <v>1</v>
      </c>
      <c r="F81" s="15"/>
      <c r="G81">
        <f>VLOOKUP(A81,expototal,2,FALSE)</f>
        <v>827647</v>
      </c>
      <c r="H81">
        <f>VLOOKUP(A81,expototal,3,FALSE)</f>
        <v>815880</v>
      </c>
      <c r="I81">
        <f>VLOOKUP(A81,expototal,4,FALSE)</f>
        <v>1070466</v>
      </c>
      <c r="J81">
        <f>VLOOKUP(A81,expototal,5,FALSE)</f>
        <v>1078446</v>
      </c>
      <c r="K81">
        <f>VLOOKUP(A81,expototal,6,FALSE)</f>
        <v>710553</v>
      </c>
      <c r="L81">
        <f t="shared" si="17"/>
        <v>0</v>
      </c>
      <c r="M81">
        <f t="shared" si="18"/>
        <v>0</v>
      </c>
      <c r="N81">
        <f t="shared" si="19"/>
        <v>0</v>
      </c>
      <c r="O81">
        <f t="shared" si="20"/>
        <v>9.2726015025323476E-7</v>
      </c>
      <c r="P81">
        <f t="shared" si="21"/>
        <v>0</v>
      </c>
      <c r="Q81">
        <f t="shared" si="22"/>
        <v>0</v>
      </c>
      <c r="R81">
        <f t="shared" si="23"/>
        <v>0</v>
      </c>
      <c r="S81">
        <f t="shared" si="24"/>
        <v>0</v>
      </c>
      <c r="T81">
        <f t="shared" si="25"/>
        <v>0.10015920273942594</v>
      </c>
      <c r="U81">
        <f t="shared" si="26"/>
        <v>0</v>
      </c>
      <c r="V81">
        <f t="shared" si="27"/>
        <v>-1</v>
      </c>
      <c r="W81">
        <f t="shared" si="28"/>
        <v>-1</v>
      </c>
      <c r="X81">
        <f t="shared" si="29"/>
        <v>-1</v>
      </c>
      <c r="Y81">
        <f t="shared" si="30"/>
        <v>-0.81791871123737936</v>
      </c>
      <c r="Z81">
        <f t="shared" si="31"/>
        <v>-1</v>
      </c>
    </row>
    <row r="82" spans="1:26" x14ac:dyDescent="0.25">
      <c r="A82" s="13" t="s">
        <v>92</v>
      </c>
      <c r="B82" s="7">
        <v>0</v>
      </c>
      <c r="C82" s="7">
        <v>2</v>
      </c>
      <c r="D82" s="7">
        <v>0</v>
      </c>
      <c r="E82" s="7">
        <v>1</v>
      </c>
      <c r="F82" s="16"/>
      <c r="G82">
        <f>VLOOKUP(A82,expototal,2,FALSE)</f>
        <v>40149524</v>
      </c>
      <c r="H82">
        <f>VLOOKUP(A82,expototal,3,FALSE)</f>
        <v>63129694</v>
      </c>
      <c r="I82">
        <f>VLOOKUP(A82,expototal,4,FALSE)</f>
        <v>99712377</v>
      </c>
      <c r="J82">
        <f>VLOOKUP(A82,expototal,5,FALSE)</f>
        <v>83983279</v>
      </c>
      <c r="K82">
        <f>VLOOKUP(A82,expototal,6,FALSE)</f>
        <v>59549263</v>
      </c>
      <c r="L82">
        <f t="shared" si="17"/>
        <v>0</v>
      </c>
      <c r="M82">
        <f t="shared" si="18"/>
        <v>3.168081251906591E-8</v>
      </c>
      <c r="N82">
        <f t="shared" si="19"/>
        <v>0</v>
      </c>
      <c r="O82">
        <f t="shared" si="20"/>
        <v>1.19071321328142E-8</v>
      </c>
      <c r="P82">
        <f t="shared" si="21"/>
        <v>0</v>
      </c>
      <c r="Q82">
        <f t="shared" si="22"/>
        <v>0</v>
      </c>
      <c r="R82">
        <f t="shared" si="23"/>
        <v>2.8743021695466953E-3</v>
      </c>
      <c r="S82">
        <f t="shared" si="24"/>
        <v>0</v>
      </c>
      <c r="T82">
        <f t="shared" si="25"/>
        <v>1.2861642560720084E-3</v>
      </c>
      <c r="U82">
        <f t="shared" si="26"/>
        <v>0</v>
      </c>
      <c r="V82">
        <f t="shared" si="27"/>
        <v>-1</v>
      </c>
      <c r="W82">
        <f t="shared" si="28"/>
        <v>-0.99426787153020346</v>
      </c>
      <c r="X82">
        <f t="shared" si="29"/>
        <v>-1</v>
      </c>
      <c r="Y82">
        <f t="shared" si="30"/>
        <v>-0.99743097567511574</v>
      </c>
      <c r="Z82">
        <f t="shared" si="31"/>
        <v>-1</v>
      </c>
    </row>
    <row r="83" spans="1:26" x14ac:dyDescent="0.25">
      <c r="A83" s="14" t="s">
        <v>93</v>
      </c>
      <c r="B83" s="6"/>
      <c r="C83" s="9">
        <v>2</v>
      </c>
      <c r="D83" s="6"/>
      <c r="E83" s="6"/>
      <c r="F83" s="15"/>
      <c r="G83">
        <f>VLOOKUP(A83,expototal,2,FALSE)</f>
        <v>12137304</v>
      </c>
      <c r="H83">
        <f>VLOOKUP(A83,expototal,3,FALSE)</f>
        <v>10229924</v>
      </c>
      <c r="I83">
        <f>VLOOKUP(A83,expototal,4,FALSE)</f>
        <v>11429863</v>
      </c>
      <c r="J83">
        <f>VLOOKUP(A83,expototal,5,FALSE)</f>
        <v>18027777</v>
      </c>
      <c r="K83">
        <f>VLOOKUP(A83,expototal,6,FALSE)</f>
        <v>9609781</v>
      </c>
      <c r="L83">
        <f t="shared" si="17"/>
        <v>0</v>
      </c>
      <c r="M83">
        <f t="shared" si="18"/>
        <v>1.9550487374099749E-7</v>
      </c>
      <c r="N83">
        <f t="shared" si="19"/>
        <v>0</v>
      </c>
      <c r="O83">
        <f t="shared" si="20"/>
        <v>0</v>
      </c>
      <c r="P83">
        <f t="shared" si="21"/>
        <v>0</v>
      </c>
      <c r="Q83">
        <f t="shared" si="22"/>
        <v>0</v>
      </c>
      <c r="R83">
        <f t="shared" si="23"/>
        <v>1.7737552735193243E-2</v>
      </c>
      <c r="S83">
        <f t="shared" si="24"/>
        <v>0</v>
      </c>
      <c r="T83">
        <f t="shared" si="25"/>
        <v>0</v>
      </c>
      <c r="U83">
        <f t="shared" si="26"/>
        <v>0</v>
      </c>
      <c r="V83">
        <f t="shared" si="27"/>
        <v>-1</v>
      </c>
      <c r="W83">
        <f t="shared" si="28"/>
        <v>-0.96514316940055278</v>
      </c>
      <c r="X83">
        <f t="shared" si="29"/>
        <v>-1</v>
      </c>
      <c r="Y83">
        <f t="shared" si="30"/>
        <v>-1</v>
      </c>
      <c r="Z83">
        <f t="shared" si="31"/>
        <v>-1</v>
      </c>
    </row>
    <row r="84" spans="1:26" x14ac:dyDescent="0.25">
      <c r="A84" s="13" t="s">
        <v>94</v>
      </c>
      <c r="B84" s="7">
        <v>0</v>
      </c>
      <c r="C84" s="7">
        <v>0</v>
      </c>
      <c r="D84" s="7">
        <v>1</v>
      </c>
      <c r="E84" s="7">
        <v>1</v>
      </c>
      <c r="F84" s="16"/>
      <c r="G84">
        <f>VLOOKUP(A84,expototal,2,FALSE)</f>
        <v>19104</v>
      </c>
      <c r="H84">
        <f>VLOOKUP(A84,expototal,3,FALSE)</f>
        <v>28633</v>
      </c>
      <c r="I84">
        <f>VLOOKUP(A84,expototal,4,FALSE)</f>
        <v>33527</v>
      </c>
      <c r="J84">
        <f>VLOOKUP(A84,expototal,5,FALSE)</f>
        <v>22285</v>
      </c>
      <c r="K84">
        <f>VLOOKUP(A84,expototal,6,FALSE)</f>
        <v>222803</v>
      </c>
      <c r="L84">
        <f t="shared" si="17"/>
        <v>0</v>
      </c>
      <c r="M84">
        <f t="shared" si="18"/>
        <v>0</v>
      </c>
      <c r="N84">
        <f t="shared" si="19"/>
        <v>2.9826706833298535E-5</v>
      </c>
      <c r="O84">
        <f t="shared" si="20"/>
        <v>4.4873233116446037E-5</v>
      </c>
      <c r="P84">
        <f t="shared" si="21"/>
        <v>0</v>
      </c>
      <c r="Q84">
        <f t="shared" si="22"/>
        <v>0</v>
      </c>
      <c r="R84">
        <f t="shared" si="23"/>
        <v>0</v>
      </c>
      <c r="S84">
        <f t="shared" si="24"/>
        <v>3.502085773098107</v>
      </c>
      <c r="T84">
        <f t="shared" si="25"/>
        <v>4.847040231434729</v>
      </c>
      <c r="U84">
        <f t="shared" si="26"/>
        <v>0</v>
      </c>
      <c r="V84">
        <f t="shared" si="27"/>
        <v>-1</v>
      </c>
      <c r="W84">
        <f t="shared" si="28"/>
        <v>-1</v>
      </c>
      <c r="X84">
        <f t="shared" si="29"/>
        <v>0.55576146239797164</v>
      </c>
      <c r="Y84">
        <f t="shared" si="30"/>
        <v>0.65794659847769743</v>
      </c>
      <c r="Z84">
        <f t="shared" si="31"/>
        <v>-1</v>
      </c>
    </row>
    <row r="85" spans="1:26" x14ac:dyDescent="0.25">
      <c r="A85" s="14" t="s">
        <v>95</v>
      </c>
      <c r="B85" s="6">
        <v>0</v>
      </c>
      <c r="C85" s="6">
        <v>0</v>
      </c>
      <c r="D85" s="6">
        <v>0</v>
      </c>
      <c r="E85" s="6">
        <v>27</v>
      </c>
      <c r="F85" s="15"/>
      <c r="G85">
        <f>VLOOKUP(A85,expototal,2,FALSE)</f>
        <v>279938</v>
      </c>
      <c r="H85">
        <f>VLOOKUP(A85,expototal,3,FALSE)</f>
        <v>454189</v>
      </c>
      <c r="I85">
        <f>VLOOKUP(A85,expototal,4,FALSE)</f>
        <v>437882</v>
      </c>
      <c r="J85">
        <f>VLOOKUP(A85,expototal,5,FALSE)</f>
        <v>435626</v>
      </c>
      <c r="K85">
        <f>VLOOKUP(A85,expototal,6,FALSE)</f>
        <v>474092</v>
      </c>
      <c r="L85">
        <f t="shared" si="17"/>
        <v>0</v>
      </c>
      <c r="M85">
        <f t="shared" si="18"/>
        <v>0</v>
      </c>
      <c r="N85">
        <f t="shared" si="19"/>
        <v>0</v>
      </c>
      <c r="O85">
        <f t="shared" si="20"/>
        <v>6.197977163897472E-5</v>
      </c>
      <c r="P85">
        <f t="shared" si="21"/>
        <v>0</v>
      </c>
      <c r="Q85">
        <f t="shared" si="22"/>
        <v>0</v>
      </c>
      <c r="R85">
        <f t="shared" si="23"/>
        <v>0</v>
      </c>
      <c r="S85">
        <f t="shared" si="24"/>
        <v>0</v>
      </c>
      <c r="T85">
        <f t="shared" si="25"/>
        <v>6.6948250840241847</v>
      </c>
      <c r="U85">
        <f t="shared" si="26"/>
        <v>0</v>
      </c>
      <c r="V85">
        <f t="shared" si="27"/>
        <v>-1</v>
      </c>
      <c r="W85">
        <f t="shared" si="28"/>
        <v>-1</v>
      </c>
      <c r="X85">
        <f t="shared" si="29"/>
        <v>-1</v>
      </c>
      <c r="Y85">
        <f t="shared" si="30"/>
        <v>0.74008506000320229</v>
      </c>
      <c r="Z85">
        <f t="shared" si="31"/>
        <v>-1</v>
      </c>
    </row>
    <row r="86" spans="1:26" x14ac:dyDescent="0.25">
      <c r="A86" s="13" t="s">
        <v>96</v>
      </c>
      <c r="B86" s="7">
        <v>2</v>
      </c>
      <c r="C86" s="7">
        <v>0</v>
      </c>
      <c r="D86" s="7"/>
      <c r="E86" s="7"/>
      <c r="F86" s="16"/>
      <c r="G86">
        <f>VLOOKUP(A86,expototal,2,FALSE)</f>
        <v>29179441</v>
      </c>
      <c r="H86">
        <f>VLOOKUP(A86,expototal,3,FALSE)</f>
        <v>39889023</v>
      </c>
      <c r="I86">
        <f>VLOOKUP(A86,expototal,4,FALSE)</f>
        <v>11246065</v>
      </c>
      <c r="J86">
        <f>VLOOKUP(A86,expototal,5,FALSE)</f>
        <v>7876248</v>
      </c>
      <c r="K86">
        <f>VLOOKUP(A86,expototal,6,FALSE)</f>
        <v>6642494</v>
      </c>
      <c r="L86">
        <f t="shared" si="17"/>
        <v>6.8541409000946936E-8</v>
      </c>
      <c r="M86">
        <f t="shared" si="18"/>
        <v>0</v>
      </c>
      <c r="N86">
        <f t="shared" si="19"/>
        <v>0</v>
      </c>
      <c r="O86">
        <f t="shared" si="20"/>
        <v>0</v>
      </c>
      <c r="P86">
        <f t="shared" si="21"/>
        <v>0</v>
      </c>
      <c r="Q86">
        <f t="shared" si="22"/>
        <v>3.9223999588491156E-3</v>
      </c>
      <c r="R86">
        <f t="shared" si="23"/>
        <v>0</v>
      </c>
      <c r="S86">
        <f t="shared" si="24"/>
        <v>0</v>
      </c>
      <c r="T86">
        <f t="shared" si="25"/>
        <v>0</v>
      </c>
      <c r="U86">
        <f t="shared" si="26"/>
        <v>0</v>
      </c>
      <c r="V86">
        <f t="shared" si="27"/>
        <v>-0.99218585030275264</v>
      </c>
      <c r="W86">
        <f t="shared" si="28"/>
        <v>-1</v>
      </c>
      <c r="X86">
        <f t="shared" si="29"/>
        <v>-1</v>
      </c>
      <c r="Y86">
        <f t="shared" si="30"/>
        <v>-1</v>
      </c>
      <c r="Z86">
        <f t="shared" si="31"/>
        <v>-1</v>
      </c>
    </row>
    <row r="87" spans="1:26" ht="34.5" x14ac:dyDescent="0.25">
      <c r="A87" s="14" t="s">
        <v>97</v>
      </c>
      <c r="B87" s="9">
        <v>257</v>
      </c>
      <c r="C87" s="6"/>
      <c r="D87" s="6"/>
      <c r="E87" s="6"/>
      <c r="F87" s="15"/>
      <c r="G87">
        <f>VLOOKUP(A87,expototal,2,FALSE)</f>
        <v>5921390</v>
      </c>
      <c r="H87">
        <f>VLOOKUP(A87,expototal,3,FALSE)</f>
        <v>4838857</v>
      </c>
      <c r="I87">
        <f>VLOOKUP(A87,expototal,4,FALSE)</f>
        <v>4972327</v>
      </c>
      <c r="J87">
        <f>VLOOKUP(A87,expototal,5,FALSE)</f>
        <v>7625161</v>
      </c>
      <c r="K87">
        <f>VLOOKUP(A87,expototal,6,FALSE)</f>
        <v>13604535</v>
      </c>
      <c r="L87">
        <f t="shared" si="17"/>
        <v>4.3401971496557395E-5</v>
      </c>
      <c r="M87">
        <f t="shared" si="18"/>
        <v>0</v>
      </c>
      <c r="N87">
        <f t="shared" si="19"/>
        <v>0</v>
      </c>
      <c r="O87">
        <f t="shared" si="20"/>
        <v>0</v>
      </c>
      <c r="P87">
        <f t="shared" si="21"/>
        <v>0</v>
      </c>
      <c r="Q87">
        <f t="shared" si="22"/>
        <v>2.4837524307344672</v>
      </c>
      <c r="R87">
        <f t="shared" si="23"/>
        <v>0</v>
      </c>
      <c r="S87">
        <f t="shared" si="24"/>
        <v>0</v>
      </c>
      <c r="T87">
        <f t="shared" si="25"/>
        <v>0</v>
      </c>
      <c r="U87">
        <f t="shared" si="26"/>
        <v>0</v>
      </c>
      <c r="V87">
        <f t="shared" si="27"/>
        <v>0.42590639267143704</v>
      </c>
      <c r="W87">
        <f t="shared" si="28"/>
        <v>-1</v>
      </c>
      <c r="X87">
        <f t="shared" si="29"/>
        <v>-1</v>
      </c>
      <c r="Y87">
        <f t="shared" si="30"/>
        <v>-1</v>
      </c>
      <c r="Z87">
        <f t="shared" si="31"/>
        <v>-1</v>
      </c>
    </row>
    <row r="88" spans="1:26" x14ac:dyDescent="0.25">
      <c r="A88" s="17" t="s">
        <v>98</v>
      </c>
      <c r="B88" s="18">
        <v>0</v>
      </c>
      <c r="C88" s="18">
        <v>0</v>
      </c>
      <c r="D88" s="18">
        <v>0</v>
      </c>
      <c r="E88" s="18">
        <v>1</v>
      </c>
      <c r="F88" s="19"/>
      <c r="G88">
        <f>VLOOKUP(A88,expototal,2,FALSE)</f>
        <v>29322920</v>
      </c>
      <c r="H88">
        <f>VLOOKUP(A88,expototal,3,FALSE)</f>
        <v>43636852</v>
      </c>
      <c r="I88">
        <f>VLOOKUP(A88,expototal,4,FALSE)</f>
        <v>52115728</v>
      </c>
      <c r="J88">
        <f>VLOOKUP(A88,expototal,5,FALSE)</f>
        <v>42051584</v>
      </c>
      <c r="K88">
        <f>VLOOKUP(A88,expototal,6,FALSE)</f>
        <v>38846217</v>
      </c>
      <c r="L88">
        <f t="shared" si="17"/>
        <v>0</v>
      </c>
      <c r="M88">
        <f t="shared" si="18"/>
        <v>0</v>
      </c>
      <c r="N88">
        <f t="shared" si="19"/>
        <v>0</v>
      </c>
      <c r="O88">
        <f t="shared" si="20"/>
        <v>2.3780317050601471E-8</v>
      </c>
      <c r="P88">
        <f t="shared" si="21"/>
        <v>0</v>
      </c>
      <c r="Q88">
        <f t="shared" si="22"/>
        <v>0</v>
      </c>
      <c r="R88">
        <f t="shared" si="23"/>
        <v>0</v>
      </c>
      <c r="S88">
        <f t="shared" si="24"/>
        <v>0</v>
      </c>
      <c r="T88">
        <f t="shared" si="25"/>
        <v>2.5686616598681023E-3</v>
      </c>
      <c r="U88">
        <f t="shared" si="26"/>
        <v>0</v>
      </c>
      <c r="V88">
        <f t="shared" si="27"/>
        <v>-1</v>
      </c>
      <c r="W88">
        <f t="shared" si="28"/>
        <v>-1</v>
      </c>
      <c r="X88">
        <f t="shared" si="29"/>
        <v>-1</v>
      </c>
      <c r="Y88">
        <f t="shared" si="30"/>
        <v>-0.99487583891637821</v>
      </c>
      <c r="Z88">
        <f t="shared" si="31"/>
        <v>-1</v>
      </c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D2C1-2165-4CEA-9BBA-14AE11C775C8}">
  <dimension ref="A1:F235"/>
  <sheetViews>
    <sheetView workbookViewId="0">
      <selection activeCell="F1" sqref="F1"/>
    </sheetView>
  </sheetViews>
  <sheetFormatPr baseColWidth="10" defaultRowHeight="15" x14ac:dyDescent="0.25"/>
  <cols>
    <col min="1" max="1" width="12.140625" customWidth="1"/>
    <col min="2" max="6" width="19.42578125" customWidth="1"/>
  </cols>
  <sheetData>
    <row r="1" spans="1:6" x14ac:dyDescent="0.25">
      <c r="A1" s="20" t="s">
        <v>6</v>
      </c>
      <c r="B1" s="21" t="s">
        <v>7</v>
      </c>
      <c r="C1" s="21" t="s">
        <v>8</v>
      </c>
      <c r="D1" s="21" t="s">
        <v>9</v>
      </c>
      <c r="E1" s="21" t="s">
        <v>10</v>
      </c>
      <c r="F1" s="22" t="s">
        <v>11</v>
      </c>
    </row>
    <row r="2" spans="1:6" x14ac:dyDescent="0.25">
      <c r="A2" s="23" t="s">
        <v>12</v>
      </c>
      <c r="B2" s="24">
        <v>17507541851</v>
      </c>
      <c r="C2" s="24">
        <v>22166126034</v>
      </c>
      <c r="D2" s="24">
        <v>24722312663</v>
      </c>
      <c r="E2" s="24">
        <v>23669609969</v>
      </c>
      <c r="F2" s="25">
        <v>23879911094</v>
      </c>
    </row>
    <row r="3" spans="1:6" x14ac:dyDescent="0.25">
      <c r="A3" s="26" t="s">
        <v>37</v>
      </c>
      <c r="B3" s="27">
        <v>2588402392</v>
      </c>
      <c r="C3" s="27">
        <v>3361814264</v>
      </c>
      <c r="D3" s="27">
        <v>3593601450</v>
      </c>
      <c r="E3" s="27">
        <v>3388716312</v>
      </c>
      <c r="F3" s="28">
        <v>3575457663</v>
      </c>
    </row>
    <row r="4" spans="1:6" ht="23.25" x14ac:dyDescent="0.25">
      <c r="A4" s="23" t="s">
        <v>15</v>
      </c>
      <c r="B4" s="29">
        <v>1424934919</v>
      </c>
      <c r="C4" s="29">
        <v>1754300368</v>
      </c>
      <c r="D4" s="29">
        <v>2062937261</v>
      </c>
      <c r="E4" s="29">
        <v>2019159665</v>
      </c>
      <c r="F4" s="30">
        <v>2064516772</v>
      </c>
    </row>
    <row r="5" spans="1:6" x14ac:dyDescent="0.25">
      <c r="A5" s="26" t="s">
        <v>17</v>
      </c>
      <c r="B5" s="27">
        <v>1379900278</v>
      </c>
      <c r="C5" s="27">
        <v>1631098969</v>
      </c>
      <c r="D5" s="27">
        <v>1645377162</v>
      </c>
      <c r="E5" s="27">
        <v>1681974764</v>
      </c>
      <c r="F5" s="28">
        <v>1684013664</v>
      </c>
    </row>
    <row r="6" spans="1:6" x14ac:dyDescent="0.25">
      <c r="A6" s="23" t="s">
        <v>16</v>
      </c>
      <c r="B6" s="29">
        <v>551352792</v>
      </c>
      <c r="C6" s="29">
        <v>696873257</v>
      </c>
      <c r="D6" s="29">
        <v>768259270</v>
      </c>
      <c r="E6" s="29">
        <v>741804035</v>
      </c>
      <c r="F6" s="30">
        <v>725520286</v>
      </c>
    </row>
    <row r="7" spans="1:6" x14ac:dyDescent="0.25">
      <c r="A7" s="26" t="s">
        <v>99</v>
      </c>
      <c r="B7" s="27">
        <v>640953137</v>
      </c>
      <c r="C7" s="27">
        <v>757461387</v>
      </c>
      <c r="D7" s="27">
        <v>752071999</v>
      </c>
      <c r="E7" s="27">
        <v>719844077</v>
      </c>
      <c r="F7" s="28">
        <v>707995434</v>
      </c>
    </row>
    <row r="8" spans="1:6" ht="23.25" x14ac:dyDescent="0.25">
      <c r="A8" s="23" t="s">
        <v>77</v>
      </c>
      <c r="B8" s="29">
        <v>512788606</v>
      </c>
      <c r="C8" s="29">
        <v>644438622</v>
      </c>
      <c r="D8" s="29">
        <v>683584759</v>
      </c>
      <c r="E8" s="29">
        <v>632225745</v>
      </c>
      <c r="F8" s="30">
        <v>683691488</v>
      </c>
    </row>
    <row r="9" spans="1:6" x14ac:dyDescent="0.25">
      <c r="A9" s="26" t="s">
        <v>20</v>
      </c>
      <c r="B9" s="27">
        <v>498803832</v>
      </c>
      <c r="C9" s="27">
        <v>615910260</v>
      </c>
      <c r="D9" s="27">
        <v>659387209</v>
      </c>
      <c r="E9" s="27">
        <v>677095229</v>
      </c>
      <c r="F9" s="28">
        <v>674873608</v>
      </c>
    </row>
    <row r="10" spans="1:6" x14ac:dyDescent="0.25">
      <c r="A10" s="23" t="s">
        <v>56</v>
      </c>
      <c r="B10" s="29">
        <v>416982170</v>
      </c>
      <c r="C10" s="29">
        <v>494460765</v>
      </c>
      <c r="D10" s="29">
        <v>577730713</v>
      </c>
      <c r="E10" s="29">
        <v>592997234</v>
      </c>
      <c r="F10" s="31">
        <v>669295575</v>
      </c>
    </row>
    <row r="11" spans="1:6" ht="23.25" x14ac:dyDescent="0.25">
      <c r="A11" s="26" t="s">
        <v>53</v>
      </c>
      <c r="B11" s="27">
        <v>551515756</v>
      </c>
      <c r="C11" s="27">
        <v>672153980</v>
      </c>
      <c r="D11" s="27">
        <v>611481903</v>
      </c>
      <c r="E11" s="27">
        <v>576144442</v>
      </c>
      <c r="F11" s="28">
        <v>640570014</v>
      </c>
    </row>
    <row r="12" spans="1:6" x14ac:dyDescent="0.25">
      <c r="A12" s="23" t="s">
        <v>23</v>
      </c>
      <c r="B12" s="29">
        <v>478282779</v>
      </c>
      <c r="C12" s="29">
        <v>573227524</v>
      </c>
      <c r="D12" s="29">
        <v>608745460</v>
      </c>
      <c r="E12" s="29">
        <v>637660373</v>
      </c>
      <c r="F12" s="30">
        <v>626820762</v>
      </c>
    </row>
    <row r="13" spans="1:6" x14ac:dyDescent="0.25">
      <c r="A13" s="26" t="s">
        <v>19</v>
      </c>
      <c r="B13" s="27">
        <v>389926388</v>
      </c>
      <c r="C13" s="27">
        <v>503963502</v>
      </c>
      <c r="D13" s="27">
        <v>598582866</v>
      </c>
      <c r="E13" s="27">
        <v>568413103</v>
      </c>
      <c r="F13" s="28">
        <v>569244052</v>
      </c>
    </row>
    <row r="14" spans="1:6" x14ac:dyDescent="0.25">
      <c r="A14" s="23" t="s">
        <v>22</v>
      </c>
      <c r="B14" s="29">
        <v>419478288</v>
      </c>
      <c r="C14" s="29">
        <v>549499377</v>
      </c>
      <c r="D14" s="29">
        <v>636424483</v>
      </c>
      <c r="E14" s="29">
        <v>568505277</v>
      </c>
      <c r="F14" s="30">
        <v>549570742</v>
      </c>
    </row>
    <row r="15" spans="1:6" x14ac:dyDescent="0.25">
      <c r="A15" s="26" t="s">
        <v>29</v>
      </c>
      <c r="B15" s="27">
        <v>402566008</v>
      </c>
      <c r="C15" s="27">
        <v>468502713</v>
      </c>
      <c r="D15" s="27">
        <v>530481545</v>
      </c>
      <c r="E15" s="27">
        <v>519684227</v>
      </c>
      <c r="F15" s="28">
        <v>512910100</v>
      </c>
    </row>
    <row r="16" spans="1:6" x14ac:dyDescent="0.25">
      <c r="A16" s="23" t="s">
        <v>61</v>
      </c>
      <c r="B16" s="29">
        <v>373909153</v>
      </c>
      <c r="C16" s="29">
        <v>457749966</v>
      </c>
      <c r="D16" s="29">
        <v>515077895</v>
      </c>
      <c r="E16" s="29">
        <v>475472598</v>
      </c>
      <c r="F16" s="30">
        <v>504878086</v>
      </c>
    </row>
    <row r="17" spans="1:6" x14ac:dyDescent="0.25">
      <c r="A17" s="26" t="s">
        <v>88</v>
      </c>
      <c r="B17" s="27">
        <v>281441457</v>
      </c>
      <c r="C17" s="27">
        <v>335792598</v>
      </c>
      <c r="D17" s="27">
        <v>370909157</v>
      </c>
      <c r="E17" s="27">
        <v>353077513</v>
      </c>
      <c r="F17" s="32">
        <v>499816774</v>
      </c>
    </row>
    <row r="18" spans="1:6" x14ac:dyDescent="0.25">
      <c r="A18" s="23" t="s">
        <v>76</v>
      </c>
      <c r="B18" s="29">
        <v>346633936</v>
      </c>
      <c r="C18" s="29">
        <v>447557398</v>
      </c>
      <c r="D18" s="29">
        <v>478224690</v>
      </c>
      <c r="E18" s="29">
        <v>432943057</v>
      </c>
      <c r="F18" s="30">
        <v>474618994</v>
      </c>
    </row>
    <row r="19" spans="1:6" x14ac:dyDescent="0.25">
      <c r="A19" s="26" t="s">
        <v>47</v>
      </c>
      <c r="B19" s="27">
        <v>318985767</v>
      </c>
      <c r="C19" s="27">
        <v>380557523</v>
      </c>
      <c r="D19" s="27">
        <v>402112025</v>
      </c>
      <c r="E19" s="27">
        <v>420656666</v>
      </c>
      <c r="F19" s="28">
        <v>446846629</v>
      </c>
    </row>
    <row r="20" spans="1:6" x14ac:dyDescent="0.25">
      <c r="A20" s="23" t="s">
        <v>21</v>
      </c>
      <c r="B20" s="29">
        <v>275488745</v>
      </c>
      <c r="C20" s="29">
        <v>394813673</v>
      </c>
      <c r="D20" s="29">
        <v>452684214</v>
      </c>
      <c r="E20" s="29">
        <v>431245536</v>
      </c>
      <c r="F20" s="30">
        <v>441700612</v>
      </c>
    </row>
    <row r="21" spans="1:6" x14ac:dyDescent="0.25">
      <c r="A21" s="26" t="s">
        <v>18</v>
      </c>
      <c r="B21" s="27">
        <v>312080513</v>
      </c>
      <c r="C21" s="27">
        <v>391558519</v>
      </c>
      <c r="D21" s="27">
        <v>424286055</v>
      </c>
      <c r="E21" s="27">
        <v>420169591</v>
      </c>
      <c r="F21" s="28">
        <v>403702939</v>
      </c>
    </row>
    <row r="22" spans="1:6" ht="23.25" x14ac:dyDescent="0.25">
      <c r="A22" s="23" t="s">
        <v>38</v>
      </c>
      <c r="B22" s="29">
        <v>337105352</v>
      </c>
      <c r="C22" s="29">
        <v>492314339</v>
      </c>
      <c r="D22" s="33">
        <v>575226571</v>
      </c>
      <c r="E22" s="33">
        <v>421884417</v>
      </c>
      <c r="F22" s="31">
        <v>386035772</v>
      </c>
    </row>
    <row r="23" spans="1:6" x14ac:dyDescent="0.25">
      <c r="A23" s="26" t="s">
        <v>27</v>
      </c>
      <c r="B23" s="27">
        <v>254169032</v>
      </c>
      <c r="C23" s="27">
        <v>317832125</v>
      </c>
      <c r="D23" s="27">
        <v>365750694</v>
      </c>
      <c r="E23" s="27">
        <v>381932840</v>
      </c>
      <c r="F23" s="28">
        <v>380333187</v>
      </c>
    </row>
    <row r="24" spans="1:6" x14ac:dyDescent="0.25">
      <c r="A24" s="23" t="s">
        <v>42</v>
      </c>
      <c r="B24" s="29">
        <v>254531426</v>
      </c>
      <c r="C24" s="29">
        <v>345599938</v>
      </c>
      <c r="D24" s="29">
        <v>402166083</v>
      </c>
      <c r="E24" s="29">
        <v>370869477</v>
      </c>
      <c r="F24" s="30">
        <v>345858153</v>
      </c>
    </row>
    <row r="25" spans="1:6" x14ac:dyDescent="0.25">
      <c r="A25" s="26" t="s">
        <v>39</v>
      </c>
      <c r="B25" s="27">
        <v>209180242</v>
      </c>
      <c r="C25" s="27">
        <v>280814577</v>
      </c>
      <c r="D25" s="27">
        <v>334463079</v>
      </c>
      <c r="E25" s="27">
        <v>339695766</v>
      </c>
      <c r="F25" s="28">
        <v>337046162</v>
      </c>
    </row>
    <row r="26" spans="1:6" x14ac:dyDescent="0.25">
      <c r="A26" s="23" t="s">
        <v>52</v>
      </c>
      <c r="B26" s="29">
        <v>233553703</v>
      </c>
      <c r="C26" s="29">
        <v>299288393</v>
      </c>
      <c r="D26" s="29">
        <v>353149561</v>
      </c>
      <c r="E26" s="29">
        <v>312964855</v>
      </c>
      <c r="F26" s="30">
        <v>330045621</v>
      </c>
    </row>
    <row r="27" spans="1:6" x14ac:dyDescent="0.25">
      <c r="A27" s="26" t="s">
        <v>75</v>
      </c>
      <c r="B27" s="27">
        <v>173110415</v>
      </c>
      <c r="C27" s="27">
        <v>276204569</v>
      </c>
      <c r="D27" s="27">
        <v>411184942</v>
      </c>
      <c r="E27" s="27">
        <v>320978141</v>
      </c>
      <c r="F27" s="28">
        <v>305358131</v>
      </c>
    </row>
    <row r="28" spans="1:6" x14ac:dyDescent="0.25">
      <c r="A28" s="23" t="s">
        <v>54</v>
      </c>
      <c r="B28" s="29">
        <v>229277734</v>
      </c>
      <c r="C28" s="29">
        <v>267492416</v>
      </c>
      <c r="D28" s="29">
        <v>284106705</v>
      </c>
      <c r="E28" s="29">
        <v>280087768</v>
      </c>
      <c r="F28" s="30">
        <v>299249160</v>
      </c>
    </row>
    <row r="29" spans="1:6" ht="23.25" x14ac:dyDescent="0.25">
      <c r="A29" s="26" t="s">
        <v>49</v>
      </c>
      <c r="B29" s="27">
        <v>335296908</v>
      </c>
      <c r="C29" s="27">
        <v>425159797</v>
      </c>
      <c r="D29" s="27">
        <v>515621189</v>
      </c>
      <c r="E29" s="27">
        <v>570245384</v>
      </c>
      <c r="F29" s="32">
        <v>296147744</v>
      </c>
    </row>
    <row r="30" spans="1:6" x14ac:dyDescent="0.25">
      <c r="A30" s="23" t="s">
        <v>100</v>
      </c>
      <c r="B30" s="29">
        <v>163306490</v>
      </c>
      <c r="C30" s="29">
        <v>231587887</v>
      </c>
      <c r="D30" s="29">
        <v>291979103</v>
      </c>
      <c r="E30" s="29">
        <v>258797196</v>
      </c>
      <c r="F30" s="30">
        <v>264703354</v>
      </c>
    </row>
    <row r="31" spans="1:6" x14ac:dyDescent="0.25">
      <c r="A31" s="26" t="s">
        <v>50</v>
      </c>
      <c r="B31" s="27">
        <v>169657940</v>
      </c>
      <c r="C31" s="27">
        <v>225264314</v>
      </c>
      <c r="D31" s="27">
        <v>254171899</v>
      </c>
      <c r="E31" s="27">
        <v>255627429</v>
      </c>
      <c r="F31" s="28">
        <v>261801501</v>
      </c>
    </row>
    <row r="32" spans="1:6" x14ac:dyDescent="0.25">
      <c r="A32" s="23" t="s">
        <v>34</v>
      </c>
      <c r="B32" s="29">
        <v>192307380</v>
      </c>
      <c r="C32" s="29">
        <v>227168411</v>
      </c>
      <c r="D32" s="29">
        <v>241689131</v>
      </c>
      <c r="E32" s="29">
        <v>253327521</v>
      </c>
      <c r="F32" s="30">
        <v>259292432</v>
      </c>
    </row>
    <row r="33" spans="1:6" x14ac:dyDescent="0.25">
      <c r="A33" s="26" t="s">
        <v>55</v>
      </c>
      <c r="B33" s="27">
        <v>185185365</v>
      </c>
      <c r="C33" s="27">
        <v>195997876</v>
      </c>
      <c r="D33" s="27">
        <v>219836715</v>
      </c>
      <c r="E33" s="27">
        <v>212869514</v>
      </c>
      <c r="F33" s="28">
        <v>242218972</v>
      </c>
    </row>
    <row r="34" spans="1:6" x14ac:dyDescent="0.25">
      <c r="A34" s="23" t="s">
        <v>26</v>
      </c>
      <c r="B34" s="29">
        <v>169238399</v>
      </c>
      <c r="C34" s="29">
        <v>203023624</v>
      </c>
      <c r="D34" s="29">
        <v>212249157</v>
      </c>
      <c r="E34" s="29">
        <v>224181574</v>
      </c>
      <c r="F34" s="30">
        <v>213878140</v>
      </c>
    </row>
    <row r="35" spans="1:6" x14ac:dyDescent="0.25">
      <c r="A35" s="26" t="s">
        <v>28</v>
      </c>
      <c r="B35" s="27">
        <v>154935587</v>
      </c>
      <c r="C35" s="27">
        <v>189635063</v>
      </c>
      <c r="D35" s="27">
        <v>197527811</v>
      </c>
      <c r="E35" s="27">
        <v>197533884</v>
      </c>
      <c r="F35" s="28">
        <v>195761855</v>
      </c>
    </row>
    <row r="36" spans="1:6" x14ac:dyDescent="0.25">
      <c r="A36" s="23" t="s">
        <v>65</v>
      </c>
      <c r="B36" s="29">
        <v>82429462</v>
      </c>
      <c r="C36" s="29">
        <v>160479746</v>
      </c>
      <c r="D36" s="29">
        <v>271667221</v>
      </c>
      <c r="E36" s="29">
        <v>177454635</v>
      </c>
      <c r="F36" s="30">
        <v>168052921</v>
      </c>
    </row>
    <row r="37" spans="1:6" x14ac:dyDescent="0.25">
      <c r="A37" s="26" t="s">
        <v>31</v>
      </c>
      <c r="B37" s="27">
        <v>119970720</v>
      </c>
      <c r="C37" s="27">
        <v>141157092</v>
      </c>
      <c r="D37" s="27">
        <v>149934115</v>
      </c>
      <c r="E37" s="27">
        <v>158075487</v>
      </c>
      <c r="F37" s="28">
        <v>167705355</v>
      </c>
    </row>
    <row r="38" spans="1:6" x14ac:dyDescent="0.25">
      <c r="A38" s="23" t="s">
        <v>41</v>
      </c>
      <c r="B38" s="29">
        <v>106871154</v>
      </c>
      <c r="C38" s="29">
        <v>125384922</v>
      </c>
      <c r="D38" s="29">
        <v>129811334</v>
      </c>
      <c r="E38" s="29">
        <v>136074398</v>
      </c>
      <c r="F38" s="30">
        <v>133654778</v>
      </c>
    </row>
    <row r="39" spans="1:6" x14ac:dyDescent="0.25">
      <c r="A39" s="26" t="s">
        <v>46</v>
      </c>
      <c r="B39" s="27">
        <v>86265125</v>
      </c>
      <c r="C39" s="27">
        <v>103994252</v>
      </c>
      <c r="D39" s="27">
        <v>108594464</v>
      </c>
      <c r="E39" s="27">
        <v>117590707</v>
      </c>
      <c r="F39" s="28">
        <v>115616351</v>
      </c>
    </row>
    <row r="40" spans="1:6" x14ac:dyDescent="0.25">
      <c r="A40" s="23" t="s">
        <v>59</v>
      </c>
      <c r="B40" s="29">
        <v>85686133</v>
      </c>
      <c r="C40" s="29">
        <v>123734050</v>
      </c>
      <c r="D40" s="29">
        <v>123614816</v>
      </c>
      <c r="E40" s="29">
        <v>110662795</v>
      </c>
      <c r="F40" s="30">
        <v>110390555</v>
      </c>
    </row>
    <row r="41" spans="1:6" x14ac:dyDescent="0.25">
      <c r="A41" s="26" t="s">
        <v>101</v>
      </c>
      <c r="B41" s="34">
        <v>65055419</v>
      </c>
      <c r="C41" s="34">
        <v>87911709</v>
      </c>
      <c r="D41" s="34">
        <v>134470047</v>
      </c>
      <c r="E41" s="34">
        <v>114688074</v>
      </c>
      <c r="F41" s="32">
        <v>108491307</v>
      </c>
    </row>
    <row r="42" spans="1:6" x14ac:dyDescent="0.25">
      <c r="A42" s="23" t="s">
        <v>44</v>
      </c>
      <c r="B42" s="29">
        <v>69964786</v>
      </c>
      <c r="C42" s="29">
        <v>92887987</v>
      </c>
      <c r="D42" s="29">
        <v>102625791</v>
      </c>
      <c r="E42" s="29">
        <v>100290449</v>
      </c>
      <c r="F42" s="30">
        <v>103312004</v>
      </c>
    </row>
    <row r="43" spans="1:6" x14ac:dyDescent="0.25">
      <c r="A43" s="26" t="s">
        <v>85</v>
      </c>
      <c r="B43" s="27">
        <v>70503421</v>
      </c>
      <c r="C43" s="27">
        <v>87489809</v>
      </c>
      <c r="D43" s="27">
        <v>96928059</v>
      </c>
      <c r="E43" s="27">
        <v>100671174</v>
      </c>
      <c r="F43" s="28">
        <v>100300263</v>
      </c>
    </row>
    <row r="44" spans="1:6" x14ac:dyDescent="0.25">
      <c r="A44" s="23" t="s">
        <v>102</v>
      </c>
      <c r="B44" s="29">
        <v>51504158</v>
      </c>
      <c r="C44" s="29">
        <v>87203291</v>
      </c>
      <c r="D44" s="29">
        <v>130964473</v>
      </c>
      <c r="E44" s="29">
        <v>97751494</v>
      </c>
      <c r="F44" s="31">
        <v>88182863</v>
      </c>
    </row>
    <row r="45" spans="1:6" x14ac:dyDescent="0.25">
      <c r="A45" s="26" t="s">
        <v>40</v>
      </c>
      <c r="B45" s="27">
        <v>61400262</v>
      </c>
      <c r="C45" s="27">
        <v>75242767</v>
      </c>
      <c r="D45" s="27">
        <v>82559524</v>
      </c>
      <c r="E45" s="27">
        <v>83908918</v>
      </c>
      <c r="F45" s="28">
        <v>85813704</v>
      </c>
    </row>
    <row r="46" spans="1:6" x14ac:dyDescent="0.25">
      <c r="A46" s="23" t="s">
        <v>73</v>
      </c>
      <c r="B46" s="29">
        <v>46949697</v>
      </c>
      <c r="C46" s="29">
        <v>60321024</v>
      </c>
      <c r="D46" s="29">
        <v>76139805</v>
      </c>
      <c r="E46" s="29">
        <v>78735591</v>
      </c>
      <c r="F46" s="30">
        <v>81618417</v>
      </c>
    </row>
    <row r="47" spans="1:6" x14ac:dyDescent="0.25">
      <c r="A47" s="26" t="s">
        <v>103</v>
      </c>
      <c r="B47" s="27">
        <v>54883822</v>
      </c>
      <c r="C47" s="27">
        <v>77838728</v>
      </c>
      <c r="D47" s="27">
        <v>88268232</v>
      </c>
      <c r="E47" s="27">
        <v>66700666</v>
      </c>
      <c r="F47" s="28">
        <v>79720583</v>
      </c>
    </row>
    <row r="48" spans="1:6" x14ac:dyDescent="0.25">
      <c r="A48" s="23" t="s">
        <v>25</v>
      </c>
      <c r="B48" s="29">
        <v>44791710</v>
      </c>
      <c r="C48" s="29">
        <v>57453555</v>
      </c>
      <c r="D48" s="29">
        <v>69988673</v>
      </c>
      <c r="E48" s="29">
        <v>73097825</v>
      </c>
      <c r="F48" s="30">
        <v>79073154</v>
      </c>
    </row>
    <row r="49" spans="1:6" x14ac:dyDescent="0.25">
      <c r="A49" s="26" t="s">
        <v>63</v>
      </c>
      <c r="B49" s="27">
        <v>65606976</v>
      </c>
      <c r="C49" s="27">
        <v>81500265</v>
      </c>
      <c r="D49" s="27">
        <v>86228240</v>
      </c>
      <c r="E49" s="27">
        <v>82567753</v>
      </c>
      <c r="F49" s="28">
        <v>78154637</v>
      </c>
    </row>
    <row r="50" spans="1:6" x14ac:dyDescent="0.25">
      <c r="A50" s="23" t="s">
        <v>13</v>
      </c>
      <c r="B50" s="29">
        <v>38757234</v>
      </c>
      <c r="C50" s="29">
        <v>56260115</v>
      </c>
      <c r="D50" s="29">
        <v>63648101</v>
      </c>
      <c r="E50" s="29">
        <v>64605821</v>
      </c>
      <c r="F50" s="30">
        <v>74664216</v>
      </c>
    </row>
    <row r="51" spans="1:6" x14ac:dyDescent="0.25">
      <c r="A51" s="26" t="s">
        <v>104</v>
      </c>
      <c r="B51" s="27">
        <v>63879430</v>
      </c>
      <c r="C51" s="27">
        <v>74619723</v>
      </c>
      <c r="D51" s="27">
        <v>78929719</v>
      </c>
      <c r="E51" s="27">
        <v>72923286</v>
      </c>
      <c r="F51" s="28">
        <v>72983914</v>
      </c>
    </row>
    <row r="52" spans="1:6" x14ac:dyDescent="0.25">
      <c r="A52" s="23" t="s">
        <v>86</v>
      </c>
      <c r="B52" s="29">
        <v>33479359</v>
      </c>
      <c r="C52" s="29">
        <v>44590927</v>
      </c>
      <c r="D52" s="29">
        <v>66063353</v>
      </c>
      <c r="E52" s="29">
        <v>59010531</v>
      </c>
      <c r="F52" s="31">
        <v>67321553</v>
      </c>
    </row>
    <row r="53" spans="1:6" x14ac:dyDescent="0.25">
      <c r="A53" s="26" t="s">
        <v>35</v>
      </c>
      <c r="B53" s="27">
        <v>50153246</v>
      </c>
      <c r="C53" s="27">
        <v>60159734</v>
      </c>
      <c r="D53" s="27">
        <v>72568881</v>
      </c>
      <c r="E53" s="27">
        <v>59915951</v>
      </c>
      <c r="F53" s="28">
        <v>61702646</v>
      </c>
    </row>
    <row r="54" spans="1:6" x14ac:dyDescent="0.25">
      <c r="A54" s="23" t="s">
        <v>92</v>
      </c>
      <c r="B54" s="29">
        <v>40149524</v>
      </c>
      <c r="C54" s="29">
        <v>63129694</v>
      </c>
      <c r="D54" s="29">
        <v>99712377</v>
      </c>
      <c r="E54" s="29">
        <v>83983279</v>
      </c>
      <c r="F54" s="31">
        <v>59549263</v>
      </c>
    </row>
    <row r="55" spans="1:6" x14ac:dyDescent="0.25">
      <c r="A55" s="26" t="s">
        <v>105</v>
      </c>
      <c r="B55" s="34">
        <v>42079930</v>
      </c>
      <c r="C55" s="34">
        <v>53835876</v>
      </c>
      <c r="D55" s="34">
        <v>67438274</v>
      </c>
      <c r="E55" s="34">
        <v>56865095</v>
      </c>
      <c r="F55" s="32">
        <v>57522809</v>
      </c>
    </row>
    <row r="56" spans="1:6" x14ac:dyDescent="0.25">
      <c r="A56" s="23" t="s">
        <v>106</v>
      </c>
      <c r="B56" s="29">
        <v>33361475</v>
      </c>
      <c r="C56" s="29">
        <v>47570421</v>
      </c>
      <c r="D56" s="29">
        <v>63338596</v>
      </c>
      <c r="E56" s="29">
        <v>60650575</v>
      </c>
      <c r="F56" s="31">
        <v>56766427</v>
      </c>
    </row>
    <row r="57" spans="1:6" x14ac:dyDescent="0.25">
      <c r="A57" s="26" t="s">
        <v>33</v>
      </c>
      <c r="B57" s="27">
        <v>35070462</v>
      </c>
      <c r="C57" s="27">
        <v>47244277</v>
      </c>
      <c r="D57" s="27">
        <v>57568025</v>
      </c>
      <c r="E57" s="27">
        <v>55051587</v>
      </c>
      <c r="F57" s="28">
        <v>53357149</v>
      </c>
    </row>
    <row r="58" spans="1:6" x14ac:dyDescent="0.25">
      <c r="A58" s="23" t="s">
        <v>71</v>
      </c>
      <c r="B58" s="29">
        <v>31045676</v>
      </c>
      <c r="C58" s="29">
        <v>40488600</v>
      </c>
      <c r="D58" s="29">
        <v>57259330</v>
      </c>
      <c r="E58" s="29">
        <v>49542894</v>
      </c>
      <c r="F58" s="30">
        <v>49551988</v>
      </c>
    </row>
    <row r="59" spans="1:6" x14ac:dyDescent="0.25">
      <c r="A59" s="26" t="s">
        <v>36</v>
      </c>
      <c r="B59" s="27">
        <v>27704922</v>
      </c>
      <c r="C59" s="27">
        <v>36578743</v>
      </c>
      <c r="D59" s="27">
        <v>42331463</v>
      </c>
      <c r="E59" s="27">
        <v>42477876</v>
      </c>
      <c r="F59" s="32">
        <v>47487556</v>
      </c>
    </row>
    <row r="60" spans="1:6" x14ac:dyDescent="0.25">
      <c r="A60" s="23" t="s">
        <v>107</v>
      </c>
      <c r="B60" s="33">
        <v>22650197</v>
      </c>
      <c r="C60" s="33">
        <v>39118633</v>
      </c>
      <c r="D60" s="33">
        <v>66244497</v>
      </c>
      <c r="E60" s="33">
        <v>57044198</v>
      </c>
      <c r="F60" s="31">
        <v>47096935</v>
      </c>
    </row>
    <row r="61" spans="1:6" x14ac:dyDescent="0.25">
      <c r="A61" s="26" t="s">
        <v>30</v>
      </c>
      <c r="B61" s="27">
        <v>31918087</v>
      </c>
      <c r="C61" s="27">
        <v>41213065</v>
      </c>
      <c r="D61" s="27">
        <v>50068471</v>
      </c>
      <c r="E61" s="27">
        <v>48001673</v>
      </c>
      <c r="F61" s="28">
        <v>46416985</v>
      </c>
    </row>
    <row r="62" spans="1:6" x14ac:dyDescent="0.25">
      <c r="A62" s="23" t="s">
        <v>32</v>
      </c>
      <c r="B62" s="29">
        <v>37468046</v>
      </c>
      <c r="C62" s="29">
        <v>43361858</v>
      </c>
      <c r="D62" s="29">
        <v>43996272</v>
      </c>
      <c r="E62" s="29">
        <v>39763418</v>
      </c>
      <c r="F62" s="30">
        <v>42530609</v>
      </c>
    </row>
    <row r="63" spans="1:6" x14ac:dyDescent="0.25">
      <c r="A63" s="26" t="s">
        <v>81</v>
      </c>
      <c r="B63" s="27">
        <v>49191564</v>
      </c>
      <c r="C63" s="27">
        <v>68072095</v>
      </c>
      <c r="D63" s="27">
        <v>44443214</v>
      </c>
      <c r="E63" s="27">
        <v>36185539</v>
      </c>
      <c r="F63" s="28">
        <v>40409549</v>
      </c>
    </row>
    <row r="64" spans="1:6" x14ac:dyDescent="0.25">
      <c r="A64" s="23" t="s">
        <v>45</v>
      </c>
      <c r="B64" s="29">
        <v>32790372</v>
      </c>
      <c r="C64" s="29">
        <v>40698383</v>
      </c>
      <c r="D64" s="29">
        <v>46501899</v>
      </c>
      <c r="E64" s="29">
        <v>42625692</v>
      </c>
      <c r="F64" s="30">
        <v>39720644</v>
      </c>
    </row>
    <row r="65" spans="1:6" x14ac:dyDescent="0.25">
      <c r="A65" s="26" t="s">
        <v>98</v>
      </c>
      <c r="B65" s="27">
        <v>29322920</v>
      </c>
      <c r="C65" s="27">
        <v>43636852</v>
      </c>
      <c r="D65" s="27">
        <v>52115728</v>
      </c>
      <c r="E65" s="27">
        <v>42051584</v>
      </c>
      <c r="F65" s="32">
        <v>38846217</v>
      </c>
    </row>
    <row r="66" spans="1:6" x14ac:dyDescent="0.25">
      <c r="A66" s="23" t="s">
        <v>108</v>
      </c>
      <c r="B66" s="29">
        <v>21043779</v>
      </c>
      <c r="C66" s="29">
        <v>33743794</v>
      </c>
      <c r="D66" s="29">
        <v>51268600</v>
      </c>
      <c r="E66" s="29">
        <v>38732408</v>
      </c>
      <c r="F66" s="31">
        <v>36720802</v>
      </c>
    </row>
    <row r="67" spans="1:6" x14ac:dyDescent="0.25">
      <c r="A67" s="26" t="s">
        <v>24</v>
      </c>
      <c r="B67" s="27">
        <v>20226568</v>
      </c>
      <c r="C67" s="27">
        <v>26269228</v>
      </c>
      <c r="D67" s="27">
        <v>35380362</v>
      </c>
      <c r="E67" s="27">
        <v>31126424</v>
      </c>
      <c r="F67" s="28">
        <v>34420386</v>
      </c>
    </row>
    <row r="68" spans="1:6" x14ac:dyDescent="0.25">
      <c r="A68" s="23" t="s">
        <v>84</v>
      </c>
      <c r="B68" s="29">
        <v>22245688</v>
      </c>
      <c r="C68" s="29">
        <v>28880006</v>
      </c>
      <c r="D68" s="29">
        <v>31175925</v>
      </c>
      <c r="E68" s="29">
        <v>28950086</v>
      </c>
      <c r="F68" s="30">
        <v>32460566</v>
      </c>
    </row>
    <row r="69" spans="1:6" x14ac:dyDescent="0.25">
      <c r="A69" s="26" t="s">
        <v>109</v>
      </c>
      <c r="B69" s="27">
        <v>13127295</v>
      </c>
      <c r="C69" s="27">
        <v>14034977</v>
      </c>
      <c r="D69" s="27">
        <v>15286928</v>
      </c>
      <c r="E69" s="27">
        <v>21016917</v>
      </c>
      <c r="F69" s="28">
        <v>31856439</v>
      </c>
    </row>
    <row r="70" spans="1:6" x14ac:dyDescent="0.25">
      <c r="A70" s="23" t="s">
        <v>62</v>
      </c>
      <c r="B70" s="29">
        <v>19384734</v>
      </c>
      <c r="C70" s="29">
        <v>25566161</v>
      </c>
      <c r="D70" s="29">
        <v>28565681</v>
      </c>
      <c r="E70" s="29">
        <v>30790286</v>
      </c>
      <c r="F70" s="30">
        <v>31115484</v>
      </c>
    </row>
    <row r="71" spans="1:6" x14ac:dyDescent="0.25">
      <c r="A71" s="26" t="s">
        <v>90</v>
      </c>
      <c r="B71" s="34">
        <v>9465167</v>
      </c>
      <c r="C71" s="34">
        <v>33190868</v>
      </c>
      <c r="D71" s="34">
        <v>40248130</v>
      </c>
      <c r="E71" s="34">
        <v>35743253</v>
      </c>
      <c r="F71" s="32">
        <v>29754476</v>
      </c>
    </row>
    <row r="72" spans="1:6" ht="34.5" x14ac:dyDescent="0.25">
      <c r="A72" s="23" t="s">
        <v>110</v>
      </c>
      <c r="B72" s="29">
        <v>14230247</v>
      </c>
      <c r="C72" s="29">
        <v>22334312</v>
      </c>
      <c r="D72" s="29">
        <v>29367288</v>
      </c>
      <c r="E72" s="29">
        <v>28517775</v>
      </c>
      <c r="F72" s="31">
        <v>28388372</v>
      </c>
    </row>
    <row r="73" spans="1:6" x14ac:dyDescent="0.25">
      <c r="A73" s="26" t="s">
        <v>111</v>
      </c>
      <c r="B73" s="27">
        <v>17716469</v>
      </c>
      <c r="C73" s="27">
        <v>17571783</v>
      </c>
      <c r="D73" s="27">
        <v>20575773</v>
      </c>
      <c r="E73" s="27">
        <v>23775412</v>
      </c>
      <c r="F73" s="28">
        <v>26664502</v>
      </c>
    </row>
    <row r="74" spans="1:6" x14ac:dyDescent="0.25">
      <c r="A74" s="23" t="s">
        <v>112</v>
      </c>
      <c r="B74" s="29">
        <v>13732637</v>
      </c>
      <c r="C74" s="29">
        <v>22206671</v>
      </c>
      <c r="D74" s="29">
        <v>38146630</v>
      </c>
      <c r="E74" s="29">
        <v>33898555</v>
      </c>
      <c r="F74" s="30">
        <v>26554057</v>
      </c>
    </row>
    <row r="75" spans="1:6" x14ac:dyDescent="0.25">
      <c r="A75" s="26" t="s">
        <v>48</v>
      </c>
      <c r="B75" s="27">
        <v>17144989</v>
      </c>
      <c r="C75" s="27">
        <v>21919900</v>
      </c>
      <c r="D75" s="27">
        <v>25592614</v>
      </c>
      <c r="E75" s="27">
        <v>24975484</v>
      </c>
      <c r="F75" s="28">
        <v>25968345</v>
      </c>
    </row>
    <row r="76" spans="1:6" x14ac:dyDescent="0.25">
      <c r="A76" s="23" t="s">
        <v>113</v>
      </c>
      <c r="B76" s="29">
        <v>2805741</v>
      </c>
      <c r="C76" s="29">
        <v>4243572</v>
      </c>
      <c r="D76" s="29">
        <v>7866427</v>
      </c>
      <c r="E76" s="29">
        <v>10811756</v>
      </c>
      <c r="F76" s="30">
        <v>22414584</v>
      </c>
    </row>
    <row r="77" spans="1:6" x14ac:dyDescent="0.25">
      <c r="A77" s="26" t="s">
        <v>114</v>
      </c>
      <c r="B77" s="27">
        <v>12454042</v>
      </c>
      <c r="C77" s="27">
        <v>15356712</v>
      </c>
      <c r="D77" s="27">
        <v>16395306</v>
      </c>
      <c r="E77" s="27">
        <v>18356186</v>
      </c>
      <c r="F77" s="28">
        <v>20548862</v>
      </c>
    </row>
    <row r="78" spans="1:6" x14ac:dyDescent="0.25">
      <c r="A78" s="23" t="s">
        <v>115</v>
      </c>
      <c r="B78" s="29">
        <v>13828833</v>
      </c>
      <c r="C78" s="29">
        <v>16432745</v>
      </c>
      <c r="D78" s="29">
        <v>18545385</v>
      </c>
      <c r="E78" s="29">
        <v>20039656</v>
      </c>
      <c r="F78" s="31">
        <v>20339219</v>
      </c>
    </row>
    <row r="79" spans="1:6" x14ac:dyDescent="0.25">
      <c r="A79" s="26" t="s">
        <v>43</v>
      </c>
      <c r="B79" s="27">
        <v>15196527</v>
      </c>
      <c r="C79" s="27">
        <v>19458822</v>
      </c>
      <c r="D79" s="27">
        <v>22494202</v>
      </c>
      <c r="E79" s="27">
        <v>20594420</v>
      </c>
      <c r="F79" s="28">
        <v>20220063</v>
      </c>
    </row>
    <row r="80" spans="1:6" x14ac:dyDescent="0.25">
      <c r="A80" s="23" t="s">
        <v>51</v>
      </c>
      <c r="B80" s="29">
        <v>11625662</v>
      </c>
      <c r="C80" s="29">
        <v>14345396</v>
      </c>
      <c r="D80" s="29">
        <v>15319907</v>
      </c>
      <c r="E80" s="29">
        <v>18106174</v>
      </c>
      <c r="F80" s="30">
        <v>19882386</v>
      </c>
    </row>
    <row r="81" spans="1:6" x14ac:dyDescent="0.25">
      <c r="A81" s="26" t="s">
        <v>60</v>
      </c>
      <c r="B81" s="27">
        <v>16901599</v>
      </c>
      <c r="C81" s="27">
        <v>22303231</v>
      </c>
      <c r="D81" s="27">
        <v>23600194</v>
      </c>
      <c r="E81" s="27">
        <v>20108197</v>
      </c>
      <c r="F81" s="28">
        <v>19773052</v>
      </c>
    </row>
    <row r="82" spans="1:6" x14ac:dyDescent="0.25">
      <c r="A82" s="23" t="s">
        <v>58</v>
      </c>
      <c r="B82" s="29">
        <v>13824679</v>
      </c>
      <c r="C82" s="29">
        <v>16816056</v>
      </c>
      <c r="D82" s="29">
        <v>17395555</v>
      </c>
      <c r="E82" s="29">
        <v>17197406</v>
      </c>
      <c r="F82" s="30">
        <v>16215423</v>
      </c>
    </row>
    <row r="83" spans="1:6" x14ac:dyDescent="0.25">
      <c r="A83" s="26" t="s">
        <v>116</v>
      </c>
      <c r="B83" s="27"/>
      <c r="C83" s="27">
        <v>14823232</v>
      </c>
      <c r="D83" s="27">
        <v>17378757</v>
      </c>
      <c r="E83" s="27">
        <v>16874662</v>
      </c>
      <c r="F83" s="32">
        <v>15860376</v>
      </c>
    </row>
    <row r="84" spans="1:6" x14ac:dyDescent="0.25">
      <c r="A84" s="23" t="s">
        <v>117</v>
      </c>
      <c r="B84" s="29">
        <v>7576311</v>
      </c>
      <c r="C84" s="29">
        <v>9247110</v>
      </c>
      <c r="D84" s="29">
        <v>12557709</v>
      </c>
      <c r="E84" s="29">
        <v>15184463</v>
      </c>
      <c r="F84" s="30">
        <v>15765101</v>
      </c>
    </row>
    <row r="85" spans="1:6" x14ac:dyDescent="0.25">
      <c r="A85" s="26" t="s">
        <v>118</v>
      </c>
      <c r="B85" s="27">
        <v>16949755</v>
      </c>
      <c r="C85" s="27">
        <v>15153408</v>
      </c>
      <c r="D85" s="27">
        <v>17084513</v>
      </c>
      <c r="E85" s="27">
        <v>14752993</v>
      </c>
      <c r="F85" s="28">
        <v>14923806</v>
      </c>
    </row>
    <row r="86" spans="1:6" x14ac:dyDescent="0.25">
      <c r="A86" s="23" t="s">
        <v>119</v>
      </c>
      <c r="B86" s="29">
        <v>11401650</v>
      </c>
      <c r="C86" s="29">
        <v>13594246</v>
      </c>
      <c r="D86" s="29">
        <v>15655882</v>
      </c>
      <c r="E86" s="29">
        <v>14194336</v>
      </c>
      <c r="F86" s="30">
        <v>14588300</v>
      </c>
    </row>
    <row r="87" spans="1:6" ht="23.25" x14ac:dyDescent="0.25">
      <c r="A87" s="26" t="s">
        <v>120</v>
      </c>
      <c r="B87" s="27">
        <v>10398225</v>
      </c>
      <c r="C87" s="27">
        <v>9657481</v>
      </c>
      <c r="D87" s="27">
        <v>10928905</v>
      </c>
      <c r="E87" s="27">
        <v>9933997</v>
      </c>
      <c r="F87" s="32">
        <v>13940759</v>
      </c>
    </row>
    <row r="88" spans="1:6" x14ac:dyDescent="0.25">
      <c r="A88" s="23" t="s">
        <v>121</v>
      </c>
      <c r="B88" s="33">
        <v>2514683</v>
      </c>
      <c r="C88" s="33">
        <v>3423084</v>
      </c>
      <c r="D88" s="33">
        <v>14433172</v>
      </c>
      <c r="E88" s="33">
        <v>15261471</v>
      </c>
      <c r="F88" s="31">
        <v>13708355</v>
      </c>
    </row>
    <row r="89" spans="1:6" ht="34.5" x14ac:dyDescent="0.25">
      <c r="A89" s="26" t="s">
        <v>97</v>
      </c>
      <c r="B89" s="34">
        <v>5921390</v>
      </c>
      <c r="C89" s="34">
        <v>4838857</v>
      </c>
      <c r="D89" s="34">
        <v>4972327</v>
      </c>
      <c r="E89" s="34">
        <v>7625161</v>
      </c>
      <c r="F89" s="32">
        <v>13604535</v>
      </c>
    </row>
    <row r="90" spans="1:6" x14ac:dyDescent="0.25">
      <c r="A90" s="23" t="s">
        <v>70</v>
      </c>
      <c r="B90" s="29">
        <v>9656808</v>
      </c>
      <c r="C90" s="29">
        <v>13373218</v>
      </c>
      <c r="D90" s="29">
        <v>15466804</v>
      </c>
      <c r="E90" s="29">
        <v>16738253</v>
      </c>
      <c r="F90" s="30">
        <v>13181447</v>
      </c>
    </row>
    <row r="91" spans="1:6" x14ac:dyDescent="0.25">
      <c r="A91" s="26" t="s">
        <v>66</v>
      </c>
      <c r="B91" s="27">
        <v>2512497</v>
      </c>
      <c r="C91" s="27">
        <v>2964798</v>
      </c>
      <c r="D91" s="27">
        <v>5306984</v>
      </c>
      <c r="E91" s="27">
        <v>8371155</v>
      </c>
      <c r="F91" s="28">
        <v>13028124</v>
      </c>
    </row>
    <row r="92" spans="1:6" ht="23.25" x14ac:dyDescent="0.25">
      <c r="A92" s="23" t="s">
        <v>82</v>
      </c>
      <c r="B92" s="29">
        <v>9848863</v>
      </c>
      <c r="C92" s="29">
        <v>11831534</v>
      </c>
      <c r="D92" s="29">
        <v>12390307</v>
      </c>
      <c r="E92" s="29">
        <v>11931954</v>
      </c>
      <c r="F92" s="30">
        <v>12923946</v>
      </c>
    </row>
    <row r="93" spans="1:6" x14ac:dyDescent="0.25">
      <c r="A93" s="26" t="s">
        <v>78</v>
      </c>
      <c r="B93" s="27">
        <v>11559667</v>
      </c>
      <c r="C93" s="27">
        <v>19331738</v>
      </c>
      <c r="D93" s="27">
        <v>22252183</v>
      </c>
      <c r="E93" s="27">
        <v>12406928</v>
      </c>
      <c r="F93" s="32">
        <v>12403360</v>
      </c>
    </row>
    <row r="94" spans="1:6" ht="23.25" x14ac:dyDescent="0.25">
      <c r="A94" s="23" t="s">
        <v>57</v>
      </c>
      <c r="B94" s="29">
        <v>33036571</v>
      </c>
      <c r="C94" s="29">
        <v>69495784</v>
      </c>
      <c r="D94" s="29">
        <v>93458233</v>
      </c>
      <c r="E94" s="29">
        <v>104487285</v>
      </c>
      <c r="F94" s="31">
        <v>12301138</v>
      </c>
    </row>
    <row r="95" spans="1:6" x14ac:dyDescent="0.25">
      <c r="A95" s="26" t="s">
        <v>122</v>
      </c>
      <c r="B95" s="27">
        <v>10706858</v>
      </c>
      <c r="C95" s="27">
        <v>13331249</v>
      </c>
      <c r="D95" s="27">
        <v>12770025</v>
      </c>
      <c r="E95" s="27">
        <v>11617429</v>
      </c>
      <c r="F95" s="28">
        <v>12023926</v>
      </c>
    </row>
    <row r="96" spans="1:6" x14ac:dyDescent="0.25">
      <c r="A96" s="23" t="s">
        <v>80</v>
      </c>
      <c r="B96" s="29">
        <v>8060547</v>
      </c>
      <c r="C96" s="29">
        <v>11217517</v>
      </c>
      <c r="D96" s="29">
        <v>11689732</v>
      </c>
      <c r="E96" s="29">
        <v>10535675</v>
      </c>
      <c r="F96" s="30">
        <v>11275830</v>
      </c>
    </row>
    <row r="97" spans="1:6" ht="23.25" x14ac:dyDescent="0.25">
      <c r="A97" s="26" t="s">
        <v>123</v>
      </c>
      <c r="B97" s="27">
        <v>6614320</v>
      </c>
      <c r="C97" s="27">
        <v>10575072</v>
      </c>
      <c r="D97" s="27">
        <v>14238438</v>
      </c>
      <c r="E97" s="27">
        <v>11218109</v>
      </c>
      <c r="F97" s="28">
        <v>11258495</v>
      </c>
    </row>
    <row r="98" spans="1:6" ht="34.5" x14ac:dyDescent="0.25">
      <c r="A98" s="23" t="s">
        <v>67</v>
      </c>
      <c r="B98" s="29">
        <v>6132785</v>
      </c>
      <c r="C98" s="29">
        <v>7164608</v>
      </c>
      <c r="D98" s="33">
        <v>10222849</v>
      </c>
      <c r="E98" s="33">
        <v>10293431</v>
      </c>
      <c r="F98" s="31">
        <v>10940546</v>
      </c>
    </row>
    <row r="99" spans="1:6" x14ac:dyDescent="0.25">
      <c r="A99" s="26" t="s">
        <v>124</v>
      </c>
      <c r="B99" s="27">
        <v>8517932</v>
      </c>
      <c r="C99" s="27">
        <v>10570970</v>
      </c>
      <c r="D99" s="27">
        <v>9948328</v>
      </c>
      <c r="E99" s="27">
        <v>11868906</v>
      </c>
      <c r="F99" s="28">
        <v>10800832</v>
      </c>
    </row>
    <row r="100" spans="1:6" x14ac:dyDescent="0.25">
      <c r="A100" s="23" t="s">
        <v>74</v>
      </c>
      <c r="B100" s="29">
        <v>7010245</v>
      </c>
      <c r="C100" s="29">
        <v>9541027</v>
      </c>
      <c r="D100" s="29">
        <v>11190032</v>
      </c>
      <c r="E100" s="29">
        <v>9189874</v>
      </c>
      <c r="F100" s="30">
        <v>10248403</v>
      </c>
    </row>
    <row r="101" spans="1:6" x14ac:dyDescent="0.25">
      <c r="A101" s="26" t="s">
        <v>93</v>
      </c>
      <c r="B101" s="34">
        <v>12137304</v>
      </c>
      <c r="C101" s="34">
        <v>10229924</v>
      </c>
      <c r="D101" s="34">
        <v>11429863</v>
      </c>
      <c r="E101" s="34">
        <v>18027777</v>
      </c>
      <c r="F101" s="32">
        <v>9609781</v>
      </c>
    </row>
    <row r="102" spans="1:6" x14ac:dyDescent="0.25">
      <c r="A102" s="23" t="s">
        <v>125</v>
      </c>
      <c r="B102" s="29">
        <v>7943245</v>
      </c>
      <c r="C102" s="29">
        <v>9356550</v>
      </c>
      <c r="D102" s="29">
        <v>12779807</v>
      </c>
      <c r="E102" s="29">
        <v>12589565</v>
      </c>
      <c r="F102" s="31">
        <v>9601965</v>
      </c>
    </row>
    <row r="103" spans="1:6" ht="23.25" x14ac:dyDescent="0.25">
      <c r="A103" s="26" t="s">
        <v>126</v>
      </c>
      <c r="B103" s="34">
        <v>224174</v>
      </c>
      <c r="C103" s="34">
        <v>190798</v>
      </c>
      <c r="D103" s="34">
        <v>731794</v>
      </c>
      <c r="E103" s="34">
        <v>37688</v>
      </c>
      <c r="F103" s="32">
        <v>9361187</v>
      </c>
    </row>
    <row r="104" spans="1:6" ht="23.25" x14ac:dyDescent="0.25">
      <c r="A104" s="23" t="s">
        <v>14</v>
      </c>
      <c r="B104" s="29">
        <v>7015198</v>
      </c>
      <c r="C104" s="29">
        <v>11030013</v>
      </c>
      <c r="D104" s="29">
        <v>13652813</v>
      </c>
      <c r="E104" s="29">
        <v>10910868</v>
      </c>
      <c r="F104" s="30">
        <v>9059167</v>
      </c>
    </row>
    <row r="105" spans="1:6" ht="23.25" x14ac:dyDescent="0.25">
      <c r="A105" s="26" t="s">
        <v>72</v>
      </c>
      <c r="B105" s="27">
        <v>6148985</v>
      </c>
      <c r="C105" s="27">
        <v>8614111</v>
      </c>
      <c r="D105" s="27">
        <v>9678153</v>
      </c>
      <c r="E105" s="27">
        <v>9228186</v>
      </c>
      <c r="F105" s="28">
        <v>8893857</v>
      </c>
    </row>
    <row r="106" spans="1:6" ht="23.25" x14ac:dyDescent="0.25">
      <c r="A106" s="23" t="s">
        <v>69</v>
      </c>
      <c r="B106" s="29">
        <v>6633216</v>
      </c>
      <c r="C106" s="29">
        <v>8186315</v>
      </c>
      <c r="D106" s="29">
        <v>8729356</v>
      </c>
      <c r="E106" s="29">
        <v>8994858</v>
      </c>
      <c r="F106" s="30">
        <v>8423005</v>
      </c>
    </row>
    <row r="107" spans="1:6" x14ac:dyDescent="0.25">
      <c r="A107" s="26" t="s">
        <v>127</v>
      </c>
      <c r="B107" s="27">
        <v>6025429</v>
      </c>
      <c r="C107" s="27">
        <v>6742108</v>
      </c>
      <c r="D107" s="27">
        <v>7390793</v>
      </c>
      <c r="E107" s="27">
        <v>7216731</v>
      </c>
      <c r="F107" s="28">
        <v>8255798</v>
      </c>
    </row>
    <row r="108" spans="1:6" x14ac:dyDescent="0.25">
      <c r="A108" s="23" t="s">
        <v>128</v>
      </c>
      <c r="B108" s="29">
        <v>3460033</v>
      </c>
      <c r="C108" s="29">
        <v>5111686</v>
      </c>
      <c r="D108" s="29">
        <v>8199019</v>
      </c>
      <c r="E108" s="29">
        <v>8276429</v>
      </c>
      <c r="F108" s="30">
        <v>8211289</v>
      </c>
    </row>
    <row r="109" spans="1:6" x14ac:dyDescent="0.25">
      <c r="A109" s="26" t="s">
        <v>129</v>
      </c>
      <c r="B109" s="27">
        <v>4977501</v>
      </c>
      <c r="C109" s="27">
        <v>2362230</v>
      </c>
      <c r="D109" s="27">
        <v>8917437</v>
      </c>
      <c r="E109" s="34">
        <v>11923697</v>
      </c>
      <c r="F109" s="32">
        <v>7960614</v>
      </c>
    </row>
    <row r="110" spans="1:6" x14ac:dyDescent="0.25">
      <c r="A110" s="23" t="s">
        <v>68</v>
      </c>
      <c r="B110" s="29">
        <v>5505147</v>
      </c>
      <c r="C110" s="29">
        <v>8579957</v>
      </c>
      <c r="D110" s="29">
        <v>13220758</v>
      </c>
      <c r="E110" s="29">
        <v>7820638</v>
      </c>
      <c r="F110" s="30">
        <v>7910706</v>
      </c>
    </row>
    <row r="111" spans="1:6" x14ac:dyDescent="0.25">
      <c r="A111" s="26" t="s">
        <v>130</v>
      </c>
      <c r="B111" s="27">
        <v>7380926</v>
      </c>
      <c r="C111" s="27">
        <v>8054148</v>
      </c>
      <c r="D111" s="27">
        <v>10532700</v>
      </c>
      <c r="E111" s="27">
        <v>12704277</v>
      </c>
      <c r="F111" s="32">
        <v>7869277</v>
      </c>
    </row>
    <row r="112" spans="1:6" ht="34.5" x14ac:dyDescent="0.25">
      <c r="A112" s="23" t="s">
        <v>131</v>
      </c>
      <c r="B112" s="29">
        <v>5984824</v>
      </c>
      <c r="C112" s="29">
        <v>6390863</v>
      </c>
      <c r="D112" s="29">
        <v>6824846</v>
      </c>
      <c r="E112" s="29">
        <v>7274329</v>
      </c>
      <c r="F112" s="31">
        <v>7789205</v>
      </c>
    </row>
    <row r="113" spans="1:6" x14ac:dyDescent="0.25">
      <c r="A113" s="26" t="s">
        <v>132</v>
      </c>
      <c r="B113" s="27">
        <v>5087343</v>
      </c>
      <c r="C113" s="27">
        <v>6495086</v>
      </c>
      <c r="D113" s="27">
        <v>7359829</v>
      </c>
      <c r="E113" s="27">
        <v>7378486</v>
      </c>
      <c r="F113" s="32">
        <v>7769133</v>
      </c>
    </row>
    <row r="114" spans="1:6" x14ac:dyDescent="0.25">
      <c r="A114" s="23" t="s">
        <v>133</v>
      </c>
      <c r="B114" s="29">
        <v>1964466</v>
      </c>
      <c r="C114" s="29">
        <v>1658949</v>
      </c>
      <c r="D114" s="29">
        <v>2254702</v>
      </c>
      <c r="E114" s="29">
        <v>3308874</v>
      </c>
      <c r="F114" s="31">
        <v>7262395</v>
      </c>
    </row>
    <row r="115" spans="1:6" x14ac:dyDescent="0.25">
      <c r="A115" s="26" t="s">
        <v>134</v>
      </c>
      <c r="B115" s="27">
        <v>4666296</v>
      </c>
      <c r="C115" s="27">
        <v>4975949</v>
      </c>
      <c r="D115" s="27">
        <v>6479173</v>
      </c>
      <c r="E115" s="27">
        <v>7170971</v>
      </c>
      <c r="F115" s="28">
        <v>6970520</v>
      </c>
    </row>
    <row r="116" spans="1:6" x14ac:dyDescent="0.25">
      <c r="A116" s="23" t="s">
        <v>135</v>
      </c>
      <c r="B116" s="29">
        <v>4595669</v>
      </c>
      <c r="C116" s="29">
        <v>5976689</v>
      </c>
      <c r="D116" s="29">
        <v>7423913</v>
      </c>
      <c r="E116" s="29">
        <v>6632834</v>
      </c>
      <c r="F116" s="30">
        <v>6946842</v>
      </c>
    </row>
    <row r="117" spans="1:6" x14ac:dyDescent="0.25">
      <c r="A117" s="26" t="s">
        <v>136</v>
      </c>
      <c r="B117" s="27">
        <v>3155095</v>
      </c>
      <c r="C117" s="27">
        <v>4319099</v>
      </c>
      <c r="D117" s="34">
        <v>7840704</v>
      </c>
      <c r="E117" s="34">
        <v>7094193</v>
      </c>
      <c r="F117" s="32">
        <v>6703706</v>
      </c>
    </row>
    <row r="118" spans="1:6" x14ac:dyDescent="0.25">
      <c r="A118" s="23" t="s">
        <v>96</v>
      </c>
      <c r="B118" s="29">
        <v>29179441</v>
      </c>
      <c r="C118" s="29">
        <v>39889023</v>
      </c>
      <c r="D118" s="33">
        <v>11246065</v>
      </c>
      <c r="E118" s="33">
        <v>7876248</v>
      </c>
      <c r="F118" s="31">
        <v>6642494</v>
      </c>
    </row>
    <row r="119" spans="1:6" x14ac:dyDescent="0.25">
      <c r="A119" s="26" t="s">
        <v>137</v>
      </c>
      <c r="B119" s="27">
        <v>5424088</v>
      </c>
      <c r="C119" s="27">
        <v>4460521</v>
      </c>
      <c r="D119" s="27">
        <v>6004803</v>
      </c>
      <c r="E119" s="27">
        <v>5702643</v>
      </c>
      <c r="F119" s="28">
        <v>6527693</v>
      </c>
    </row>
    <row r="120" spans="1:6" x14ac:dyDescent="0.25">
      <c r="A120" s="23" t="s">
        <v>138</v>
      </c>
      <c r="B120" s="29">
        <v>4805450</v>
      </c>
      <c r="C120" s="29">
        <v>6394889</v>
      </c>
      <c r="D120" s="29">
        <v>7115105</v>
      </c>
      <c r="E120" s="29">
        <v>6498114</v>
      </c>
      <c r="F120" s="30">
        <v>6447499</v>
      </c>
    </row>
    <row r="121" spans="1:6" x14ac:dyDescent="0.25">
      <c r="A121" s="26" t="s">
        <v>139</v>
      </c>
      <c r="B121" s="27">
        <v>4381069</v>
      </c>
      <c r="C121" s="27">
        <v>5062869</v>
      </c>
      <c r="D121" s="27">
        <v>4548742</v>
      </c>
      <c r="E121" s="27">
        <v>4469324</v>
      </c>
      <c r="F121" s="28">
        <v>5643566</v>
      </c>
    </row>
    <row r="122" spans="1:6" x14ac:dyDescent="0.25">
      <c r="A122" s="23" t="s">
        <v>140</v>
      </c>
      <c r="B122" s="29">
        <v>3934554</v>
      </c>
      <c r="C122" s="29">
        <v>4486066</v>
      </c>
      <c r="D122" s="29">
        <v>5725131</v>
      </c>
      <c r="E122" s="29">
        <v>5316530</v>
      </c>
      <c r="F122" s="31">
        <v>4715944</v>
      </c>
    </row>
    <row r="123" spans="1:6" x14ac:dyDescent="0.25">
      <c r="A123" s="26" t="s">
        <v>79</v>
      </c>
      <c r="B123" s="34">
        <v>3090593</v>
      </c>
      <c r="C123" s="34">
        <v>4050906</v>
      </c>
      <c r="D123" s="34">
        <v>5809851</v>
      </c>
      <c r="E123" s="34">
        <v>5094780</v>
      </c>
      <c r="F123" s="32">
        <v>4480113</v>
      </c>
    </row>
    <row r="124" spans="1:6" x14ac:dyDescent="0.25">
      <c r="A124" s="23" t="s">
        <v>141</v>
      </c>
      <c r="B124" s="29">
        <v>3077931</v>
      </c>
      <c r="C124" s="29">
        <v>3985818</v>
      </c>
      <c r="D124" s="29">
        <v>4527820</v>
      </c>
      <c r="E124" s="29">
        <v>5017795</v>
      </c>
      <c r="F124" s="30">
        <v>4408806</v>
      </c>
    </row>
    <row r="125" spans="1:6" x14ac:dyDescent="0.25">
      <c r="A125" s="26" t="s">
        <v>142</v>
      </c>
      <c r="B125" s="34">
        <v>3237944</v>
      </c>
      <c r="C125" s="34">
        <v>5217039</v>
      </c>
      <c r="D125" s="34">
        <v>10037890</v>
      </c>
      <c r="E125" s="34">
        <v>5165869</v>
      </c>
      <c r="F125" s="32">
        <v>4398949</v>
      </c>
    </row>
    <row r="126" spans="1:6" x14ac:dyDescent="0.25">
      <c r="A126" s="23" t="s">
        <v>143</v>
      </c>
      <c r="B126" s="29">
        <v>2946811</v>
      </c>
      <c r="C126" s="29">
        <v>3266989</v>
      </c>
      <c r="D126" s="29">
        <v>3778019</v>
      </c>
      <c r="E126" s="29">
        <v>4071589</v>
      </c>
      <c r="F126" s="30">
        <v>4149553</v>
      </c>
    </row>
    <row r="127" spans="1:6" x14ac:dyDescent="0.25">
      <c r="A127" s="26" t="s">
        <v>144</v>
      </c>
      <c r="B127" s="27">
        <v>4394831</v>
      </c>
      <c r="C127" s="27">
        <v>6036173</v>
      </c>
      <c r="D127" s="27">
        <v>6586208</v>
      </c>
      <c r="E127" s="27">
        <v>7225586</v>
      </c>
      <c r="F127" s="32">
        <v>4051471</v>
      </c>
    </row>
    <row r="128" spans="1:6" x14ac:dyDescent="0.25">
      <c r="A128" s="23" t="s">
        <v>83</v>
      </c>
      <c r="B128" s="29">
        <v>2829642</v>
      </c>
      <c r="C128" s="29">
        <v>3068873</v>
      </c>
      <c r="D128" s="29">
        <v>3268742</v>
      </c>
      <c r="E128" s="29">
        <v>3467883</v>
      </c>
      <c r="F128" s="30">
        <v>3772880</v>
      </c>
    </row>
    <row r="129" spans="1:6" x14ac:dyDescent="0.25">
      <c r="A129" s="26" t="s">
        <v>145</v>
      </c>
      <c r="B129" s="27">
        <v>2415632</v>
      </c>
      <c r="C129" s="27">
        <v>3562297</v>
      </c>
      <c r="D129" s="27">
        <v>4306235</v>
      </c>
      <c r="E129" s="27">
        <v>4374857</v>
      </c>
      <c r="F129" s="32">
        <v>3766568</v>
      </c>
    </row>
    <row r="130" spans="1:6" x14ac:dyDescent="0.25">
      <c r="A130" s="23" t="s">
        <v>146</v>
      </c>
      <c r="B130" s="29">
        <v>4294764</v>
      </c>
      <c r="C130" s="29">
        <v>7424962</v>
      </c>
      <c r="D130" s="29">
        <v>8308478</v>
      </c>
      <c r="E130" s="29">
        <v>5502717</v>
      </c>
      <c r="F130" s="30">
        <v>3691979</v>
      </c>
    </row>
    <row r="131" spans="1:6" ht="23.25" x14ac:dyDescent="0.25">
      <c r="A131" s="26" t="s">
        <v>147</v>
      </c>
      <c r="B131" s="27">
        <v>2467107</v>
      </c>
      <c r="C131" s="27">
        <v>3144505</v>
      </c>
      <c r="D131" s="27">
        <v>4332145</v>
      </c>
      <c r="E131" s="27">
        <v>4048617</v>
      </c>
      <c r="F131" s="28">
        <v>3555062</v>
      </c>
    </row>
    <row r="132" spans="1:6" x14ac:dyDescent="0.25">
      <c r="A132" s="23" t="s">
        <v>148</v>
      </c>
      <c r="B132" s="33">
        <v>1708940</v>
      </c>
      <c r="C132" s="33">
        <v>2991245</v>
      </c>
      <c r="D132" s="33">
        <v>4741921</v>
      </c>
      <c r="E132" s="33">
        <v>4436044</v>
      </c>
      <c r="F132" s="31">
        <v>3470799</v>
      </c>
    </row>
    <row r="133" spans="1:6" x14ac:dyDescent="0.25">
      <c r="A133" s="26" t="s">
        <v>149</v>
      </c>
      <c r="B133" s="27">
        <v>2526221</v>
      </c>
      <c r="C133" s="27">
        <v>3057629</v>
      </c>
      <c r="D133" s="27">
        <v>3083778</v>
      </c>
      <c r="E133" s="27">
        <v>2857941</v>
      </c>
      <c r="F133" s="32">
        <v>3295705</v>
      </c>
    </row>
    <row r="134" spans="1:6" x14ac:dyDescent="0.25">
      <c r="A134" s="23" t="s">
        <v>150</v>
      </c>
      <c r="B134" s="29">
        <v>4148958</v>
      </c>
      <c r="C134" s="29">
        <v>3965317</v>
      </c>
      <c r="D134" s="29">
        <v>3577444</v>
      </c>
      <c r="E134" s="29">
        <v>6305023</v>
      </c>
      <c r="F134" s="31">
        <v>3278304</v>
      </c>
    </row>
    <row r="135" spans="1:6" x14ac:dyDescent="0.25">
      <c r="A135" s="26" t="s">
        <v>151</v>
      </c>
      <c r="B135" s="27">
        <v>2554547</v>
      </c>
      <c r="C135" s="27">
        <v>3291376</v>
      </c>
      <c r="D135" s="27">
        <v>3887489</v>
      </c>
      <c r="E135" s="27">
        <v>3043750</v>
      </c>
      <c r="F135" s="28">
        <v>3194208</v>
      </c>
    </row>
    <row r="136" spans="1:6" x14ac:dyDescent="0.25">
      <c r="A136" s="23" t="s">
        <v>152</v>
      </c>
      <c r="B136" s="33">
        <v>4164579</v>
      </c>
      <c r="C136" s="33">
        <v>5645453</v>
      </c>
      <c r="D136" s="33">
        <v>6063384</v>
      </c>
      <c r="E136" s="33">
        <v>5012014</v>
      </c>
      <c r="F136" s="31">
        <v>2751172</v>
      </c>
    </row>
    <row r="137" spans="1:6" x14ac:dyDescent="0.25">
      <c r="A137" s="26" t="s">
        <v>153</v>
      </c>
      <c r="B137" s="27">
        <v>1956910</v>
      </c>
      <c r="C137" s="27">
        <v>2718729</v>
      </c>
      <c r="D137" s="27">
        <v>3509026</v>
      </c>
      <c r="E137" s="27">
        <v>3227416</v>
      </c>
      <c r="F137" s="28">
        <v>2557063</v>
      </c>
    </row>
    <row r="138" spans="1:6" x14ac:dyDescent="0.25">
      <c r="A138" s="23" t="s">
        <v>154</v>
      </c>
      <c r="B138" s="29">
        <v>339360</v>
      </c>
      <c r="C138" s="29">
        <v>543424</v>
      </c>
      <c r="D138" s="29">
        <v>574311</v>
      </c>
      <c r="E138" s="29">
        <v>700703</v>
      </c>
      <c r="F138" s="31">
        <v>2503753</v>
      </c>
    </row>
    <row r="139" spans="1:6" x14ac:dyDescent="0.25">
      <c r="A139" s="26" t="s">
        <v>155</v>
      </c>
      <c r="B139" s="27">
        <v>418057</v>
      </c>
      <c r="C139" s="27">
        <v>171669</v>
      </c>
      <c r="D139" s="27">
        <v>202889</v>
      </c>
      <c r="E139" s="27">
        <v>153703</v>
      </c>
      <c r="F139" s="32">
        <v>2370813</v>
      </c>
    </row>
    <row r="140" spans="1:6" x14ac:dyDescent="0.25">
      <c r="A140" s="23" t="s">
        <v>156</v>
      </c>
      <c r="B140" s="29">
        <v>22138</v>
      </c>
      <c r="C140" s="29">
        <v>17082</v>
      </c>
      <c r="D140" s="29">
        <v>37915</v>
      </c>
      <c r="E140" s="29">
        <v>45326</v>
      </c>
      <c r="F140" s="31">
        <v>2236568</v>
      </c>
    </row>
    <row r="141" spans="1:6" x14ac:dyDescent="0.25">
      <c r="A141" s="26" t="s">
        <v>157</v>
      </c>
      <c r="B141" s="27">
        <v>1024582</v>
      </c>
      <c r="C141" s="27">
        <v>1392425</v>
      </c>
      <c r="D141" s="27">
        <v>1366738</v>
      </c>
      <c r="E141" s="27">
        <v>1221552</v>
      </c>
      <c r="F141" s="32">
        <v>2210701</v>
      </c>
    </row>
    <row r="142" spans="1:6" x14ac:dyDescent="0.25">
      <c r="A142" s="23" t="s">
        <v>158</v>
      </c>
      <c r="B142" s="29">
        <v>1752118</v>
      </c>
      <c r="C142" s="29">
        <v>2068469</v>
      </c>
      <c r="D142" s="29">
        <v>1990597</v>
      </c>
      <c r="E142" s="29">
        <v>2095602</v>
      </c>
      <c r="F142" s="31">
        <v>1977829</v>
      </c>
    </row>
    <row r="143" spans="1:6" x14ac:dyDescent="0.25">
      <c r="A143" s="26" t="s">
        <v>159</v>
      </c>
      <c r="B143" s="34">
        <v>791813</v>
      </c>
      <c r="C143" s="34">
        <v>1662471</v>
      </c>
      <c r="D143" s="34">
        <v>1577206</v>
      </c>
      <c r="E143" s="34">
        <v>1136966</v>
      </c>
      <c r="F143" s="32">
        <v>1803507</v>
      </c>
    </row>
    <row r="144" spans="1:6" x14ac:dyDescent="0.25">
      <c r="A144" s="23" t="s">
        <v>160</v>
      </c>
      <c r="B144" s="29">
        <v>1311879</v>
      </c>
      <c r="C144" s="29">
        <v>1786916</v>
      </c>
      <c r="D144" s="29">
        <v>2330041</v>
      </c>
      <c r="E144" s="29">
        <v>1293140</v>
      </c>
      <c r="F144" s="31">
        <v>1765803</v>
      </c>
    </row>
    <row r="145" spans="1:6" x14ac:dyDescent="0.25">
      <c r="A145" s="26" t="s">
        <v>161</v>
      </c>
      <c r="B145" s="27">
        <v>1548472</v>
      </c>
      <c r="C145" s="27">
        <v>1684826</v>
      </c>
      <c r="D145" s="27">
        <v>1880859</v>
      </c>
      <c r="E145" s="27">
        <v>1860980</v>
      </c>
      <c r="F145" s="28">
        <v>1753473</v>
      </c>
    </row>
    <row r="146" spans="1:6" x14ac:dyDescent="0.25">
      <c r="A146" s="23" t="s">
        <v>162</v>
      </c>
      <c r="B146" s="33">
        <v>1822291</v>
      </c>
      <c r="C146" s="33">
        <v>1986135</v>
      </c>
      <c r="D146" s="33">
        <v>1666286</v>
      </c>
      <c r="E146" s="33">
        <v>1700344</v>
      </c>
      <c r="F146" s="31">
        <v>1595871</v>
      </c>
    </row>
    <row r="147" spans="1:6" x14ac:dyDescent="0.25">
      <c r="A147" s="26" t="s">
        <v>163</v>
      </c>
      <c r="B147" s="34">
        <v>1395052</v>
      </c>
      <c r="C147" s="34">
        <v>1667839</v>
      </c>
      <c r="D147" s="34">
        <v>1626366</v>
      </c>
      <c r="E147" s="34">
        <v>1754546</v>
      </c>
      <c r="F147" s="32">
        <v>1587493</v>
      </c>
    </row>
    <row r="148" spans="1:6" x14ac:dyDescent="0.25">
      <c r="A148" s="23" t="s">
        <v>164</v>
      </c>
      <c r="B148" s="33">
        <v>1370072</v>
      </c>
      <c r="C148" s="33">
        <v>1439846</v>
      </c>
      <c r="D148" s="33">
        <v>1533226</v>
      </c>
      <c r="E148" s="33">
        <v>1669957</v>
      </c>
      <c r="F148" s="31">
        <v>1556576</v>
      </c>
    </row>
    <row r="149" spans="1:6" x14ac:dyDescent="0.25">
      <c r="A149" s="26" t="s">
        <v>64</v>
      </c>
      <c r="B149" s="27">
        <v>3807461</v>
      </c>
      <c r="C149" s="27">
        <v>4229977</v>
      </c>
      <c r="D149" s="27">
        <v>3491761</v>
      </c>
      <c r="E149" s="27">
        <v>4560694</v>
      </c>
      <c r="F149" s="32">
        <v>1521500</v>
      </c>
    </row>
    <row r="150" spans="1:6" x14ac:dyDescent="0.25">
      <c r="A150" s="23" t="s">
        <v>165</v>
      </c>
      <c r="B150" s="33">
        <v>605299</v>
      </c>
      <c r="C150" s="33">
        <v>1050031</v>
      </c>
      <c r="D150" s="33">
        <v>1375093</v>
      </c>
      <c r="E150" s="33">
        <v>1494051</v>
      </c>
      <c r="F150" s="31">
        <v>1508793</v>
      </c>
    </row>
    <row r="151" spans="1:6" x14ac:dyDescent="0.25">
      <c r="A151" s="26" t="s">
        <v>166</v>
      </c>
      <c r="B151" s="27">
        <v>1388641</v>
      </c>
      <c r="C151" s="27">
        <v>2291326</v>
      </c>
      <c r="D151" s="27">
        <v>2836282</v>
      </c>
      <c r="E151" s="27">
        <v>2310900</v>
      </c>
      <c r="F151" s="28">
        <v>1484158</v>
      </c>
    </row>
    <row r="152" spans="1:6" x14ac:dyDescent="0.25">
      <c r="A152" s="23" t="s">
        <v>167</v>
      </c>
      <c r="B152" s="33">
        <v>1895763</v>
      </c>
      <c r="C152" s="33">
        <v>2055265</v>
      </c>
      <c r="D152" s="33">
        <v>3057459</v>
      </c>
      <c r="E152" s="33">
        <v>2422287</v>
      </c>
      <c r="F152" s="31">
        <v>1379628</v>
      </c>
    </row>
    <row r="153" spans="1:6" x14ac:dyDescent="0.25">
      <c r="A153" s="26" t="s">
        <v>168</v>
      </c>
      <c r="B153" s="27">
        <v>980130</v>
      </c>
      <c r="C153" s="27">
        <v>1069303</v>
      </c>
      <c r="D153" s="27">
        <v>1351193</v>
      </c>
      <c r="E153" s="27">
        <v>1455976</v>
      </c>
      <c r="F153" s="28">
        <v>1366135</v>
      </c>
    </row>
    <row r="154" spans="1:6" x14ac:dyDescent="0.25">
      <c r="A154" s="23" t="s">
        <v>169</v>
      </c>
      <c r="B154" s="29">
        <v>1702812</v>
      </c>
      <c r="C154" s="29">
        <v>1966040</v>
      </c>
      <c r="D154" s="29">
        <v>2170009</v>
      </c>
      <c r="E154" s="33">
        <v>1642593</v>
      </c>
      <c r="F154" s="31">
        <v>1295994</v>
      </c>
    </row>
    <row r="155" spans="1:6" x14ac:dyDescent="0.25">
      <c r="A155" s="26" t="s">
        <v>170</v>
      </c>
      <c r="B155" s="27">
        <v>1247237</v>
      </c>
      <c r="C155" s="27">
        <v>633014</v>
      </c>
      <c r="D155" s="27">
        <v>446135</v>
      </c>
      <c r="E155" s="27">
        <v>467409</v>
      </c>
      <c r="F155" s="32">
        <v>1274642</v>
      </c>
    </row>
    <row r="156" spans="1:6" x14ac:dyDescent="0.25">
      <c r="A156" s="23" t="s">
        <v>171</v>
      </c>
      <c r="B156" s="29">
        <v>855421</v>
      </c>
      <c r="C156" s="29">
        <v>1665728</v>
      </c>
      <c r="D156" s="29">
        <v>1299593</v>
      </c>
      <c r="E156" s="33">
        <v>1237904</v>
      </c>
      <c r="F156" s="31">
        <v>1264116</v>
      </c>
    </row>
    <row r="157" spans="1:6" x14ac:dyDescent="0.25">
      <c r="A157" s="26" t="s">
        <v>172</v>
      </c>
      <c r="B157" s="27">
        <v>1250599</v>
      </c>
      <c r="C157" s="27">
        <v>1480710</v>
      </c>
      <c r="D157" s="27">
        <v>1901416</v>
      </c>
      <c r="E157" s="27">
        <v>1521868</v>
      </c>
      <c r="F157" s="32">
        <v>1155416</v>
      </c>
    </row>
    <row r="158" spans="1:6" x14ac:dyDescent="0.25">
      <c r="A158" s="23" t="s">
        <v>173</v>
      </c>
      <c r="B158" s="29">
        <v>845407</v>
      </c>
      <c r="C158" s="29">
        <v>1026204</v>
      </c>
      <c r="D158" s="29">
        <v>899971</v>
      </c>
      <c r="E158" s="29">
        <v>1054475</v>
      </c>
      <c r="F158" s="30">
        <v>1112834</v>
      </c>
    </row>
    <row r="159" spans="1:6" x14ac:dyDescent="0.25">
      <c r="A159" s="26" t="s">
        <v>174</v>
      </c>
      <c r="B159" s="27">
        <v>818488</v>
      </c>
      <c r="C159" s="27">
        <v>977659</v>
      </c>
      <c r="D159" s="27">
        <v>917187</v>
      </c>
      <c r="E159" s="27">
        <v>831235</v>
      </c>
      <c r="F159" s="32">
        <v>934653</v>
      </c>
    </row>
    <row r="160" spans="1:6" x14ac:dyDescent="0.25">
      <c r="A160" s="23" t="s">
        <v>89</v>
      </c>
      <c r="B160" s="29">
        <v>781981</v>
      </c>
      <c r="C160" s="29">
        <v>1019154</v>
      </c>
      <c r="D160" s="29">
        <v>944241</v>
      </c>
      <c r="E160" s="29">
        <v>1032089</v>
      </c>
      <c r="F160" s="31">
        <v>824060</v>
      </c>
    </row>
    <row r="161" spans="1:6" ht="23.25" x14ac:dyDescent="0.25">
      <c r="A161" s="26" t="s">
        <v>175</v>
      </c>
      <c r="B161" s="34">
        <v>956674</v>
      </c>
      <c r="C161" s="34">
        <v>1110651</v>
      </c>
      <c r="D161" s="34">
        <v>1076509</v>
      </c>
      <c r="E161" s="34">
        <v>1245851</v>
      </c>
      <c r="F161" s="32">
        <v>819570</v>
      </c>
    </row>
    <row r="162" spans="1:6" x14ac:dyDescent="0.25">
      <c r="A162" s="23" t="s">
        <v>176</v>
      </c>
      <c r="B162" s="33">
        <v>1047836</v>
      </c>
      <c r="C162" s="33">
        <v>1387528</v>
      </c>
      <c r="D162" s="33">
        <v>1309157</v>
      </c>
      <c r="E162" s="33">
        <v>1055677</v>
      </c>
      <c r="F162" s="31">
        <v>798494</v>
      </c>
    </row>
    <row r="163" spans="1:6" x14ac:dyDescent="0.25">
      <c r="A163" s="26" t="s">
        <v>91</v>
      </c>
      <c r="B163" s="27">
        <v>827647</v>
      </c>
      <c r="C163" s="27">
        <v>815880</v>
      </c>
      <c r="D163" s="27">
        <v>1070466</v>
      </c>
      <c r="E163" s="27">
        <v>1078446</v>
      </c>
      <c r="F163" s="32">
        <v>710553</v>
      </c>
    </row>
    <row r="164" spans="1:6" x14ac:dyDescent="0.25">
      <c r="A164" s="23" t="s">
        <v>177</v>
      </c>
      <c r="B164" s="33">
        <v>553507</v>
      </c>
      <c r="C164" s="33">
        <v>535720</v>
      </c>
      <c r="D164" s="33">
        <v>572502</v>
      </c>
      <c r="E164" s="33">
        <v>561307</v>
      </c>
      <c r="F164" s="31">
        <v>669105</v>
      </c>
    </row>
    <row r="165" spans="1:6" x14ac:dyDescent="0.25">
      <c r="A165" s="26" t="s">
        <v>178</v>
      </c>
      <c r="B165" s="27">
        <v>365985</v>
      </c>
      <c r="C165" s="27">
        <v>437051</v>
      </c>
      <c r="D165" s="27">
        <v>736364</v>
      </c>
      <c r="E165" s="27">
        <v>722520</v>
      </c>
      <c r="F165" s="28">
        <v>660692</v>
      </c>
    </row>
    <row r="166" spans="1:6" x14ac:dyDescent="0.25">
      <c r="A166" s="23" t="s">
        <v>179</v>
      </c>
      <c r="B166" s="29">
        <v>3989356</v>
      </c>
      <c r="C166" s="29">
        <v>4173796</v>
      </c>
      <c r="D166" s="29">
        <v>3904608</v>
      </c>
      <c r="E166" s="29">
        <v>4006274</v>
      </c>
      <c r="F166" s="31">
        <v>643663</v>
      </c>
    </row>
    <row r="167" spans="1:6" x14ac:dyDescent="0.25">
      <c r="A167" s="26" t="s">
        <v>180</v>
      </c>
      <c r="B167" s="27">
        <v>345439</v>
      </c>
      <c r="C167" s="27">
        <v>407156</v>
      </c>
      <c r="D167" s="27">
        <v>575471</v>
      </c>
      <c r="E167" s="27">
        <v>547770</v>
      </c>
      <c r="F167" s="28">
        <v>594542</v>
      </c>
    </row>
    <row r="168" spans="1:6" x14ac:dyDescent="0.25">
      <c r="A168" s="23" t="s">
        <v>87</v>
      </c>
      <c r="B168" s="29">
        <v>1431176</v>
      </c>
      <c r="C168" s="29">
        <v>1562504</v>
      </c>
      <c r="D168" s="29">
        <v>1435898</v>
      </c>
      <c r="E168" s="33">
        <v>1393861</v>
      </c>
      <c r="F168" s="31">
        <v>587484</v>
      </c>
    </row>
    <row r="169" spans="1:6" x14ac:dyDescent="0.25">
      <c r="A169" s="26" t="s">
        <v>181</v>
      </c>
      <c r="B169" s="34">
        <v>647316</v>
      </c>
      <c r="C169" s="34">
        <v>670367</v>
      </c>
      <c r="D169" s="34">
        <v>837381</v>
      </c>
      <c r="E169" s="34">
        <v>570481</v>
      </c>
      <c r="F169" s="32">
        <v>565166</v>
      </c>
    </row>
    <row r="170" spans="1:6" x14ac:dyDescent="0.25">
      <c r="A170" s="23" t="s">
        <v>182</v>
      </c>
      <c r="B170" s="33">
        <v>1636389</v>
      </c>
      <c r="C170" s="33">
        <v>2216075</v>
      </c>
      <c r="D170" s="33">
        <v>2141340</v>
      </c>
      <c r="E170" s="33">
        <v>1071443</v>
      </c>
      <c r="F170" s="31">
        <v>560184</v>
      </c>
    </row>
    <row r="171" spans="1:6" x14ac:dyDescent="0.25">
      <c r="A171" s="26" t="s">
        <v>95</v>
      </c>
      <c r="B171" s="27">
        <v>279938</v>
      </c>
      <c r="C171" s="27">
        <v>454189</v>
      </c>
      <c r="D171" s="27">
        <v>437882</v>
      </c>
      <c r="E171" s="27">
        <v>435626</v>
      </c>
      <c r="F171" s="32">
        <v>474092</v>
      </c>
    </row>
    <row r="172" spans="1:6" x14ac:dyDescent="0.25">
      <c r="A172" s="23" t="s">
        <v>183</v>
      </c>
      <c r="B172" s="29">
        <v>345206</v>
      </c>
      <c r="C172" s="29">
        <v>350173</v>
      </c>
      <c r="D172" s="29">
        <v>497642</v>
      </c>
      <c r="E172" s="29">
        <v>461037</v>
      </c>
      <c r="F172" s="30">
        <v>461264</v>
      </c>
    </row>
    <row r="173" spans="1:6" x14ac:dyDescent="0.25">
      <c r="A173" s="26" t="s">
        <v>184</v>
      </c>
      <c r="B173" s="34">
        <v>856964</v>
      </c>
      <c r="C173" s="34">
        <v>508817</v>
      </c>
      <c r="D173" s="34">
        <v>511007</v>
      </c>
      <c r="E173" s="34">
        <v>653024</v>
      </c>
      <c r="F173" s="32">
        <v>459996</v>
      </c>
    </row>
    <row r="174" spans="1:6" x14ac:dyDescent="0.25">
      <c r="A174" s="23" t="s">
        <v>185</v>
      </c>
      <c r="B174" s="33">
        <v>475002</v>
      </c>
      <c r="C174" s="33">
        <v>522006</v>
      </c>
      <c r="D174" s="33">
        <v>751989</v>
      </c>
      <c r="E174" s="33">
        <v>1049476</v>
      </c>
      <c r="F174" s="31">
        <v>448192</v>
      </c>
    </row>
    <row r="175" spans="1:6" ht="34.5" x14ac:dyDescent="0.25">
      <c r="A175" s="26" t="s">
        <v>186</v>
      </c>
      <c r="B175" s="34">
        <v>188594</v>
      </c>
      <c r="C175" s="34">
        <v>166622</v>
      </c>
      <c r="D175" s="34">
        <v>370531</v>
      </c>
      <c r="E175" s="34">
        <v>386888</v>
      </c>
      <c r="F175" s="32">
        <v>387925</v>
      </c>
    </row>
    <row r="176" spans="1:6" ht="34.5" x14ac:dyDescent="0.25">
      <c r="A176" s="23" t="s">
        <v>187</v>
      </c>
      <c r="B176" s="33">
        <v>132408</v>
      </c>
      <c r="C176" s="33">
        <v>203664</v>
      </c>
      <c r="D176" s="33">
        <v>203058</v>
      </c>
      <c r="E176" s="33">
        <v>193288</v>
      </c>
      <c r="F176" s="31">
        <v>332218</v>
      </c>
    </row>
    <row r="177" spans="1:6" ht="23.25" x14ac:dyDescent="0.25">
      <c r="A177" s="26" t="s">
        <v>188</v>
      </c>
      <c r="B177" s="34">
        <v>419043</v>
      </c>
      <c r="C177" s="34">
        <v>337434</v>
      </c>
      <c r="D177" s="34">
        <v>405348</v>
      </c>
      <c r="E177" s="34">
        <v>364776</v>
      </c>
      <c r="F177" s="32">
        <v>326154</v>
      </c>
    </row>
    <row r="178" spans="1:6" x14ac:dyDescent="0.25">
      <c r="A178" s="23" t="s">
        <v>189</v>
      </c>
      <c r="B178" s="33">
        <v>211861</v>
      </c>
      <c r="C178" s="33">
        <v>312871</v>
      </c>
      <c r="D178" s="33">
        <v>224030</v>
      </c>
      <c r="E178" s="33">
        <v>209615</v>
      </c>
      <c r="F178" s="31">
        <v>316293</v>
      </c>
    </row>
    <row r="179" spans="1:6" ht="23.25" x14ac:dyDescent="0.25">
      <c r="A179" s="26" t="s">
        <v>190</v>
      </c>
      <c r="B179" s="27">
        <v>21770</v>
      </c>
      <c r="C179" s="27">
        <v>19147</v>
      </c>
      <c r="D179" s="27">
        <v>21827</v>
      </c>
      <c r="E179" s="27">
        <v>30497</v>
      </c>
      <c r="F179" s="32">
        <v>279012</v>
      </c>
    </row>
    <row r="180" spans="1:6" x14ac:dyDescent="0.25">
      <c r="A180" s="23" t="s">
        <v>191</v>
      </c>
      <c r="B180" s="29">
        <v>211873</v>
      </c>
      <c r="C180" s="29">
        <v>257479</v>
      </c>
      <c r="D180" s="29">
        <v>286430</v>
      </c>
      <c r="E180" s="29">
        <v>253373</v>
      </c>
      <c r="F180" s="30">
        <v>277036</v>
      </c>
    </row>
    <row r="181" spans="1:6" x14ac:dyDescent="0.25">
      <c r="A181" s="26" t="s">
        <v>192</v>
      </c>
      <c r="B181" s="27">
        <v>162558</v>
      </c>
      <c r="C181" s="27">
        <v>151581</v>
      </c>
      <c r="D181" s="27">
        <v>158393</v>
      </c>
      <c r="E181" s="27">
        <v>162344</v>
      </c>
      <c r="F181" s="32">
        <v>276239</v>
      </c>
    </row>
    <row r="182" spans="1:6" ht="23.25" x14ac:dyDescent="0.25">
      <c r="A182" s="23" t="s">
        <v>193</v>
      </c>
      <c r="B182" s="33">
        <v>561149</v>
      </c>
      <c r="C182" s="33">
        <v>259340</v>
      </c>
      <c r="D182" s="33">
        <v>374676</v>
      </c>
      <c r="E182" s="33">
        <v>448144</v>
      </c>
      <c r="F182" s="31">
        <v>249385</v>
      </c>
    </row>
    <row r="183" spans="1:6" x14ac:dyDescent="0.25">
      <c r="A183" s="26" t="s">
        <v>94</v>
      </c>
      <c r="B183" s="27">
        <v>19104</v>
      </c>
      <c r="C183" s="27">
        <v>28633</v>
      </c>
      <c r="D183" s="27">
        <v>33527</v>
      </c>
      <c r="E183" s="27">
        <v>22285</v>
      </c>
      <c r="F183" s="32">
        <v>222803</v>
      </c>
    </row>
    <row r="184" spans="1:6" x14ac:dyDescent="0.25">
      <c r="A184" s="23" t="s">
        <v>194</v>
      </c>
      <c r="B184" s="29">
        <v>82143</v>
      </c>
      <c r="C184" s="33">
        <v>446198</v>
      </c>
      <c r="D184" s="33">
        <v>383333</v>
      </c>
      <c r="E184" s="33">
        <v>509177</v>
      </c>
      <c r="F184" s="31">
        <v>211752</v>
      </c>
    </row>
    <row r="185" spans="1:6" x14ac:dyDescent="0.25">
      <c r="A185" s="26" t="s">
        <v>195</v>
      </c>
      <c r="B185" s="34">
        <v>181811</v>
      </c>
      <c r="C185" s="34">
        <v>207766</v>
      </c>
      <c r="D185" s="34">
        <v>225657</v>
      </c>
      <c r="E185" s="34">
        <v>102816</v>
      </c>
      <c r="F185" s="32">
        <v>211696</v>
      </c>
    </row>
    <row r="186" spans="1:6" x14ac:dyDescent="0.25">
      <c r="A186" s="23" t="s">
        <v>196</v>
      </c>
      <c r="B186" s="29"/>
      <c r="C186" s="29">
        <v>3829300</v>
      </c>
      <c r="D186" s="29">
        <v>4608302</v>
      </c>
      <c r="E186" s="29">
        <v>4784716</v>
      </c>
      <c r="F186" s="31">
        <v>207563</v>
      </c>
    </row>
    <row r="187" spans="1:6" ht="23.25" x14ac:dyDescent="0.25">
      <c r="A187" s="26" t="s">
        <v>197</v>
      </c>
      <c r="B187" s="27">
        <v>80621</v>
      </c>
      <c r="C187" s="27">
        <v>143139</v>
      </c>
      <c r="D187" s="27">
        <v>146444</v>
      </c>
      <c r="E187" s="27">
        <v>244186</v>
      </c>
      <c r="F187" s="32">
        <v>200912</v>
      </c>
    </row>
    <row r="188" spans="1:6" x14ac:dyDescent="0.25">
      <c r="A188" s="23" t="s">
        <v>198</v>
      </c>
      <c r="B188" s="33">
        <v>111409</v>
      </c>
      <c r="C188" s="33">
        <v>209149</v>
      </c>
      <c r="D188" s="33">
        <v>222598</v>
      </c>
      <c r="E188" s="33">
        <v>223195</v>
      </c>
      <c r="F188" s="31">
        <v>192396</v>
      </c>
    </row>
    <row r="189" spans="1:6" x14ac:dyDescent="0.25">
      <c r="A189" s="26" t="s">
        <v>199</v>
      </c>
      <c r="B189" s="27">
        <v>162313</v>
      </c>
      <c r="C189" s="27">
        <v>113150</v>
      </c>
      <c r="D189" s="27">
        <v>188869</v>
      </c>
      <c r="E189" s="27">
        <v>217474</v>
      </c>
      <c r="F189" s="28">
        <v>184439</v>
      </c>
    </row>
    <row r="190" spans="1:6" x14ac:dyDescent="0.25">
      <c r="A190" s="23" t="s">
        <v>200</v>
      </c>
      <c r="B190" s="33">
        <v>176264</v>
      </c>
      <c r="C190" s="33">
        <v>107268</v>
      </c>
      <c r="D190" s="33">
        <v>413498</v>
      </c>
      <c r="E190" s="33">
        <v>197263</v>
      </c>
      <c r="F190" s="31">
        <v>156927</v>
      </c>
    </row>
    <row r="191" spans="1:6" x14ac:dyDescent="0.25">
      <c r="A191" s="26" t="s">
        <v>201</v>
      </c>
      <c r="B191" s="27">
        <v>65944</v>
      </c>
      <c r="C191" s="27">
        <v>88347</v>
      </c>
      <c r="D191" s="27">
        <v>105514</v>
      </c>
      <c r="E191" s="27">
        <v>111005</v>
      </c>
      <c r="F191" s="32">
        <v>133363</v>
      </c>
    </row>
    <row r="192" spans="1:6" x14ac:dyDescent="0.25">
      <c r="A192" s="23" t="s">
        <v>202</v>
      </c>
      <c r="B192" s="29">
        <v>9271</v>
      </c>
      <c r="C192" s="29">
        <v>8876</v>
      </c>
      <c r="D192" s="33">
        <v>126398</v>
      </c>
      <c r="E192" s="33">
        <v>90947</v>
      </c>
      <c r="F192" s="31">
        <v>108950</v>
      </c>
    </row>
    <row r="193" spans="1:6" x14ac:dyDescent="0.25">
      <c r="A193" s="26" t="s">
        <v>203</v>
      </c>
      <c r="B193" s="27">
        <v>166781</v>
      </c>
      <c r="C193" s="27">
        <v>163974</v>
      </c>
      <c r="D193" s="27">
        <v>386143</v>
      </c>
      <c r="E193" s="27">
        <v>252365</v>
      </c>
      <c r="F193" s="32">
        <v>104618</v>
      </c>
    </row>
    <row r="194" spans="1:6" ht="34.5" x14ac:dyDescent="0.25">
      <c r="A194" s="23" t="s">
        <v>204</v>
      </c>
      <c r="B194" s="33">
        <v>126798</v>
      </c>
      <c r="C194" s="33">
        <v>220078</v>
      </c>
      <c r="D194" s="33">
        <v>172882</v>
      </c>
      <c r="E194" s="33">
        <v>1030401</v>
      </c>
      <c r="F194" s="31">
        <v>94736</v>
      </c>
    </row>
    <row r="195" spans="1:6" ht="23.25" x14ac:dyDescent="0.25">
      <c r="A195" s="26" t="s">
        <v>205</v>
      </c>
      <c r="B195" s="27">
        <v>1054621</v>
      </c>
      <c r="C195" s="27">
        <v>1357640</v>
      </c>
      <c r="D195" s="27">
        <v>1525160</v>
      </c>
      <c r="E195" s="27">
        <v>1521388</v>
      </c>
      <c r="F195" s="32">
        <v>93162</v>
      </c>
    </row>
    <row r="196" spans="1:6" x14ac:dyDescent="0.25">
      <c r="A196" s="23" t="s">
        <v>206</v>
      </c>
      <c r="B196" s="29">
        <v>249889</v>
      </c>
      <c r="C196" s="29">
        <v>458303</v>
      </c>
      <c r="D196" s="29">
        <v>471774</v>
      </c>
      <c r="E196" s="29">
        <v>163722</v>
      </c>
      <c r="F196" s="31">
        <v>90019</v>
      </c>
    </row>
    <row r="197" spans="1:6" x14ac:dyDescent="0.25">
      <c r="A197" s="26" t="s">
        <v>207</v>
      </c>
      <c r="B197" s="27">
        <v>5714</v>
      </c>
      <c r="C197" s="27">
        <v>8433</v>
      </c>
      <c r="D197" s="27">
        <v>6645</v>
      </c>
      <c r="E197" s="27">
        <v>5766</v>
      </c>
      <c r="F197" s="32">
        <v>86956</v>
      </c>
    </row>
    <row r="198" spans="1:6" ht="23.25" x14ac:dyDescent="0.25">
      <c r="A198" s="23" t="s">
        <v>208</v>
      </c>
      <c r="B198" s="29">
        <v>41044</v>
      </c>
      <c r="C198" s="29">
        <v>58015</v>
      </c>
      <c r="D198" s="29">
        <v>117824</v>
      </c>
      <c r="E198" s="29">
        <v>113585</v>
      </c>
      <c r="F198" s="31">
        <v>84954</v>
      </c>
    </row>
    <row r="199" spans="1:6" x14ac:dyDescent="0.25">
      <c r="A199" s="26" t="s">
        <v>209</v>
      </c>
      <c r="B199" s="27">
        <v>67437</v>
      </c>
      <c r="C199" s="34">
        <v>68087</v>
      </c>
      <c r="D199" s="34">
        <v>68381</v>
      </c>
      <c r="E199" s="34">
        <v>82601</v>
      </c>
      <c r="F199" s="32">
        <v>84895</v>
      </c>
    </row>
    <row r="200" spans="1:6" x14ac:dyDescent="0.25">
      <c r="A200" s="23" t="s">
        <v>210</v>
      </c>
      <c r="B200" s="33">
        <v>14932</v>
      </c>
      <c r="C200" s="33">
        <v>133540</v>
      </c>
      <c r="D200" s="33">
        <v>79627</v>
      </c>
      <c r="E200" s="33">
        <v>53520</v>
      </c>
      <c r="F200" s="31">
        <v>80674</v>
      </c>
    </row>
    <row r="201" spans="1:6" x14ac:dyDescent="0.25">
      <c r="A201" s="26" t="s">
        <v>211</v>
      </c>
      <c r="B201" s="27">
        <v>53118</v>
      </c>
      <c r="C201" s="27">
        <v>45416</v>
      </c>
      <c r="D201" s="27">
        <v>42340</v>
      </c>
      <c r="E201" s="27">
        <v>43800</v>
      </c>
      <c r="F201" s="28">
        <v>68245</v>
      </c>
    </row>
    <row r="202" spans="1:6" ht="23.25" x14ac:dyDescent="0.25">
      <c r="A202" s="23" t="s">
        <v>212</v>
      </c>
      <c r="B202" s="29">
        <v>55215</v>
      </c>
      <c r="C202" s="29">
        <v>34591</v>
      </c>
      <c r="D202" s="29">
        <v>44931</v>
      </c>
      <c r="E202" s="29">
        <v>40799</v>
      </c>
      <c r="F202" s="31">
        <v>51621</v>
      </c>
    </row>
    <row r="203" spans="1:6" x14ac:dyDescent="0.25">
      <c r="A203" s="26" t="s">
        <v>213</v>
      </c>
      <c r="B203" s="27">
        <v>27900</v>
      </c>
      <c r="C203" s="27">
        <v>26401</v>
      </c>
      <c r="D203" s="27">
        <v>54185</v>
      </c>
      <c r="E203" s="27">
        <v>83330</v>
      </c>
      <c r="F203" s="28">
        <v>49642</v>
      </c>
    </row>
    <row r="204" spans="1:6" ht="23.25" x14ac:dyDescent="0.25">
      <c r="A204" s="23" t="s">
        <v>214</v>
      </c>
      <c r="B204" s="29">
        <v>12463</v>
      </c>
      <c r="C204" s="29">
        <v>19175</v>
      </c>
      <c r="D204" s="29">
        <v>22589</v>
      </c>
      <c r="E204" s="29">
        <v>16555</v>
      </c>
      <c r="F204" s="31">
        <v>48955</v>
      </c>
    </row>
    <row r="205" spans="1:6" x14ac:dyDescent="0.25">
      <c r="A205" s="26" t="s">
        <v>215</v>
      </c>
      <c r="B205" s="27">
        <v>22993</v>
      </c>
      <c r="C205" s="27">
        <v>35354</v>
      </c>
      <c r="D205" s="27">
        <v>54638</v>
      </c>
      <c r="E205" s="27">
        <v>28530</v>
      </c>
      <c r="F205" s="32">
        <v>48400</v>
      </c>
    </row>
    <row r="206" spans="1:6" x14ac:dyDescent="0.25">
      <c r="A206" s="23" t="s">
        <v>216</v>
      </c>
      <c r="B206" s="33">
        <v>71134</v>
      </c>
      <c r="C206" s="33">
        <v>73059</v>
      </c>
      <c r="D206" s="33">
        <v>54237</v>
      </c>
      <c r="E206" s="33">
        <v>88849</v>
      </c>
      <c r="F206" s="31">
        <v>48019</v>
      </c>
    </row>
    <row r="207" spans="1:6" ht="23.25" x14ac:dyDescent="0.25">
      <c r="A207" s="26" t="s">
        <v>217</v>
      </c>
      <c r="B207" s="34">
        <v>32373</v>
      </c>
      <c r="C207" s="34">
        <v>18909</v>
      </c>
      <c r="D207" s="34">
        <v>6043</v>
      </c>
      <c r="E207" s="34">
        <v>189622</v>
      </c>
      <c r="F207" s="32">
        <v>45503</v>
      </c>
    </row>
    <row r="208" spans="1:6" x14ac:dyDescent="0.25">
      <c r="A208" s="23" t="s">
        <v>218</v>
      </c>
      <c r="B208" s="29">
        <v>37390</v>
      </c>
      <c r="C208" s="29">
        <v>28992</v>
      </c>
      <c r="D208" s="29">
        <v>43481</v>
      </c>
      <c r="E208" s="29">
        <v>42948</v>
      </c>
      <c r="F208" s="31">
        <v>35614</v>
      </c>
    </row>
    <row r="209" spans="1:6" x14ac:dyDescent="0.25">
      <c r="A209" s="26" t="s">
        <v>219</v>
      </c>
      <c r="B209" s="34">
        <v>28776</v>
      </c>
      <c r="C209" s="34">
        <v>31866</v>
      </c>
      <c r="D209" s="34">
        <v>27971</v>
      </c>
      <c r="E209" s="34">
        <v>30742</v>
      </c>
      <c r="F209" s="32">
        <v>35130</v>
      </c>
    </row>
    <row r="210" spans="1:6" x14ac:dyDescent="0.25">
      <c r="A210" s="23" t="s">
        <v>220</v>
      </c>
      <c r="B210" s="33">
        <v>45091</v>
      </c>
      <c r="C210" s="33">
        <v>29409</v>
      </c>
      <c r="D210" s="33">
        <v>330049</v>
      </c>
      <c r="E210" s="33">
        <v>166361</v>
      </c>
      <c r="F210" s="31">
        <v>33010</v>
      </c>
    </row>
    <row r="211" spans="1:6" x14ac:dyDescent="0.25">
      <c r="A211" s="26" t="s">
        <v>221</v>
      </c>
      <c r="B211" s="34">
        <v>13628</v>
      </c>
      <c r="C211" s="34">
        <v>40558</v>
      </c>
      <c r="D211" s="34">
        <v>41821</v>
      </c>
      <c r="E211" s="34">
        <v>39818</v>
      </c>
      <c r="F211" s="32">
        <v>31443</v>
      </c>
    </row>
    <row r="212" spans="1:6" x14ac:dyDescent="0.25">
      <c r="A212" s="23" t="s">
        <v>222</v>
      </c>
      <c r="B212" s="29">
        <v>13145</v>
      </c>
      <c r="C212" s="29">
        <v>14145</v>
      </c>
      <c r="D212" s="29">
        <v>7866</v>
      </c>
      <c r="E212" s="29">
        <v>22042</v>
      </c>
      <c r="F212" s="31">
        <v>28683</v>
      </c>
    </row>
    <row r="213" spans="1:6" x14ac:dyDescent="0.25">
      <c r="A213" s="26" t="s">
        <v>223</v>
      </c>
      <c r="B213" s="27">
        <v>24620</v>
      </c>
      <c r="C213" s="27">
        <v>35163</v>
      </c>
      <c r="D213" s="27">
        <v>37472</v>
      </c>
      <c r="E213" s="27">
        <v>46055</v>
      </c>
      <c r="F213" s="32">
        <v>28116</v>
      </c>
    </row>
    <row r="214" spans="1:6" ht="23.25" x14ac:dyDescent="0.25">
      <c r="A214" s="23" t="s">
        <v>224</v>
      </c>
      <c r="B214" s="33">
        <v>110533</v>
      </c>
      <c r="C214" s="33">
        <v>51354</v>
      </c>
      <c r="D214" s="33">
        <v>59562</v>
      </c>
      <c r="E214" s="33">
        <v>31040</v>
      </c>
      <c r="F214" s="31">
        <v>25583</v>
      </c>
    </row>
    <row r="215" spans="1:6" x14ac:dyDescent="0.25">
      <c r="A215" s="26" t="s">
        <v>225</v>
      </c>
      <c r="B215" s="27">
        <v>16963</v>
      </c>
      <c r="C215" s="27">
        <v>12793</v>
      </c>
      <c r="D215" s="27">
        <v>61864</v>
      </c>
      <c r="E215" s="27">
        <v>11934</v>
      </c>
      <c r="F215" s="32">
        <v>22697</v>
      </c>
    </row>
    <row r="216" spans="1:6" x14ac:dyDescent="0.25">
      <c r="A216" s="23" t="s">
        <v>226</v>
      </c>
      <c r="B216" s="33">
        <v>15493</v>
      </c>
      <c r="C216" s="33">
        <v>5784</v>
      </c>
      <c r="D216" s="33">
        <v>8245</v>
      </c>
      <c r="E216" s="33">
        <v>6024</v>
      </c>
      <c r="F216" s="31">
        <v>20937</v>
      </c>
    </row>
    <row r="217" spans="1:6" ht="34.5" x14ac:dyDescent="0.25">
      <c r="A217" s="26" t="s">
        <v>227</v>
      </c>
      <c r="B217" s="34">
        <v>34954</v>
      </c>
      <c r="C217" s="34">
        <v>18699</v>
      </c>
      <c r="D217" s="34">
        <v>24043</v>
      </c>
      <c r="E217" s="34">
        <v>23786</v>
      </c>
      <c r="F217" s="32">
        <v>15831</v>
      </c>
    </row>
    <row r="218" spans="1:6" ht="34.5" x14ac:dyDescent="0.25">
      <c r="A218" s="23" t="s">
        <v>228</v>
      </c>
      <c r="B218" s="33">
        <v>13529</v>
      </c>
      <c r="C218" s="33">
        <v>4025</v>
      </c>
      <c r="D218" s="33">
        <v>6060</v>
      </c>
      <c r="E218" s="33">
        <v>35619</v>
      </c>
      <c r="F218" s="31">
        <v>15611</v>
      </c>
    </row>
    <row r="219" spans="1:6" x14ac:dyDescent="0.25">
      <c r="A219" s="26" t="s">
        <v>229</v>
      </c>
      <c r="B219" s="34">
        <v>15310</v>
      </c>
      <c r="C219" s="34">
        <v>14854</v>
      </c>
      <c r="D219" s="34">
        <v>16570</v>
      </c>
      <c r="E219" s="34">
        <v>11746</v>
      </c>
      <c r="F219" s="32">
        <v>11621</v>
      </c>
    </row>
    <row r="220" spans="1:6" ht="23.25" x14ac:dyDescent="0.25">
      <c r="A220" s="23" t="s">
        <v>230</v>
      </c>
      <c r="B220" s="33">
        <v>7892</v>
      </c>
      <c r="C220" s="33">
        <v>9919</v>
      </c>
      <c r="D220" s="33">
        <v>8828</v>
      </c>
      <c r="E220" s="33">
        <v>4373</v>
      </c>
      <c r="F220" s="31">
        <v>8357</v>
      </c>
    </row>
    <row r="221" spans="1:6" ht="23.25" x14ac:dyDescent="0.25">
      <c r="A221" s="26" t="s">
        <v>231</v>
      </c>
      <c r="B221" s="34">
        <v>11428</v>
      </c>
      <c r="C221" s="34">
        <v>9004</v>
      </c>
      <c r="D221" s="34">
        <v>9110</v>
      </c>
      <c r="E221" s="34">
        <v>8476</v>
      </c>
      <c r="F221" s="32">
        <v>7757</v>
      </c>
    </row>
    <row r="222" spans="1:6" x14ac:dyDescent="0.25">
      <c r="A222" s="23" t="s">
        <v>232</v>
      </c>
      <c r="B222" s="33">
        <v>80159</v>
      </c>
      <c r="C222" s="33">
        <v>7905</v>
      </c>
      <c r="D222" s="33">
        <v>7453</v>
      </c>
      <c r="E222" s="33">
        <v>9365</v>
      </c>
      <c r="F222" s="31">
        <v>7169</v>
      </c>
    </row>
    <row r="223" spans="1:6" ht="23.25" x14ac:dyDescent="0.25">
      <c r="A223" s="26" t="s">
        <v>233</v>
      </c>
      <c r="B223" s="34">
        <v>8150</v>
      </c>
      <c r="C223" s="34">
        <v>22541</v>
      </c>
      <c r="D223" s="34">
        <v>11357</v>
      </c>
      <c r="E223" s="34">
        <v>11977</v>
      </c>
      <c r="F223" s="32">
        <v>4932</v>
      </c>
    </row>
    <row r="224" spans="1:6" x14ac:dyDescent="0.25">
      <c r="A224" s="23" t="s">
        <v>234</v>
      </c>
      <c r="B224" s="33">
        <v>8974</v>
      </c>
      <c r="C224" s="33">
        <v>7709</v>
      </c>
      <c r="D224" s="33">
        <v>13463</v>
      </c>
      <c r="E224" s="33">
        <v>13262</v>
      </c>
      <c r="F224" s="31">
        <v>4172</v>
      </c>
    </row>
    <row r="225" spans="1:6" x14ac:dyDescent="0.25">
      <c r="A225" s="26" t="s">
        <v>235</v>
      </c>
      <c r="B225" s="34">
        <v>7517</v>
      </c>
      <c r="C225" s="34">
        <v>6645</v>
      </c>
      <c r="D225" s="34">
        <v>508</v>
      </c>
      <c r="E225" s="34">
        <v>6956</v>
      </c>
      <c r="F225" s="32">
        <v>4130</v>
      </c>
    </row>
    <row r="226" spans="1:6" ht="23.25" x14ac:dyDescent="0.25">
      <c r="A226" s="23" t="s">
        <v>236</v>
      </c>
      <c r="B226" s="33">
        <v>4969</v>
      </c>
      <c r="C226" s="33">
        <v>9159</v>
      </c>
      <c r="D226" s="33">
        <v>3746</v>
      </c>
      <c r="E226" s="33">
        <v>6567</v>
      </c>
      <c r="F226" s="31">
        <v>4049</v>
      </c>
    </row>
    <row r="227" spans="1:6" x14ac:dyDescent="0.25">
      <c r="A227" s="26" t="s">
        <v>237</v>
      </c>
      <c r="B227" s="34">
        <v>1546</v>
      </c>
      <c r="C227" s="34">
        <v>3312</v>
      </c>
      <c r="D227" s="34">
        <v>3808</v>
      </c>
      <c r="E227" s="34">
        <v>2059</v>
      </c>
      <c r="F227" s="32">
        <v>3439</v>
      </c>
    </row>
    <row r="228" spans="1:6" x14ac:dyDescent="0.25">
      <c r="A228" s="23" t="s">
        <v>238</v>
      </c>
      <c r="B228" s="33">
        <v>2530</v>
      </c>
      <c r="C228" s="33">
        <v>2262</v>
      </c>
      <c r="D228" s="33">
        <v>1986</v>
      </c>
      <c r="E228" s="33">
        <v>2167</v>
      </c>
      <c r="F228" s="31">
        <v>3365</v>
      </c>
    </row>
    <row r="229" spans="1:6" ht="23.25" x14ac:dyDescent="0.25">
      <c r="A229" s="26" t="s">
        <v>239</v>
      </c>
      <c r="B229" s="34">
        <v>8054</v>
      </c>
      <c r="C229" s="34">
        <v>3443</v>
      </c>
      <c r="D229" s="34">
        <v>2977</v>
      </c>
      <c r="E229" s="34">
        <v>2643</v>
      </c>
      <c r="F229" s="32">
        <v>2676</v>
      </c>
    </row>
    <row r="230" spans="1:6" x14ac:dyDescent="0.25">
      <c r="A230" s="23" t="s">
        <v>240</v>
      </c>
      <c r="B230" s="33">
        <v>3434</v>
      </c>
      <c r="C230" s="33">
        <v>6676</v>
      </c>
      <c r="D230" s="33">
        <v>462357</v>
      </c>
      <c r="E230" s="33">
        <v>1636</v>
      </c>
      <c r="F230" s="31">
        <v>898</v>
      </c>
    </row>
    <row r="231" spans="1:6" ht="23.25" x14ac:dyDescent="0.25">
      <c r="A231" s="26" t="s">
        <v>241</v>
      </c>
      <c r="B231" s="34">
        <v>1691</v>
      </c>
      <c r="C231" s="34">
        <v>701</v>
      </c>
      <c r="D231" s="34">
        <v>614</v>
      </c>
      <c r="E231" s="34">
        <v>2110</v>
      </c>
      <c r="F231" s="32">
        <v>328</v>
      </c>
    </row>
    <row r="232" spans="1:6" x14ac:dyDescent="0.25">
      <c r="A232" s="23" t="s">
        <v>242</v>
      </c>
      <c r="B232" s="33">
        <v>29</v>
      </c>
      <c r="C232" s="33">
        <v>45</v>
      </c>
      <c r="D232" s="33">
        <v>485</v>
      </c>
      <c r="E232" s="33">
        <v>416</v>
      </c>
      <c r="F232" s="31">
        <v>304</v>
      </c>
    </row>
    <row r="233" spans="1:6" x14ac:dyDescent="0.25">
      <c r="A233" s="26" t="s">
        <v>243</v>
      </c>
      <c r="B233" s="34">
        <v>80</v>
      </c>
      <c r="C233" s="34">
        <v>29</v>
      </c>
      <c r="D233" s="34">
        <v>350</v>
      </c>
      <c r="E233" s="34">
        <v>42</v>
      </c>
      <c r="F233" s="32">
        <v>142</v>
      </c>
    </row>
    <row r="234" spans="1:6" ht="23.25" x14ac:dyDescent="0.25">
      <c r="A234" s="23" t="s">
        <v>244</v>
      </c>
      <c r="B234" s="29"/>
      <c r="C234" s="33">
        <v>23</v>
      </c>
      <c r="D234" s="33">
        <v>15</v>
      </c>
      <c r="E234" s="33">
        <v>29</v>
      </c>
      <c r="F234" s="31">
        <v>20</v>
      </c>
    </row>
    <row r="235" spans="1:6" ht="34.5" x14ac:dyDescent="0.25">
      <c r="A235" s="35" t="s">
        <v>245</v>
      </c>
      <c r="B235" s="36">
        <v>4</v>
      </c>
      <c r="C235" s="36">
        <v>146</v>
      </c>
      <c r="D235" s="36">
        <v>7</v>
      </c>
      <c r="E235" s="36">
        <v>68</v>
      </c>
      <c r="F235" s="37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Trade_Map_-_Lista_de_los_export</vt:lpstr>
      <vt:lpstr>expo quinua</vt:lpstr>
      <vt:lpstr>expo total</vt:lpstr>
      <vt:lpstr>expototal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Alumno</dc:creator>
  <cp:lastModifiedBy>Alumno</cp:lastModifiedBy>
  <dcterms:created xsi:type="dcterms:W3CDTF">2025-05-08T21:26:13Z</dcterms:created>
  <dcterms:modified xsi:type="dcterms:W3CDTF">2025-05-08T21:26:16Z</dcterms:modified>
</cp:coreProperties>
</file>